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66925"/>
  <mc:AlternateContent>
    <mc:Choice Requires="x15">
      <x15ac:absPath xmlns:x15ac="http://schemas.microsoft.com/office/spreadsheetml/2010/11/ac" url="U:\Desktop\Altomação Fiscal\"/>
    </mc:Choice>
  </mc:AlternateContent>
  <xr:revisionPtr revIDLastSave="0" documentId="13_ncr:1_{31CD1716-4365-42BE-B0B0-95635915D817}" xr6:coauthVersionLast="47" xr6:coauthVersionMax="47" xr10:uidLastSave="{00000000-0000-0000-0000-000000000000}"/>
  <bookViews>
    <workbookView xWindow="-120" yWindow="-120" windowWidth="20730" windowHeight="11160" xr2:uid="{9199F354-76A9-448A-886E-15664A417BFC}" activeTab="0"/>
  </bookViews>
  <sheets>
    <sheet name="DASHBOARD" r:id="rId14" sheetId="10"/>
    <sheet name="CADASTRO ABRIL" sheetId="1" r:id="rId1"/>
    <sheet name="CADASTRO MAIO" r:id="rId6" sheetId="2"/>
    <sheet name="CADASTRO JUNHO" r:id="rId7" sheetId="3"/>
    <sheet name="CADASTRO JULHO" r:id="rId8" sheetId="4"/>
    <sheet name="CADASTRO AGOSTO" r:id="rId9" sheetId="5"/>
    <sheet name="CADASTRO SETEMBRO" r:id="rId10" sheetId="6"/>
    <sheet name="CADASTRO OUTUBRO" r:id="rId11" sheetId="7"/>
    <sheet name="CADASTRO NOVEMBRO" r:id="rId12" sheetId="8"/>
    <sheet name="CADASTRO DEZEMBRO" r:id="rId13" sheetId="9"/>
    <sheet name="CONFIG" r:id="rId15" sheetId="11"/>
  </sheets>
  <definedNames>
    <definedName name="_xlnm._FilterDatabase" localSheetId="1" hidden="true">'CADASTRO ABRIL'!$A$2:$W$164</definedName>
  </definedNames>
  <calcPr calcId="191029" fullCalcOnLoad="true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>
  <authors>
    <author/>
    <author>Renomeador NFS-e</author>
  </authors>
  <commentList>
    <comment ref="D3" authorId="1">
      <text>
        <t>Revisar CNPJ antes de importar para o sistema.</t>
      </text>
    </comment>
    <comment ref="D16" authorId="1">
      <text>
        <t>Revisar CNPJ antes de importar para o sistema.</t>
      </text>
    </comment>
    <comment ref="D21" authorId="1">
      <text>
        <t>Revisar CNPJ antes de importar para o sistema.</t>
      </text>
    </comment>
    <comment ref="D22" authorId="1">
      <text>
        <t>Revisar CNPJ antes de importar para o sistema.</t>
      </text>
    </comment>
    <comment ref="D23" authorId="1">
      <text>
        <t>Revisar CNPJ antes de importar para o sistema.</t>
      </text>
    </comment>
    <comment ref="D24" authorId="1">
      <text>
        <t>Revisar CNPJ antes de importar para o sistema.</t>
      </text>
    </comment>
    <comment ref="D26" authorId="1">
      <text>
        <t>Revisar CNPJ antes de importar para o sistema.</t>
      </text>
    </comment>
    <comment ref="D27" authorId="1">
      <text>
        <t>Revisar CNPJ antes de importar para o sistema.</t>
      </text>
    </comment>
    <comment ref="D29" authorId="1">
      <text>
        <t>Revisar CNPJ antes de importar para o sistema.</t>
      </text>
    </comment>
    <comment ref="D30" authorId="1">
      <text>
        <t>Revisar CNPJ antes de importar para o sistema.</t>
      </text>
    </comment>
    <comment ref="D31" authorId="1">
      <text>
        <t>Revisar CNPJ antes de importar para o sistema.</t>
      </text>
    </comment>
    <comment ref="D32" authorId="1">
      <text>
        <t>Revisar CNPJ antes de importar para o sistema.</t>
      </text>
    </comment>
    <comment ref="D33" authorId="1">
      <text>
        <t>Revisar CNPJ antes de importar para o sistema.</t>
      </text>
    </comment>
    <comment ref="D34" authorId="1">
      <text>
        <t>Revisar CNPJ antes de importar para o sistema.</t>
      </text>
    </comment>
    <comment ref="D35" authorId="1">
      <text>
        <t>Revisar CNPJ antes de importar para o sistema.</t>
      </text>
    </comment>
    <comment ref="D44" authorId="1">
      <text>
        <t>Revisar CNPJ antes de importar para o sistema.</t>
      </text>
    </comment>
    <comment ref="D45" authorId="1">
      <text>
        <t>Revisar CNPJ antes de importar para o sistema.</t>
      </text>
    </comment>
    <comment ref="D49" authorId="1">
      <text>
        <t>Revisar CNPJ antes de importar para o sistema.</t>
      </text>
    </comment>
    <comment ref="D51" authorId="1">
      <text>
        <t>Revisar CNPJ antes de importar para o sistema.</t>
      </text>
    </comment>
    <comment ref="D52" authorId="1">
      <text>
        <t>Revisar CNPJ antes de importar para o sistema.</t>
      </text>
    </comment>
    <comment ref="D54" authorId="1">
      <text>
        <t>Revisar CNPJ antes de importar para o sistema.</t>
      </text>
    </comment>
    <comment ref="D56" authorId="1">
      <text>
        <t>Revisar CNPJ antes de importar para o sistema.</t>
      </text>
    </comment>
    <comment ref="D57" authorId="1">
      <text>
        <t>Revisar CNPJ antes de importar para o sistema.</t>
      </text>
    </comment>
    <comment ref="D59" authorId="1">
      <text>
        <t>Revisar CNPJ antes de importar para o sistema.</t>
      </text>
    </comment>
    <comment ref="D60" authorId="1">
      <text>
        <t>Revisar CNPJ antes de importar para o sistema.</t>
      </text>
    </comment>
    <comment ref="D61" authorId="1">
      <text>
        <t>Revisar CNPJ antes de importar para o sistema.</t>
      </text>
    </comment>
    <comment ref="D64" authorId="1">
      <text>
        <t>Revisar CNPJ antes de importar para o sistema.</t>
      </text>
    </comment>
    <comment ref="D65" authorId="1">
      <text>
        <t>Revisar CNPJ antes de importar para o sistema.</t>
      </text>
    </comment>
    <comment ref="D66" authorId="1">
      <text>
        <t>Revisar CNPJ antes de importar para o sistema.</t>
      </text>
    </comment>
    <comment ref="D67" authorId="1">
      <text>
        <t>Revisar CNPJ antes de importar para o sistema.</t>
      </text>
    </comment>
    <comment ref="D76" authorId="1">
      <text>
        <t>Revisar CNPJ antes de importar para o sistema.</t>
      </text>
    </comment>
    <comment ref="D79" authorId="1">
      <text>
        <t>Revisar CNPJ antes de importar para o sistema.</t>
      </text>
    </comment>
    <comment ref="D85" authorId="1">
      <text>
        <t>Revisar CNPJ antes de importar para o sistema.</t>
      </text>
    </comment>
    <comment ref="D86" authorId="1">
      <text>
        <t>Revisar CNPJ antes de importar para o sistema.</t>
      </text>
    </comment>
    <comment ref="D89" authorId="1">
      <text>
        <t>Revisar CNPJ antes de importar para o sistema.</t>
      </text>
    </comment>
    <comment ref="D90" authorId="1">
      <text>
        <t>Revisar CNPJ antes de importar para o sistema.</t>
      </text>
    </comment>
    <comment ref="D92" authorId="1">
      <text>
        <t>Revisar CNPJ antes de importar para o sistema.</t>
      </text>
    </comment>
    <comment ref="D94" authorId="1">
      <text>
        <t>Revisar CNPJ antes de importar para o sistema.</t>
      </text>
    </comment>
    <comment ref="D95" authorId="1">
      <text>
        <t>Revisar CNPJ antes de importar para o sistema.</t>
      </text>
    </comment>
    <comment ref="D106" authorId="1">
      <text>
        <t>Revisar CNPJ antes de importar para o sistema.</t>
      </text>
    </comment>
    <comment ref="D120" authorId="1">
      <text>
        <t>Revisar CNPJ antes de importar para o sistema.</t>
      </text>
    </comment>
    <comment ref="D126" authorId="1">
      <text>
        <t>Revisar CNPJ antes de importar para o sistema.</t>
      </text>
    </comment>
    <comment ref="D127" authorId="1">
      <text>
        <t>Revisar CNPJ antes de importar para o sistema.</t>
      </text>
    </comment>
    <comment ref="D133" authorId="1">
      <text>
        <t>Revisar CNPJ antes de importar para o sistema.</t>
      </text>
    </comment>
    <comment ref="D134" authorId="1">
      <text>
        <t>Revisar CNPJ antes de importar para o sistema.</t>
      </text>
    </comment>
  </commentList>
</comments>
</file>

<file path=xl/sharedStrings.xml><?xml version="1.0" encoding="utf-8"?>
<sst xmlns="http://schemas.openxmlformats.org/spreadsheetml/2006/main" count="2078" uniqueCount="524">
  <si>
    <t>3H COMERCIO DE CHOCOLATES - 205</t>
  </si>
  <si>
    <t xml:space="preserve">HH </t>
  </si>
  <si>
    <t>LIMEIRA</t>
  </si>
  <si>
    <t>DANIELLE</t>
  </si>
  <si>
    <t>SIMPLES NACIONAL</t>
  </si>
  <si>
    <t>C</t>
  </si>
  <si>
    <t>3H COMERCIO DE CHOCOLATES LTDA - 207</t>
  </si>
  <si>
    <t>35.381.421/0003-56</t>
  </si>
  <si>
    <t>AGROBOM ARMAZENS GERAIS - FL 02</t>
  </si>
  <si>
    <t>AGROBOM</t>
  </si>
  <si>
    <t>JOVIANIA</t>
  </si>
  <si>
    <t>10.627.382/0002-12</t>
  </si>
  <si>
    <t>DANIEL</t>
  </si>
  <si>
    <t>LUCRO REAL</t>
  </si>
  <si>
    <t>A</t>
  </si>
  <si>
    <t>AGROBOM ARMAZENS GERAIS - FL 03</t>
  </si>
  <si>
    <t>ITUMBIARA</t>
  </si>
  <si>
    <t>10.627.382/0003-01</t>
  </si>
  <si>
    <t>AGROBOM ARMAZENS GERAIS - FL 04</t>
  </si>
  <si>
    <t>PORTEIRÃO</t>
  </si>
  <si>
    <t>10.627.382/0004-84</t>
  </si>
  <si>
    <t>AGROBOM ARMAZENS GERAIS - FL 05</t>
  </si>
  <si>
    <t>10.627.382/0005-65</t>
  </si>
  <si>
    <t>AGROBOM ARMAZENS GERAIS - FL 06</t>
  </si>
  <si>
    <t>BOM JESUS</t>
  </si>
  <si>
    <t>10.627.382/0006-46</t>
  </si>
  <si>
    <t>AGROBOM ARMAZENS GERAIS - FL 07</t>
  </si>
  <si>
    <t>GOIATUBA</t>
  </si>
  <si>
    <t>10.627.382/0007-27</t>
  </si>
  <si>
    <t>AGROBOM ARMAZENS GERAIS - FL 08</t>
  </si>
  <si>
    <t>10.627.382/0008-08</t>
  </si>
  <si>
    <t>AGROBOM ARMAZENS GERAIS - FL 09(184)</t>
  </si>
  <si>
    <t>10.627.382/0009-99</t>
  </si>
  <si>
    <t>AGROBOM ARMAZENS GERAIS - MTZ</t>
  </si>
  <si>
    <t>10.627.382/0001-31</t>
  </si>
  <si>
    <t>AGROBOM COMÉRCIO E INDÚSTRIA DE CEREAIS</t>
  </si>
  <si>
    <t>17.689.853/0001-85</t>
  </si>
  <si>
    <t>DANIEL/ ELCIMAR</t>
  </si>
  <si>
    <t>AGROBOM INDÚSTRIA E COMÉRCIO DE CEREAIS</t>
  </si>
  <si>
    <t>53.176.308/0001-59</t>
  </si>
  <si>
    <t>AGROBOM NEGÓCIOS E CONSULTORIA LTDA - 164</t>
  </si>
  <si>
    <t>LUCRO PRESUMIDO</t>
  </si>
  <si>
    <t>AGROBOM TRANSPORTES</t>
  </si>
  <si>
    <t>36.989.757/0001-05</t>
  </si>
  <si>
    <t>AGRONOVA PEÇAS AGRICOLAS FILIAL  LTDA</t>
  </si>
  <si>
    <t>AGRONOVA</t>
  </si>
  <si>
    <t>JATAI</t>
  </si>
  <si>
    <t>34.088.208/0002-07</t>
  </si>
  <si>
    <t>CLEUBER</t>
  </si>
  <si>
    <t>B</t>
  </si>
  <si>
    <t>AGRONOVA PEÇAS AGRICOLAS LTDA</t>
  </si>
  <si>
    <t>34.088.208/0001-26</t>
  </si>
  <si>
    <t>AGRONOVA SERVIÇOS DE COLHEITAS LTDA</t>
  </si>
  <si>
    <t>15.054.033/0001-91</t>
  </si>
  <si>
    <t>ALPTRON LTDA - 106</t>
  </si>
  <si>
    <t>POWER SOURCE</t>
  </si>
  <si>
    <t>SÃO PAULO</t>
  </si>
  <si>
    <t>BRUNA</t>
  </si>
  <si>
    <t>AM SERVIÇOS DE COLHEITAS LTDA - 202</t>
  </si>
  <si>
    <t>JATAÍ</t>
  </si>
  <si>
    <t>ASSOCIACAO GOIANA DE TRANSFORMACAO SOCIAL ATRAVES DA EDUCACAO - 148</t>
  </si>
  <si>
    <t>INTERESCHOOL</t>
  </si>
  <si>
    <t>GOIÂNIA</t>
  </si>
  <si>
    <t>ROSICLÉIA</t>
  </si>
  <si>
    <t>B.H SELECTION SERVICOS E PEÇAS LTDA - 25</t>
  </si>
  <si>
    <t>BH</t>
  </si>
  <si>
    <t>SHIELEN/MARTA</t>
  </si>
  <si>
    <t>BESSA ADVOGADOS E ASSOCIADOS</t>
  </si>
  <si>
    <t>BESSA</t>
  </si>
  <si>
    <t>GOIANIA</t>
  </si>
  <si>
    <t>35.310.400/0001-88</t>
  </si>
  <si>
    <t>LEIDIANA</t>
  </si>
  <si>
    <t>BOM JESUS SERVIÇOS ADMINISTRATIVOS LTDA - 144</t>
  </si>
  <si>
    <t>IVON</t>
  </si>
  <si>
    <t>BURITI AUTOCENTER - 44</t>
  </si>
  <si>
    <t>INDEPENDENTE</t>
  </si>
  <si>
    <t>GUIGA</t>
  </si>
  <si>
    <t xml:space="preserve">CARRETEIRO AUTO PECAS </t>
  </si>
  <si>
    <t>CARRETEIRO</t>
  </si>
  <si>
    <t>GOIANESIA</t>
  </si>
  <si>
    <t>10.172.340/0001-53</t>
  </si>
  <si>
    <t>ANDRÉ /PAULO</t>
  </si>
  <si>
    <t>CARRETEIRO SERVIÇOS - 221</t>
  </si>
  <si>
    <t>GOIANÉSIA</t>
  </si>
  <si>
    <t>CÉLIO ADRIANO DA SILVA - CAVIS - 45</t>
  </si>
  <si>
    <t>CAVIS</t>
  </si>
  <si>
    <t>CÉLIO/CINTHYA</t>
  </si>
  <si>
    <t>CENTRO DE APOIO BILINGUE I LTDA - 151</t>
  </si>
  <si>
    <t>CENTRO DE APOIO BILINGUE II LTDA - 152</t>
  </si>
  <si>
    <t>CENTRO DE APOIO BILINGUE III LTDA - 153</t>
  </si>
  <si>
    <t>CENTRO DE ENSINO BILINGUE LTDA - 145</t>
  </si>
  <si>
    <t>CENTRO EDUCACIONAL BILINGUE LTDA - 146</t>
  </si>
  <si>
    <t>CLAUKE - COMERCIO DE CHOCOLATES - 209</t>
  </si>
  <si>
    <t>PIRACICABA</t>
  </si>
  <si>
    <t>05.245.896/0001-92</t>
  </si>
  <si>
    <t>COPEMBOM CHOCOLATES LTDA</t>
  </si>
  <si>
    <t>COPEMBOM</t>
  </si>
  <si>
    <t>CUIABA - MT</t>
  </si>
  <si>
    <t>30.514.650/0001-16</t>
  </si>
  <si>
    <t>SANDRA</t>
  </si>
  <si>
    <t>04.116.617/0001-28</t>
  </si>
  <si>
    <t>04.116.617/0002-09</t>
  </si>
  <si>
    <t>04.116.617/0003-90</t>
  </si>
  <si>
    <t>04.116.617/0005-51</t>
  </si>
  <si>
    <t>VARZEA GRANDE - MT</t>
  </si>
  <si>
    <t>04.116.617/0006-32</t>
  </si>
  <si>
    <t>04.116.617/0007-13</t>
  </si>
  <si>
    <t>CRESCER  SEGURANÇA E MEDICINA - 223</t>
  </si>
  <si>
    <t>CRESCER MED</t>
  </si>
  <si>
    <t>HELLEN</t>
  </si>
  <si>
    <t>CRESCER MED OCUPACIONAL - 222</t>
  </si>
  <si>
    <t>CRESCER TREINAMENTOS E SEGURANÇA DO TRABALHO - 224</t>
  </si>
  <si>
    <t>18.690.025/0001-20</t>
  </si>
  <si>
    <t>EDISLANE</t>
  </si>
  <si>
    <t>CSA - CENTRO DE SOLUÇÕES ANALITICAS</t>
  </si>
  <si>
    <t>CSA</t>
  </si>
  <si>
    <t>ANAPOLIS</t>
  </si>
  <si>
    <t>28.900.799/0001-91</t>
  </si>
  <si>
    <t>JEYCE/FÁBIO</t>
  </si>
  <si>
    <t>CSA - CENTRO DE SOLUÇÕES ANALITICAS - FILIAL I</t>
  </si>
  <si>
    <t>28.900.799/0002-72</t>
  </si>
  <si>
    <t>CSA CENTRO DE PESQUISA E DESENVOLVIMENTO &amp; INOVAÇÃO - 73</t>
  </si>
  <si>
    <t>ANÁPOLIS</t>
  </si>
  <si>
    <t>CSA CONSULTORIA EDUCACIONAL</t>
  </si>
  <si>
    <t>33.265.761/0001-24</t>
  </si>
  <si>
    <t>GABRIELA/FÁBIO</t>
  </si>
  <si>
    <t>CSA DIGITAL - 74</t>
  </si>
  <si>
    <t>CSA GESTÃO E TREINAMENTOS - 75</t>
  </si>
  <si>
    <t>DGA ENERGIA</t>
  </si>
  <si>
    <t>DGA</t>
  </si>
  <si>
    <t>25.014.360/0001-73</t>
  </si>
  <si>
    <t>E USY AUTO PARTS LTDA (FOLHA DA BH) - 33</t>
  </si>
  <si>
    <t>BH SELECTION</t>
  </si>
  <si>
    <t>ELDORADO EMPREENDIMENTOS (ENERGIA) - 91</t>
  </si>
  <si>
    <t>ELDORADO</t>
  </si>
  <si>
    <t>42.964.659/0001-08</t>
  </si>
  <si>
    <t>JOÃO/SILVIO</t>
  </si>
  <si>
    <t>ELDORADO EVENTOS E SERVICOS - EIRELI - 17</t>
  </si>
  <si>
    <t>VIVIANE/SILVIO</t>
  </si>
  <si>
    <t>ELDORADO SERVIÇOS (SILVIO) - 38</t>
  </si>
  <si>
    <t>JOÃO</t>
  </si>
  <si>
    <t>ELETRICA E HIDRAULICA SMART LTDA</t>
  </si>
  <si>
    <t>SMART</t>
  </si>
  <si>
    <t>36.878.154/0001-28</t>
  </si>
  <si>
    <t>TATIANE</t>
  </si>
  <si>
    <t>ELETRICA SMART SERVICE LTDA - 208</t>
  </si>
  <si>
    <t>ENIVALDO CAMPOS RODRIGUES MEI - 50</t>
  </si>
  <si>
    <t>ENIVALDO</t>
  </si>
  <si>
    <t>ERIO APOIO ADM - 137</t>
  </si>
  <si>
    <t>ERIO</t>
  </si>
  <si>
    <t>LUCIANA/PATRICIA</t>
  </si>
  <si>
    <t>ERIO AUTO PECAS E MECANICA</t>
  </si>
  <si>
    <t>10.329.564/0001-26</t>
  </si>
  <si>
    <t>ERIO AUTO PECAS E MECANICA - FL 01</t>
  </si>
  <si>
    <t>10.329.564/0002-07</t>
  </si>
  <si>
    <t>ESCOLA DE EDUCACAO BILINGUE LTDA - 149</t>
  </si>
  <si>
    <t>ESCOLA GOIANA BILINGUE LTDA - 147</t>
  </si>
  <si>
    <t>ESCOLA INTERNACIONAL DE GOIANIA LTDA - 155</t>
  </si>
  <si>
    <t>EXCELENCIA PRESTADORA DE SERVIÇOS - 69</t>
  </si>
  <si>
    <t>RETIF EXCELENCIA</t>
  </si>
  <si>
    <t>GISELLE/LEIDIANA</t>
  </si>
  <si>
    <t>FPM CORPORATE SOLUTIONS</t>
  </si>
  <si>
    <t>FPM</t>
  </si>
  <si>
    <t>SINOP - MT</t>
  </si>
  <si>
    <t>49.672.979/0001-33</t>
  </si>
  <si>
    <t>FPM GOURMET BRANDS - FILIAL I</t>
  </si>
  <si>
    <t>39.840.144/0002-72</t>
  </si>
  <si>
    <t>DANY</t>
  </si>
  <si>
    <t>FPM GOURMET BRANDS - FILIAL II</t>
  </si>
  <si>
    <t>39.840.144/0003-53</t>
  </si>
  <si>
    <t>FPM GOURMET BRANDS - FILIAL III</t>
  </si>
  <si>
    <t>39.840.144/0004-34</t>
  </si>
  <si>
    <t>FPM GOURMET BRANDS - FILIAL IV</t>
  </si>
  <si>
    <t>39.840.144/0005-15</t>
  </si>
  <si>
    <t>FPM GOURMET BRANDS MTZ</t>
  </si>
  <si>
    <t>39.840.144/0001-91</t>
  </si>
  <si>
    <t>FPM PEOPLE SOLUTIONS LTDA - FL I</t>
  </si>
  <si>
    <t>24.457.433/0002-10</t>
  </si>
  <si>
    <t>FPM PEOPLE SOLUTIONS LTDA MTZ</t>
  </si>
  <si>
    <t>24.457.433/0001-39</t>
  </si>
  <si>
    <t>GLOBO SERVIÇOS - 129</t>
  </si>
  <si>
    <t>GSV AGROPECUARIA LTDA - 154</t>
  </si>
  <si>
    <t>GSV</t>
  </si>
  <si>
    <t>53.667.342/0001-26</t>
  </si>
  <si>
    <t>NATÁLIA</t>
  </si>
  <si>
    <t>GSV MONTAGENS INDUSTRIAIS - LTDA</t>
  </si>
  <si>
    <t>11.225.183/0001-60</t>
  </si>
  <si>
    <t>HANAMEC FERRAMENTAS - 34</t>
  </si>
  <si>
    <t>HANAMEC</t>
  </si>
  <si>
    <t>DANIELA</t>
  </si>
  <si>
    <t>HANAMEC LOCAÇÕES - 49</t>
  </si>
  <si>
    <t>42.686.883/0001-85</t>
  </si>
  <si>
    <t>HANAMEC SERVICOS ELETRICOS E FERRAMENTAS LTDA</t>
  </si>
  <si>
    <t>12.614.431/0001-27</t>
  </si>
  <si>
    <t>HC COMERCIO DE CHOCOLATES LTDA - 210</t>
  </si>
  <si>
    <t xml:space="preserve">PIRACICABA </t>
  </si>
  <si>
    <t>21.017.530/0001-12</t>
  </si>
  <si>
    <t xml:space="preserve">LUCRO REAL </t>
  </si>
  <si>
    <t>HH COMERCIO DE CHOCOLATES - 211</t>
  </si>
  <si>
    <t>55.718.705/0001-30</t>
  </si>
  <si>
    <t>HH COMERCIO DE CHOCOLATES - 212</t>
  </si>
  <si>
    <t>55.718.705/0002-11</t>
  </si>
  <si>
    <t>INSTITUTO DE MEDICINA OFTALMOLOGICA VASCULAR - 183</t>
  </si>
  <si>
    <t>INMOVI</t>
  </si>
  <si>
    <t>ITABERAI</t>
  </si>
  <si>
    <t>DAYANNE</t>
  </si>
  <si>
    <t>INSTITUTO DE VASCULAR E LASER - IVL - 99</t>
  </si>
  <si>
    <t>IVL</t>
  </si>
  <si>
    <t>HELCI</t>
  </si>
  <si>
    <t>IVL SERVIÇOS ADMINISTRATIVOS - 107</t>
  </si>
  <si>
    <t xml:space="preserve">K&amp;M EMPREENDIMENTOS </t>
  </si>
  <si>
    <t>SILIGYN</t>
  </si>
  <si>
    <t>LIAN PADOVEZ PEDIATRIA</t>
  </si>
  <si>
    <t>MBA - ESCOLA DO MECANICO - 76</t>
  </si>
  <si>
    <t>PRIME</t>
  </si>
  <si>
    <t>MAYSA</t>
  </si>
  <si>
    <t xml:space="preserve">MEGAMOBI MOBILIDADES URBANAS </t>
  </si>
  <si>
    <t>61.483.503/0001-50</t>
  </si>
  <si>
    <t>MENDONCA NOGUEIRA LTDA - 133</t>
  </si>
  <si>
    <t>MENNO CAR</t>
  </si>
  <si>
    <t>ALESSANDRA- ALYSSON</t>
  </si>
  <si>
    <t>MENNO ADMINISTRATIVO - 134</t>
  </si>
  <si>
    <t>MENNO</t>
  </si>
  <si>
    <t>ALESSANDRA/ ALYSSON</t>
  </si>
  <si>
    <t>MONTAGENS GSV - LTDA - 27</t>
  </si>
  <si>
    <t>LILIANE</t>
  </si>
  <si>
    <t>NEXO QUALIFICAÇÃO (ANTES TEKNOPAR) - 56</t>
  </si>
  <si>
    <t>TEKNOPAR</t>
  </si>
  <si>
    <t>JULIMAR</t>
  </si>
  <si>
    <t>NSZ CHOCOLATES LTDA - 177</t>
  </si>
  <si>
    <t>VARZEA GRANDE</t>
  </si>
  <si>
    <t>PADOVEZ CUALHETA</t>
  </si>
  <si>
    <t>64.807.774/0001-01</t>
  </si>
  <si>
    <t>PANIFICADORA ELDORADO</t>
  </si>
  <si>
    <t>03.111.816/0001-80</t>
  </si>
  <si>
    <t>PANIFICADORA ELDORADO - FL 01</t>
  </si>
  <si>
    <t>03.111.816/0002-61</t>
  </si>
  <si>
    <t>PANIFICADORA ELDORADO - FL 02</t>
  </si>
  <si>
    <t>03.111.816/0003-42</t>
  </si>
  <si>
    <t>POWER SOURCE -  0002</t>
  </si>
  <si>
    <t>26.474.286/0002-11</t>
  </si>
  <si>
    <t>POWER SOURCE - 0003</t>
  </si>
  <si>
    <t>RECIFE</t>
  </si>
  <si>
    <t>26.474.286/0003-00</t>
  </si>
  <si>
    <t>POWER SOURCE - 0004</t>
  </si>
  <si>
    <t>GUARULHOS</t>
  </si>
  <si>
    <t>26.474.286/0004-83</t>
  </si>
  <si>
    <t>POWER SOURCE COMERCIO E MANUTENÇÃO DE EQUIPAMENTOS</t>
  </si>
  <si>
    <t>CAIEIRAS</t>
  </si>
  <si>
    <t>26.474.286/0001-30</t>
  </si>
  <si>
    <t>PRILAFER CHOCOLATES LIMEIRA - 225</t>
  </si>
  <si>
    <t>03.012.235/0001-91</t>
  </si>
  <si>
    <t>DIANNY</t>
  </si>
  <si>
    <t>PRIME MTZ - 42</t>
  </si>
  <si>
    <t>MURILO</t>
  </si>
  <si>
    <t>PRIME VII - 43</t>
  </si>
  <si>
    <t>PRIME WORK - 46</t>
  </si>
  <si>
    <t>BARBARA/MURILO</t>
  </si>
  <si>
    <t>PROTONS BUSINESS</t>
  </si>
  <si>
    <t>PROTONS</t>
  </si>
  <si>
    <t>46.828.797/0001-10</t>
  </si>
  <si>
    <t>FERNANDO</t>
  </si>
  <si>
    <t>PROTONS CONSULTORIA</t>
  </si>
  <si>
    <t>11.857.077/0001-07</t>
  </si>
  <si>
    <t>RETIFICA EXCELENCIA</t>
  </si>
  <si>
    <t>12.387.052/0001-41</t>
  </si>
  <si>
    <t>GISELLE</t>
  </si>
  <si>
    <t>RETIFICA EXCELENCIA - FL 01</t>
  </si>
  <si>
    <t>AGUA BOA - MT</t>
  </si>
  <si>
    <t>12.387.052/0002-22</t>
  </si>
  <si>
    <t xml:space="preserve">RIBEIRO E GARCIA ANESTESIOLOGIA </t>
  </si>
  <si>
    <t>RIBEIRO</t>
  </si>
  <si>
    <t>24.337.076/0001-75</t>
  </si>
  <si>
    <t xml:space="preserve">LUCIANO </t>
  </si>
  <si>
    <t>SERVIÇOS ELDORADO (JOÃO) - 37</t>
  </si>
  <si>
    <t>BRUNO</t>
  </si>
  <si>
    <t>SERVMONTE MONTAGENS E SERVICOS INDUSTRIAIS - EIRELI - 2</t>
  </si>
  <si>
    <t>SILIGYN COMÉRCIO</t>
  </si>
  <si>
    <t>25.000.738/0001-80</t>
  </si>
  <si>
    <t>LIAN</t>
  </si>
  <si>
    <t xml:space="preserve">SINOP TÊNIS </t>
  </si>
  <si>
    <t>MATO GROSSO</t>
  </si>
  <si>
    <t>03.830.164/0001-34</t>
  </si>
  <si>
    <t>STUDIO LAYFER A PARTIR DE NOV - 59</t>
  </si>
  <si>
    <t>CELIO ROBERTO</t>
  </si>
  <si>
    <t>TORRENT - 246</t>
  </si>
  <si>
    <t>TORRENT</t>
  </si>
  <si>
    <t>JOÃO CARLOS</t>
  </si>
  <si>
    <t>TORRENT E SILVA ELETRICIDADE</t>
  </si>
  <si>
    <t>42.879.475/00001-40</t>
  </si>
  <si>
    <t>JOÃO VITOR</t>
  </si>
  <si>
    <t>MURILO SOARES  DE CASTRO 265</t>
  </si>
  <si>
    <t>66.415.080/0001-54</t>
  </si>
  <si>
    <t>TQI COM E SERV DE EQUIPAMENTOS DE MEDICAO</t>
  </si>
  <si>
    <t>15.551.480/0001-56</t>
  </si>
  <si>
    <t>TRADICAO INDUSTRIA LTDA</t>
  </si>
  <si>
    <t>RIO VERDE - GO</t>
  </si>
  <si>
    <t>59.979.461/0001-09</t>
  </si>
  <si>
    <t xml:space="preserve">S37 SERVICE </t>
  </si>
  <si>
    <t xml:space="preserve">DGA </t>
  </si>
  <si>
    <t>64.654.373/0001-69</t>
  </si>
  <si>
    <t>ZENER DIGITAL</t>
  </si>
  <si>
    <t>ZENER</t>
  </si>
  <si>
    <t>46.419.690/0001-19</t>
  </si>
  <si>
    <t>ELETRO VALLE AUTOMAÇÃO</t>
  </si>
  <si>
    <t>GRUPO ELETRO VALLE</t>
  </si>
  <si>
    <t>LEIDIANE/ROGÉRIO</t>
  </si>
  <si>
    <t>ELETRO VALLE SERVICE</t>
  </si>
  <si>
    <t>VERIFICAR</t>
  </si>
  <si>
    <t xml:space="preserve">BRAMOVI COOPERATIVA </t>
  </si>
  <si>
    <t>65.947.042/0001-80</t>
  </si>
  <si>
    <t>YARA GUERRA</t>
  </si>
  <si>
    <t>MATEUS SOARES ADVOCACIA</t>
  </si>
  <si>
    <t>65.738.806/000127</t>
  </si>
  <si>
    <t>FERNANDA</t>
  </si>
  <si>
    <t>TRADICAO INDUSTRIA LTDA FILIAL I</t>
  </si>
  <si>
    <t>SANTA CATARINA</t>
  </si>
  <si>
    <t>59.979.461/0002-81</t>
  </si>
  <si>
    <t xml:space="preserve">TRADIÇÃO DISTRIBUIDORA </t>
  </si>
  <si>
    <t>66.032.594/0001-20</t>
  </si>
  <si>
    <t>LUCRO REAL - EM CONST</t>
  </si>
  <si>
    <t>MK SERVICE LTDA</t>
  </si>
  <si>
    <t>66.031.629/0001-07</t>
  </si>
  <si>
    <t>SÃO PATRICIO SERVICE</t>
  </si>
  <si>
    <t>METALÚRGICA MIRANDA</t>
  </si>
  <si>
    <t>CLIENTE</t>
  </si>
  <si>
    <t>GRUPO ECONOMICO</t>
  </si>
  <si>
    <t>EMPRESA</t>
  </si>
  <si>
    <t>CNPJ</t>
  </si>
  <si>
    <t>INSCRICAO ESTADUAL</t>
  </si>
  <si>
    <t>CONTATO</t>
  </si>
  <si>
    <t>REGIME TRIBUTARIO</t>
  </si>
  <si>
    <t>GRUPO
PRIORIDADE</t>
  </si>
  <si>
    <t>DATA ULT.
ATUALIZ. REST</t>
  </si>
  <si>
    <t>QTD NOTAS
REST</t>
  </si>
  <si>
    <t>DATA ULT.
ATUALIZ. DMS</t>
  </si>
  <si>
    <t>QTD NOTAS
DMS</t>
  </si>
  <si>
    <t>DATA ULT.
ENTRADA</t>
  </si>
  <si>
    <t>QTD NOTAS
ENTRADA</t>
  </si>
  <si>
    <t>DATA ULT.
SAIDA</t>
  </si>
  <si>
    <t>QTD NOTAS
SAIDA</t>
  </si>
  <si>
    <t>CAMINHO DMS
(duplo-clique)</t>
  </si>
  <si>
    <t>CAMINHO REST
(duplo-clique)</t>
  </si>
  <si>
    <t>CAMINHO PREVIA
(duplo-clique)</t>
  </si>
  <si>
    <t>x</t>
  </si>
  <si>
    <t>S/R</t>
  </si>
  <si>
    <t>n</t>
  </si>
  <si>
    <t>OK 30/04</t>
  </si>
  <si>
    <t>CERTIF VENCIUDO</t>
  </si>
  <si>
    <t>SEM RESULTADO</t>
  </si>
  <si>
    <t>CERT. VENCIDO</t>
  </si>
  <si>
    <t>SEM RESULTADOS</t>
  </si>
  <si>
    <t>XXXXXXX</t>
  </si>
  <si>
    <t>DADOS Ñ ENC CNPJ</t>
  </si>
  <si>
    <t xml:space="preserve">JÁ ESTAVA </t>
  </si>
  <si>
    <t xml:space="preserve">JÁ OK </t>
  </si>
  <si>
    <t>Ñ ENCONTY CNPJ</t>
  </si>
  <si>
    <t>SEM CERT.</t>
  </si>
  <si>
    <t xml:space="preserve">Já na pasta </t>
  </si>
  <si>
    <t xml:space="preserve">já na pasta </t>
  </si>
  <si>
    <t>DASHBOARD FISCAL  |  CONTROLE DE OBRIGACOES IMPORTAÇÕES |  Duplo-clique nas colunas CAMINHO para selecionar pasta</t>
  </si>
  <si>
    <t>SP</t>
  </si>
  <si>
    <t>MT</t>
  </si>
  <si>
    <t>OK 04/04</t>
  </si>
  <si>
    <t>SEM DADOS CNPJ</t>
  </si>
  <si>
    <t xml:space="preserve">SEM RESULTADOS </t>
  </si>
  <si>
    <t>JÁ TEM 24/04</t>
  </si>
  <si>
    <t>OK 04/03</t>
  </si>
  <si>
    <t xml:space="preserve">JÁ TEM </t>
  </si>
  <si>
    <t>JÁ TINHA 29/04</t>
  </si>
  <si>
    <t>Ñ FIZ</t>
  </si>
  <si>
    <t xml:space="preserve">Ñ FIZ </t>
  </si>
  <si>
    <t>PE</t>
  </si>
  <si>
    <t>BA</t>
  </si>
  <si>
    <t>SC</t>
  </si>
  <si>
    <t>ok</t>
  </si>
  <si>
    <t>SEM MOVIMENTO</t>
  </si>
  <si>
    <t>OK 04/05</t>
  </si>
  <si>
    <t xml:space="preserve">SEM MOVIMENTO </t>
  </si>
  <si>
    <t>SEM I.E.</t>
  </si>
  <si>
    <t>NÃO ACHEI</t>
  </si>
  <si>
    <t xml:space="preserve">NÃO ACHEI </t>
  </si>
  <si>
    <t xml:space="preserve">SEM PERMISSÃO </t>
  </si>
  <si>
    <t>SEM PREMISSÃO</t>
  </si>
  <si>
    <t>I.E INVALIDA</t>
  </si>
  <si>
    <t>SEM MOVIEMNTO</t>
  </si>
  <si>
    <t>JÁ TINHA SALVO</t>
  </si>
  <si>
    <t>24.584.530/0001-92</t>
  </si>
  <si>
    <t>48.956.624/0001-03</t>
  </si>
  <si>
    <t>OK 05/05</t>
  </si>
  <si>
    <t>01.003.321/0001-02</t>
  </si>
  <si>
    <t>46.970.032/0001-10</t>
  </si>
  <si>
    <t>029.902.823/0001-94</t>
  </si>
  <si>
    <t>23.713.421/0001-65</t>
  </si>
  <si>
    <t>42.352.280/0001-47</t>
  </si>
  <si>
    <t>40.865.363/0001-04</t>
  </si>
  <si>
    <t>30.378.870/0001-60</t>
  </si>
  <si>
    <t>27.313.967/0001-80</t>
  </si>
  <si>
    <t>59.712.721/0001-77</t>
  </si>
  <si>
    <t>CNPJ DIFERENTE</t>
  </si>
  <si>
    <t>W:\TESTE RENOMEADOR\PASTA QUALQUER ======= PDF\2026\1\SADFLJNHSADOIUABSHDIBNASKJDNPKSJANPDJKNASPKJDNPASKJNDPKJNSAPKJDNPASKJNDKJASNDKJNPASKJNDPKJSANPJNPASJNDKAJNDKJS</t>
  </si>
  <si>
    <t>W:\TESTE RENOMEADOR\TESTE - BESSA\2026\ABRIL\FISCAL\MUNICIPAL\REST</t>
  </si>
  <si>
    <t>W:\TESTE RENOMEADOR\TESTE - CLAKE\2026\ABRIL\FISCAL\MUNICIPAL\REST</t>
  </si>
  <si>
    <t>W:\TESTE RENOMEADOR\TESTE - STUDIO LYFER\2026\ABRIL\FISCAL\MUNICIPAL\REST</t>
  </si>
  <si>
    <t>W:\01-CLIENTES\GRUPO - GSV\1 - GSV MONTAGENS INDUSTRIAIS\FISCAL\2026\042026\MUNICIPAL\REST\PDF SERVIÇOS TOMADOS</t>
  </si>
  <si>
    <t>W:\01-CLIENTES\GRUPO - POWER SOURCE\26.474.2860001-30 - POWER SOURCE COMERCIO E MANUTENCAO DE EQUIPAMENTOS LTDA\FISCAL\2026\042026\MUNICIPAL\REST\PDF SERVIÇOS TOMADOS</t>
  </si>
  <si>
    <t>W:\01-CLIENTES\GRUPO - DGA\226 - DGA ENERGIA E AUTOMAÇÃO\DEPARTAMENTO FISCAL\2026\042026\MUNICIPAL\REST\PDF SERVIÇOS TOMADOS\AINDA NÃO FEITO</t>
  </si>
  <si>
    <t>CADASTRO OPERACIONAL | RENOMEADOR NFS-e</t>
  </si>
  <si>
    <t>CIDADE</t>
  </si>
  <si>
    <t>CAMINHO DMS
(DUPLO-CLIQUE)</t>
  </si>
  <si>
    <t>CAMINHO REST
(COLE OU SELECIONE A PASTA)</t>
  </si>
  <si>
    <t>CAMINHO CERTIFICADO DIGITAL
(FUTURO)</t>
  </si>
  <si>
    <t>SOMENTE ORIGEM</t>
  </si>
  <si>
    <t>STATUS CNPJ</t>
  </si>
  <si>
    <t>STATUS REST</t>
  </si>
  <si>
    <t>STATUS DUPLICIDADE</t>
  </si>
  <si>
    <t>STATUS CAMINHO</t>
  </si>
  <si>
    <t>SIM</t>
  </si>
  <si>
    <t>RENOMEADOR NFS-e | PAINEL DE CADASTRO</t>
  </si>
  <si>
    <t>Visao operacional dos caminhos REST, DMS, origem e pendencias antes do watch 24/7</t>
  </si>
  <si>
    <t>CLIENTES</t>
  </si>
  <si>
    <t>Total no cadastro</t>
  </si>
  <si>
    <t>REST ATIVOS</t>
  </si>
  <si>
    <t>Pastas prontas</t>
  </si>
  <si>
    <t>REST PENDENTE</t>
  </si>
  <si>
    <t>Clientes sem caminho</t>
  </si>
  <si>
    <t>DMS CADASTRADO</t>
  </si>
  <si>
    <t>Preparado para etapa fiscal</t>
  </si>
  <si>
    <t>Monitorar sem destino</t>
  </si>
  <si>
    <t>MATRIZ OPERACIONAL</t>
  </si>
  <si>
    <t>ALERTAS DO CADASTRO</t>
  </si>
  <si>
    <t>ITEM</t>
  </si>
  <si>
    <t>OK</t>
  </si>
  <si>
    <t>PENDENTE</t>
  </si>
  <si>
    <t>ALERTA</t>
  </si>
  <si>
    <t>SINAL</t>
  </si>
  <si>
    <t>PONTO</t>
  </si>
  <si>
    <t>QTD</t>
  </si>
  <si>
    <t>PESO</t>
  </si>
  <si>
    <t>CAMINHO REST</t>
  </si>
  <si>
    <t>CAMINHO DMS</t>
  </si>
  <si>
    <t>CERTIFICADO FUTURO</t>
  </si>
  <si>
    <t>CNPJ invalido</t>
  </si>
  <si>
    <t>CNPJ duplicado</t>
  </si>
  <si>
    <t>REST vazio</t>
  </si>
  <si>
    <t>Caminho longo</t>
  </si>
  <si>
    <t>CONFIGURACAO VISUAL E VALIDACOES</t>
  </si>
  <si>
    <t>LISTA</t>
  </si>
  <si>
    <t>DESCRICAO</t>
  </si>
  <si>
    <t>USO</t>
  </si>
  <si>
    <t/>
  </si>
  <si>
    <t>PALETA</t>
  </si>
  <si>
    <t>HEX</t>
  </si>
  <si>
    <t>Marca pasta monitorada apenas como origem</t>
  </si>
  <si>
    <t>NAO</t>
  </si>
  <si>
    <t>Valor padrao quando a pasta tambem pode ser destino</t>
  </si>
  <si>
    <t>Prioridade herdada do cadastro</t>
  </si>
  <si>
    <t>PRIORIDADE</t>
  </si>
  <si>
    <t>Azul profundo</t>
  </si>
  <si>
    <t>#061A2F</t>
  </si>
  <si>
    <t>Azul painel</t>
  </si>
  <si>
    <t>#0B2545</t>
  </si>
  <si>
    <t>Ciano destaque</t>
  </si>
  <si>
    <t>#22D3EE</t>
  </si>
  <si>
    <t>Verde pronto</t>
  </si>
  <si>
    <t>#10B981</t>
  </si>
  <si>
    <t>Amarelo alerta</t>
  </si>
  <si>
    <t>#F59E0B</t>
  </si>
  <si>
    <t>CAMINHO ENTRADAS
(DUPLO-CLIQUE)</t>
  </si>
  <si>
    <t>CAMINHO SAIDAS
(DUPLO-CLIQUE)</t>
  </si>
  <si>
    <t>CAMINHO CERTIFICADO DIGITAL
(DUPLO-CLIQUE)</t>
  </si>
  <si>
    <t>VALIDADE CERTIFICADO DIGITAL</t>
  </si>
  <si>
    <t>SENHA CERTIFICADO DIGITAL
(OPCIONAL)</t>
  </si>
  <si>
    <t>DIAS CERTIFICADO</t>
  </si>
  <si>
    <t>STATUS CERTIFICADO</t>
  </si>
  <si>
    <t>RANK CERTIFICADO</t>
  </si>
  <si>
    <t>PAINEL CONTABIL | AUTOMACAO FISCAL</t>
  </si>
  <si>
    <t>Clientes, importacoes, XMLs e certificados digitais criticos para a rotina fiscal</t>
  </si>
  <si>
    <t>NOTAS HOJE</t>
  </si>
  <si>
    <t>Importador NF</t>
  </si>
  <si>
    <t>XML HOJE</t>
  </si>
  <si>
    <t>Importador XML</t>
  </si>
  <si>
    <t>CERT. ALERTA</t>
  </si>
  <si>
    <t>Vencem em ate 30 dias</t>
  </si>
  <si>
    <t>PENDENCIAS</t>
  </si>
  <si>
    <t>Cadastro a revisar</t>
  </si>
  <si>
    <t>CERTIFICADOS DIGITAIS MAIS PROXIMOS</t>
  </si>
  <si>
    <t>VENCIMENTO</t>
  </si>
  <si>
    <t>DIAS</t>
  </si>
  <si>
    <t>STATUS</t>
  </si>
  <si>
    <t>SAUDE DO CADASTRO OPERACIONAL</t>
  </si>
  <si>
    <t>REST sem caminho</t>
  </si>
  <si>
    <t>Entradas sem caminho</t>
  </si>
  <si>
    <t>Saidas sem caminho</t>
  </si>
  <si>
    <t>Certificado sem data</t>
  </si>
  <si>
    <t>Certificado sem caminho</t>
  </si>
  <si>
    <t>INDICADOR</t>
  </si>
  <si>
    <t>VALOR</t>
  </si>
  <si>
    <t>NOTAS_IMPORTADAS_HOJE</t>
  </si>
  <si>
    <t>Atualizado pelo futuro importador de NF</t>
  </si>
  <si>
    <t>XML_IMPORTADOS_HOJE</t>
  </si>
  <si>
    <t>Atualizado pelo futuro importador de XML</t>
  </si>
  <si>
    <t>PAINEL CONTÁBIL | AUTOMAÇÃO FISCAL</t>
  </si>
  <si>
    <t>Clientes, importações, XML e certificados digitais críticos para a rotina fiscal</t>
  </si>
  <si>
    <t>Vencem em até 30 dias</t>
  </si>
  <si>
    <t>CERTIFICADOS DIGITAIS MAIS PRÓXIMOS DE VENCER</t>
  </si>
  <si>
    <t>FALTA VENCER</t>
  </si>
  <si>
    <t>ALERTAS OPERACIONAIS</t>
  </si>
  <si>
    <t>CNPJ INVÁLIDO</t>
  </si>
  <si>
    <t>CERT. SEM DATA</t>
  </si>
  <si>
    <t>CERT. SEM CAMINHO</t>
  </si>
  <si>
    <t>NFSE</t>
  </si>
  <si>
    <t>PAINEL
ATIVO</t>
  </si>
  <si>
    <t>CLI</t>
  </si>
  <si>
    <t>NF</t>
  </si>
  <si>
    <t>XML</t>
  </si>
  <si>
    <t>CERT</t>
  </si>
  <si>
    <t>Empresas com certificado digital cadastrado e menor prazo de vencimento</t>
  </si>
  <si>
    <t>SAÚDE DO CADASTRO OPERACIONAL</t>
  </si>
  <si>
    <t>Pontos que precisam de revisão antes da automação rodar 24/7</t>
  </si>
  <si>
    <t>PONTO DE ATENÇÃO</t>
  </si>
  <si>
    <t>DASHBOARD VISUAL | DADOS REAIS NO CADASTRO</t>
  </si>
  <si>
    <t>Sem certificado perto</t>
  </si>
  <si>
    <t>CAMINHO ENTRADA/SAIDA
(DUPLO-CLIQUE)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</si>
</sst>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09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8"/>
      <color rgb="FF826400"/>
      <name val="Calibri"/>
      <family val="2"/>
      <scheme val="minor"/>
    </font>
    <font>
      <sz val="8"/>
      <name val="Calibri"/>
      <family val="2"/>
      <scheme val="minor"/>
    </font>
    <font>
      <sz val="9"/>
      <color rgb="FF006100"/>
      <name val="Calibri"/>
      <family val="2"/>
      <scheme val="minor"/>
    </font>
    <font>
      <name val="Calibri"/>
      <sz val="24.0"/>
      <b val="true"/>
      <color rgb="FFEAFBFF"/>
    </font>
    <font>
      <name val="Calibri"/>
      <sz val="10.0"/>
      <b val="true"/>
      <color rgb="FFEAFBFF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color rgb="FFEAF6FF"/>
    </font>
    <font>
      <name val="Calibri"/>
      <sz val="22.0"/>
      <b val="true"/>
      <color rgb="FFFFFFFF"/>
    </font>
    <font>
      <name val="Calibri"/>
      <sz val="10.0"/>
      <color rgb="FF9FBAD0"/>
    </font>
    <font>
      <name val="Calibri"/>
      <sz val="10.0"/>
      <b val="true"/>
      <color rgb="FF22D3EE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10B981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F59E0B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38BDF8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A78BFA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1.0"/>
      <b val="true"/>
      <color rgb="FF22D3EE"/>
    </font>
    <font>
      <name val="Calibri"/>
      <sz val="11.0"/>
      <b val="true"/>
      <color rgb="FF22D3EE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16.0"/>
      <b val="true"/>
      <color rgb="FFFFFFFF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24.0"/>
      <b val="true"/>
      <color rgb="FFEAFBFF"/>
    </font>
    <font>
      <name val="Calibri"/>
      <sz val="10.0"/>
      <b val="true"/>
      <color rgb="FFEAFBFF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color rgb="FFEAF6FF"/>
    </font>
    <font>
      <name val="Calibri"/>
      <sz val="22.0"/>
      <b val="true"/>
      <color rgb="FFFFFFFF"/>
    </font>
    <font>
      <name val="Calibri"/>
      <sz val="10.0"/>
      <color rgb="FF9FBAD0"/>
    </font>
    <font>
      <name val="Calibri"/>
      <sz val="10.0"/>
      <b val="true"/>
      <color rgb="FF22D3EE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10B981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F59E0B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38BDF8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A78BFA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1.0"/>
      <b val="true"/>
      <color rgb="FF22D3EE"/>
    </font>
    <font>
      <name val="Calibri"/>
      <sz val="11.0"/>
      <b val="true"/>
      <color rgb="FF22D3EE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16.0"/>
      <b val="true"/>
      <color rgb="FFFFFFFF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24.0"/>
      <b val="true"/>
      <color rgb="FFEAFBFF"/>
    </font>
    <font>
      <name val="Calibri"/>
      <sz val="10.0"/>
      <b val="true"/>
      <color rgb="FFEAFBFF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color rgb="FFEAF6FF"/>
    </font>
    <font>
      <name val="Calibri"/>
      <sz val="22.0"/>
      <b val="true"/>
      <color rgb="FFFFFFFF"/>
    </font>
    <font>
      <name val="Calibri"/>
      <sz val="10.0"/>
      <color rgb="FF9FBAD0"/>
    </font>
    <font>
      <name val="Calibri"/>
      <sz val="10.0"/>
      <b val="true"/>
      <color rgb="FF22D3EE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10B981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38BDF8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F59E0B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F87171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2.0"/>
      <b val="true"/>
      <color rgb="FF22D3EE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12.0"/>
      <b val="true"/>
      <color rgb="FF22D3EE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16.0"/>
      <b val="true"/>
      <color rgb="FFFFFFFF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24.0"/>
      <b val="true"/>
      <color rgb="FFEAFBFF"/>
    </font>
    <font>
      <name val="Calibri"/>
      <sz val="10.0"/>
      <b val="true"/>
      <color rgb="FFEAFBFF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color rgb="FFEAF6FF"/>
    </font>
    <font>
      <name val="Calibri"/>
      <sz val="22.0"/>
      <b val="true"/>
      <color rgb="FFFFFFFF"/>
    </font>
    <font>
      <name val="Calibri"/>
      <sz val="10.0"/>
      <color rgb="FF9FBAD0"/>
    </font>
    <font>
      <name val="Calibri"/>
      <sz val="10.0"/>
      <b val="true"/>
      <color rgb="FF22D3EE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10B981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38BDF8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F59E0B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F87171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2.0"/>
      <b val="true"/>
      <color rgb="FF22D3EE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12.0"/>
      <b val="true"/>
      <color rgb="FF22D3EE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16.0"/>
      <b val="true"/>
      <color rgb="FFFFFFFF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24.0"/>
      <b val="true"/>
      <color rgb="FFEAFBFF"/>
    </font>
    <font>
      <name val="Calibri"/>
      <sz val="10.0"/>
      <b val="true"/>
      <color rgb="FFEAFBFF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color rgb="FFEAF6FF"/>
    </font>
    <font>
      <name val="Calibri"/>
      <sz val="22.0"/>
      <b val="true"/>
      <color rgb="FFFFFFFF"/>
    </font>
    <font>
      <name val="Calibri"/>
      <sz val="10.0"/>
      <color rgb="FF9FBAD0"/>
    </font>
    <font>
      <name val="Calibri"/>
      <sz val="10.0"/>
      <b val="true"/>
      <color rgb="FF22D3EE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10B981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38BDF8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0.0"/>
      <b val="true"/>
      <color rgb="FFF59E0B"/>
    </font>
    <font>
      <name val="Calibri"/>
      <sz val="22.0"/>
      <b val="true"/>
      <color rgb="FFFFFFFF"/>
    </font>
    <font>
      <name val="Calibri"/>
      <sz val="9.0"/>
      <color rgb="FF9FBAD0"/>
    </font>
    <font>
      <name val="Calibri"/>
      <sz val="12.0"/>
      <b val="true"/>
      <color rgb="FF22D3EE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9.0"/>
      <color rgb="FFEAF6FF"/>
    </font>
    <font>
      <name val="Calibri"/>
      <sz val="12.0"/>
      <b val="true"/>
      <color rgb="FF22D3EE"/>
    </font>
    <font>
      <name val="Calibri"/>
      <sz val="9.0"/>
      <b val="true"/>
      <color rgb="FFFFFFFF"/>
    </font>
    <font>
      <name val="Calibri"/>
      <sz val="18.0"/>
      <b val="true"/>
      <color rgb="FFFFFFFF"/>
    </font>
    <font>
      <name val="Calibri"/>
      <sz val="9.0"/>
      <color rgb="FF9FBAD0"/>
    </font>
    <font>
      <name val="Calibri"/>
      <sz val="9.0"/>
      <b val="true"/>
      <color rgb="FFFFFFFF"/>
    </font>
    <font>
      <name val="Calibri"/>
      <sz val="18.0"/>
      <b val="true"/>
      <color rgb="FFFFFFFF"/>
    </font>
    <font>
      <name val="Calibri"/>
      <sz val="9.0"/>
      <color rgb="FF9FBAD0"/>
    </font>
    <font>
      <name val="Calibri"/>
      <sz val="9.0"/>
      <b val="true"/>
      <color rgb="FFFFFFFF"/>
    </font>
    <font>
      <name val="Calibri"/>
      <sz val="18.0"/>
      <b val="true"/>
      <color rgb="FFFFFFFF"/>
    </font>
    <font>
      <name val="Calibri"/>
      <sz val="9.0"/>
      <color rgb="FF9FBAD0"/>
    </font>
    <font>
      <name val="Calibri"/>
      <sz val="9.0"/>
      <b val="true"/>
      <color rgb="FFFFFFFF"/>
    </font>
    <font>
      <name val="Calibri"/>
      <sz val="18.0"/>
      <b val="true"/>
      <color rgb="FFFFFFFF"/>
    </font>
    <font>
      <name val="Calibri"/>
      <sz val="9.0"/>
      <color rgb="FF9FBAD0"/>
    </font>
    <font>
      <name val="Calibri"/>
      <sz val="16.0"/>
      <b val="true"/>
      <color rgb="FFFFFFFF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24.0"/>
      <b val="true"/>
      <color rgb="FFEAFBFF"/>
    </font>
    <font>
      <name val="Calibri"/>
      <sz val="10.0"/>
      <b val="true"/>
      <color rgb="FFEAFBFF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color rgb="FFEAF6FF"/>
    </font>
    <font>
      <name val="Calibri"/>
      <sz val="18.0"/>
      <b val="true"/>
      <color rgb="FF22D3EE"/>
    </font>
    <font>
      <name val="Calibri"/>
      <sz val="24.0"/>
      <b val="true"/>
      <color rgb="FFFFFFFF"/>
    </font>
    <font>
      <name val="Calibri"/>
      <sz val="12.0"/>
      <color rgb="FFB9D6EA"/>
    </font>
    <font>
      <name val="Calibri"/>
      <sz val="11.0"/>
      <b val="true"/>
      <color rgb="FF10B981"/>
    </font>
    <font>
      <name val="Calibri"/>
      <sz val="8.0"/>
      <color rgb="FF22D3EE"/>
    </font>
    <font>
      <name val="Calibri"/>
      <sz val="10.0"/>
      <color rgb="FFEAF6FF"/>
    </font>
    <font>
      <name val="Calibri"/>
      <sz val="13.0"/>
      <b val="true"/>
      <color rgb="FF22D3EE"/>
    </font>
    <font>
      <name val="Calibri"/>
      <sz val="11.0"/>
      <b val="true"/>
      <color rgb="FF22D3EE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13.0"/>
      <b val="true"/>
      <color rgb="FF10B981"/>
    </font>
    <font>
      <name val="Calibri"/>
      <sz val="11.0"/>
      <b val="true"/>
      <color rgb="FF10B981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13.0"/>
      <b val="true"/>
      <color rgb="FF38BDF8"/>
    </font>
    <font>
      <name val="Calibri"/>
      <sz val="11.0"/>
      <b val="true"/>
      <color rgb="FF38BDF8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13.0"/>
      <b val="true"/>
      <color rgb="FFF59E0B"/>
    </font>
    <font>
      <name val="Calibri"/>
      <sz val="11.0"/>
      <b val="true"/>
      <color rgb="FFF59E0B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14.0"/>
      <b val="true"/>
      <color rgb="FF22D3EE"/>
    </font>
    <font>
      <name val="Calibri"/>
      <sz val="9.0"/>
      <color rgb="FF7FB2CC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10.0"/>
      <color rgb="FFEAF6FF"/>
    </font>
    <font>
      <name val="Calibri"/>
      <sz val="14.0"/>
      <b val="true"/>
      <color rgb="FF22D3EE"/>
    </font>
    <font>
      <name val="Calibri"/>
      <sz val="9.0"/>
      <color rgb="FF7FB2CC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8.0"/>
      <color rgb="FF22D3EE"/>
    </font>
    <font>
      <name val="Calibri"/>
      <sz val="8.0"/>
      <color rgb="FF7FB2CC"/>
    </font>
    <font>
      <name val="Calibri"/>
      <sz val="16.0"/>
      <b val="true"/>
      <color rgb="FFFFFFFF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24.0"/>
      <b val="true"/>
      <color rgb="FFEAFBFF"/>
    </font>
    <font>
      <name val="Calibri"/>
      <sz val="10.0"/>
      <b val="true"/>
      <color rgb="FFEAFBFF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color rgb="FFCBD5E1"/>
    </font>
    <font>
      <name val="Calibri"/>
      <sz val="10.0"/>
      <color rgb="FFEAF6FF"/>
    </font>
    <font>
      <name val="Calibri"/>
      <sz val="18.0"/>
      <b val="true"/>
      <color rgb="FF22D3EE"/>
    </font>
    <font>
      <name val="Calibri"/>
      <sz val="24.0"/>
      <b val="true"/>
      <color rgb="FFFFFFFF"/>
    </font>
    <font>
      <name val="Calibri"/>
      <sz val="12.0"/>
      <color rgb="FFB9D6EA"/>
    </font>
    <font>
      <name val="Calibri"/>
      <sz val="11.0"/>
      <b val="true"/>
      <color rgb="FF10B981"/>
    </font>
    <font>
      <name val="Calibri"/>
      <sz val="8.0"/>
      <color rgb="FF22D3EE"/>
    </font>
    <font>
      <name val="Calibri"/>
      <sz val="10.0"/>
      <color rgb="FFEAF6FF"/>
    </font>
    <font>
      <name val="Calibri"/>
      <sz val="22.0"/>
      <b val="true"/>
      <color rgb="FF22D3EE"/>
    </font>
    <font>
      <name val="Calibri"/>
      <sz val="11.0"/>
      <b val="true"/>
      <color rgb="FF22D3EE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10B981"/>
    </font>
    <font>
      <name val="Calibri"/>
      <sz val="11.0"/>
      <b val="true"/>
      <color rgb="FF10B981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38BDF8"/>
    </font>
    <font>
      <name val="Calibri"/>
      <sz val="11.0"/>
      <b val="true"/>
      <color rgb="FF38BDF8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F59E0B"/>
    </font>
    <font>
      <name val="Calibri"/>
      <sz val="11.0"/>
      <b val="true"/>
      <color rgb="FFF59E0B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14.0"/>
      <b val="true"/>
      <color rgb="FF22D3EE"/>
    </font>
    <font>
      <name val="Calibri"/>
      <sz val="9.0"/>
      <color rgb="FF7FB2CC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10.0"/>
      <color rgb="FFEAF6FF"/>
    </font>
    <font>
      <name val="Calibri"/>
      <sz val="14.0"/>
      <b val="true"/>
      <color rgb="FF22D3EE"/>
    </font>
    <font>
      <name val="Calibri"/>
      <sz val="9.0"/>
      <color rgb="FF7FB2CC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8.0"/>
      <color rgb="FF22D3EE"/>
    </font>
    <font>
      <name val="Calibri"/>
      <sz val="8.0"/>
      <color rgb="FF7FB2CC"/>
    </font>
    <font>
      <name val="Calibri"/>
      <sz val="16.0"/>
      <b val="true"/>
      <color rgb="FFFFFFFF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24.0"/>
      <b val="true"/>
      <color rgb="FFEAFBFF"/>
    </font>
    <font>
      <name val="Calibri"/>
      <sz val="10.0"/>
      <b val="true"/>
      <color rgb="FFEAFBFF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color rgb="FFCBD5E1"/>
    </font>
    <font>
      <name val="Calibri"/>
      <sz val="10.0"/>
      <color rgb="FFEAF6FF"/>
    </font>
    <font>
      <name val="Calibri"/>
      <sz val="18.0"/>
      <b val="true"/>
      <color rgb="FF22D3EE"/>
    </font>
    <font>
      <name val="Calibri"/>
      <sz val="24.0"/>
      <b val="true"/>
      <color rgb="FFFFFFFF"/>
    </font>
    <font>
      <name val="Calibri"/>
      <sz val="12.0"/>
      <color rgb="FFB9D6EA"/>
    </font>
    <font>
      <name val="Calibri"/>
      <sz val="11.0"/>
      <b val="true"/>
      <color rgb="FF10B981"/>
    </font>
    <font>
      <name val="Calibri"/>
      <sz val="8.0"/>
      <color rgb="FF22D3EE"/>
    </font>
    <font>
      <name val="Calibri"/>
      <sz val="10.0"/>
      <color rgb="FFEAF6FF"/>
    </font>
    <font>
      <name val="Calibri"/>
      <sz val="22.0"/>
      <b val="true"/>
      <color rgb="FF22D3EE"/>
    </font>
    <font>
      <name val="Calibri"/>
      <sz val="11.0"/>
      <b val="true"/>
      <color rgb="FF22D3EE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10B981"/>
    </font>
    <font>
      <name val="Calibri"/>
      <sz val="11.0"/>
      <b val="true"/>
      <color rgb="FF10B981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38BDF8"/>
    </font>
    <font>
      <name val="Calibri"/>
      <sz val="11.0"/>
      <b val="true"/>
      <color rgb="FF38BDF8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10B981"/>
    </font>
    <font>
      <name val="Calibri"/>
      <sz val="11.0"/>
      <b val="true"/>
      <color rgb="FF10B981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14.0"/>
      <b val="true"/>
      <color rgb="FF22D3EE"/>
    </font>
    <font>
      <name val="Calibri"/>
      <sz val="9.0"/>
      <color rgb="FF7FB2CC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10.0"/>
      <color rgb="FFEAF6FF"/>
    </font>
    <font>
      <name val="Calibri"/>
      <sz val="14.0"/>
      <b val="true"/>
      <color rgb="FF22D3EE"/>
    </font>
    <font>
      <name val="Calibri"/>
      <sz val="9.0"/>
      <color rgb="FF7FB2CC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8.0"/>
      <color rgb="FF22D3EE"/>
    </font>
    <font>
      <name val="Calibri"/>
      <sz val="8.0"/>
      <color rgb="FF7FB2CC"/>
    </font>
    <font>
      <name val="Calibri"/>
      <sz val="16.0"/>
      <b val="true"/>
      <color rgb="FFFFFFFF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24.0"/>
      <b val="true"/>
      <color rgb="FFEAFBFF"/>
    </font>
    <font>
      <name val="Calibri"/>
      <sz val="10.0"/>
      <b val="true"/>
      <color rgb="FFEAFBFF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10.0"/>
      <color rgb="FFCBD5E1"/>
    </font>
    <font>
      <name val="Calibri"/>
      <sz val="10.0"/>
      <color rgb="FFEAF6FF"/>
    </font>
    <font>
      <name val="Calibri"/>
      <sz val="18.0"/>
      <b val="true"/>
      <color rgb="FF22D3EE"/>
    </font>
    <font>
      <name val="Calibri"/>
      <sz val="24.0"/>
      <b val="true"/>
      <color rgb="FFFFFFFF"/>
    </font>
    <font>
      <name val="Calibri"/>
      <sz val="12.0"/>
      <color rgb="FFB9D6EA"/>
    </font>
    <font>
      <name val="Calibri"/>
      <sz val="11.0"/>
      <b val="true"/>
      <color rgb="FF10B981"/>
    </font>
    <font>
      <name val="Calibri"/>
      <sz val="8.0"/>
      <color rgb="FF22D3EE"/>
    </font>
    <font>
      <name val="Calibri"/>
      <sz val="10.0"/>
      <color rgb="FFEAF6FF"/>
    </font>
    <font>
      <name val="Calibri"/>
      <sz val="22.0"/>
      <b val="true"/>
      <color rgb="FF22D3EE"/>
    </font>
    <font>
      <name val="Calibri"/>
      <sz val="11.0"/>
      <b val="true"/>
      <color rgb="FF22D3EE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10B981"/>
    </font>
    <font>
      <name val="Calibri"/>
      <sz val="11.0"/>
      <b val="true"/>
      <color rgb="FF10B981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38BDF8"/>
    </font>
    <font>
      <name val="Calibri"/>
      <sz val="11.0"/>
      <b val="true"/>
      <color rgb="FF38BDF8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10B981"/>
    </font>
    <font>
      <name val="Calibri"/>
      <sz val="11.0"/>
      <b val="true"/>
      <color rgb="FF10B981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14.0"/>
      <b val="true"/>
      <color rgb="FF22D3EE"/>
    </font>
    <font>
      <name val="Calibri"/>
      <sz val="9.0"/>
      <color rgb="FF7FB2CC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10.0"/>
      <color rgb="FFEAF6FF"/>
    </font>
    <font>
      <name val="Calibri"/>
      <sz val="14.0"/>
      <b val="true"/>
      <color rgb="FF22D3EE"/>
    </font>
    <font>
      <name val="Calibri"/>
      <sz val="9.0"/>
      <color rgb="FF7FB2CC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8.0"/>
      <color rgb="FF22D3EE"/>
    </font>
    <font>
      <name val="Calibri"/>
      <sz val="8.0"/>
      <color rgb="FF7FB2CC"/>
    </font>
    <font>
      <name val="Calibri"/>
      <sz val="16.0"/>
      <b val="true"/>
      <color rgb="FFFFFFFF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24.0"/>
      <b val="true"/>
      <color rgb="FFEAFBFF"/>
    </font>
    <font>
      <name val="Calibri"/>
      <sz val="10.0"/>
      <b val="true"/>
      <color rgb="FFEAFBFF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9.0"/>
      <color rgb="FF172033"/>
    </font>
    <font>
      <name val="Calibri"/>
      <sz val="10.0"/>
      <b val="true"/>
      <color rgb="FF0B2436"/>
    </font>
    <font>
      <name val="Calibri"/>
      <sz val="9.0"/>
      <color rgb="FF172033"/>
    </font>
    <font>
      <name val="Calibri"/>
      <sz val="9.0"/>
      <color rgb="FF064E3B"/>
    </font>
    <font>
      <name val="Calibri"/>
      <sz val="9.0"/>
      <color rgb="FF172033"/>
    </font>
    <font>
      <name val="Calibri"/>
      <sz val="9.0"/>
      <color rgb="FF64748B"/>
    </font>
    <font>
      <name val="Calibri"/>
      <sz val="10.0"/>
      <color rgb="FFCBD5E1"/>
    </font>
    <font>
      <name val="Calibri"/>
      <sz val="10.0"/>
      <color rgb="FFEAF6FF"/>
    </font>
    <font>
      <name val="Calibri"/>
      <sz val="18.0"/>
      <b val="true"/>
      <color rgb="FF22D3EE"/>
    </font>
    <font>
      <name val="Calibri"/>
      <sz val="24.0"/>
      <b val="true"/>
      <color rgb="FFFFFFFF"/>
    </font>
    <font>
      <name val="Calibri"/>
      <sz val="12.0"/>
      <color rgb="FFB9D6EA"/>
    </font>
    <font>
      <name val="Calibri"/>
      <sz val="11.0"/>
      <b val="true"/>
      <color rgb="FF10B981"/>
    </font>
    <font>
      <name val="Calibri"/>
      <sz val="8.0"/>
      <color rgb="FF22D3EE"/>
    </font>
    <font>
      <name val="Calibri"/>
      <sz val="10.0"/>
      <color rgb="FFEAF6FF"/>
    </font>
    <font>
      <name val="Calibri"/>
      <sz val="22.0"/>
      <b val="true"/>
      <color rgb="FF22D3EE"/>
    </font>
    <font>
      <name val="Calibri"/>
      <sz val="11.0"/>
      <b val="true"/>
      <color rgb="FF22D3EE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10B981"/>
    </font>
    <font>
      <name val="Calibri"/>
      <sz val="11.0"/>
      <b val="true"/>
      <color rgb="FF10B981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38BDF8"/>
    </font>
    <font>
      <name val="Calibri"/>
      <sz val="11.0"/>
      <b val="true"/>
      <color rgb="FF38BDF8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22.0"/>
      <b val="true"/>
      <color rgb="FF10B981"/>
    </font>
    <font>
      <name val="Calibri"/>
      <sz val="11.0"/>
      <b val="true"/>
      <color rgb="FF10B981"/>
    </font>
    <font>
      <name val="Calibri"/>
      <sz val="30.0"/>
      <b val="true"/>
      <color rgb="FFFFFFFF"/>
    </font>
    <font>
      <name val="Calibri"/>
      <sz val="10.0"/>
      <color rgb="FFB9D6EA"/>
    </font>
    <font>
      <name val="Calibri"/>
      <sz val="10.0"/>
      <color rgb="FFEAF6FF"/>
    </font>
    <font>
      <name val="Calibri"/>
      <sz val="14.0"/>
      <b val="true"/>
      <color rgb="FF22D3EE"/>
    </font>
    <font>
      <name val="Calibri"/>
      <sz val="9.0"/>
      <color rgb="FF7FB2CC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b val="true"/>
      <color rgb="FFFFFFFF"/>
    </font>
    <font>
      <name val="Calibri"/>
      <sz val="9.0"/>
      <color rgb="FFEAF6FF"/>
    </font>
    <font>
      <name val="Calibri"/>
      <sz val="10.0"/>
      <color rgb="FFEAF6FF"/>
    </font>
    <font>
      <name val="Calibri"/>
      <sz val="14.0"/>
      <b val="true"/>
      <color rgb="FF22D3EE"/>
    </font>
    <font>
      <name val="Calibri"/>
      <sz val="9.0"/>
      <color rgb="FF7FB2CC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10.0"/>
      <color rgb="FFEAF6FF"/>
    </font>
    <font>
      <name val="Calibri"/>
      <sz val="9.0"/>
      <b val="true"/>
      <color rgb="FFFFFFFF"/>
    </font>
    <font>
      <name val="Calibri"/>
      <sz val="22.0"/>
      <b val="true"/>
      <color rgb="FFFFFFFF"/>
    </font>
    <font>
      <name val="Calibri"/>
      <sz val="8.0"/>
      <color rgb="FF7FB2CC"/>
    </font>
    <font>
      <name val="Calibri"/>
      <sz val="10.0"/>
      <b val="true"/>
      <color rgb="FF10B981"/>
    </font>
    <font>
      <name val="Calibri"/>
      <sz val="8.0"/>
      <color rgb="FF22D3EE"/>
    </font>
    <font>
      <name val="Calibri"/>
      <sz val="8.0"/>
      <color rgb="FF7FB2CC"/>
    </font>
    <font>
      <name val="Calibri"/>
      <sz val="16.0"/>
      <b val="true"/>
      <color rgb="FFFFFFFF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color rgb="FF0F172A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b val="true"/>
      <color rgb="FF22D3EE"/>
    </font>
    <font>
      <name val="Calibri"/>
      <sz val="10.0"/>
      <color rgb="FF0F172A"/>
    </font>
    <font>
      <name val="Calibri"/>
      <sz val="10.0"/>
      <color rgb="FF0F172A"/>
    </font>
  </fonts>
  <fills count="59">
    <fill>
      <patternFill patternType="none"/>
    </fill>
    <fill>
      <patternFill patternType="gray125"/>
    </fill>
    <fill>
      <patternFill patternType="solid">
        <fgColor rgb="FF0F243E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386B34"/>
        <bgColor indexed="64"/>
      </patternFill>
    </fill>
    <fill>
      <patternFill patternType="solid">
        <fgColor rgb="FF92400E"/>
        <bgColor indexed="64"/>
      </patternFill>
    </fill>
    <fill>
      <patternFill patternType="solid">
        <fgColor rgb="FF154E6B"/>
        <bgColor indexed="64"/>
      </patternFill>
    </fill>
    <fill>
      <patternFill patternType="solid">
        <fgColor rgb="FF43682B"/>
        <bgColor indexed="64"/>
      </patternFill>
    </fill>
    <fill>
      <patternFill patternType="solid">
        <fgColor rgb="FF7F370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0F2F1"/>
        <bgColor indexed="64"/>
      </patternFill>
    </fill>
    <fill>
      <patternFill patternType="solid">
        <fgColor rgb="FFDBEAF8"/>
        <bgColor indexed="64"/>
      </patternFill>
    </fill>
    <fill>
      <patternFill patternType="solid">
        <fgColor rgb="FFE1F1DD"/>
        <bgColor indexed="64"/>
      </patternFill>
    </fill>
    <fill>
      <patternFill patternType="solid">
        <fgColor rgb="FFFBE9DB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C6EFCE"/>
        <bgColor indexed="64"/>
      </patternFill>
    </fill>
    <fill>
      <patternFill patternType="none">
        <fgColor rgb="07111F"/>
      </patternFill>
    </fill>
    <fill>
      <patternFill patternType="solid">
        <fgColor rgb="07111F"/>
      </patternFill>
    </fill>
    <fill>
      <patternFill patternType="none">
        <fgColor rgb="0F172A"/>
      </patternFill>
    </fill>
    <fill>
      <patternFill patternType="solid">
        <fgColor rgb="0F172A"/>
      </patternFill>
    </fill>
    <fill>
      <patternFill patternType="solid">
        <fgColor rgb="0EA5E9"/>
      </patternFill>
    </fill>
    <fill>
      <patternFill patternType="solid">
        <fgColor rgb="00B4D8"/>
      </patternFill>
    </fill>
    <fill>
      <patternFill patternType="solid">
        <fgColor rgb="14B8A6"/>
      </patternFill>
    </fill>
    <fill>
      <patternFill patternType="solid">
        <fgColor rgb="7C3AED"/>
      </patternFill>
    </fill>
    <fill>
      <patternFill patternType="none">
        <fgColor rgb="F8FBFF"/>
      </patternFill>
    </fill>
    <fill>
      <patternFill patternType="solid">
        <fgColor rgb="F8FBFF"/>
      </patternFill>
    </fill>
    <fill>
      <patternFill patternType="none">
        <fgColor rgb="E3FFF4"/>
      </patternFill>
    </fill>
    <fill>
      <patternFill patternType="solid">
        <fgColor rgb="E3FFF4"/>
      </patternFill>
    </fill>
    <fill>
      <patternFill patternType="none">
        <fgColor rgb="F9FAFB"/>
      </patternFill>
    </fill>
    <fill>
      <patternFill patternType="solid">
        <fgColor rgb="F9FAFB"/>
      </patternFill>
    </fill>
    <fill>
      <patternFill patternType="none">
        <fgColor rgb="EEF6FF"/>
      </patternFill>
    </fill>
    <fill>
      <patternFill patternType="solid">
        <fgColor rgb="EEF6FF"/>
      </patternFill>
    </fill>
    <fill>
      <patternFill patternType="none">
        <fgColor rgb="D7FBEA"/>
      </patternFill>
    </fill>
    <fill>
      <patternFill patternType="solid">
        <fgColor rgb="D7FBEA"/>
      </patternFill>
    </fill>
    <fill>
      <patternFill patternType="none">
        <fgColor rgb="F3F6FA"/>
      </patternFill>
    </fill>
    <fill>
      <patternFill patternType="solid">
        <fgColor rgb="F3F6FA"/>
      </patternFill>
    </fill>
    <fill>
      <patternFill patternType="none">
        <fgColor rgb="FFF2B8"/>
      </patternFill>
    </fill>
    <fill>
      <patternFill patternType="solid">
        <fgColor rgb="FFF2B8"/>
      </patternFill>
    </fill>
    <fill>
      <patternFill patternType="none">
        <fgColor rgb="061A2F"/>
      </patternFill>
    </fill>
    <fill>
      <patternFill patternType="solid">
        <fgColor rgb="061A2F"/>
      </patternFill>
    </fill>
    <fill>
      <patternFill patternType="none">
        <fgColor rgb="08243E"/>
      </patternFill>
    </fill>
    <fill>
      <patternFill patternType="solid">
        <fgColor rgb="08243E"/>
      </patternFill>
    </fill>
    <fill>
      <patternFill patternType="none">
        <fgColor rgb="0A2F52"/>
      </patternFill>
    </fill>
    <fill>
      <patternFill patternType="solid">
        <fgColor rgb="0A2F52"/>
      </patternFill>
    </fill>
    <fill>
      <patternFill patternType="none">
        <fgColor rgb="0B2545"/>
      </patternFill>
    </fill>
    <fill>
      <patternFill patternType="solid">
        <fgColor rgb="0B2545"/>
      </patternFill>
    </fill>
    <fill>
      <patternFill patternType="none">
        <fgColor rgb="0D315A"/>
      </patternFill>
    </fill>
    <fill>
      <patternFill patternType="solid">
        <fgColor rgb="0D315A"/>
      </patternFill>
    </fill>
    <fill>
      <patternFill patternType="solid">
        <fgColor rgb="0E7490"/>
      </patternFill>
    </fill>
    <fill>
      <patternFill patternType="solid">
        <fgColor rgb="0F766E"/>
      </patternFill>
    </fill>
    <fill>
      <patternFill patternType="solid">
        <fgColor rgb="16A34A"/>
      </patternFill>
    </fill>
    <fill>
      <patternFill patternType="solid">
        <fgColor rgb="334155"/>
      </patternFill>
    </fill>
    <fill>
      <patternFill patternType="none">
        <fgColor rgb="071E36"/>
      </patternFill>
    </fill>
    <fill>
      <patternFill patternType="solid">
        <fgColor rgb="071E36"/>
      </patternFill>
    </fill>
    <fill>
      <patternFill patternType="none">
        <fgColor rgb="111827"/>
      </patternFill>
    </fill>
    <fill>
      <patternFill patternType="solid">
        <fgColor rgb="111827"/>
      </patternFill>
    </fill>
  </fills>
  <borders count="208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ck">
        <color rgb="FFBDD7EE"/>
      </bottom>
      <diagonal/>
    </border>
    <border>
      <left style="thin">
        <color rgb="FFBDD7EE"/>
      </left>
      <right style="thin">
        <color rgb="FFBDD7EE"/>
      </right>
      <top/>
      <bottom style="thin">
        <color rgb="FFBDD7EE"/>
      </bottom>
      <diagonal/>
    </border>
    <border>
      <left/>
      <right style="thin">
        <color rgb="FFBDD7EE"/>
      </right>
      <top style="thin">
        <color rgb="FFBDD7EE"/>
      </top>
      <bottom style="thick">
        <color rgb="FFBDD7EE"/>
      </bottom>
      <diagonal/>
    </border>
    <border>
      <left/>
      <right style="thin">
        <color rgb="FFBDD7EE"/>
      </right>
      <top/>
      <bottom style="thin">
        <color rgb="FFBDD7EE"/>
      </bottom>
      <diagonal/>
    </border>
    <border>
      <left/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/>
      <top style="thin">
        <color rgb="FFBDD7EE"/>
      </top>
      <bottom style="thick">
        <color rgb="FFBDD7EE"/>
      </bottom>
      <diagonal/>
    </border>
    <border>
      <left style="thin">
        <color rgb="FFBDD7EE"/>
      </left>
      <right/>
      <top/>
      <bottom style="thin">
        <color rgb="FFBDD7EE"/>
      </bottom>
      <diagonal/>
    </border>
    <border>
      <left style="thin">
        <color rgb="FFBDD7EE"/>
      </left>
      <right/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ck">
        <color rgb="FF646464"/>
      </right>
      <top style="thin">
        <color rgb="FFBDD7EE"/>
      </top>
      <bottom style="thick">
        <color rgb="FFBDD7EE"/>
      </bottom>
      <diagonal/>
    </border>
    <border>
      <left style="thin">
        <color rgb="FFBDD7EE"/>
      </left>
      <right style="thick">
        <color rgb="FF646464"/>
      </right>
      <top/>
      <bottom style="thin">
        <color rgb="FFBDD7EE"/>
      </bottom>
      <diagonal/>
    </border>
    <border>
      <left style="thin">
        <color rgb="FFBDD7EE"/>
      </left>
      <right style="thick">
        <color rgb="FF646464"/>
      </right>
      <top style="thin">
        <color rgb="FFBDD7EE"/>
      </top>
      <bottom style="thin">
        <color rgb="FFBDD7EE"/>
      </bottom>
      <diagonal/>
    </border>
    <border>
      <left/>
      <right/>
      <top style="thin">
        <color rgb="FFBDD7EE"/>
      </top>
      <bottom style="thick">
        <color rgb="FFBDD7EE"/>
      </bottom>
      <diagonal/>
    </border>
    <border>
      <left/>
      <right/>
      <top/>
      <bottom style="thin">
        <color rgb="FFBDD7EE"/>
      </bottom>
      <diagonal/>
    </border>
    <border>
      <left/>
      <right/>
      <top style="thin">
        <color rgb="FFBDD7EE"/>
      </top>
      <bottom style="thin">
        <color rgb="FFBDD7EE"/>
      </bottom>
      <diagonal/>
    </border>
    <border>
      <bottom style="medium"/>
    </border>
    <border>
      <bottom style="medium">
        <color rgb="00B4D8"/>
      </bottom>
    </border>
    <border>
      <bottom style="thin"/>
    </border>
    <border>
      <bottom style="thin">
        <color rgb="38BDF8"/>
      </bottom>
    </border>
    <border>
      <top style="thin"/>
    </border>
    <border>
      <right style="thin"/>
      <top style="thin"/>
    </border>
    <border>
      <right style="thin"/>
      <top style="thin"/>
      <bottom style="thin"/>
    </border>
    <border>
      <left style="thin"/>
      <right style="thin"/>
      <top style="thin"/>
      <bottom style="thin"/>
    </border>
    <border>
      <left style="thin"/>
      <right style="thin"/>
      <top style="thin">
        <color rgb="D7E3F0"/>
      </top>
      <bottom style="thin"/>
    </border>
    <border>
      <left style="thin"/>
      <right style="thin">
        <color rgb="D7E3F0"/>
      </right>
      <top style="thin">
        <color rgb="D7E3F0"/>
      </top>
      <bottom style="thin"/>
    </border>
    <border>
      <left style="thin"/>
      <right style="thin">
        <color rgb="D7E3F0"/>
      </right>
      <top style="thin">
        <color rgb="D7E3F0"/>
      </top>
      <bottom style="thin">
        <color rgb="D7E3F0"/>
      </bottom>
    </border>
    <border>
      <left style="thin">
        <color rgb="D7E3F0"/>
      </left>
      <right style="thin">
        <color rgb="D7E3F0"/>
      </right>
      <top style="thin">
        <color rgb="D7E3F0"/>
      </top>
      <bottom style="thin">
        <color rgb="D7E3F0"/>
      </bottom>
    </border>
    <border>
      <left style="thin"/>
      <right style="thin"/>
      <top style="thin">
        <color rgb="F59E0B"/>
      </top>
      <bottom style="thin"/>
    </border>
    <border>
      <left style="thin"/>
      <right style="thin">
        <color rgb="F59E0B"/>
      </right>
      <top style="thin">
        <color rgb="F59E0B"/>
      </top>
      <bottom style="thin"/>
    </border>
    <border>
      <left style="thin"/>
      <right style="thin">
        <color rgb="F59E0B"/>
      </right>
      <top style="thin">
        <color rgb="F59E0B"/>
      </top>
      <bottom style="thin">
        <color rgb="F59E0B"/>
      </bottom>
    </border>
    <border>
      <left style="thin">
        <color rgb="F59E0B"/>
      </left>
      <right style="thin">
        <color rgb="F59E0B"/>
      </right>
      <top style="thin">
        <color rgb="F59E0B"/>
      </top>
      <bottom style="thin">
        <color rgb="F59E0B"/>
      </bottom>
    </border>
    <border>
      <left style="thin"/>
      <right style="thin"/>
      <top style="thin">
        <color rgb="123B5D"/>
      </top>
      <bottom style="thin"/>
    </border>
    <border>
      <left style="thin"/>
      <right style="thin">
        <color rgb="123B5D"/>
      </right>
      <top style="thin">
        <color rgb="123B5D"/>
      </top>
      <bottom style="thin"/>
    </border>
    <border>
      <left style="thin"/>
      <right style="thin">
        <color rgb="123B5D"/>
      </right>
      <top style="thin">
        <color rgb="123B5D"/>
      </top>
      <bottom style="thin">
        <color rgb="123B5D"/>
      </bottom>
    </border>
    <border>
      <left style="thin">
        <color rgb="123B5D"/>
      </left>
      <right style="thin">
        <color rgb="123B5D"/>
      </right>
      <top style="thin">
        <color rgb="123B5D"/>
      </top>
      <bottom style="thin">
        <color rgb="123B5D"/>
      </bottom>
    </border>
    <border>
      <top style="medium"/>
    </border>
    <border>
      <left style="medium"/>
      <top style="medium"/>
    </border>
    <border>
      <left style="medium"/>
      <top style="medium">
        <color rgb="22D3EE"/>
      </top>
    </border>
    <border>
      <left style="medium"/>
      <right>
        <color rgb="22D3EE"/>
      </right>
      <top style="medium">
        <color rgb="22D3EE"/>
      </top>
    </border>
    <border>
      <left style="medium"/>
      <right>
        <color rgb="22D3EE"/>
      </right>
      <top style="medium">
        <color rgb="22D3EE"/>
      </top>
      <bottom>
        <color rgb="22D3EE"/>
      </bottom>
    </border>
    <border>
      <left style="medium">
        <color rgb="22D3EE"/>
      </left>
      <right>
        <color rgb="22D3EE"/>
      </right>
      <top style="medium">
        <color rgb="22D3EE"/>
      </top>
      <bottom>
        <color rgb="22D3EE"/>
      </bottom>
    </border>
    <border>
      <right style="medium"/>
      <top style="medium"/>
    </border>
    <border>
      <right style="medium"/>
      <top style="medium">
        <color rgb="22D3EE"/>
      </top>
    </border>
    <border>
      <right style="medium">
        <color rgb="22D3EE"/>
      </right>
      <top style="medium">
        <color rgb="22D3EE"/>
      </top>
    </border>
    <border>
      <right style="medium">
        <color rgb="22D3EE"/>
      </right>
      <top style="medium">
        <color rgb="22D3EE"/>
      </top>
      <bottom>
        <color rgb="22D3EE"/>
      </bottom>
    </border>
    <border>
      <left>
        <color rgb="22D3EE"/>
      </left>
      <right style="medium">
        <color rgb="22D3EE"/>
      </right>
      <top style="medium">
        <color rgb="22D3EE"/>
      </top>
      <bottom>
        <color rgb="22D3EE"/>
      </bottom>
    </border>
    <border>
      <left style="medium"/>
    </border>
    <border>
      <left style="medium"/>
      <top>
        <color rgb="22D3EE"/>
      </top>
    </border>
    <border>
      <left style="medium"/>
      <right>
        <color rgb="22D3EE"/>
      </right>
      <top>
        <color rgb="22D3EE"/>
      </top>
    </border>
    <border>
      <left style="medium"/>
      <right>
        <color rgb="22D3EE"/>
      </right>
      <top>
        <color rgb="22D3EE"/>
      </top>
      <bottom>
        <color rgb="22D3EE"/>
      </bottom>
    </border>
    <border>
      <left style="medium">
        <color rgb="22D3EE"/>
      </left>
      <right>
        <color rgb="22D3EE"/>
      </right>
      <top>
        <color rgb="22D3EE"/>
      </top>
      <bottom>
        <color rgb="22D3EE"/>
      </bottom>
    </border>
    <border>
      <right style="medium"/>
    </border>
    <border>
      <right style="medium"/>
      <top>
        <color rgb="22D3EE"/>
      </top>
    </border>
    <border>
      <right style="medium">
        <color rgb="22D3EE"/>
      </right>
      <top>
        <color rgb="22D3EE"/>
      </top>
    </border>
    <border>
      <right style="medium">
        <color rgb="22D3EE"/>
      </right>
      <top>
        <color rgb="22D3EE"/>
      </top>
      <bottom>
        <color rgb="22D3EE"/>
      </bottom>
    </border>
    <border>
      <left>
        <color rgb="22D3EE"/>
      </left>
      <right style="medium">
        <color rgb="22D3EE"/>
      </right>
      <top>
        <color rgb="22D3EE"/>
      </top>
      <bottom>
        <color rgb="22D3EE"/>
      </bottom>
    </border>
    <border>
      <left style="medium"/>
      <bottom style="medium"/>
    </border>
    <border>
      <left style="medium"/>
      <top>
        <color rgb="22D3EE"/>
      </top>
      <bottom style="medium"/>
    </border>
    <border>
      <left style="medium"/>
      <right>
        <color rgb="22D3EE"/>
      </right>
      <top>
        <color rgb="22D3EE"/>
      </top>
      <bottom style="medium"/>
    </border>
    <border>
      <left style="medium"/>
      <right>
        <color rgb="22D3EE"/>
      </right>
      <top>
        <color rgb="22D3EE"/>
      </top>
      <bottom style="medium">
        <color rgb="22D3EE"/>
      </bottom>
    </border>
    <border>
      <left style="medium">
        <color rgb="22D3EE"/>
      </left>
      <right>
        <color rgb="22D3EE"/>
      </right>
      <top>
        <color rgb="22D3EE"/>
      </top>
      <bottom style="medium">
        <color rgb="22D3EE"/>
      </bottom>
    </border>
    <border>
      <right style="medium"/>
      <bottom style="medium"/>
    </border>
    <border>
      <right style="medium"/>
      <top>
        <color rgb="22D3EE"/>
      </top>
      <bottom style="medium"/>
    </border>
    <border>
      <right style="medium">
        <color rgb="22D3EE"/>
      </right>
      <top>
        <color rgb="22D3EE"/>
      </top>
      <bottom style="medium"/>
    </border>
    <border>
      <right style="medium">
        <color rgb="22D3EE"/>
      </right>
      <top>
        <color rgb="22D3EE"/>
      </top>
      <bottom style="medium">
        <color rgb="22D3EE"/>
      </bottom>
    </border>
    <border>
      <left>
        <color rgb="22D3EE"/>
      </left>
      <right style="medium">
        <color rgb="22D3EE"/>
      </right>
      <top>
        <color rgb="22D3EE"/>
      </top>
      <bottom style="medium">
        <color rgb="22D3EE"/>
      </bottom>
    </border>
    <border>
      <left style="thin"/>
      <top style="thin"/>
    </border>
    <border>
      <left style="thin"/>
      <top style="thin">
        <color rgb="22D3EE"/>
      </top>
    </border>
    <border>
      <left style="thin"/>
      <right>
        <color rgb="22D3EE"/>
      </right>
      <top style="thin">
        <color rgb="22D3EE"/>
      </top>
    </border>
    <border>
      <left style="thin"/>
      <right>
        <color rgb="22D3EE"/>
      </right>
      <top style="thin">
        <color rgb="22D3EE"/>
      </top>
      <bottom>
        <color rgb="22D3EE"/>
      </bottom>
    </border>
    <border>
      <left style="thin">
        <color rgb="22D3EE"/>
      </left>
      <right>
        <color rgb="22D3EE"/>
      </right>
      <top style="thin">
        <color rgb="22D3EE"/>
      </top>
      <bottom>
        <color rgb="22D3EE"/>
      </bottom>
    </border>
    <border>
      <right style="thin"/>
      <top style="thin">
        <color rgb="22D3EE"/>
      </top>
    </border>
    <border>
      <right style="thin">
        <color rgb="22D3EE"/>
      </right>
      <top style="thin">
        <color rgb="22D3EE"/>
      </top>
    </border>
    <border>
      <right style="thin">
        <color rgb="22D3EE"/>
      </right>
      <top style="thin">
        <color rgb="22D3EE"/>
      </top>
      <bottom>
        <color rgb="22D3EE"/>
      </bottom>
    </border>
    <border>
      <left>
        <color rgb="22D3EE"/>
      </left>
      <right style="thin">
        <color rgb="22D3EE"/>
      </right>
      <top style="thin">
        <color rgb="22D3EE"/>
      </top>
      <bottom>
        <color rgb="22D3EE"/>
      </bottom>
    </border>
    <border>
      <left style="thin"/>
    </border>
    <border>
      <left style="thin"/>
      <top>
        <color rgb="22D3EE"/>
      </top>
    </border>
    <border>
      <left style="thin"/>
      <right>
        <color rgb="22D3EE"/>
      </right>
      <top>
        <color rgb="22D3EE"/>
      </top>
    </border>
    <border>
      <left style="thin"/>
      <right>
        <color rgb="22D3EE"/>
      </right>
      <top>
        <color rgb="22D3EE"/>
      </top>
      <bottom>
        <color rgb="22D3EE"/>
      </bottom>
    </border>
    <border>
      <left style="thin">
        <color rgb="22D3EE"/>
      </left>
      <right>
        <color rgb="22D3EE"/>
      </right>
      <top>
        <color rgb="22D3EE"/>
      </top>
      <bottom>
        <color rgb="22D3EE"/>
      </bottom>
    </border>
    <border>
      <right style="thin"/>
    </border>
    <border>
      <right style="thin"/>
      <top>
        <color rgb="22D3EE"/>
      </top>
    </border>
    <border>
      <right style="thin">
        <color rgb="22D3EE"/>
      </right>
      <top>
        <color rgb="22D3EE"/>
      </top>
    </border>
    <border>
      <right style="thin">
        <color rgb="22D3EE"/>
      </right>
      <top>
        <color rgb="22D3EE"/>
      </top>
      <bottom>
        <color rgb="22D3EE"/>
      </bottom>
    </border>
    <border>
      <left>
        <color rgb="22D3EE"/>
      </left>
      <right style="thin">
        <color rgb="22D3EE"/>
      </right>
      <top>
        <color rgb="22D3EE"/>
      </top>
      <bottom>
        <color rgb="22D3EE"/>
      </bottom>
    </border>
    <border>
      <left style="thin"/>
      <bottom style="thin"/>
    </border>
    <border>
      <left style="thin"/>
      <top>
        <color rgb="22D3EE"/>
      </top>
      <bottom style="thin"/>
    </border>
    <border>
      <left style="thin"/>
      <right>
        <color rgb="22D3EE"/>
      </right>
      <top>
        <color rgb="22D3EE"/>
      </top>
      <bottom style="thin"/>
    </border>
    <border>
      <left style="thin"/>
      <right>
        <color rgb="22D3EE"/>
      </right>
      <top>
        <color rgb="22D3EE"/>
      </top>
      <bottom style="thin">
        <color rgb="22D3EE"/>
      </bottom>
    </border>
    <border>
      <left style="thin">
        <color rgb="22D3EE"/>
      </left>
      <right>
        <color rgb="22D3EE"/>
      </right>
      <top>
        <color rgb="22D3EE"/>
      </top>
      <bottom style="thin">
        <color rgb="22D3EE"/>
      </bottom>
    </border>
    <border>
      <right style="thin"/>
      <bottom style="thin"/>
    </border>
    <border>
      <right style="thin"/>
      <top>
        <color rgb="22D3EE"/>
      </top>
      <bottom style="thin"/>
    </border>
    <border>
      <right style="thin">
        <color rgb="22D3EE"/>
      </right>
      <top>
        <color rgb="22D3EE"/>
      </top>
      <bottom style="thin"/>
    </border>
    <border>
      <right style="thin">
        <color rgb="22D3EE"/>
      </right>
      <top>
        <color rgb="22D3EE"/>
      </top>
      <bottom style="thin">
        <color rgb="22D3EE"/>
      </bottom>
    </border>
    <border>
      <left>
        <color rgb="22D3EE"/>
      </left>
      <right style="thin">
        <color rgb="22D3EE"/>
      </right>
      <top>
        <color rgb="22D3EE"/>
      </top>
      <bottom style="thin">
        <color rgb="22D3EE"/>
      </bottom>
    </border>
    <border>
      <top style="medium">
        <color rgb="22D3EE"/>
      </top>
    </border>
    <border>
      <right>
        <color rgb="22D3EE"/>
      </right>
      <top style="medium">
        <color rgb="22D3EE"/>
      </top>
    </border>
    <border>
      <right>
        <color rgb="22D3EE"/>
      </right>
      <top style="medium">
        <color rgb="22D3EE"/>
      </top>
      <bottom>
        <color rgb="22D3EE"/>
      </bottom>
    </border>
    <border>
      <left>
        <color rgb="22D3EE"/>
      </left>
      <right>
        <color rgb="22D3EE"/>
      </right>
      <top style="medium">
        <color rgb="22D3EE"/>
      </top>
      <bottom>
        <color rgb="22D3EE"/>
      </bottom>
    </border>
    <border>
      <top>
        <color rgb="22D3EE"/>
      </top>
      <bottom style="medium"/>
    </border>
    <border>
      <right>
        <color rgb="22D3EE"/>
      </right>
      <top>
        <color rgb="22D3EE"/>
      </top>
      <bottom style="medium"/>
    </border>
    <border>
      <right>
        <color rgb="22D3EE"/>
      </right>
      <top>
        <color rgb="22D3EE"/>
      </top>
      <bottom style="medium">
        <color rgb="22D3EE"/>
      </bottom>
    </border>
    <border>
      <left>
        <color rgb="22D3EE"/>
      </left>
      <right>
        <color rgb="22D3EE"/>
      </right>
      <top>
        <color rgb="22D3EE"/>
      </top>
      <bottom style="medium">
        <color rgb="22D3EE"/>
      </bottom>
    </border>
    <border>
      <left style="medium"/>
      <top style="medium">
        <color rgb="10B981"/>
      </top>
    </border>
    <border>
      <left style="medium"/>
      <right>
        <color rgb="10B981"/>
      </right>
      <top style="medium">
        <color rgb="10B981"/>
      </top>
    </border>
    <border>
      <left style="medium"/>
      <right>
        <color rgb="10B981"/>
      </right>
      <top style="medium">
        <color rgb="10B981"/>
      </top>
      <bottom>
        <color rgb="10B981"/>
      </bottom>
    </border>
    <border>
      <left style="medium">
        <color rgb="10B981"/>
      </left>
      <right>
        <color rgb="10B981"/>
      </right>
      <top style="medium">
        <color rgb="10B981"/>
      </top>
      <bottom>
        <color rgb="10B981"/>
      </bottom>
    </border>
    <border>
      <top style="medium">
        <color rgb="10B981"/>
      </top>
    </border>
    <border>
      <right>
        <color rgb="10B981"/>
      </right>
      <top style="medium">
        <color rgb="10B981"/>
      </top>
    </border>
    <border>
      <right>
        <color rgb="10B981"/>
      </right>
      <top style="medium">
        <color rgb="10B981"/>
      </top>
      <bottom>
        <color rgb="10B981"/>
      </bottom>
    </border>
    <border>
      <left>
        <color rgb="10B981"/>
      </left>
      <right>
        <color rgb="10B981"/>
      </right>
      <top style="medium">
        <color rgb="10B981"/>
      </top>
      <bottom>
        <color rgb="10B981"/>
      </bottom>
    </border>
    <border>
      <right style="medium"/>
      <top style="medium">
        <color rgb="10B981"/>
      </top>
    </border>
    <border>
      <right style="medium">
        <color rgb="10B981"/>
      </right>
      <top style="medium">
        <color rgb="10B981"/>
      </top>
    </border>
    <border>
      <right style="medium">
        <color rgb="10B981"/>
      </right>
      <top style="medium">
        <color rgb="10B981"/>
      </top>
      <bottom>
        <color rgb="10B981"/>
      </bottom>
    </border>
    <border>
      <left>
        <color rgb="10B981"/>
      </left>
      <right style="medium">
        <color rgb="10B981"/>
      </right>
      <top style="medium">
        <color rgb="10B981"/>
      </top>
      <bottom>
        <color rgb="10B981"/>
      </bottom>
    </border>
    <border>
      <left style="medium"/>
      <top>
        <color rgb="10B981"/>
      </top>
    </border>
    <border>
      <left style="medium"/>
      <right>
        <color rgb="10B981"/>
      </right>
      <top>
        <color rgb="10B981"/>
      </top>
    </border>
    <border>
      <left style="medium"/>
      <right>
        <color rgb="10B981"/>
      </right>
      <top>
        <color rgb="10B981"/>
      </top>
      <bottom>
        <color rgb="10B981"/>
      </bottom>
    </border>
    <border>
      <left style="medium">
        <color rgb="10B981"/>
      </left>
      <right>
        <color rgb="10B981"/>
      </right>
      <top>
        <color rgb="10B981"/>
      </top>
      <bottom>
        <color rgb="10B981"/>
      </bottom>
    </border>
    <border>
      <right style="medium"/>
      <top>
        <color rgb="10B981"/>
      </top>
    </border>
    <border>
      <right style="medium">
        <color rgb="10B981"/>
      </right>
      <top>
        <color rgb="10B981"/>
      </top>
    </border>
    <border>
      <right style="medium">
        <color rgb="10B981"/>
      </right>
      <top>
        <color rgb="10B981"/>
      </top>
      <bottom>
        <color rgb="10B981"/>
      </bottom>
    </border>
    <border>
      <left>
        <color rgb="10B981"/>
      </left>
      <right style="medium">
        <color rgb="10B981"/>
      </right>
      <top>
        <color rgb="10B981"/>
      </top>
      <bottom>
        <color rgb="10B981"/>
      </bottom>
    </border>
    <border>
      <left style="medium"/>
      <top>
        <color rgb="10B981"/>
      </top>
      <bottom style="medium"/>
    </border>
    <border>
      <left style="medium"/>
      <right>
        <color rgb="10B981"/>
      </right>
      <top>
        <color rgb="10B981"/>
      </top>
      <bottom style="medium"/>
    </border>
    <border>
      <left style="medium"/>
      <right>
        <color rgb="10B981"/>
      </right>
      <top>
        <color rgb="10B981"/>
      </top>
      <bottom style="medium">
        <color rgb="10B981"/>
      </bottom>
    </border>
    <border>
      <left style="medium">
        <color rgb="10B981"/>
      </left>
      <right>
        <color rgb="10B981"/>
      </right>
      <top>
        <color rgb="10B981"/>
      </top>
      <bottom style="medium">
        <color rgb="10B981"/>
      </bottom>
    </border>
    <border>
      <top>
        <color rgb="10B981"/>
      </top>
      <bottom style="medium"/>
    </border>
    <border>
      <right>
        <color rgb="10B981"/>
      </right>
      <top>
        <color rgb="10B981"/>
      </top>
      <bottom style="medium"/>
    </border>
    <border>
      <right>
        <color rgb="10B981"/>
      </right>
      <top>
        <color rgb="10B981"/>
      </top>
      <bottom style="medium">
        <color rgb="10B981"/>
      </bottom>
    </border>
    <border>
      <left>
        <color rgb="10B981"/>
      </left>
      <right>
        <color rgb="10B981"/>
      </right>
      <top>
        <color rgb="10B981"/>
      </top>
      <bottom style="medium">
        <color rgb="10B981"/>
      </bottom>
    </border>
    <border>
      <right style="medium"/>
      <top>
        <color rgb="10B981"/>
      </top>
      <bottom style="medium"/>
    </border>
    <border>
      <right style="medium">
        <color rgb="10B981"/>
      </right>
      <top>
        <color rgb="10B981"/>
      </top>
      <bottom style="medium"/>
    </border>
    <border>
      <right style="medium">
        <color rgb="10B981"/>
      </right>
      <top>
        <color rgb="10B981"/>
      </top>
      <bottom style="medium">
        <color rgb="10B981"/>
      </bottom>
    </border>
    <border>
      <left>
        <color rgb="10B981"/>
      </left>
      <right style="medium">
        <color rgb="10B981"/>
      </right>
      <top>
        <color rgb="10B981"/>
      </top>
      <bottom style="medium">
        <color rgb="10B981"/>
      </bottom>
    </border>
    <border>
      <left style="medium"/>
      <top style="medium">
        <color rgb="38BDF8"/>
      </top>
    </border>
    <border>
      <left style="medium"/>
      <right>
        <color rgb="38BDF8"/>
      </right>
      <top style="medium">
        <color rgb="38BDF8"/>
      </top>
    </border>
    <border>
      <left style="medium"/>
      <right>
        <color rgb="38BDF8"/>
      </right>
      <top style="medium">
        <color rgb="38BDF8"/>
      </top>
      <bottom>
        <color rgb="38BDF8"/>
      </bottom>
    </border>
    <border>
      <left style="medium">
        <color rgb="38BDF8"/>
      </left>
      <right>
        <color rgb="38BDF8"/>
      </right>
      <top style="medium">
        <color rgb="38BDF8"/>
      </top>
      <bottom>
        <color rgb="38BDF8"/>
      </bottom>
    </border>
    <border>
      <top style="medium">
        <color rgb="38BDF8"/>
      </top>
    </border>
    <border>
      <right>
        <color rgb="38BDF8"/>
      </right>
      <top style="medium">
        <color rgb="38BDF8"/>
      </top>
    </border>
    <border>
      <right>
        <color rgb="38BDF8"/>
      </right>
      <top style="medium">
        <color rgb="38BDF8"/>
      </top>
      <bottom>
        <color rgb="38BDF8"/>
      </bottom>
    </border>
    <border>
      <left>
        <color rgb="38BDF8"/>
      </left>
      <right>
        <color rgb="38BDF8"/>
      </right>
      <top style="medium">
        <color rgb="38BDF8"/>
      </top>
      <bottom>
        <color rgb="38BDF8"/>
      </bottom>
    </border>
    <border>
      <right style="medium"/>
      <top style="medium">
        <color rgb="38BDF8"/>
      </top>
    </border>
    <border>
      <right style="medium">
        <color rgb="38BDF8"/>
      </right>
      <top style="medium">
        <color rgb="38BDF8"/>
      </top>
    </border>
    <border>
      <right style="medium">
        <color rgb="38BDF8"/>
      </right>
      <top style="medium">
        <color rgb="38BDF8"/>
      </top>
      <bottom>
        <color rgb="38BDF8"/>
      </bottom>
    </border>
    <border>
      <left>
        <color rgb="38BDF8"/>
      </left>
      <right style="medium">
        <color rgb="38BDF8"/>
      </right>
      <top style="medium">
        <color rgb="38BDF8"/>
      </top>
      <bottom>
        <color rgb="38BDF8"/>
      </bottom>
    </border>
    <border>
      <left style="medium"/>
      <top>
        <color rgb="38BDF8"/>
      </top>
    </border>
    <border>
      <left style="medium"/>
      <right>
        <color rgb="38BDF8"/>
      </right>
      <top>
        <color rgb="38BDF8"/>
      </top>
    </border>
    <border>
      <left style="medium"/>
      <right>
        <color rgb="38BDF8"/>
      </right>
      <top>
        <color rgb="38BDF8"/>
      </top>
      <bottom>
        <color rgb="38BDF8"/>
      </bottom>
    </border>
    <border>
      <left style="medium">
        <color rgb="38BDF8"/>
      </left>
      <right>
        <color rgb="38BDF8"/>
      </right>
      <top>
        <color rgb="38BDF8"/>
      </top>
      <bottom>
        <color rgb="38BDF8"/>
      </bottom>
    </border>
    <border>
      <right style="medium"/>
      <top>
        <color rgb="38BDF8"/>
      </top>
    </border>
    <border>
      <right style="medium">
        <color rgb="38BDF8"/>
      </right>
      <top>
        <color rgb="38BDF8"/>
      </top>
    </border>
    <border>
      <right style="medium">
        <color rgb="38BDF8"/>
      </right>
      <top>
        <color rgb="38BDF8"/>
      </top>
      <bottom>
        <color rgb="38BDF8"/>
      </bottom>
    </border>
    <border>
      <left>
        <color rgb="38BDF8"/>
      </left>
      <right style="medium">
        <color rgb="38BDF8"/>
      </right>
      <top>
        <color rgb="38BDF8"/>
      </top>
      <bottom>
        <color rgb="38BDF8"/>
      </bottom>
    </border>
    <border>
      <left style="medium"/>
      <top>
        <color rgb="38BDF8"/>
      </top>
      <bottom style="medium"/>
    </border>
    <border>
      <left style="medium"/>
      <right>
        <color rgb="38BDF8"/>
      </right>
      <top>
        <color rgb="38BDF8"/>
      </top>
      <bottom style="medium"/>
    </border>
    <border>
      <left style="medium"/>
      <right>
        <color rgb="38BDF8"/>
      </right>
      <top>
        <color rgb="38BDF8"/>
      </top>
      <bottom style="medium">
        <color rgb="38BDF8"/>
      </bottom>
    </border>
    <border>
      <left style="medium">
        <color rgb="38BDF8"/>
      </left>
      <right>
        <color rgb="38BDF8"/>
      </right>
      <top>
        <color rgb="38BDF8"/>
      </top>
      <bottom style="medium">
        <color rgb="38BDF8"/>
      </bottom>
    </border>
    <border>
      <top>
        <color rgb="38BDF8"/>
      </top>
      <bottom style="medium"/>
    </border>
    <border>
      <right>
        <color rgb="38BDF8"/>
      </right>
      <top>
        <color rgb="38BDF8"/>
      </top>
      <bottom style="medium"/>
    </border>
    <border>
      <right>
        <color rgb="38BDF8"/>
      </right>
      <top>
        <color rgb="38BDF8"/>
      </top>
      <bottom style="medium">
        <color rgb="38BDF8"/>
      </bottom>
    </border>
    <border>
      <left>
        <color rgb="38BDF8"/>
      </left>
      <right>
        <color rgb="38BDF8"/>
      </right>
      <top>
        <color rgb="38BDF8"/>
      </top>
      <bottom style="medium">
        <color rgb="38BDF8"/>
      </bottom>
    </border>
    <border>
      <right style="medium"/>
      <top>
        <color rgb="38BDF8"/>
      </top>
      <bottom style="medium"/>
    </border>
    <border>
      <right style="medium">
        <color rgb="38BDF8"/>
      </right>
      <top>
        <color rgb="38BDF8"/>
      </top>
      <bottom style="medium"/>
    </border>
    <border>
      <right style="medium">
        <color rgb="38BDF8"/>
      </right>
      <top>
        <color rgb="38BDF8"/>
      </top>
      <bottom style="medium">
        <color rgb="38BDF8"/>
      </bottom>
    </border>
    <border>
      <left>
        <color rgb="38BDF8"/>
      </left>
      <right style="medium">
        <color rgb="38BDF8"/>
      </right>
      <top>
        <color rgb="38BDF8"/>
      </top>
      <bottom style="medium">
        <color rgb="38BDF8"/>
      </bottom>
    </border>
    <border>
      <left style="medium"/>
      <top style="medium">
        <color rgb="F59E0B"/>
      </top>
    </border>
    <border>
      <left style="medium"/>
      <right>
        <color rgb="F59E0B"/>
      </right>
      <top style="medium">
        <color rgb="F59E0B"/>
      </top>
    </border>
    <border>
      <left style="medium"/>
      <right>
        <color rgb="F59E0B"/>
      </right>
      <top style="medium">
        <color rgb="F59E0B"/>
      </top>
      <bottom>
        <color rgb="F59E0B"/>
      </bottom>
    </border>
    <border>
      <left style="medium">
        <color rgb="F59E0B"/>
      </left>
      <right>
        <color rgb="F59E0B"/>
      </right>
      <top style="medium">
        <color rgb="F59E0B"/>
      </top>
      <bottom>
        <color rgb="F59E0B"/>
      </bottom>
    </border>
    <border>
      <top style="medium">
        <color rgb="F59E0B"/>
      </top>
    </border>
    <border>
      <right>
        <color rgb="F59E0B"/>
      </right>
      <top style="medium">
        <color rgb="F59E0B"/>
      </top>
    </border>
    <border>
      <right>
        <color rgb="F59E0B"/>
      </right>
      <top style="medium">
        <color rgb="F59E0B"/>
      </top>
      <bottom>
        <color rgb="F59E0B"/>
      </bottom>
    </border>
    <border>
      <left>
        <color rgb="F59E0B"/>
      </left>
      <right>
        <color rgb="F59E0B"/>
      </right>
      <top style="medium">
        <color rgb="F59E0B"/>
      </top>
      <bottom>
        <color rgb="F59E0B"/>
      </bottom>
    </border>
    <border>
      <right style="medium"/>
      <top style="medium">
        <color rgb="F59E0B"/>
      </top>
    </border>
    <border>
      <right style="medium">
        <color rgb="F59E0B"/>
      </right>
      <top style="medium">
        <color rgb="F59E0B"/>
      </top>
    </border>
    <border>
      <right style="medium">
        <color rgb="F59E0B"/>
      </right>
      <top style="medium">
        <color rgb="F59E0B"/>
      </top>
      <bottom>
        <color rgb="F59E0B"/>
      </bottom>
    </border>
    <border>
      <left>
        <color rgb="F59E0B"/>
      </left>
      <right style="medium">
        <color rgb="F59E0B"/>
      </right>
      <top style="medium">
        <color rgb="F59E0B"/>
      </top>
      <bottom>
        <color rgb="F59E0B"/>
      </bottom>
    </border>
    <border>
      <left style="medium"/>
      <top>
        <color rgb="F59E0B"/>
      </top>
    </border>
    <border>
      <left style="medium"/>
      <right>
        <color rgb="F59E0B"/>
      </right>
      <top>
        <color rgb="F59E0B"/>
      </top>
    </border>
    <border>
      <left style="medium"/>
      <right>
        <color rgb="F59E0B"/>
      </right>
      <top>
        <color rgb="F59E0B"/>
      </top>
      <bottom>
        <color rgb="F59E0B"/>
      </bottom>
    </border>
    <border>
      <left style="medium">
        <color rgb="F59E0B"/>
      </left>
      <right>
        <color rgb="F59E0B"/>
      </right>
      <top>
        <color rgb="F59E0B"/>
      </top>
      <bottom>
        <color rgb="F59E0B"/>
      </bottom>
    </border>
    <border>
      <right style="medium"/>
      <top>
        <color rgb="F59E0B"/>
      </top>
    </border>
    <border>
      <right style="medium">
        <color rgb="F59E0B"/>
      </right>
      <top>
        <color rgb="F59E0B"/>
      </top>
    </border>
    <border>
      <right style="medium">
        <color rgb="F59E0B"/>
      </right>
      <top>
        <color rgb="F59E0B"/>
      </top>
      <bottom>
        <color rgb="F59E0B"/>
      </bottom>
    </border>
    <border>
      <left>
        <color rgb="F59E0B"/>
      </left>
      <right style="medium">
        <color rgb="F59E0B"/>
      </right>
      <top>
        <color rgb="F59E0B"/>
      </top>
      <bottom>
        <color rgb="F59E0B"/>
      </bottom>
    </border>
    <border>
      <left style="medium"/>
      <top>
        <color rgb="F59E0B"/>
      </top>
      <bottom style="medium"/>
    </border>
    <border>
      <left style="medium"/>
      <right>
        <color rgb="F59E0B"/>
      </right>
      <top>
        <color rgb="F59E0B"/>
      </top>
      <bottom style="medium"/>
    </border>
    <border>
      <left style="medium"/>
      <right>
        <color rgb="F59E0B"/>
      </right>
      <top>
        <color rgb="F59E0B"/>
      </top>
      <bottom style="medium">
        <color rgb="F59E0B"/>
      </bottom>
    </border>
    <border>
      <left style="medium">
        <color rgb="F59E0B"/>
      </left>
      <right>
        <color rgb="F59E0B"/>
      </right>
      <top>
        <color rgb="F59E0B"/>
      </top>
      <bottom style="medium">
        <color rgb="F59E0B"/>
      </bottom>
    </border>
    <border>
      <top>
        <color rgb="F59E0B"/>
      </top>
      <bottom style="medium"/>
    </border>
    <border>
      <right>
        <color rgb="F59E0B"/>
      </right>
      <top>
        <color rgb="F59E0B"/>
      </top>
      <bottom style="medium"/>
    </border>
    <border>
      <right>
        <color rgb="F59E0B"/>
      </right>
      <top>
        <color rgb="F59E0B"/>
      </top>
      <bottom style="medium">
        <color rgb="F59E0B"/>
      </bottom>
    </border>
    <border>
      <left>
        <color rgb="F59E0B"/>
      </left>
      <right>
        <color rgb="F59E0B"/>
      </right>
      <top>
        <color rgb="F59E0B"/>
      </top>
      <bottom style="medium">
        <color rgb="F59E0B"/>
      </bottom>
    </border>
    <border>
      <right style="medium"/>
      <top>
        <color rgb="F59E0B"/>
      </top>
      <bottom style="medium"/>
    </border>
    <border>
      <right style="medium">
        <color rgb="F59E0B"/>
      </right>
      <top>
        <color rgb="F59E0B"/>
      </top>
      <bottom style="medium"/>
    </border>
    <border>
      <right style="medium">
        <color rgb="F59E0B"/>
      </right>
      <top>
        <color rgb="F59E0B"/>
      </top>
      <bottom style="medium">
        <color rgb="F59E0B"/>
      </bottom>
    </border>
    <border>
      <left>
        <color rgb="F59E0B"/>
      </left>
      <right style="medium">
        <color rgb="F59E0B"/>
      </right>
      <top>
        <color rgb="F59E0B"/>
      </top>
      <bottom style="medium">
        <color rgb="F59E0B"/>
      </bottom>
    </border>
    <border>
      <top style="thin">
        <color rgb="22D3EE"/>
      </top>
    </border>
    <border>
      <right>
        <color rgb="22D3EE"/>
      </right>
      <top style="thin">
        <color rgb="22D3EE"/>
      </top>
    </border>
    <border>
      <right>
        <color rgb="22D3EE"/>
      </right>
      <top style="thin">
        <color rgb="22D3EE"/>
      </top>
      <bottom>
        <color rgb="22D3EE"/>
      </bottom>
    </border>
    <border>
      <left>
        <color rgb="22D3EE"/>
      </left>
      <right>
        <color rgb="22D3EE"/>
      </right>
      <top style="thin">
        <color rgb="22D3EE"/>
      </top>
      <bottom>
        <color rgb="22D3EE"/>
      </bottom>
    </border>
    <border>
      <top>
        <color rgb="22D3EE"/>
      </top>
      <bottom style="thin"/>
    </border>
    <border>
      <right>
        <color rgb="22D3EE"/>
      </right>
      <top>
        <color rgb="22D3EE"/>
      </top>
      <bottom style="thin"/>
    </border>
    <border>
      <right>
        <color rgb="22D3EE"/>
      </right>
      <top>
        <color rgb="22D3EE"/>
      </top>
      <bottom style="thin">
        <color rgb="22D3EE"/>
      </bottom>
    </border>
    <border>
      <left>
        <color rgb="22D3EE"/>
      </left>
      <right>
        <color rgb="22D3EE"/>
      </right>
      <top>
        <color rgb="22D3EE"/>
      </top>
      <bottom style="thin">
        <color rgb="22D3EE"/>
      </bottom>
    </border>
  </borders>
  <cellStyleXfs count="1">
    <xf numFmtId="0" fontId="0" fillId="0" borderId="0"/>
  </cellStyleXfs>
  <cellXfs count="3737">
    <xf numFmtId="0" fontId="0" fillId="0" borderId="0" xfId="0"/>
    <xf numFmtId="0" fontId="2" fillId="11" borderId="1" xfId="0" applyFont="1" applyFill="1" applyBorder="1" applyAlignment="1">
      <alignment vertical="center"/>
    </xf>
    <xf numFmtId="0" fontId="4" fillId="11" borderId="1" xfId="0" applyFont="1" applyFill="1" applyBorder="1" applyAlignment="1">
      <alignment vertical="center"/>
    </xf>
    <xf numFmtId="0" fontId="5" fillId="16" borderId="1" xfId="0" applyFont="1" applyFill="1" applyBorder="1" applyAlignment="1">
      <alignment horizontal="left"/>
    </xf>
    <xf numFmtId="0" fontId="2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vertical="center"/>
    </xf>
    <xf numFmtId="0" fontId="2" fillId="11" borderId="3" xfId="0" applyFont="1" applyFill="1" applyBorder="1" applyAlignment="1">
      <alignment vertical="center"/>
    </xf>
    <xf numFmtId="0" fontId="4" fillId="11" borderId="3" xfId="0" applyFont="1" applyFill="1" applyBorder="1" applyAlignment="1">
      <alignment vertical="center"/>
    </xf>
    <xf numFmtId="0" fontId="5" fillId="16" borderId="3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4" fillId="11" borderId="8" xfId="0" applyFont="1" applyFill="1" applyBorder="1" applyAlignment="1">
      <alignment vertical="center"/>
    </xf>
    <xf numFmtId="0" fontId="4" fillId="17" borderId="9" xfId="0" applyFont="1" applyFill="1" applyBorder="1" applyAlignment="1">
      <alignment vertical="center"/>
    </xf>
    <xf numFmtId="0" fontId="4" fillId="11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 wrapText="1"/>
    </xf>
    <xf numFmtId="0" fontId="4" fillId="11" borderId="11" xfId="0" applyFont="1" applyFill="1" applyBorder="1" applyAlignment="1">
      <alignment vertical="center"/>
    </xf>
    <xf numFmtId="0" fontId="4" fillId="17" borderId="12" xfId="0" applyFont="1" applyFill="1" applyBorder="1" applyAlignment="1">
      <alignment vertical="center"/>
    </xf>
    <xf numFmtId="0" fontId="4" fillId="11" borderId="12" xfId="0" applyFont="1" applyFill="1" applyBorder="1" applyAlignment="1">
      <alignment vertical="center"/>
    </xf>
    <xf numFmtId="0" fontId="3" fillId="4" borderId="13" xfId="0" applyFont="1" applyFill="1" applyBorder="1" applyAlignment="1">
      <alignment horizontal="center" vertical="center" wrapText="1"/>
    </xf>
    <xf numFmtId="22" fontId="4" fillId="12" borderId="14" xfId="0" applyNumberFormat="1" applyFont="1" applyFill="1" applyBorder="1" applyAlignment="1">
      <alignment horizontal="center"/>
    </xf>
    <xf numFmtId="22" fontId="4" fillId="12" borderId="15" xfId="0" applyNumberFormat="1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 vertical="center" wrapText="1"/>
    </xf>
    <xf numFmtId="49" fontId="4" fillId="11" borderId="11" xfId="0" applyNumberFormat="1" applyFont="1" applyFill="1" applyBorder="1" applyAlignment="1">
      <alignment horizontal="center"/>
    </xf>
    <xf numFmtId="49" fontId="4" fillId="17" borderId="12" xfId="0" applyNumberFormat="1" applyFont="1" applyFill="1" applyBorder="1" applyAlignment="1">
      <alignment horizontal="center"/>
    </xf>
    <xf numFmtId="49" fontId="4" fillId="11" borderId="12" xfId="0" applyNumberFormat="1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 vertical="center" wrapText="1"/>
    </xf>
    <xf numFmtId="22" fontId="4" fillId="13" borderId="14" xfId="0" applyNumberFormat="1" applyFont="1" applyFill="1" applyBorder="1" applyAlignment="1">
      <alignment horizontal="center"/>
    </xf>
    <xf numFmtId="22" fontId="4" fillId="13" borderId="15" xfId="0" applyNumberFormat="1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22" fontId="4" fillId="14" borderId="14" xfId="0" applyNumberFormat="1" applyFont="1" applyFill="1" applyBorder="1" applyAlignment="1">
      <alignment horizontal="center"/>
    </xf>
    <xf numFmtId="22" fontId="4" fillId="14" borderId="15" xfId="0" applyNumberFormat="1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5" fillId="16" borderId="5" xfId="0" applyFont="1" applyFill="1" applyBorder="1" applyAlignment="1">
      <alignment horizontal="left"/>
    </xf>
    <xf numFmtId="0" fontId="5" fillId="16" borderId="6" xfId="0" applyFont="1" applyFill="1" applyBorder="1" applyAlignment="1">
      <alignment horizontal="left"/>
    </xf>
    <xf numFmtId="0" fontId="3" fillId="7" borderId="13" xfId="0" applyFont="1" applyFill="1" applyBorder="1" applyAlignment="1">
      <alignment horizontal="center" vertical="center" wrapText="1"/>
    </xf>
    <xf numFmtId="22" fontId="4" fillId="15" borderId="14" xfId="0" applyNumberFormat="1" applyFont="1" applyFill="1" applyBorder="1" applyAlignment="1">
      <alignment horizontal="center"/>
    </xf>
    <xf numFmtId="22" fontId="4" fillId="15" borderId="15" xfId="0" applyNumberFormat="1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 wrapText="1"/>
    </xf>
    <xf numFmtId="3" fontId="4" fillId="11" borderId="1" xfId="0" applyNumberFormat="1" applyFont="1" applyFill="1" applyBorder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7" fillId="18" borderId="3" xfId="0" applyFont="1" applyFill="1" applyBorder="1" applyAlignment="1">
      <alignment horizontal="left"/>
    </xf>
    <xf numFmtId="0" fontId="7" fillId="18" borderId="1" xfId="0" applyFont="1" applyFill="1" applyBorder="1" applyAlignment="1">
      <alignment horizontal="left"/>
    </xf>
    <xf numFmtId="0" fontId="7" fillId="18" borderId="6" xfId="0" applyFont="1" applyFill="1" applyBorder="1" applyAlignment="1">
      <alignment horizontal="left"/>
    </xf>
    <xf numFmtId="0" fontId="8" fillId="20" borderId="17" xfId="0" applyFill="true" applyAlignment="true" applyBorder="true" applyFont="true">
      <alignment horizontal="center" vertical="center"/>
    </xf>
    <xf numFmtId="0" fontId="9" fillId="22" borderId="19" xfId="0" applyFill="true" applyAlignment="true" applyBorder="true" applyFont="true">
      <alignment horizontal="center" vertical="center" wrapText="true"/>
    </xf>
    <xf numFmtId="0" fontId="9" fillId="23" borderId="19" xfId="0" applyFill="true" applyAlignment="true" applyBorder="true" applyFont="true">
      <alignment horizontal="center" vertical="center" wrapText="true"/>
    </xf>
    <xf numFmtId="0" fontId="9" fillId="24" borderId="19" xfId="0" applyFill="true" applyAlignment="true" applyBorder="true" applyFont="true">
      <alignment horizontal="center" vertical="center" wrapText="true"/>
    </xf>
    <xf numFmtId="0" fontId="9" fillId="25" borderId="19" xfId="0" applyFill="true" applyAlignment="true" applyBorder="true" applyFont="true">
      <alignment horizontal="center" vertical="center" wrapText="true"/>
    </xf>
    <xf numFmtId="0" fontId="9" fillId="26" borderId="19" xfId="0" applyFill="true" applyAlignment="true" applyBorder="true" applyFont="true">
      <alignment horizontal="center" vertical="center" wrapText="true"/>
    </xf>
    <xf numFmtId="49" fontId="10" fillId="28" borderId="27" xfId="0" applyNumberFormat="true" applyAlignment="true" applyFill="true" applyBorder="true" applyFont="true">
      <alignment horizontal="left" vertical="center" wrapText="false"/>
    </xf>
    <xf numFmtId="49" fontId="11" fillId="28" borderId="27" xfId="0" applyNumberFormat="true" applyAlignment="true" applyFill="true" applyBorder="true" applyFont="true">
      <alignment horizontal="left" vertical="center" wrapText="false"/>
    </xf>
    <xf numFmtId="49" fontId="13" fillId="30" borderId="27" xfId="0" applyNumberFormat="true" applyAlignment="true" applyFill="true" applyBorder="true" applyFont="true">
      <alignment horizontal="left" vertical="center" wrapText="false"/>
    </xf>
    <xf numFmtId="49" fontId="15" fillId="32" borderId="27" xfId="0" applyNumberFormat="true" applyAlignment="true" applyFill="true" applyBorder="true" applyFont="true">
      <alignment horizontal="left" vertical="center" wrapText="false"/>
    </xf>
    <xf numFmtId="49" fontId="16" fillId="34" borderId="27" xfId="0" applyNumberFormat="true" applyAlignment="true" applyFill="true" applyBorder="true" applyFont="true">
      <alignment horizontal="left" vertical="center" wrapText="false"/>
    </xf>
    <xf numFmtId="49" fontId="17" fillId="34" borderId="27" xfId="0" applyNumberFormat="true" applyAlignment="true" applyFill="true" applyBorder="true" applyFont="true">
      <alignment horizontal="left" vertical="center" wrapText="false"/>
    </xf>
    <xf numFmtId="49" fontId="19" fillId="36" borderId="27" xfId="0" applyNumberFormat="true" applyAlignment="true" applyFill="true" applyBorder="true" applyFont="true">
      <alignment horizontal="left" vertical="center" wrapText="false"/>
    </xf>
    <xf numFmtId="49" fontId="21" fillId="38" borderId="27" xfId="0" applyNumberFormat="true" applyAlignment="true" applyFill="true" applyBorder="true" applyFont="true">
      <alignment horizontal="left" vertical="center" wrapText="false"/>
    </xf>
    <xf numFmtId="49" fontId="22" fillId="28" borderId="27" xfId="0" applyNumberFormat="true" applyAlignment="true" applyFill="true" applyBorder="true" applyFont="true">
      <alignment horizontal="left" vertical="center" wrapText="false"/>
    </xf>
    <xf numFmtId="49" fontId="0" fillId="40" borderId="31" xfId="0" applyNumberFormat="true" applyFill="true" applyBorder="true"/>
    <xf numFmtId="0" fontId="23" fillId="42" borderId="35" xfId="0" applyFill="true" applyAlignment="true" applyBorder="true" applyFont="true">
      <alignment horizontal="center" vertical="center" wrapText="true"/>
    </xf>
    <xf numFmtId="0" fontId="24" fillId="42" borderId="35" xfId="0" applyFill="true" applyAlignment="true" applyBorder="true" applyFont="true">
      <alignment horizontal="center" vertical="center" wrapText="true"/>
    </xf>
    <xf numFmtId="0" fontId="25" fillId="44" borderId="35" xfId="0" applyFill="true" applyAlignment="true" applyBorder="true" applyFont="true">
      <alignment horizontal="center" vertical="center" wrapText="true"/>
    </xf>
    <xf numFmtId="0" fontId="26" fillId="46" borderId="35" xfId="0" applyFill="true" applyAlignment="true" applyBorder="true" applyFont="true">
      <alignment horizontal="center" vertical="center" wrapText="true"/>
    </xf>
    <xf numFmtId="0" fontId="27" fillId="48" borderId="35" xfId="0" applyFill="true" applyAlignment="true" applyBorder="true" applyFont="true">
      <alignment horizontal="center" vertical="center" wrapText="true"/>
    </xf>
    <xf numFmtId="0" fontId="28" fillId="50" borderId="35" xfId="0" applyFill="true" applyAlignment="true" applyBorder="true" applyFont="true">
      <alignment horizontal="center" vertical="center" wrapText="true"/>
    </xf>
    <xf numFmtId="0" fontId="29" fillId="46" borderId="35" xfId="0" applyFill="true" applyAlignment="true" applyBorder="true" applyFont="true">
      <alignment horizontal="center" vertical="center" wrapText="true"/>
    </xf>
    <xf numFmtId="0" fontId="30" fillId="48" borderId="35" xfId="0" applyFill="true" applyAlignment="true" applyBorder="true" applyFont="true">
      <alignment horizontal="center" vertical="center" wrapText="true"/>
    </xf>
    <xf numFmtId="0" fontId="31" fillId="50" borderId="35" xfId="0" applyFill="true" applyAlignment="true" applyBorder="true" applyFont="true">
      <alignment horizontal="center" vertical="center" wrapText="true"/>
    </xf>
    <xf numFmtId="0" fontId="32" fillId="46" borderId="35" xfId="0" applyFill="true" applyAlignment="true" applyBorder="true" applyFont="true">
      <alignment horizontal="center" vertical="center" wrapText="true"/>
    </xf>
    <xf numFmtId="0" fontId="33" fillId="48" borderId="35" xfId="0" applyFill="true" applyAlignment="true" applyBorder="true" applyFont="true">
      <alignment horizontal="center" vertical="center" wrapText="true"/>
    </xf>
    <xf numFmtId="0" fontId="34" fillId="50" borderId="35" xfId="0" applyFill="true" applyAlignment="true" applyBorder="true" applyFont="true">
      <alignment horizontal="center" vertical="center" wrapText="true"/>
    </xf>
    <xf numFmtId="0" fontId="35" fillId="46" borderId="35" xfId="0" applyFill="true" applyAlignment="true" applyBorder="true" applyFont="true">
      <alignment horizontal="center" vertical="center" wrapText="true"/>
    </xf>
    <xf numFmtId="0" fontId="36" fillId="48" borderId="35" xfId="0" applyFill="true" applyAlignment="true" applyBorder="true" applyFont="true">
      <alignment horizontal="center" vertical="center" wrapText="true"/>
    </xf>
    <xf numFmtId="0" fontId="37" fillId="50" borderId="35" xfId="0" applyFill="true" applyAlignment="true" applyBorder="true" applyFont="true">
      <alignment horizontal="center" vertical="center" wrapText="true"/>
    </xf>
    <xf numFmtId="0" fontId="38" fillId="46" borderId="35" xfId="0" applyFill="true" applyAlignment="true" applyBorder="true" applyFont="true">
      <alignment horizontal="center" vertical="center" wrapText="true"/>
    </xf>
    <xf numFmtId="0" fontId="39" fillId="48" borderId="35" xfId="0" applyFill="true" applyAlignment="true" applyBorder="true" applyFont="true">
      <alignment horizontal="center" vertical="center" wrapText="true"/>
    </xf>
    <xf numFmtId="0" fontId="40" fillId="50" borderId="35" xfId="0" applyFill="true" applyAlignment="true" applyBorder="true" applyFont="true">
      <alignment horizontal="center" vertical="center" wrapText="true"/>
    </xf>
    <xf numFmtId="0" fontId="41" fillId="44" borderId="35" xfId="0" applyFill="true" applyAlignment="true" applyBorder="true" applyFont="true">
      <alignment horizontal="center" vertical="center" wrapText="true"/>
    </xf>
    <xf numFmtId="0" fontId="42" fillId="44" borderId="35" xfId="0" applyFill="true" applyAlignment="true" applyBorder="true" applyFont="true">
      <alignment horizontal="center" vertical="center" wrapText="true"/>
    </xf>
    <xf numFmtId="0" fontId="43" fillId="46" borderId="35" xfId="0" applyFill="true" applyAlignment="true" applyBorder="true" applyFont="true">
      <alignment horizontal="center" vertical="center" wrapText="true"/>
    </xf>
    <xf numFmtId="0" fontId="44" fillId="46" borderId="35" xfId="0" applyFill="true" applyAlignment="true" applyBorder="true" applyFont="true">
      <alignment horizontal="center" vertical="center" wrapText="true"/>
    </xf>
    <xf numFmtId="0" fontId="45" fillId="46" borderId="35" xfId="0" applyFill="true" applyAlignment="true" applyBorder="true" applyFont="true">
      <alignment horizontal="center" vertical="center" wrapText="true"/>
    </xf>
    <xf numFmtId="0" fontId="46" fillId="46" borderId="35" xfId="0" applyFill="true" applyAlignment="true" applyBorder="true" applyFont="true">
      <alignment horizontal="center" vertical="center" wrapText="true"/>
    </xf>
    <xf numFmtId="0" fontId="47" fillId="46" borderId="35" xfId="0" applyFill="true" applyAlignment="true" applyBorder="true" applyFont="true">
      <alignment horizontal="center" vertical="center" wrapText="true"/>
    </xf>
    <xf numFmtId="0" fontId="48" fillId="46" borderId="35" xfId="0" applyFill="true" applyAlignment="true" applyBorder="true" applyFont="true">
      <alignment horizontal="center" vertical="center" wrapText="true"/>
    </xf>
    <xf numFmtId="0" fontId="49" fillId="46" borderId="35" xfId="0" applyFill="true" applyAlignment="true" applyBorder="true" applyFont="true">
      <alignment horizontal="center" vertical="center" wrapText="true"/>
    </xf>
    <xf numFmtId="0" fontId="50" fillId="46" borderId="35" xfId="0" applyFill="true" applyAlignment="true" applyBorder="true" applyFont="true">
      <alignment horizontal="center" vertical="center" wrapText="true"/>
    </xf>
    <xf numFmtId="0" fontId="51" fillId="46" borderId="35" xfId="0" applyFill="true" applyAlignment="true" applyBorder="true" applyFont="true">
      <alignment horizontal="center" vertical="center" wrapText="true"/>
    </xf>
    <xf numFmtId="0" fontId="52" fillId="48" borderId="35" xfId="0" applyFill="true" applyAlignment="true" applyBorder="true" applyFont="true">
      <alignment horizontal="center" vertical="center" wrapText="true"/>
    </xf>
    <xf numFmtId="0" fontId="53" fillId="48" borderId="35" xfId="0" applyFill="true" applyAlignment="true" applyBorder="true" applyFont="true">
      <alignment horizontal="center" vertical="center" wrapText="true"/>
    </xf>
    <xf numFmtId="0" fontId="54" fillId="48" borderId="35" xfId="0" applyFill="true" applyAlignment="true" applyBorder="true" applyFont="true">
      <alignment horizontal="center" vertical="center" wrapText="true"/>
    </xf>
    <xf numFmtId="0" fontId="55" fillId="48" borderId="35" xfId="0" applyFill="true" applyAlignment="true" applyBorder="true" applyFont="true">
      <alignment horizontal="center" vertical="center" wrapText="true"/>
    </xf>
    <xf numFmtId="0" fontId="56" fillId="48" borderId="35" xfId="0" applyFill="true" applyAlignment="true" applyBorder="true" applyFont="true">
      <alignment horizontal="center" vertical="center" wrapText="true"/>
    </xf>
    <xf numFmtId="0" fontId="57" fillId="48" borderId="35" xfId="0" applyFill="true" applyAlignment="true" applyBorder="true" applyFont="true">
      <alignment horizontal="center" vertical="center" wrapText="true"/>
    </xf>
    <xf numFmtId="0" fontId="58" fillId="48" borderId="35" xfId="0" applyFill="true" applyAlignment="true" applyBorder="true" applyFont="true">
      <alignment horizontal="center" vertical="center" wrapText="true"/>
    </xf>
    <xf numFmtId="0" fontId="59" fillId="42" borderId="35" xfId="0" applyFill="true" applyAlignment="true" applyBorder="true" applyFont="true">
      <alignment horizontal="center" vertical="center" wrapText="true"/>
    </xf>
    <xf numFmtId="0" fontId="60" fillId="46" borderId="35" xfId="0" applyFill="true" applyAlignment="true" applyBorder="true" applyFont="true">
      <alignment horizontal="center" vertical="center" wrapText="true"/>
    </xf>
    <xf numFmtId="0" fontId="61" fillId="46" borderId="35" xfId="0" applyFill="true" applyAlignment="true" applyBorder="true" applyFont="true">
      <alignment horizontal="center" vertical="center" wrapText="true"/>
    </xf>
    <xf numFmtId="0" fontId="62" fillId="46" borderId="35" xfId="0" applyFill="true" applyAlignment="true" applyBorder="true" applyFont="true">
      <alignment horizontal="center" vertical="center" wrapText="true"/>
    </xf>
    <xf numFmtId="0" fontId="63" fillId="46" borderId="35" xfId="0" applyFill="true" applyAlignment="true" applyBorder="true" applyFont="true">
      <alignment horizontal="center" vertical="center" wrapText="true"/>
    </xf>
    <xf numFmtId="0" fontId="64" fillId="46" borderId="35" xfId="0" applyFill="true" applyAlignment="true" applyBorder="true" applyFont="true">
      <alignment horizontal="center" vertical="center" wrapText="true"/>
    </xf>
    <xf numFmtId="0" fontId="65" fillId="46" borderId="35" xfId="0" applyFill="true" applyAlignment="true" applyBorder="true" applyFont="true">
      <alignment horizontal="center" vertical="center" wrapText="true"/>
    </xf>
    <xf numFmtId="0" fontId="66" fillId="28" borderId="35" xfId="0" applyFill="true" applyAlignment="true" applyBorder="true" applyFont="true">
      <alignment horizontal="center" vertical="center" wrapText="true"/>
    </xf>
    <xf numFmtId="0" fontId="67" fillId="28" borderId="35" xfId="0" applyFill="true" applyAlignment="true" applyBorder="true" applyFont="true">
      <alignment horizontal="center" vertical="center" wrapText="true"/>
    </xf>
    <xf numFmtId="0" fontId="68" fillId="28" borderId="35" xfId="0" applyFill="true" applyAlignment="true" applyBorder="true" applyFont="true">
      <alignment horizontal="center" vertical="center" wrapText="true"/>
    </xf>
    <xf numFmtId="0" fontId="69" fillId="28" borderId="35" xfId="0" applyFill="true" applyAlignment="true" applyBorder="true" applyFont="true">
      <alignment horizontal="center" vertical="center" wrapText="true"/>
    </xf>
    <xf numFmtId="0" fontId="70" fillId="28" borderId="35" xfId="0" applyFill="true" applyAlignment="true" applyBorder="true" applyFont="true">
      <alignment horizontal="center" vertical="center" wrapText="true"/>
    </xf>
    <xf numFmtId="0" fontId="71" fillId="28" borderId="35" xfId="0" applyFill="true" applyAlignment="true" applyBorder="true" applyFont="true">
      <alignment horizontal="center" vertical="center" wrapText="true"/>
    </xf>
    <xf numFmtId="0" fontId="72" fillId="28" borderId="35" xfId="0" applyFill="true" applyAlignment="true" applyBorder="true" applyFont="true">
      <alignment horizontal="center" vertical="center" wrapText="true"/>
    </xf>
    <xf numFmtId="0" fontId="73" fillId="28" borderId="35" xfId="0" applyFill="true" applyAlignment="true" applyBorder="true" applyFont="true">
      <alignment horizontal="center" vertical="center" wrapText="true"/>
    </xf>
    <xf numFmtId="0" fontId="74" fillId="28" borderId="35" xfId="0" applyFill="true" applyAlignment="true" applyBorder="true" applyFont="true">
      <alignment horizontal="center" vertical="center" wrapText="true"/>
    </xf>
    <xf numFmtId="0" fontId="75" fillId="28" borderId="35" xfId="0" applyFill="true" applyAlignment="true" applyBorder="true" applyFont="true">
      <alignment horizontal="center" vertical="center" wrapText="true"/>
    </xf>
    <xf numFmtId="0" fontId="76" fillId="20" borderId="17" xfId="0" applyFill="true" applyAlignment="true" applyBorder="true" applyFont="true">
      <alignment horizontal="center" vertical="center"/>
    </xf>
    <xf numFmtId="0" fontId="77" fillId="22" borderId="19" xfId="0" applyFill="true" applyAlignment="true" applyBorder="true" applyFont="true">
      <alignment horizontal="center" vertical="center" wrapText="true"/>
    </xf>
    <xf numFmtId="0" fontId="77" fillId="23" borderId="19" xfId="0" applyFill="true" applyAlignment="true" applyBorder="true" applyFont="true">
      <alignment horizontal="center" vertical="center" wrapText="true"/>
    </xf>
    <xf numFmtId="0" fontId="77" fillId="24" borderId="19" xfId="0" applyFill="true" applyAlignment="true" applyBorder="true" applyFont="true">
      <alignment horizontal="center" vertical="center" wrapText="true"/>
    </xf>
    <xf numFmtId="0" fontId="77" fillId="25" borderId="19" xfId="0" applyFill="true" applyAlignment="true" applyBorder="true" applyFont="true">
      <alignment horizontal="center" vertical="center" wrapText="true"/>
    </xf>
    <xf numFmtId="0" fontId="77" fillId="26" borderId="19" xfId="0" applyFill="true" applyAlignment="true" applyBorder="true" applyFont="true">
      <alignment horizontal="center" vertical="center" wrapText="true"/>
    </xf>
    <xf numFmtId="49" fontId="78" fillId="28" borderId="27" xfId="0" applyNumberFormat="true" applyAlignment="true" applyFill="true" applyBorder="true" applyFont="true">
      <alignment horizontal="left" vertical="center" wrapText="false"/>
    </xf>
    <xf numFmtId="49" fontId="79" fillId="28" borderId="27" xfId="0" applyNumberFormat="true" applyAlignment="true" applyFill="true" applyBorder="true" applyFont="true">
      <alignment horizontal="left" vertical="center" wrapText="false"/>
    </xf>
    <xf numFmtId="49" fontId="81" fillId="30" borderId="27" xfId="0" applyNumberFormat="true" applyAlignment="true" applyFill="true" applyBorder="true" applyFont="true">
      <alignment horizontal="left" vertical="center" wrapText="false"/>
    </xf>
    <xf numFmtId="49" fontId="83" fillId="32" borderId="27" xfId="0" applyNumberFormat="true" applyAlignment="true" applyFill="true" applyBorder="true" applyFont="true">
      <alignment horizontal="left" vertical="center" wrapText="false"/>
    </xf>
    <xf numFmtId="49" fontId="84" fillId="34" borderId="27" xfId="0" applyNumberFormat="true" applyAlignment="true" applyFill="true" applyBorder="true" applyFont="true">
      <alignment horizontal="left" vertical="center" wrapText="false"/>
    </xf>
    <xf numFmtId="49" fontId="85" fillId="34" borderId="27" xfId="0" applyNumberFormat="true" applyAlignment="true" applyFill="true" applyBorder="true" applyFont="true">
      <alignment horizontal="left" vertical="center" wrapText="false"/>
    </xf>
    <xf numFmtId="49" fontId="87" fillId="36" borderId="27" xfId="0" applyNumberFormat="true" applyAlignment="true" applyFill="true" applyBorder="true" applyFont="true">
      <alignment horizontal="left" vertical="center" wrapText="false"/>
    </xf>
    <xf numFmtId="49" fontId="89" fillId="38" borderId="27" xfId="0" applyNumberFormat="true" applyAlignment="true" applyFill="true" applyBorder="true" applyFont="true">
      <alignment horizontal="left" vertical="center" wrapText="false"/>
    </xf>
    <xf numFmtId="49" fontId="90" fillId="28" borderId="27" xfId="0" applyNumberFormat="true" applyAlignment="true" applyFill="true" applyBorder="true" applyFont="true">
      <alignment horizontal="left" vertical="center" wrapText="false"/>
    </xf>
    <xf numFmtId="49" fontId="0" fillId="40" borderId="31" xfId="0" applyNumberFormat="true" applyFill="true" applyBorder="true"/>
    <xf numFmtId="0" fontId="91" fillId="42" borderId="35" xfId="0" applyFill="true" applyAlignment="true" applyBorder="true" applyFont="true">
      <alignment horizontal="center" vertical="center" wrapText="true"/>
    </xf>
    <xf numFmtId="0" fontId="92" fillId="42" borderId="35" xfId="0" applyFill="true" applyAlignment="true" applyBorder="true" applyFont="true">
      <alignment horizontal="center" vertical="center" wrapText="true"/>
    </xf>
    <xf numFmtId="0" fontId="93" fillId="44" borderId="35" xfId="0" applyFill="true" applyAlignment="true" applyBorder="true" applyFont="true">
      <alignment horizontal="center" vertical="center" wrapText="true"/>
    </xf>
    <xf numFmtId="0" fontId="94" fillId="46" borderId="35" xfId="0" applyFill="true" applyAlignment="true" applyBorder="true" applyFont="true">
      <alignment horizontal="center" vertical="center" wrapText="true"/>
    </xf>
    <xf numFmtId="0" fontId="95" fillId="48" borderId="35" xfId="0" applyFill="true" applyAlignment="true" applyBorder="true" applyFont="true">
      <alignment horizontal="center" vertical="center" wrapText="true"/>
    </xf>
    <xf numFmtId="0" fontId="96" fillId="50" borderId="35" xfId="0" applyFill="true" applyAlignment="true" applyBorder="true" applyFont="true">
      <alignment horizontal="center" vertical="center" wrapText="true"/>
    </xf>
    <xf numFmtId="0" fontId="97" fillId="46" borderId="35" xfId="0" applyFill="true" applyAlignment="true" applyBorder="true" applyFont="true">
      <alignment horizontal="center" vertical="center" wrapText="true"/>
    </xf>
    <xf numFmtId="0" fontId="98" fillId="48" borderId="35" xfId="0" applyFill="true" applyAlignment="true" applyBorder="true" applyFont="true">
      <alignment horizontal="center" vertical="center" wrapText="true"/>
    </xf>
    <xf numFmtId="0" fontId="99" fillId="50" borderId="35" xfId="0" applyFill="true" applyAlignment="true" applyBorder="true" applyFont="true">
      <alignment horizontal="center" vertical="center" wrapText="true"/>
    </xf>
    <xf numFmtId="0" fontId="100" fillId="46" borderId="35" xfId="0" applyFill="true" applyAlignment="true" applyBorder="true" applyFont="true">
      <alignment horizontal="center" vertical="center" wrapText="true"/>
    </xf>
    <xf numFmtId="0" fontId="101" fillId="48" borderId="35" xfId="0" applyFill="true" applyAlignment="true" applyBorder="true" applyFont="true">
      <alignment horizontal="center" vertical="center" wrapText="true"/>
    </xf>
    <xf numFmtId="0" fontId="102" fillId="50" borderId="35" xfId="0" applyFill="true" applyAlignment="true" applyBorder="true" applyFont="true">
      <alignment horizontal="center" vertical="center" wrapText="true"/>
    </xf>
    <xf numFmtId="0" fontId="103" fillId="46" borderId="35" xfId="0" applyFill="true" applyAlignment="true" applyBorder="true" applyFont="true">
      <alignment horizontal="center" vertical="center" wrapText="true"/>
    </xf>
    <xf numFmtId="0" fontId="104" fillId="48" borderId="35" xfId="0" applyFill="true" applyAlignment="true" applyBorder="true" applyFont="true">
      <alignment horizontal="center" vertical="center" wrapText="true"/>
    </xf>
    <xf numFmtId="0" fontId="105" fillId="50" borderId="35" xfId="0" applyFill="true" applyAlignment="true" applyBorder="true" applyFont="true">
      <alignment horizontal="center" vertical="center" wrapText="true"/>
    </xf>
    <xf numFmtId="0" fontId="106" fillId="46" borderId="35" xfId="0" applyFill="true" applyAlignment="true" applyBorder="true" applyFont="true">
      <alignment horizontal="center" vertical="center" wrapText="true"/>
    </xf>
    <xf numFmtId="0" fontId="107" fillId="48" borderId="35" xfId="0" applyFill="true" applyAlignment="true" applyBorder="true" applyFont="true">
      <alignment horizontal="center" vertical="center" wrapText="true"/>
    </xf>
    <xf numFmtId="0" fontId="108" fillId="50" borderId="35" xfId="0" applyFill="true" applyAlignment="true" applyBorder="true" applyFont="true">
      <alignment horizontal="center" vertical="center" wrapText="true"/>
    </xf>
    <xf numFmtId="0" fontId="109" fillId="44" borderId="35" xfId="0" applyFill="true" applyAlignment="true" applyBorder="true" applyFont="true">
      <alignment horizontal="center" vertical="center" wrapText="true"/>
    </xf>
    <xf numFmtId="0" fontId="110" fillId="44" borderId="35" xfId="0" applyFill="true" applyAlignment="true" applyBorder="true" applyFont="true">
      <alignment horizontal="center" vertical="center" wrapText="true"/>
    </xf>
    <xf numFmtId="0" fontId="111" fillId="46" borderId="35" xfId="0" applyFill="true" applyAlignment="true" applyBorder="true" applyFont="true">
      <alignment horizontal="center" vertical="center" wrapText="true"/>
    </xf>
    <xf numFmtId="0" fontId="112" fillId="46" borderId="35" xfId="0" applyFill="true" applyAlignment="true" applyBorder="true" applyFont="true">
      <alignment horizontal="center" vertical="center" wrapText="true"/>
    </xf>
    <xf numFmtId="0" fontId="113" fillId="46" borderId="35" xfId="0" applyFill="true" applyAlignment="true" applyBorder="true" applyFont="true">
      <alignment horizontal="center" vertical="center" wrapText="true"/>
    </xf>
    <xf numFmtId="0" fontId="114" fillId="46" borderId="35" xfId="0" applyFill="true" applyAlignment="true" applyBorder="true" applyFont="true">
      <alignment horizontal="center" vertical="center" wrapText="true"/>
    </xf>
    <xf numFmtId="0" fontId="115" fillId="46" borderId="35" xfId="0" applyFill="true" applyAlignment="true" applyBorder="true" applyFont="true">
      <alignment horizontal="center" vertical="center" wrapText="true"/>
    </xf>
    <xf numFmtId="0" fontId="116" fillId="46" borderId="35" xfId="0" applyFill="true" applyAlignment="true" applyBorder="true" applyFont="true">
      <alignment horizontal="center" vertical="center" wrapText="true"/>
    </xf>
    <xf numFmtId="0" fontId="117" fillId="46" borderId="35" xfId="0" applyFill="true" applyAlignment="true" applyBorder="true" applyFont="true">
      <alignment horizontal="center" vertical="center" wrapText="true"/>
    </xf>
    <xf numFmtId="0" fontId="118" fillId="46" borderId="35" xfId="0" applyFill="true" applyAlignment="true" applyBorder="true" applyFont="true">
      <alignment horizontal="center" vertical="center" wrapText="true"/>
    </xf>
    <xf numFmtId="0" fontId="119" fillId="46" borderId="35" xfId="0" applyFill="true" applyAlignment="true" applyBorder="true" applyFont="true">
      <alignment horizontal="center" vertical="center" wrapText="true"/>
    </xf>
    <xf numFmtId="0" fontId="120" fillId="48" borderId="35" xfId="0" applyFill="true" applyAlignment="true" applyBorder="true" applyFont="true">
      <alignment horizontal="center" vertical="center" wrapText="true"/>
    </xf>
    <xf numFmtId="0" fontId="121" fillId="48" borderId="35" xfId="0" applyFill="true" applyAlignment="true" applyBorder="true" applyFont="true">
      <alignment horizontal="center" vertical="center" wrapText="true"/>
    </xf>
    <xf numFmtId="0" fontId="122" fillId="48" borderId="35" xfId="0" applyFill="true" applyAlignment="true" applyBorder="true" applyFont="true">
      <alignment horizontal="center" vertical="center" wrapText="true"/>
    </xf>
    <xf numFmtId="0" fontId="123" fillId="48" borderId="35" xfId="0" applyFill="true" applyAlignment="true" applyBorder="true" applyFont="true">
      <alignment horizontal="center" vertical="center" wrapText="true"/>
    </xf>
    <xf numFmtId="0" fontId="124" fillId="48" borderId="35" xfId="0" applyFill="true" applyAlignment="true" applyBorder="true" applyFont="true">
      <alignment horizontal="center" vertical="center" wrapText="true"/>
    </xf>
    <xf numFmtId="0" fontId="125" fillId="48" borderId="35" xfId="0" applyFill="true" applyAlignment="true" applyBorder="true" applyFont="true">
      <alignment horizontal="center" vertical="center" wrapText="true"/>
    </xf>
    <xf numFmtId="0" fontId="126" fillId="48" borderId="35" xfId="0" applyFill="true" applyAlignment="true" applyBorder="true" applyFont="true">
      <alignment horizontal="center" vertical="center" wrapText="true"/>
    </xf>
    <xf numFmtId="0" fontId="127" fillId="42" borderId="35" xfId="0" applyFill="true" applyAlignment="true" applyBorder="true" applyFont="true">
      <alignment horizontal="center" vertical="center" wrapText="true"/>
    </xf>
    <xf numFmtId="0" fontId="128" fillId="46" borderId="35" xfId="0" applyFill="true" applyAlignment="true" applyBorder="true" applyFont="true">
      <alignment horizontal="center" vertical="center" wrapText="true"/>
    </xf>
    <xf numFmtId="0" fontId="129" fillId="46" borderId="35" xfId="0" applyFill="true" applyAlignment="true" applyBorder="true" applyFont="true">
      <alignment horizontal="center" vertical="center" wrapText="true"/>
    </xf>
    <xf numFmtId="0" fontId="130" fillId="46" borderId="35" xfId="0" applyFill="true" applyAlignment="true" applyBorder="true" applyFont="true">
      <alignment horizontal="center" vertical="center" wrapText="true"/>
    </xf>
    <xf numFmtId="0" fontId="131" fillId="46" borderId="35" xfId="0" applyFill="true" applyAlignment="true" applyBorder="true" applyFont="true">
      <alignment horizontal="center" vertical="center" wrapText="true"/>
    </xf>
    <xf numFmtId="0" fontId="132" fillId="46" borderId="35" xfId="0" applyFill="true" applyAlignment="true" applyBorder="true" applyFont="true">
      <alignment horizontal="center" vertical="center" wrapText="true"/>
    </xf>
    <xf numFmtId="0" fontId="133" fillId="46" borderId="35" xfId="0" applyFill="true" applyAlignment="true" applyBorder="true" applyFont="true">
      <alignment horizontal="center" vertical="center" wrapText="true"/>
    </xf>
    <xf numFmtId="0" fontId="134" fillId="28" borderId="35" xfId="0" applyFill="true" applyAlignment="true" applyBorder="true" applyFont="true">
      <alignment horizontal="center" vertical="center" wrapText="true"/>
    </xf>
    <xf numFmtId="0" fontId="135" fillId="28" borderId="35" xfId="0" applyFill="true" applyAlignment="true" applyBorder="true" applyFont="true">
      <alignment horizontal="center" vertical="center" wrapText="true"/>
    </xf>
    <xf numFmtId="0" fontId="136" fillId="28" borderId="35" xfId="0" applyFill="true" applyAlignment="true" applyBorder="true" applyFont="true">
      <alignment horizontal="center" vertical="center" wrapText="true"/>
    </xf>
    <xf numFmtId="0" fontId="137" fillId="28" borderId="35" xfId="0" applyFill="true" applyAlignment="true" applyBorder="true" applyFont="true">
      <alignment horizontal="center" vertical="center" wrapText="true"/>
    </xf>
    <xf numFmtId="0" fontId="138" fillId="28" borderId="35" xfId="0" applyFill="true" applyAlignment="true" applyBorder="true" applyFont="true">
      <alignment horizontal="center" vertical="center" wrapText="true"/>
    </xf>
    <xf numFmtId="0" fontId="139" fillId="28" borderId="35" xfId="0" applyFill="true" applyAlignment="true" applyBorder="true" applyFont="true">
      <alignment horizontal="center" vertical="center" wrapText="true"/>
    </xf>
    <xf numFmtId="0" fontId="140" fillId="28" borderId="35" xfId="0" applyFill="true" applyAlignment="true" applyBorder="true" applyFont="true">
      <alignment horizontal="center" vertical="center" wrapText="true"/>
    </xf>
    <xf numFmtId="0" fontId="141" fillId="28" borderId="35" xfId="0" applyFill="true" applyAlignment="true" applyBorder="true" applyFont="true">
      <alignment horizontal="center" vertical="center" wrapText="true"/>
    </xf>
    <xf numFmtId="0" fontId="142" fillId="28" borderId="35" xfId="0" applyFill="true" applyAlignment="true" applyBorder="true" applyFont="true">
      <alignment horizontal="center" vertical="center" wrapText="true"/>
    </xf>
    <xf numFmtId="0" fontId="143" fillId="28" borderId="35" xfId="0" applyFill="true" applyAlignment="true" applyBorder="true" applyFont="true">
      <alignment horizontal="center" vertical="center" wrapText="true"/>
    </xf>
    <xf numFmtId="0" fontId="144" fillId="20" borderId="17" xfId="0" applyFill="true" applyAlignment="true" applyBorder="true" applyFont="true">
      <alignment horizontal="center" vertical="center"/>
    </xf>
    <xf numFmtId="0" fontId="145" fillId="22" borderId="19" xfId="0" applyFill="true" applyAlignment="true" applyBorder="true" applyFont="true">
      <alignment horizontal="center" vertical="center" wrapText="true"/>
    </xf>
    <xf numFmtId="0" fontId="145" fillId="23" borderId="19" xfId="0" applyFill="true" applyAlignment="true" applyBorder="true" applyFont="true">
      <alignment horizontal="center" vertical="center" wrapText="true"/>
    </xf>
    <xf numFmtId="0" fontId="145" fillId="24" borderId="19" xfId="0" applyFill="true" applyAlignment="true" applyBorder="true" applyFont="true">
      <alignment horizontal="center" vertical="center" wrapText="true"/>
    </xf>
    <xf numFmtId="0" fontId="145" fillId="51" borderId="19" xfId="0" applyFill="true" applyAlignment="true" applyBorder="true" applyFont="true">
      <alignment horizontal="center" vertical="center" wrapText="true"/>
    </xf>
    <xf numFmtId="0" fontId="145" fillId="52" borderId="19" xfId="0" applyFill="true" applyAlignment="true" applyBorder="true" applyFont="true">
      <alignment horizontal="center" vertical="center" wrapText="true"/>
    </xf>
    <xf numFmtId="0" fontId="145" fillId="25" borderId="19" xfId="0" applyFill="true" applyAlignment="true" applyBorder="true" applyFont="true">
      <alignment horizontal="center" vertical="center" wrapText="true"/>
    </xf>
    <xf numFmtId="0" fontId="145" fillId="53" borderId="19" xfId="0" applyFill="true" applyAlignment="true" applyBorder="true" applyFont="true">
      <alignment horizontal="center" vertical="center" wrapText="true"/>
    </xf>
    <xf numFmtId="0" fontId="145" fillId="54" borderId="19" xfId="0" applyFill="true" applyAlignment="true" applyBorder="true" applyFont="true">
      <alignment horizontal="center" vertical="center" wrapText="true"/>
    </xf>
    <xf numFmtId="0" fontId="145" fillId="26" borderId="19" xfId="0" applyFill="true" applyAlignment="true" applyBorder="true" applyFont="true">
      <alignment horizontal="center" vertical="center" wrapText="true"/>
    </xf>
    <xf numFmtId="49" fontId="146" fillId="28" borderId="27" xfId="0" applyNumberFormat="true" applyAlignment="true" applyFill="true" applyBorder="true" applyFont="true">
      <alignment horizontal="left" vertical="center" wrapText="false"/>
    </xf>
    <xf numFmtId="49" fontId="147" fillId="28" borderId="27" xfId="0" applyNumberFormat="true" applyAlignment="true" applyFill="true" applyBorder="true" applyFont="true">
      <alignment horizontal="left" vertical="center" wrapText="false"/>
    </xf>
    <xf numFmtId="49" fontId="149" fillId="30" borderId="27" xfId="0" applyNumberFormat="true" applyAlignment="true" applyFill="true" applyBorder="true" applyFont="true">
      <alignment horizontal="left" vertical="center" wrapText="false"/>
    </xf>
    <xf numFmtId="49" fontId="151" fillId="32" borderId="27" xfId="0" applyNumberFormat="true" applyAlignment="true" applyFill="true" applyBorder="true" applyFont="true">
      <alignment horizontal="left" vertical="center" wrapText="false"/>
    </xf>
    <xf numFmtId="164" fontId="146" fillId="28" borderId="27" xfId="0" applyNumberFormat="true" applyAlignment="true" applyFill="true" applyBorder="true" applyFont="true">
      <alignment horizontal="left" vertical="center" wrapText="false"/>
    </xf>
    <xf numFmtId="49" fontId="152" fillId="34" borderId="27" xfId="0" applyNumberFormat="true" applyAlignment="true" applyFill="true" applyBorder="true" applyFont="true">
      <alignment horizontal="left" vertical="center" wrapText="false"/>
    </xf>
    <xf numFmtId="49" fontId="153" fillId="34" borderId="27" xfId="0" applyNumberFormat="true" applyAlignment="true" applyFill="true" applyBorder="true" applyFont="true">
      <alignment horizontal="left" vertical="center" wrapText="false"/>
    </xf>
    <xf numFmtId="49" fontId="155" fillId="36" borderId="27" xfId="0" applyNumberFormat="true" applyAlignment="true" applyFill="true" applyBorder="true" applyFont="true">
      <alignment horizontal="left" vertical="center" wrapText="false"/>
    </xf>
    <xf numFmtId="49" fontId="157" fillId="38" borderId="27" xfId="0" applyNumberFormat="true" applyAlignment="true" applyFill="true" applyBorder="true" applyFont="true">
      <alignment horizontal="left" vertical="center" wrapText="false"/>
    </xf>
    <xf numFmtId="164" fontId="152" fillId="34" borderId="27" xfId="0" applyNumberFormat="true" applyAlignment="true" applyFill="true" applyBorder="true" applyFont="true">
      <alignment horizontal="left" vertical="center" wrapText="false"/>
    </xf>
    <xf numFmtId="49" fontId="158" fillId="28" borderId="27" xfId="0" applyNumberFormat="true" applyAlignment="true" applyFill="true" applyBorder="true" applyFont="true">
      <alignment horizontal="left" vertical="center" wrapText="false"/>
    </xf>
    <xf numFmtId="49" fontId="0" fillId="40" borderId="31" xfId="0" applyNumberFormat="true" applyFill="true" applyBorder="true"/>
    <xf numFmtId="0" fontId="159" fillId="42" borderId="35" xfId="0" applyFill="true" applyAlignment="true" applyBorder="true" applyFont="true">
      <alignment horizontal="center" vertical="center" wrapText="true"/>
    </xf>
    <xf numFmtId="0" fontId="160" fillId="42" borderId="35" xfId="0" applyFill="true" applyAlignment="true" applyBorder="true" applyFont="true">
      <alignment horizontal="center" vertical="center" wrapText="true"/>
    </xf>
    <xf numFmtId="0" fontId="161" fillId="44" borderId="35" xfId="0" applyFill="true" applyAlignment="true" applyBorder="true" applyFont="true">
      <alignment horizontal="center" vertical="center" wrapText="true"/>
    </xf>
    <xf numFmtId="0" fontId="162" fillId="46" borderId="35" xfId="0" applyFill="true" applyAlignment="true" applyBorder="true" applyFont="true">
      <alignment horizontal="center" vertical="center" wrapText="true"/>
    </xf>
    <xf numFmtId="0" fontId="163" fillId="48" borderId="35" xfId="0" applyFill="true" applyAlignment="true" applyBorder="true" applyFont="true">
      <alignment horizontal="center" vertical="center" wrapText="true"/>
    </xf>
    <xf numFmtId="0" fontId="164" fillId="50" borderId="35" xfId="0" applyFill="true" applyAlignment="true" applyBorder="true" applyFont="true">
      <alignment horizontal="center" vertical="center" wrapText="true"/>
    </xf>
    <xf numFmtId="0" fontId="165" fillId="46" borderId="35" xfId="0" applyFill="true" applyAlignment="true" applyBorder="true" applyFont="true">
      <alignment horizontal="center" vertical="center" wrapText="true"/>
    </xf>
    <xf numFmtId="0" fontId="166" fillId="48" borderId="35" xfId="0" applyFill="true" applyAlignment="true" applyBorder="true" applyFont="true">
      <alignment horizontal="center" vertical="center" wrapText="true"/>
    </xf>
    <xf numFmtId="0" fontId="167" fillId="50" borderId="35" xfId="0" applyFill="true" applyAlignment="true" applyBorder="true" applyFont="true">
      <alignment horizontal="center" vertical="center" wrapText="true"/>
    </xf>
    <xf numFmtId="0" fontId="168" fillId="46" borderId="35" xfId="0" applyFill="true" applyAlignment="true" applyBorder="true" applyFont="true">
      <alignment horizontal="center" vertical="center" wrapText="true"/>
    </xf>
    <xf numFmtId="0" fontId="169" fillId="48" borderId="35" xfId="0" applyFill="true" applyAlignment="true" applyBorder="true" applyFont="true">
      <alignment horizontal="center" vertical="center" wrapText="true"/>
    </xf>
    <xf numFmtId="0" fontId="170" fillId="50" borderId="35" xfId="0" applyFill="true" applyAlignment="true" applyBorder="true" applyFont="true">
      <alignment horizontal="center" vertical="center" wrapText="true"/>
    </xf>
    <xf numFmtId="0" fontId="171" fillId="46" borderId="35" xfId="0" applyFill="true" applyAlignment="true" applyBorder="true" applyFont="true">
      <alignment horizontal="center" vertical="center" wrapText="true"/>
    </xf>
    <xf numFmtId="0" fontId="172" fillId="48" borderId="35" xfId="0" applyFill="true" applyAlignment="true" applyBorder="true" applyFont="true">
      <alignment horizontal="center" vertical="center" wrapText="true"/>
    </xf>
    <xf numFmtId="0" fontId="173" fillId="50" borderId="35" xfId="0" applyFill="true" applyAlignment="true" applyBorder="true" applyFont="true">
      <alignment horizontal="center" vertical="center" wrapText="true"/>
    </xf>
    <xf numFmtId="0" fontId="174" fillId="46" borderId="35" xfId="0" applyFill="true" applyAlignment="true" applyBorder="true" applyFont="true">
      <alignment horizontal="center" vertical="center" wrapText="true"/>
    </xf>
    <xf numFmtId="0" fontId="175" fillId="48" borderId="35" xfId="0" applyFill="true" applyAlignment="true" applyBorder="true" applyFont="true">
      <alignment horizontal="center" vertical="center" wrapText="true"/>
    </xf>
    <xf numFmtId="0" fontId="176" fillId="50" borderId="35" xfId="0" applyFill="true" applyAlignment="true" applyBorder="true" applyFont="true">
      <alignment horizontal="center" vertical="center" wrapText="true"/>
    </xf>
    <xf numFmtId="0" fontId="177" fillId="44" borderId="35" xfId="0" applyFill="true" applyAlignment="true" applyBorder="true" applyFont="true">
      <alignment horizontal="center" vertical="center" wrapText="true"/>
    </xf>
    <xf numFmtId="0" fontId="178" fillId="46" borderId="35" xfId="0" applyFill="true" applyAlignment="true" applyBorder="true" applyFont="true">
      <alignment horizontal="center" vertical="center" wrapText="true"/>
    </xf>
    <xf numFmtId="0" fontId="179" fillId="46" borderId="35" xfId="0" applyFill="true" applyAlignment="true" applyBorder="true" applyFont="true">
      <alignment horizontal="center" vertical="center" wrapText="true"/>
    </xf>
    <xf numFmtId="0" fontId="180" fillId="46" borderId="35" xfId="0" applyFill="true" applyAlignment="true" applyBorder="true" applyFont="true">
      <alignment horizontal="center" vertical="center" wrapText="true"/>
    </xf>
    <xf numFmtId="0" fontId="181" fillId="46" borderId="35" xfId="0" applyFill="true" applyAlignment="true" applyBorder="true" applyFont="true">
      <alignment horizontal="center" vertical="center" wrapText="true"/>
    </xf>
    <xf numFmtId="0" fontId="182" fillId="46" borderId="35" xfId="0" applyFill="true" applyAlignment="true" applyBorder="true" applyFont="true">
      <alignment horizontal="center" vertical="center" wrapText="true"/>
    </xf>
    <xf numFmtId="0" fontId="183" fillId="48" borderId="35" xfId="0" applyFill="true" applyAlignment="true" applyBorder="true" applyFont="true">
      <alignment horizontal="center" vertical="center" wrapText="true"/>
    </xf>
    <xf numFmtId="164" fontId="183" fillId="48" borderId="35" xfId="0" applyFill="true" applyAlignment="true" applyBorder="true" applyFont="true" applyNumberFormat="true">
      <alignment horizontal="center" vertical="center" wrapText="true"/>
    </xf>
    <xf numFmtId="0" fontId="184" fillId="48" borderId="35" xfId="0" applyFill="true" applyAlignment="true" applyBorder="true" applyFont="true">
      <alignment horizontal="center" vertical="center" wrapText="true"/>
    </xf>
    <xf numFmtId="0" fontId="185" fillId="48" borderId="35" xfId="0" applyFill="true" applyAlignment="true" applyBorder="true" applyFont="true">
      <alignment horizontal="center" vertical="center" wrapText="true"/>
    </xf>
    <xf numFmtId="0" fontId="186" fillId="48" borderId="35" xfId="0" applyFill="true" applyAlignment="true" applyBorder="true" applyFont="true">
      <alignment horizontal="center" vertical="center" wrapText="true"/>
    </xf>
    <xf numFmtId="0" fontId="187" fillId="48" borderId="35" xfId="0" applyFill="true" applyAlignment="true" applyBorder="true" applyFont="true">
      <alignment horizontal="center" vertical="center" wrapText="true"/>
    </xf>
    <xf numFmtId="0" fontId="188" fillId="48" borderId="35" xfId="0" applyFill="true" applyAlignment="true" applyBorder="true" applyFont="true">
      <alignment horizontal="center" vertical="center" wrapText="true"/>
    </xf>
    <xf numFmtId="0" fontId="189" fillId="48" borderId="35" xfId="0" applyFill="true" applyAlignment="true" applyBorder="true" applyFont="true">
      <alignment horizontal="center" vertical="center" wrapText="true"/>
    </xf>
    <xf numFmtId="0" fontId="190" fillId="48" borderId="35" xfId="0" applyFill="true" applyAlignment="true" applyBorder="true" applyFont="true">
      <alignment horizontal="center" vertical="center" wrapText="true"/>
    </xf>
    <xf numFmtId="0" fontId="191" fillId="48" borderId="35" xfId="0" applyFill="true" applyAlignment="true" applyBorder="true" applyFont="true">
      <alignment horizontal="center" vertical="center" wrapText="true"/>
    </xf>
    <xf numFmtId="0" fontId="192" fillId="48" borderId="35" xfId="0" applyFill="true" applyAlignment="true" applyBorder="true" applyFont="true">
      <alignment horizontal="center" vertical="center" wrapText="true"/>
    </xf>
    <xf numFmtId="0" fontId="193" fillId="48" borderId="35" xfId="0" applyFill="true" applyAlignment="true" applyBorder="true" applyFont="true">
      <alignment horizontal="center" vertical="center" wrapText="true"/>
    </xf>
    <xf numFmtId="0" fontId="194" fillId="48" borderId="35" xfId="0" applyFill="true" applyAlignment="true" applyBorder="true" applyFont="true">
      <alignment horizontal="center" vertical="center" wrapText="true"/>
    </xf>
    <xf numFmtId="0" fontId="195" fillId="48" borderId="35" xfId="0" applyFill="true" applyAlignment="true" applyBorder="true" applyFont="true">
      <alignment horizontal="center" vertical="center" wrapText="true"/>
    </xf>
    <xf numFmtId="0" fontId="196" fillId="48" borderId="35" xfId="0" applyFill="true" applyAlignment="true" applyBorder="true" applyFont="true">
      <alignment horizontal="center" vertical="center" wrapText="true"/>
    </xf>
    <xf numFmtId="0" fontId="197" fillId="48" borderId="35" xfId="0" applyFill="true" applyAlignment="true" applyBorder="true" applyFont="true">
      <alignment horizontal="center" vertical="center" wrapText="true"/>
    </xf>
    <xf numFmtId="0" fontId="198" fillId="48" borderId="35" xfId="0" applyFill="true" applyAlignment="true" applyBorder="true" applyFont="true">
      <alignment horizontal="center" vertical="center" wrapText="true"/>
    </xf>
    <xf numFmtId="0" fontId="199" fillId="44" borderId="35" xfId="0" applyFill="true" applyAlignment="true" applyBorder="true" applyFont="true">
      <alignment horizontal="center" vertical="center" wrapText="true"/>
    </xf>
    <xf numFmtId="0" fontId="200" fillId="46" borderId="35" xfId="0" applyFill="true" applyAlignment="true" applyBorder="true" applyFont="true">
      <alignment horizontal="center" vertical="center" wrapText="true"/>
    </xf>
    <xf numFmtId="0" fontId="201" fillId="46" borderId="35" xfId="0" applyFill="true" applyAlignment="true" applyBorder="true" applyFont="true">
      <alignment horizontal="center" vertical="center" wrapText="true"/>
    </xf>
    <xf numFmtId="0" fontId="202" fillId="46" borderId="35" xfId="0" applyFill="true" applyAlignment="true" applyBorder="true" applyFont="true">
      <alignment horizontal="center" vertical="center" wrapText="true"/>
    </xf>
    <xf numFmtId="0" fontId="203" fillId="46" borderId="35" xfId="0" applyFill="true" applyAlignment="true" applyBorder="true" applyFont="true">
      <alignment horizontal="center" vertical="center" wrapText="true"/>
    </xf>
    <xf numFmtId="0" fontId="204" fillId="46" borderId="35" xfId="0" applyFill="true" applyAlignment="true" applyBorder="true" applyFont="true">
      <alignment horizontal="center" vertical="center" wrapText="true"/>
    </xf>
    <xf numFmtId="0" fontId="205" fillId="46" borderId="35" xfId="0" applyFill="true" applyAlignment="true" applyBorder="true" applyFont="true">
      <alignment horizontal="center" vertical="center" wrapText="true"/>
    </xf>
    <xf numFmtId="0" fontId="206" fillId="46" borderId="35" xfId="0" applyFill="true" applyAlignment="true" applyBorder="true" applyFont="true">
      <alignment horizontal="center" vertical="center" wrapText="true"/>
    </xf>
    <xf numFmtId="0" fontId="207" fillId="48" borderId="35" xfId="0" applyFill="true" applyAlignment="true" applyBorder="true" applyFont="true">
      <alignment horizontal="center" vertical="center" wrapText="true"/>
    </xf>
    <xf numFmtId="0" fontId="208" fillId="48" borderId="35" xfId="0" applyFill="true" applyAlignment="true" applyBorder="true" applyFont="true">
      <alignment horizontal="center" vertical="center" wrapText="true"/>
    </xf>
    <xf numFmtId="0" fontId="209" fillId="48" borderId="35" xfId="0" applyFill="true" applyAlignment="true" applyBorder="true" applyFont="true">
      <alignment horizontal="center" vertical="center" wrapText="true"/>
    </xf>
    <xf numFmtId="0" fontId="210" fillId="48" borderId="35" xfId="0" applyFill="true" applyAlignment="true" applyBorder="true" applyFont="true">
      <alignment horizontal="center" vertical="center" wrapText="true"/>
    </xf>
    <xf numFmtId="0" fontId="211" fillId="48" borderId="35" xfId="0" applyFill="true" applyAlignment="true" applyBorder="true" applyFont="true">
      <alignment horizontal="center" vertical="center" wrapText="true"/>
    </xf>
    <xf numFmtId="0" fontId="212" fillId="48" borderId="35" xfId="0" applyFill="true" applyAlignment="true" applyBorder="true" applyFont="true">
      <alignment horizontal="center" vertical="center" wrapText="true"/>
    </xf>
    <xf numFmtId="0" fontId="213" fillId="42" borderId="35" xfId="0" applyFill="true" applyAlignment="true" applyBorder="true" applyFont="true">
      <alignment horizontal="center" vertical="center" wrapText="true"/>
    </xf>
    <xf numFmtId="0" fontId="214" fillId="46" borderId="35" xfId="0" applyFill="true" applyAlignment="true" applyBorder="true" applyFont="true">
      <alignment horizontal="center" vertical="center" wrapText="true"/>
    </xf>
    <xf numFmtId="0" fontId="215" fillId="46" borderId="35" xfId="0" applyFill="true" applyAlignment="true" applyBorder="true" applyFont="true">
      <alignment horizontal="center" vertical="center" wrapText="true"/>
    </xf>
    <xf numFmtId="0" fontId="216" fillId="46" borderId="35" xfId="0" applyFill="true" applyAlignment="true" applyBorder="true" applyFont="true">
      <alignment horizontal="center" vertical="center" wrapText="true"/>
    </xf>
    <xf numFmtId="0" fontId="217" fillId="46" borderId="35" xfId="0" applyFill="true" applyAlignment="true" applyBorder="true" applyFont="true">
      <alignment horizontal="center" vertical="center" wrapText="true"/>
    </xf>
    <xf numFmtId="0" fontId="218" fillId="46" borderId="35" xfId="0" applyFill="true" applyAlignment="true" applyBorder="true" applyFont="true">
      <alignment horizontal="center" vertical="center" wrapText="true"/>
    </xf>
    <xf numFmtId="0" fontId="219" fillId="46" borderId="35" xfId="0" applyFill="true" applyAlignment="true" applyBorder="true" applyFont="true">
      <alignment horizontal="center" vertical="center" wrapText="true"/>
    </xf>
    <xf numFmtId="0" fontId="220" fillId="28" borderId="35" xfId="0" applyFill="true" applyAlignment="true" applyBorder="true" applyFont="true">
      <alignment horizontal="center" vertical="center" wrapText="true"/>
    </xf>
    <xf numFmtId="0" fontId="221" fillId="28" borderId="35" xfId="0" applyFill="true" applyAlignment="true" applyBorder="true" applyFont="true">
      <alignment horizontal="center" vertical="center" wrapText="true"/>
    </xf>
    <xf numFmtId="0" fontId="222" fillId="28" borderId="35" xfId="0" applyFill="true" applyAlignment="true" applyBorder="true" applyFont="true">
      <alignment horizontal="center" vertical="center" wrapText="true"/>
    </xf>
    <xf numFmtId="0" fontId="223" fillId="28" borderId="35" xfId="0" applyFill="true" applyAlignment="true" applyBorder="true" applyFont="true">
      <alignment horizontal="center" vertical="center" wrapText="true"/>
    </xf>
    <xf numFmtId="0" fontId="224" fillId="28" borderId="35" xfId="0" applyFill="true" applyAlignment="true" applyBorder="true" applyFont="true">
      <alignment horizontal="center" vertical="center" wrapText="true"/>
    </xf>
    <xf numFmtId="0" fontId="225" fillId="28" borderId="35" xfId="0" applyFill="true" applyAlignment="true" applyBorder="true" applyFont="true">
      <alignment horizontal="center" vertical="center" wrapText="true"/>
    </xf>
    <xf numFmtId="0" fontId="226" fillId="28" borderId="35" xfId="0" applyFill="true" applyAlignment="true" applyBorder="true" applyFont="true">
      <alignment horizontal="center" vertical="center" wrapText="true"/>
    </xf>
    <xf numFmtId="0" fontId="227" fillId="28" borderId="35" xfId="0" applyFill="true" applyAlignment="true" applyBorder="true" applyFont="true">
      <alignment horizontal="center" vertical="center" wrapText="true"/>
    </xf>
    <xf numFmtId="0" fontId="228" fillId="28" borderId="35" xfId="0" applyFill="true" applyAlignment="true" applyBorder="true" applyFont="true">
      <alignment horizontal="center" vertical="center" wrapText="true"/>
    </xf>
    <xf numFmtId="0" fontId="229" fillId="28" borderId="35" xfId="0" applyFill="true" applyAlignment="true" applyBorder="true" applyFont="true">
      <alignment horizontal="center" vertical="center" wrapText="true"/>
    </xf>
    <xf numFmtId="0" fontId="230" fillId="46" borderId="35" xfId="0" applyFill="true" applyAlignment="true" applyBorder="true" applyFont="true">
      <alignment horizontal="center" vertical="center" wrapText="true"/>
    </xf>
    <xf numFmtId="0" fontId="231" fillId="46" borderId="35" xfId="0" applyFill="true" applyAlignment="true" applyBorder="true" applyFont="true">
      <alignment horizontal="center" vertical="center" wrapText="true"/>
    </xf>
    <xf numFmtId="0" fontId="232" fillId="46" borderId="35" xfId="0" applyFill="true" applyAlignment="true" applyBorder="true" applyFont="true">
      <alignment horizontal="center" vertical="center" wrapText="true"/>
    </xf>
    <xf numFmtId="0" fontId="233" fillId="28" borderId="35" xfId="0" applyFill="true" applyAlignment="true" applyBorder="true" applyFont="true">
      <alignment horizontal="center" vertical="center" wrapText="true"/>
    </xf>
    <xf numFmtId="0" fontId="234" fillId="28" borderId="35" xfId="0" applyFill="true" applyAlignment="true" applyBorder="true" applyFont="true">
      <alignment horizontal="center" vertical="center" wrapText="true"/>
    </xf>
    <xf numFmtId="0" fontId="235" fillId="20" borderId="17" xfId="0" applyFill="true" applyAlignment="true" applyBorder="true" applyFont="true">
      <alignment horizontal="center" vertical="center"/>
    </xf>
    <xf numFmtId="0" fontId="236" fillId="22" borderId="19" xfId="0" applyFill="true" applyAlignment="true" applyBorder="true" applyFont="true">
      <alignment horizontal="center" vertical="center" wrapText="true"/>
    </xf>
    <xf numFmtId="0" fontId="236" fillId="23" borderId="19" xfId="0" applyFill="true" applyAlignment="true" applyBorder="true" applyFont="true">
      <alignment horizontal="center" vertical="center" wrapText="true"/>
    </xf>
    <xf numFmtId="0" fontId="236" fillId="24" borderId="19" xfId="0" applyFill="true" applyAlignment="true" applyBorder="true" applyFont="true">
      <alignment horizontal="center" vertical="center" wrapText="true"/>
    </xf>
    <xf numFmtId="0" fontId="236" fillId="51" borderId="19" xfId="0" applyFill="true" applyAlignment="true" applyBorder="true" applyFont="true">
      <alignment horizontal="center" vertical="center" wrapText="true"/>
    </xf>
    <xf numFmtId="0" fontId="236" fillId="52" borderId="19" xfId="0" applyFill="true" applyAlignment="true" applyBorder="true" applyFont="true">
      <alignment horizontal="center" vertical="center" wrapText="true"/>
    </xf>
    <xf numFmtId="0" fontId="236" fillId="25" borderId="19" xfId="0" applyFill="true" applyAlignment="true" applyBorder="true" applyFont="true">
      <alignment horizontal="center" vertical="center" wrapText="true"/>
    </xf>
    <xf numFmtId="0" fontId="236" fillId="53" borderId="19" xfId="0" applyFill="true" applyAlignment="true" applyBorder="true" applyFont="true">
      <alignment horizontal="center" vertical="center" wrapText="true"/>
    </xf>
    <xf numFmtId="0" fontId="236" fillId="54" borderId="19" xfId="0" applyFill="true" applyAlignment="true" applyBorder="true" applyFont="true">
      <alignment horizontal="center" vertical="center" wrapText="true"/>
    </xf>
    <xf numFmtId="0" fontId="236" fillId="26" borderId="19" xfId="0" applyFill="true" applyAlignment="true" applyBorder="true" applyFont="true">
      <alignment horizontal="center" vertical="center" wrapText="true"/>
    </xf>
    <xf numFmtId="49" fontId="237" fillId="28" borderId="27" xfId="0" applyNumberFormat="true" applyAlignment="true" applyFill="true" applyBorder="true" applyFont="true">
      <alignment horizontal="left" vertical="center" wrapText="false"/>
    </xf>
    <xf numFmtId="49" fontId="238" fillId="28" borderId="27" xfId="0" applyNumberFormat="true" applyAlignment="true" applyFill="true" applyBorder="true" applyFont="true">
      <alignment horizontal="left" vertical="center" wrapText="false"/>
    </xf>
    <xf numFmtId="49" fontId="240" fillId="30" borderId="27" xfId="0" applyNumberFormat="true" applyAlignment="true" applyFill="true" applyBorder="true" applyFont="true">
      <alignment horizontal="left" vertical="center" wrapText="false"/>
    </xf>
    <xf numFmtId="49" fontId="242" fillId="32" borderId="27" xfId="0" applyNumberFormat="true" applyAlignment="true" applyFill="true" applyBorder="true" applyFont="true">
      <alignment horizontal="left" vertical="center" wrapText="false"/>
    </xf>
    <xf numFmtId="164" fontId="237" fillId="28" borderId="27" xfId="0" applyNumberFormat="true" applyAlignment="true" applyFill="true" applyBorder="true" applyFont="true">
      <alignment horizontal="left" vertical="center" wrapText="false"/>
    </xf>
    <xf numFmtId="49" fontId="243" fillId="34" borderId="27" xfId="0" applyNumberFormat="true" applyAlignment="true" applyFill="true" applyBorder="true" applyFont="true">
      <alignment horizontal="left" vertical="center" wrapText="false"/>
    </xf>
    <xf numFmtId="49" fontId="244" fillId="34" borderId="27" xfId="0" applyNumberFormat="true" applyAlignment="true" applyFill="true" applyBorder="true" applyFont="true">
      <alignment horizontal="left" vertical="center" wrapText="false"/>
    </xf>
    <xf numFmtId="49" fontId="246" fillId="36" borderId="27" xfId="0" applyNumberFormat="true" applyAlignment="true" applyFill="true" applyBorder="true" applyFont="true">
      <alignment horizontal="left" vertical="center" wrapText="false"/>
    </xf>
    <xf numFmtId="49" fontId="248" fillId="38" borderId="27" xfId="0" applyNumberFormat="true" applyAlignment="true" applyFill="true" applyBorder="true" applyFont="true">
      <alignment horizontal="left" vertical="center" wrapText="false"/>
    </xf>
    <xf numFmtId="164" fontId="243" fillId="34" borderId="27" xfId="0" applyNumberFormat="true" applyAlignment="true" applyFill="true" applyBorder="true" applyFont="true">
      <alignment horizontal="left" vertical="center" wrapText="false"/>
    </xf>
    <xf numFmtId="49" fontId="249" fillId="28" borderId="27" xfId="0" applyNumberFormat="true" applyAlignment="true" applyFill="true" applyBorder="true" applyFont="true">
      <alignment horizontal="left" vertical="center" wrapText="false"/>
    </xf>
    <xf numFmtId="49" fontId="0" fillId="40" borderId="31" xfId="0" applyNumberFormat="true" applyFill="true" applyBorder="true"/>
    <xf numFmtId="0" fontId="250" fillId="42" borderId="35" xfId="0" applyFill="true" applyAlignment="true" applyBorder="true" applyFont="true">
      <alignment horizontal="center" vertical="center" wrapText="true"/>
    </xf>
    <xf numFmtId="0" fontId="251" fillId="42" borderId="35" xfId="0" applyFill="true" applyAlignment="true" applyBorder="true" applyFont="true">
      <alignment horizontal="center" vertical="center" wrapText="true"/>
    </xf>
    <xf numFmtId="0" fontId="252" fillId="44" borderId="35" xfId="0" applyFill="true" applyAlignment="true" applyBorder="true" applyFont="true">
      <alignment horizontal="center" vertical="center" wrapText="true"/>
    </xf>
    <xf numFmtId="0" fontId="253" fillId="46" borderId="35" xfId="0" applyFill="true" applyAlignment="true" applyBorder="true" applyFont="true">
      <alignment horizontal="center" vertical="center" wrapText="true"/>
    </xf>
    <xf numFmtId="0" fontId="254" fillId="48" borderId="35" xfId="0" applyFill="true" applyAlignment="true" applyBorder="true" applyFont="true">
      <alignment horizontal="center" vertical="center" wrapText="true"/>
    </xf>
    <xf numFmtId="0" fontId="255" fillId="50" borderId="35" xfId="0" applyFill="true" applyAlignment="true" applyBorder="true" applyFont="true">
      <alignment horizontal="center" vertical="center" wrapText="true"/>
    </xf>
    <xf numFmtId="0" fontId="256" fillId="46" borderId="35" xfId="0" applyFill="true" applyAlignment="true" applyBorder="true" applyFont="true">
      <alignment horizontal="center" vertical="center" wrapText="true"/>
    </xf>
    <xf numFmtId="0" fontId="257" fillId="48" borderId="35" xfId="0" applyFill="true" applyAlignment="true" applyBorder="true" applyFont="true">
      <alignment horizontal="center" vertical="center" wrapText="true"/>
    </xf>
    <xf numFmtId="0" fontId="258" fillId="50" borderId="35" xfId="0" applyFill="true" applyAlignment="true" applyBorder="true" applyFont="true">
      <alignment horizontal="center" vertical="center" wrapText="true"/>
    </xf>
    <xf numFmtId="0" fontId="259" fillId="46" borderId="35" xfId="0" applyFill="true" applyAlignment="true" applyBorder="true" applyFont="true">
      <alignment horizontal="center" vertical="center" wrapText="true"/>
    </xf>
    <xf numFmtId="0" fontId="260" fillId="48" borderId="35" xfId="0" applyFill="true" applyAlignment="true" applyBorder="true" applyFont="true">
      <alignment horizontal="center" vertical="center" wrapText="true"/>
    </xf>
    <xf numFmtId="0" fontId="261" fillId="50" borderId="35" xfId="0" applyFill="true" applyAlignment="true" applyBorder="true" applyFont="true">
      <alignment horizontal="center" vertical="center" wrapText="true"/>
    </xf>
    <xf numFmtId="0" fontId="262" fillId="46" borderId="35" xfId="0" applyFill="true" applyAlignment="true" applyBorder="true" applyFont="true">
      <alignment horizontal="center" vertical="center" wrapText="true"/>
    </xf>
    <xf numFmtId="0" fontId="263" fillId="48" borderId="35" xfId="0" applyFill="true" applyAlignment="true" applyBorder="true" applyFont="true">
      <alignment horizontal="center" vertical="center" wrapText="true"/>
    </xf>
    <xf numFmtId="0" fontId="264" fillId="50" borderId="35" xfId="0" applyFill="true" applyAlignment="true" applyBorder="true" applyFont="true">
      <alignment horizontal="center" vertical="center" wrapText="true"/>
    </xf>
    <xf numFmtId="0" fontId="265" fillId="46" borderId="35" xfId="0" applyFill="true" applyAlignment="true" applyBorder="true" applyFont="true">
      <alignment horizontal="center" vertical="center" wrapText="true"/>
    </xf>
    <xf numFmtId="0" fontId="266" fillId="48" borderId="35" xfId="0" applyFill="true" applyAlignment="true" applyBorder="true" applyFont="true">
      <alignment horizontal="center" vertical="center" wrapText="true"/>
    </xf>
    <xf numFmtId="0" fontId="267" fillId="50" borderId="35" xfId="0" applyFill="true" applyAlignment="true" applyBorder="true" applyFont="true">
      <alignment horizontal="center" vertical="center" wrapText="true"/>
    </xf>
    <xf numFmtId="0" fontId="268" fillId="44" borderId="35" xfId="0" applyFill="true" applyAlignment="true" applyBorder="true" applyFont="true">
      <alignment horizontal="center" vertical="center" wrapText="true"/>
    </xf>
    <xf numFmtId="0" fontId="269" fillId="46" borderId="35" xfId="0" applyFill="true" applyAlignment="true" applyBorder="true" applyFont="true">
      <alignment horizontal="center" vertical="center" wrapText="true"/>
    </xf>
    <xf numFmtId="0" fontId="270" fillId="46" borderId="35" xfId="0" applyFill="true" applyAlignment="true" applyBorder="true" applyFont="true">
      <alignment horizontal="center" vertical="center" wrapText="true"/>
    </xf>
    <xf numFmtId="0" fontId="271" fillId="46" borderId="35" xfId="0" applyFill="true" applyAlignment="true" applyBorder="true" applyFont="true">
      <alignment horizontal="center" vertical="center" wrapText="true"/>
    </xf>
    <xf numFmtId="0" fontId="272" fillId="46" borderId="35" xfId="0" applyFill="true" applyAlignment="true" applyBorder="true" applyFont="true">
      <alignment horizontal="center" vertical="center" wrapText="true"/>
    </xf>
    <xf numFmtId="0" fontId="273" fillId="46" borderId="35" xfId="0" applyFill="true" applyAlignment="true" applyBorder="true" applyFont="true">
      <alignment horizontal="center" vertical="center" wrapText="true"/>
    </xf>
    <xf numFmtId="0" fontId="274" fillId="48" borderId="35" xfId="0" applyFill="true" applyAlignment="true" applyBorder="true" applyFont="true">
      <alignment horizontal="center" vertical="center" wrapText="true"/>
    </xf>
    <xf numFmtId="164" fontId="274" fillId="48" borderId="35" xfId="0" applyFill="true" applyAlignment="true" applyBorder="true" applyFont="true" applyNumberFormat="true">
      <alignment horizontal="center" vertical="center" wrapText="true"/>
    </xf>
    <xf numFmtId="0" fontId="275" fillId="48" borderId="35" xfId="0" applyFill="true" applyAlignment="true" applyBorder="true" applyFont="true">
      <alignment horizontal="center" vertical="center" wrapText="true"/>
    </xf>
    <xf numFmtId="0" fontId="276" fillId="48" borderId="35" xfId="0" applyFill="true" applyAlignment="true" applyBorder="true" applyFont="true">
      <alignment horizontal="center" vertical="center" wrapText="true"/>
    </xf>
    <xf numFmtId="0" fontId="277" fillId="48" borderId="35" xfId="0" applyFill="true" applyAlignment="true" applyBorder="true" applyFont="true">
      <alignment horizontal="center" vertical="center" wrapText="true"/>
    </xf>
    <xf numFmtId="0" fontId="278" fillId="48" borderId="35" xfId="0" applyFill="true" applyAlignment="true" applyBorder="true" applyFont="true">
      <alignment horizontal="center" vertical="center" wrapText="true"/>
    </xf>
    <xf numFmtId="0" fontId="279" fillId="48" borderId="35" xfId="0" applyFill="true" applyAlignment="true" applyBorder="true" applyFont="true">
      <alignment horizontal="center" vertical="center" wrapText="true"/>
    </xf>
    <xf numFmtId="0" fontId="280" fillId="48" borderId="35" xfId="0" applyFill="true" applyAlignment="true" applyBorder="true" applyFont="true">
      <alignment horizontal="center" vertical="center" wrapText="true"/>
    </xf>
    <xf numFmtId="0" fontId="281" fillId="48" borderId="35" xfId="0" applyFill="true" applyAlignment="true" applyBorder="true" applyFont="true">
      <alignment horizontal="center" vertical="center" wrapText="true"/>
    </xf>
    <xf numFmtId="0" fontId="282" fillId="48" borderId="35" xfId="0" applyFill="true" applyAlignment="true" applyBorder="true" applyFont="true">
      <alignment horizontal="center" vertical="center" wrapText="true"/>
    </xf>
    <xf numFmtId="0" fontId="283" fillId="48" borderId="35" xfId="0" applyFill="true" applyAlignment="true" applyBorder="true" applyFont="true">
      <alignment horizontal="center" vertical="center" wrapText="true"/>
    </xf>
    <xf numFmtId="0" fontId="284" fillId="48" borderId="35" xfId="0" applyFill="true" applyAlignment="true" applyBorder="true" applyFont="true">
      <alignment horizontal="center" vertical="center" wrapText="true"/>
    </xf>
    <xf numFmtId="0" fontId="285" fillId="48" borderId="35" xfId="0" applyFill="true" applyAlignment="true" applyBorder="true" applyFont="true">
      <alignment horizontal="center" vertical="center" wrapText="true"/>
    </xf>
    <xf numFmtId="0" fontId="286" fillId="48" borderId="35" xfId="0" applyFill="true" applyAlignment="true" applyBorder="true" applyFont="true">
      <alignment horizontal="center" vertical="center" wrapText="true"/>
    </xf>
    <xf numFmtId="0" fontId="287" fillId="48" borderId="35" xfId="0" applyFill="true" applyAlignment="true" applyBorder="true" applyFont="true">
      <alignment horizontal="center" vertical="center" wrapText="true"/>
    </xf>
    <xf numFmtId="0" fontId="288" fillId="48" borderId="35" xfId="0" applyFill="true" applyAlignment="true" applyBorder="true" applyFont="true">
      <alignment horizontal="center" vertical="center" wrapText="true"/>
    </xf>
    <xf numFmtId="0" fontId="289" fillId="48" borderId="35" xfId="0" applyFill="true" applyAlignment="true" applyBorder="true" applyFont="true">
      <alignment horizontal="center" vertical="center" wrapText="true"/>
    </xf>
    <xf numFmtId="0" fontId="290" fillId="44" borderId="35" xfId="0" applyFill="true" applyAlignment="true" applyBorder="true" applyFont="true">
      <alignment horizontal="center" vertical="center" wrapText="true"/>
    </xf>
    <xf numFmtId="0" fontId="291" fillId="46" borderId="35" xfId="0" applyFill="true" applyAlignment="true" applyBorder="true" applyFont="true">
      <alignment horizontal="center" vertical="center" wrapText="true"/>
    </xf>
    <xf numFmtId="0" fontId="292" fillId="46" borderId="35" xfId="0" applyFill="true" applyAlignment="true" applyBorder="true" applyFont="true">
      <alignment horizontal="center" vertical="center" wrapText="true"/>
    </xf>
    <xf numFmtId="0" fontId="293" fillId="46" borderId="35" xfId="0" applyFill="true" applyAlignment="true" applyBorder="true" applyFont="true">
      <alignment horizontal="center" vertical="center" wrapText="true"/>
    </xf>
    <xf numFmtId="0" fontId="294" fillId="46" borderId="35" xfId="0" applyFill="true" applyAlignment="true" applyBorder="true" applyFont="true">
      <alignment horizontal="center" vertical="center" wrapText="true"/>
    </xf>
    <xf numFmtId="0" fontId="295" fillId="46" borderId="35" xfId="0" applyFill="true" applyAlignment="true" applyBorder="true" applyFont="true">
      <alignment horizontal="center" vertical="center" wrapText="true"/>
    </xf>
    <xf numFmtId="0" fontId="296" fillId="46" borderId="35" xfId="0" applyFill="true" applyAlignment="true" applyBorder="true" applyFont="true">
      <alignment horizontal="center" vertical="center" wrapText="true"/>
    </xf>
    <xf numFmtId="0" fontId="297" fillId="46" borderId="35" xfId="0" applyFill="true" applyAlignment="true" applyBorder="true" applyFont="true">
      <alignment horizontal="center" vertical="center" wrapText="true"/>
    </xf>
    <xf numFmtId="0" fontId="298" fillId="48" borderId="35" xfId="0" applyFill="true" applyAlignment="true" applyBorder="true" applyFont="true">
      <alignment horizontal="center" vertical="center" wrapText="true"/>
    </xf>
    <xf numFmtId="0" fontId="299" fillId="48" borderId="35" xfId="0" applyFill="true" applyAlignment="true" applyBorder="true" applyFont="true">
      <alignment horizontal="center" vertical="center" wrapText="true"/>
    </xf>
    <xf numFmtId="0" fontId="300" fillId="48" borderId="35" xfId="0" applyFill="true" applyAlignment="true" applyBorder="true" applyFont="true">
      <alignment horizontal="center" vertical="center" wrapText="true"/>
    </xf>
    <xf numFmtId="0" fontId="301" fillId="48" borderId="35" xfId="0" applyFill="true" applyAlignment="true" applyBorder="true" applyFont="true">
      <alignment horizontal="center" vertical="center" wrapText="true"/>
    </xf>
    <xf numFmtId="0" fontId="302" fillId="48" borderId="35" xfId="0" applyFill="true" applyAlignment="true" applyBorder="true" applyFont="true">
      <alignment horizontal="center" vertical="center" wrapText="true"/>
    </xf>
    <xf numFmtId="0" fontId="303" fillId="48" borderId="35" xfId="0" applyFill="true" applyAlignment="true" applyBorder="true" applyFont="true">
      <alignment horizontal="center" vertical="center" wrapText="true"/>
    </xf>
    <xf numFmtId="0" fontId="304" fillId="42" borderId="35" xfId="0" applyFill="true" applyAlignment="true" applyBorder="true" applyFont="true">
      <alignment horizontal="center" vertical="center" wrapText="true"/>
    </xf>
    <xf numFmtId="0" fontId="305" fillId="46" borderId="35" xfId="0" applyFill="true" applyAlignment="true" applyBorder="true" applyFont="true">
      <alignment horizontal="center" vertical="center" wrapText="true"/>
    </xf>
    <xf numFmtId="0" fontId="306" fillId="46" borderId="35" xfId="0" applyFill="true" applyAlignment="true" applyBorder="true" applyFont="true">
      <alignment horizontal="center" vertical="center" wrapText="true"/>
    </xf>
    <xf numFmtId="0" fontId="307" fillId="46" borderId="35" xfId="0" applyFill="true" applyAlignment="true" applyBorder="true" applyFont="true">
      <alignment horizontal="center" vertical="center" wrapText="true"/>
    </xf>
    <xf numFmtId="0" fontId="308" fillId="46" borderId="35" xfId="0" applyFill="true" applyAlignment="true" applyBorder="true" applyFont="true">
      <alignment horizontal="center" vertical="center" wrapText="true"/>
    </xf>
    <xf numFmtId="0" fontId="309" fillId="46" borderId="35" xfId="0" applyFill="true" applyAlignment="true" applyBorder="true" applyFont="true">
      <alignment horizontal="center" vertical="center" wrapText="true"/>
    </xf>
    <xf numFmtId="0" fontId="310" fillId="46" borderId="35" xfId="0" applyFill="true" applyAlignment="true" applyBorder="true" applyFont="true">
      <alignment horizontal="center" vertical="center" wrapText="true"/>
    </xf>
    <xf numFmtId="0" fontId="311" fillId="28" borderId="35" xfId="0" applyFill="true" applyAlignment="true" applyBorder="true" applyFont="true">
      <alignment horizontal="center" vertical="center" wrapText="true"/>
    </xf>
    <xf numFmtId="0" fontId="312" fillId="28" borderId="35" xfId="0" applyFill="true" applyAlignment="true" applyBorder="true" applyFont="true">
      <alignment horizontal="center" vertical="center" wrapText="true"/>
    </xf>
    <xf numFmtId="0" fontId="313" fillId="28" borderId="35" xfId="0" applyFill="true" applyAlignment="true" applyBorder="true" applyFont="true">
      <alignment horizontal="center" vertical="center" wrapText="true"/>
    </xf>
    <xf numFmtId="0" fontId="314" fillId="28" borderId="35" xfId="0" applyFill="true" applyAlignment="true" applyBorder="true" applyFont="true">
      <alignment horizontal="center" vertical="center" wrapText="true"/>
    </xf>
    <xf numFmtId="0" fontId="315" fillId="28" borderId="35" xfId="0" applyFill="true" applyAlignment="true" applyBorder="true" applyFont="true">
      <alignment horizontal="center" vertical="center" wrapText="true"/>
    </xf>
    <xf numFmtId="0" fontId="316" fillId="28" borderId="35" xfId="0" applyFill="true" applyAlignment="true" applyBorder="true" applyFont="true">
      <alignment horizontal="center" vertical="center" wrapText="true"/>
    </xf>
    <xf numFmtId="0" fontId="317" fillId="28" borderId="35" xfId="0" applyFill="true" applyAlignment="true" applyBorder="true" applyFont="true">
      <alignment horizontal="center" vertical="center" wrapText="true"/>
    </xf>
    <xf numFmtId="0" fontId="318" fillId="28" borderId="35" xfId="0" applyFill="true" applyAlignment="true" applyBorder="true" applyFont="true">
      <alignment horizontal="center" vertical="center" wrapText="true"/>
    </xf>
    <xf numFmtId="0" fontId="319" fillId="28" borderId="35" xfId="0" applyFill="true" applyAlignment="true" applyBorder="true" applyFont="true">
      <alignment horizontal="center" vertical="center" wrapText="true"/>
    </xf>
    <xf numFmtId="0" fontId="320" fillId="28" borderId="35" xfId="0" applyFill="true" applyAlignment="true" applyBorder="true" applyFont="true">
      <alignment horizontal="center" vertical="center" wrapText="true"/>
    </xf>
    <xf numFmtId="0" fontId="321" fillId="46" borderId="35" xfId="0" applyFill="true" applyAlignment="true" applyBorder="true" applyFont="true">
      <alignment horizontal="center" vertical="center" wrapText="true"/>
    </xf>
    <xf numFmtId="0" fontId="322" fillId="46" borderId="35" xfId="0" applyFill="true" applyAlignment="true" applyBorder="true" applyFont="true">
      <alignment horizontal="center" vertical="center" wrapText="true"/>
    </xf>
    <xf numFmtId="0" fontId="323" fillId="46" borderId="35" xfId="0" applyFill="true" applyAlignment="true" applyBorder="true" applyFont="true">
      <alignment horizontal="center" vertical="center" wrapText="true"/>
    </xf>
    <xf numFmtId="0" fontId="324" fillId="28" borderId="35" xfId="0" applyFill="true" applyAlignment="true" applyBorder="true" applyFont="true">
      <alignment horizontal="center" vertical="center" wrapText="true"/>
    </xf>
    <xf numFmtId="0" fontId="325" fillId="28" borderId="35" xfId="0" applyFill="true" applyAlignment="true" applyBorder="true" applyFont="true">
      <alignment horizontal="center" vertical="center" wrapText="true"/>
    </xf>
    <xf numFmtId="0" fontId="326" fillId="20" borderId="17" xfId="0" applyFill="true" applyAlignment="true" applyBorder="true" applyFont="true">
      <alignment horizontal="center" vertical="center"/>
    </xf>
    <xf numFmtId="0" fontId="327" fillId="22" borderId="19" xfId="0" applyFill="true" applyAlignment="true" applyBorder="true" applyFont="true">
      <alignment horizontal="center" vertical="center" wrapText="true"/>
    </xf>
    <xf numFmtId="0" fontId="327" fillId="23" borderId="19" xfId="0" applyFill="true" applyAlignment="true" applyBorder="true" applyFont="true">
      <alignment horizontal="center" vertical="center" wrapText="true"/>
    </xf>
    <xf numFmtId="0" fontId="327" fillId="24" borderId="19" xfId="0" applyFill="true" applyAlignment="true" applyBorder="true" applyFont="true">
      <alignment horizontal="center" vertical="center" wrapText="true"/>
    </xf>
    <xf numFmtId="0" fontId="327" fillId="51" borderId="19" xfId="0" applyFill="true" applyAlignment="true" applyBorder="true" applyFont="true">
      <alignment horizontal="center" vertical="center" wrapText="true"/>
    </xf>
    <xf numFmtId="0" fontId="327" fillId="52" borderId="19" xfId="0" applyFill="true" applyAlignment="true" applyBorder="true" applyFont="true">
      <alignment horizontal="center" vertical="center" wrapText="true"/>
    </xf>
    <xf numFmtId="0" fontId="327" fillId="25" borderId="19" xfId="0" applyFill="true" applyAlignment="true" applyBorder="true" applyFont="true">
      <alignment horizontal="center" vertical="center" wrapText="true"/>
    </xf>
    <xf numFmtId="0" fontId="327" fillId="53" borderId="19" xfId="0" applyFill="true" applyAlignment="true" applyBorder="true" applyFont="true">
      <alignment horizontal="center" vertical="center" wrapText="true"/>
    </xf>
    <xf numFmtId="0" fontId="327" fillId="54" borderId="19" xfId="0" applyFill="true" applyAlignment="true" applyBorder="true" applyFont="true">
      <alignment horizontal="center" vertical="center" wrapText="true"/>
    </xf>
    <xf numFmtId="0" fontId="327" fillId="26" borderId="19" xfId="0" applyFill="true" applyAlignment="true" applyBorder="true" applyFont="true">
      <alignment horizontal="center" vertical="center" wrapText="true"/>
    </xf>
    <xf numFmtId="49" fontId="328" fillId="28" borderId="27" xfId="0" applyNumberFormat="true" applyAlignment="true" applyFill="true" applyBorder="true" applyFont="true">
      <alignment horizontal="left" vertical="center" wrapText="false"/>
    </xf>
    <xf numFmtId="49" fontId="329" fillId="28" borderId="27" xfId="0" applyNumberFormat="true" applyAlignment="true" applyFill="true" applyBorder="true" applyFont="true">
      <alignment horizontal="left" vertical="center" wrapText="false"/>
    </xf>
    <xf numFmtId="49" fontId="331" fillId="30" borderId="27" xfId="0" applyNumberFormat="true" applyAlignment="true" applyFill="true" applyBorder="true" applyFont="true">
      <alignment horizontal="left" vertical="center" wrapText="false"/>
    </xf>
    <xf numFmtId="49" fontId="333" fillId="32" borderId="27" xfId="0" applyNumberFormat="true" applyAlignment="true" applyFill="true" applyBorder="true" applyFont="true">
      <alignment horizontal="left" vertical="center" wrapText="false"/>
    </xf>
    <xf numFmtId="164" fontId="328" fillId="28" borderId="27" xfId="0" applyNumberFormat="true" applyAlignment="true" applyFill="true" applyBorder="true" applyFont="true">
      <alignment horizontal="left" vertical="center" wrapText="false"/>
    </xf>
    <xf numFmtId="49" fontId="334" fillId="34" borderId="27" xfId="0" applyNumberFormat="true" applyAlignment="true" applyFill="true" applyBorder="true" applyFont="true">
      <alignment horizontal="left" vertical="center" wrapText="false"/>
    </xf>
    <xf numFmtId="49" fontId="335" fillId="34" borderId="27" xfId="0" applyNumberFormat="true" applyAlignment="true" applyFill="true" applyBorder="true" applyFont="true">
      <alignment horizontal="left" vertical="center" wrapText="false"/>
    </xf>
    <xf numFmtId="49" fontId="337" fillId="36" borderId="27" xfId="0" applyNumberFormat="true" applyAlignment="true" applyFill="true" applyBorder="true" applyFont="true">
      <alignment horizontal="left" vertical="center" wrapText="false"/>
    </xf>
    <xf numFmtId="49" fontId="339" fillId="38" borderId="27" xfId="0" applyNumberFormat="true" applyAlignment="true" applyFill="true" applyBorder="true" applyFont="true">
      <alignment horizontal="left" vertical="center" wrapText="false"/>
    </xf>
    <xf numFmtId="164" fontId="334" fillId="34" borderId="27" xfId="0" applyNumberFormat="true" applyAlignment="true" applyFill="true" applyBorder="true" applyFont="true">
      <alignment horizontal="left" vertical="center" wrapText="false"/>
    </xf>
    <xf numFmtId="49" fontId="340" fillId="28" borderId="27" xfId="0" applyNumberFormat="true" applyAlignment="true" applyFill="true" applyBorder="true" applyFont="true">
      <alignment horizontal="left" vertical="center" wrapText="false"/>
    </xf>
    <xf numFmtId="49" fontId="0" fillId="40" borderId="31" xfId="0" applyNumberFormat="true" applyFill="true" applyBorder="true"/>
    <xf numFmtId="0" fontId="341" fillId="42" borderId="0" xfId="0" applyFill="true" applyAlignment="true" applyFont="true">
      <alignment horizontal="center" vertical="center"/>
    </xf>
    <xf numFmtId="0" fontId="342" fillId="42" borderId="35" xfId="0" applyFill="true" applyAlignment="true" applyBorder="true" applyFont="true">
      <alignment horizontal="center" vertical="center" wrapText="true"/>
    </xf>
    <xf numFmtId="0" fontId="343" fillId="44" borderId="35" xfId="0" applyFill="true" applyAlignment="true" applyBorder="true" applyFont="true">
      <alignment horizontal="center" vertical="center" wrapText="true"/>
    </xf>
    <xf numFmtId="0" fontId="344" fillId="46" borderId="35" xfId="0" applyFill="true" applyAlignment="true" applyBorder="true" applyFont="true">
      <alignment horizontal="center" vertical="center" wrapText="true"/>
    </xf>
    <xf numFmtId="0" fontId="345" fillId="48" borderId="35" xfId="0" applyFill="true" applyAlignment="true" applyBorder="true" applyFont="true">
      <alignment horizontal="center" vertical="center" wrapText="true"/>
    </xf>
    <xf numFmtId="0" fontId="346" fillId="50" borderId="35" xfId="0" applyFill="true" applyAlignment="true" applyBorder="true" applyFont="true">
      <alignment horizontal="center" vertical="center" wrapText="true"/>
    </xf>
    <xf numFmtId="0" fontId="347" fillId="46" borderId="35" xfId="0" applyFill="true" applyAlignment="true" applyBorder="true" applyFont="true">
      <alignment horizontal="center" vertical="center" wrapText="true"/>
    </xf>
    <xf numFmtId="0" fontId="348" fillId="48" borderId="35" xfId="0" applyFill="true" applyAlignment="true" applyBorder="true" applyFont="true">
      <alignment horizontal="center" vertical="center" wrapText="true"/>
    </xf>
    <xf numFmtId="0" fontId="349" fillId="50" borderId="35" xfId="0" applyFill="true" applyAlignment="true" applyBorder="true" applyFont="true">
      <alignment horizontal="center" vertical="center" wrapText="true"/>
    </xf>
    <xf numFmtId="0" fontId="350" fillId="46" borderId="35" xfId="0" applyFill="true" applyAlignment="true" applyBorder="true" applyFont="true">
      <alignment horizontal="center" vertical="center" wrapText="true"/>
    </xf>
    <xf numFmtId="0" fontId="351" fillId="48" borderId="35" xfId="0" applyFill="true" applyAlignment="true" applyBorder="true" applyFont="true">
      <alignment horizontal="center" vertical="center" wrapText="true"/>
    </xf>
    <xf numFmtId="0" fontId="352" fillId="50" borderId="35" xfId="0" applyFill="true" applyAlignment="true" applyBorder="true" applyFont="true">
      <alignment horizontal="center" vertical="center" wrapText="true"/>
    </xf>
    <xf numFmtId="0" fontId="353" fillId="46" borderId="35" xfId="0" applyFill="true" applyAlignment="true" applyBorder="true" applyFont="true">
      <alignment horizontal="center" vertical="center" wrapText="true"/>
    </xf>
    <xf numFmtId="0" fontId="354" fillId="48" borderId="35" xfId="0" applyFill="true" applyAlignment="true" applyBorder="true" applyFont="true">
      <alignment horizontal="center" vertical="center" wrapText="true"/>
    </xf>
    <xf numFmtId="0" fontId="355" fillId="50" borderId="35" xfId="0" applyFill="true" applyAlignment="true" applyBorder="true" applyFont="true">
      <alignment horizontal="center" vertical="center" wrapText="true"/>
    </xf>
    <xf numFmtId="0" fontId="356" fillId="44" borderId="35" xfId="0" applyFill="true" applyAlignment="true" applyBorder="true" applyFont="true">
      <alignment horizontal="center" vertical="center" wrapText="true"/>
    </xf>
    <xf numFmtId="0" fontId="357" fillId="46" borderId="35" xfId="0" applyFill="true" applyAlignment="true" applyBorder="true" applyFont="true">
      <alignment horizontal="center" vertical="center" wrapText="true"/>
    </xf>
    <xf numFmtId="0" fontId="358" fillId="46" borderId="35" xfId="0" applyFill="true" applyAlignment="true" applyBorder="true" applyFont="true">
      <alignment horizontal="center" vertical="center" wrapText="true"/>
    </xf>
    <xf numFmtId="0" fontId="359" fillId="46" borderId="35" xfId="0" applyFill="true" applyAlignment="true" applyBorder="true" applyFont="true">
      <alignment horizontal="center" vertical="center" wrapText="true"/>
    </xf>
    <xf numFmtId="0" fontId="360" fillId="46" borderId="35" xfId="0" applyFill="true" applyAlignment="true" applyBorder="true" applyFont="true">
      <alignment horizontal="center" vertical="center" wrapText="true"/>
    </xf>
    <xf numFmtId="0" fontId="361" fillId="46" borderId="35" xfId="0" applyFill="true" applyAlignment="true" applyBorder="true" applyFont="true">
      <alignment horizontal="center" vertical="center" wrapText="true"/>
    </xf>
    <xf numFmtId="0" fontId="362" fillId="48" borderId="35" xfId="0" applyFill="true" applyAlignment="true" applyBorder="true" applyFont="true">
      <alignment horizontal="center" vertical="center" wrapText="true"/>
    </xf>
    <xf numFmtId="164" fontId="362" fillId="48" borderId="35" xfId="0" applyFill="true" applyAlignment="true" applyBorder="true" applyFont="true" applyNumberFormat="true">
      <alignment horizontal="center" vertical="center" wrapText="true"/>
    </xf>
    <xf numFmtId="0" fontId="363" fillId="48" borderId="35" xfId="0" applyFill="true" applyAlignment="true" applyBorder="true" applyFont="true">
      <alignment horizontal="center" vertical="center" wrapText="true"/>
    </xf>
    <xf numFmtId="0" fontId="364" fillId="48" borderId="35" xfId="0" applyFill="true" applyAlignment="true" applyBorder="true" applyFont="true">
      <alignment horizontal="center" vertical="center" wrapText="true"/>
    </xf>
    <xf numFmtId="0" fontId="365" fillId="48" borderId="35" xfId="0" applyFill="true" applyAlignment="true" applyBorder="true" applyFont="true">
      <alignment horizontal="center" vertical="center" wrapText="true"/>
    </xf>
    <xf numFmtId="0" fontId="366" fillId="48" borderId="35" xfId="0" applyFill="true" applyAlignment="true" applyBorder="true" applyFont="true">
      <alignment horizontal="center" vertical="center" wrapText="true"/>
    </xf>
    <xf numFmtId="0" fontId="367" fillId="48" borderId="35" xfId="0" applyFill="true" applyAlignment="true" applyBorder="true" applyFont="true">
      <alignment horizontal="center" vertical="center" wrapText="true"/>
    </xf>
    <xf numFmtId="0" fontId="368" fillId="48" borderId="35" xfId="0" applyFill="true" applyAlignment="true" applyBorder="true" applyFont="true">
      <alignment horizontal="center" vertical="center" wrapText="true"/>
    </xf>
    <xf numFmtId="0" fontId="369" fillId="48" borderId="35" xfId="0" applyFill="true" applyAlignment="true" applyBorder="true" applyFont="true">
      <alignment horizontal="center" vertical="center" wrapText="true"/>
    </xf>
    <xf numFmtId="0" fontId="370" fillId="48" borderId="35" xfId="0" applyFill="true" applyAlignment="true" applyBorder="true" applyFont="true">
      <alignment horizontal="center" vertical="center" wrapText="true"/>
    </xf>
    <xf numFmtId="0" fontId="371" fillId="48" borderId="35" xfId="0" applyFill="true" applyAlignment="true" applyBorder="true" applyFont="true">
      <alignment horizontal="center" vertical="center" wrapText="true"/>
    </xf>
    <xf numFmtId="0" fontId="372" fillId="48" borderId="35" xfId="0" applyFill="true" applyAlignment="true" applyBorder="true" applyFont="true">
      <alignment horizontal="center" vertical="center" wrapText="true"/>
    </xf>
    <xf numFmtId="0" fontId="373" fillId="48" borderId="35" xfId="0" applyFill="true" applyAlignment="true" applyBorder="true" applyFont="true">
      <alignment horizontal="center" vertical="center" wrapText="true"/>
    </xf>
    <xf numFmtId="0" fontId="374" fillId="48" borderId="35" xfId="0" applyFill="true" applyAlignment="true" applyBorder="true" applyFont="true">
      <alignment horizontal="center" vertical="center" wrapText="true"/>
    </xf>
    <xf numFmtId="0" fontId="375" fillId="44" borderId="35" xfId="0" applyFill="true" applyAlignment="true" applyBorder="true" applyFont="true">
      <alignment horizontal="center" vertical="center" wrapText="true"/>
    </xf>
    <xf numFmtId="0" fontId="376" fillId="46" borderId="35" xfId="0" applyFill="true" applyAlignment="true" applyBorder="true" applyFont="true">
      <alignment horizontal="center" vertical="center" wrapText="true"/>
    </xf>
    <xf numFmtId="0" fontId="377" fillId="48" borderId="35" xfId="0" applyFill="true" applyAlignment="true" applyBorder="true" applyFont="true">
      <alignment horizontal="center" vertical="center" wrapText="true"/>
    </xf>
    <xf numFmtId="0" fontId="378" fillId="50" borderId="35" xfId="0" applyFill="true" applyAlignment="true" applyBorder="true" applyFont="true">
      <alignment horizontal="center" vertical="center" wrapText="true"/>
    </xf>
    <xf numFmtId="0" fontId="379" fillId="46" borderId="35" xfId="0" applyFill="true" applyAlignment="true" applyBorder="true" applyFont="true">
      <alignment horizontal="center" vertical="center" wrapText="true"/>
    </xf>
    <xf numFmtId="0" fontId="380" fillId="48" borderId="35" xfId="0" applyFill="true" applyAlignment="true" applyBorder="true" applyFont="true">
      <alignment horizontal="center" vertical="center" wrapText="true"/>
    </xf>
    <xf numFmtId="0" fontId="381" fillId="50" borderId="35" xfId="0" applyFill="true" applyAlignment="true" applyBorder="true" applyFont="true">
      <alignment horizontal="center" vertical="center" wrapText="true"/>
    </xf>
    <xf numFmtId="0" fontId="382" fillId="46" borderId="35" xfId="0" applyFill="true" applyAlignment="true" applyBorder="true" applyFont="true">
      <alignment horizontal="center" vertical="center" wrapText="true"/>
    </xf>
    <xf numFmtId="0" fontId="383" fillId="48" borderId="35" xfId="0" applyFill="true" applyAlignment="true" applyBorder="true" applyFont="true">
      <alignment horizontal="center" vertical="center" wrapText="true"/>
    </xf>
    <xf numFmtId="0" fontId="384" fillId="50" borderId="35" xfId="0" applyFill="true" applyAlignment="true" applyBorder="true" applyFont="true">
      <alignment horizontal="center" vertical="center" wrapText="true"/>
    </xf>
    <xf numFmtId="0" fontId="385" fillId="46" borderId="35" xfId="0" applyFill="true" applyAlignment="true" applyBorder="true" applyFont="true">
      <alignment horizontal="center" vertical="center" wrapText="true"/>
    </xf>
    <xf numFmtId="0" fontId="386" fillId="48" borderId="35" xfId="0" applyFill="true" applyAlignment="true" applyBorder="true" applyFont="true">
      <alignment horizontal="center" vertical="center" wrapText="true"/>
    </xf>
    <xf numFmtId="0" fontId="387" fillId="50" borderId="35" xfId="0" applyFill="true" applyAlignment="true" applyBorder="true" applyFont="true">
      <alignment horizontal="center" vertical="center" wrapText="true"/>
    </xf>
    <xf numFmtId="0" fontId="388" fillId="42" borderId="35" xfId="0" applyFill="true" applyAlignment="true" applyBorder="true" applyFont="true">
      <alignment horizontal="center" vertical="center" wrapText="true"/>
    </xf>
    <xf numFmtId="0" fontId="389" fillId="46" borderId="35" xfId="0" applyFill="true" applyAlignment="true" applyBorder="true" applyFont="true">
      <alignment horizontal="center" vertical="center" wrapText="true"/>
    </xf>
    <xf numFmtId="0" fontId="390" fillId="46" borderId="35" xfId="0" applyFill="true" applyAlignment="true" applyBorder="true" applyFont="true">
      <alignment horizontal="center" vertical="center" wrapText="true"/>
    </xf>
    <xf numFmtId="0" fontId="391" fillId="46" borderId="35" xfId="0" applyFill="true" applyAlignment="true" applyBorder="true" applyFont="true">
      <alignment horizontal="center" vertical="center" wrapText="true"/>
    </xf>
    <xf numFmtId="0" fontId="392" fillId="46" borderId="35" xfId="0" applyFill="true" applyAlignment="true" applyBorder="true" applyFont="true">
      <alignment horizontal="center" vertical="center" wrapText="true"/>
    </xf>
    <xf numFmtId="0" fontId="393" fillId="46" borderId="35" xfId="0" applyFill="true" applyAlignment="true" applyBorder="true" applyFont="true">
      <alignment horizontal="center" vertical="center" wrapText="true"/>
    </xf>
    <xf numFmtId="0" fontId="394" fillId="46" borderId="35" xfId="0" applyFill="true" applyAlignment="true" applyBorder="true" applyFont="true">
      <alignment horizontal="center" vertical="center" wrapText="true"/>
    </xf>
    <xf numFmtId="0" fontId="395" fillId="28" borderId="35" xfId="0" applyFill="true" applyAlignment="true" applyBorder="true" applyFont="true">
      <alignment horizontal="center" vertical="center" wrapText="true"/>
    </xf>
    <xf numFmtId="0" fontId="396" fillId="28" borderId="35" xfId="0" applyFill="true" applyAlignment="true" applyBorder="true" applyFont="true">
      <alignment horizontal="center" vertical="center" wrapText="true"/>
    </xf>
    <xf numFmtId="0" fontId="397" fillId="28" borderId="35" xfId="0" applyFill="true" applyAlignment="true" applyBorder="true" applyFont="true">
      <alignment horizontal="center" vertical="center" wrapText="true"/>
    </xf>
    <xf numFmtId="0" fontId="398" fillId="28" borderId="35" xfId="0" applyFill="true" applyAlignment="true" applyBorder="true" applyFont="true">
      <alignment horizontal="center" vertical="center" wrapText="true"/>
    </xf>
    <xf numFmtId="0" fontId="399" fillId="28" borderId="35" xfId="0" applyFill="true" applyAlignment="true" applyBorder="true" applyFont="true">
      <alignment horizontal="center" vertical="center" wrapText="true"/>
    </xf>
    <xf numFmtId="0" fontId="400" fillId="28" borderId="35" xfId="0" applyFill="true" applyAlignment="true" applyBorder="true" applyFont="true">
      <alignment horizontal="center" vertical="center" wrapText="true"/>
    </xf>
    <xf numFmtId="0" fontId="401" fillId="28" borderId="35" xfId="0" applyFill="true" applyAlignment="true" applyBorder="true" applyFont="true">
      <alignment horizontal="center" vertical="center" wrapText="true"/>
    </xf>
    <xf numFmtId="0" fontId="402" fillId="28" borderId="35" xfId="0" applyFill="true" applyAlignment="true" applyBorder="true" applyFont="true">
      <alignment horizontal="center" vertical="center" wrapText="true"/>
    </xf>
    <xf numFmtId="0" fontId="403" fillId="28" borderId="35" xfId="0" applyFill="true" applyAlignment="true" applyBorder="true" applyFont="true">
      <alignment horizontal="center" vertical="center" wrapText="true"/>
    </xf>
    <xf numFmtId="0" fontId="404" fillId="28" borderId="35" xfId="0" applyFill="true" applyAlignment="true" applyBorder="true" applyFont="true">
      <alignment horizontal="center" vertical="center" wrapText="true"/>
    </xf>
    <xf numFmtId="0" fontId="405" fillId="46" borderId="35" xfId="0" applyFill="true" applyAlignment="true" applyBorder="true" applyFont="true">
      <alignment horizontal="center" vertical="center" wrapText="true"/>
    </xf>
    <xf numFmtId="0" fontId="406" fillId="46" borderId="35" xfId="0" applyFill="true" applyAlignment="true" applyBorder="true" applyFont="true">
      <alignment horizontal="center" vertical="center" wrapText="true"/>
    </xf>
    <xf numFmtId="0" fontId="407" fillId="46" borderId="35" xfId="0" applyFill="true" applyAlignment="true" applyBorder="true" applyFont="true">
      <alignment horizontal="center" vertical="center" wrapText="true"/>
    </xf>
    <xf numFmtId="0" fontId="408" fillId="28" borderId="35" xfId="0" applyFill="true" applyAlignment="true" applyBorder="true" applyFont="true">
      <alignment horizontal="center" vertical="center" wrapText="true"/>
    </xf>
    <xf numFmtId="0" fontId="409" fillId="28" borderId="35" xfId="0" applyFill="true" applyAlignment="true" applyBorder="true" applyFont="true">
      <alignment horizontal="center" vertical="center" wrapText="true"/>
    </xf>
    <xf numFmtId="0" fontId="410" fillId="20" borderId="17" xfId="0" applyFill="true" applyAlignment="true" applyBorder="true" applyFont="true">
      <alignment horizontal="center" vertical="center"/>
    </xf>
    <xf numFmtId="0" fontId="411" fillId="22" borderId="19" xfId="0" applyFill="true" applyAlignment="true" applyBorder="true" applyFont="true">
      <alignment horizontal="center" vertical="center" wrapText="true"/>
    </xf>
    <xf numFmtId="0" fontId="411" fillId="23" borderId="19" xfId="0" applyFill="true" applyAlignment="true" applyBorder="true" applyFont="true">
      <alignment horizontal="center" vertical="center" wrapText="true"/>
    </xf>
    <xf numFmtId="0" fontId="411" fillId="24" borderId="19" xfId="0" applyFill="true" applyAlignment="true" applyBorder="true" applyFont="true">
      <alignment horizontal="center" vertical="center" wrapText="true"/>
    </xf>
    <xf numFmtId="0" fontId="411" fillId="51" borderId="19" xfId="0" applyFill="true" applyAlignment="true" applyBorder="true" applyFont="true">
      <alignment horizontal="center" vertical="center" wrapText="true"/>
    </xf>
    <xf numFmtId="0" fontId="411" fillId="52" borderId="19" xfId="0" applyFill="true" applyAlignment="true" applyBorder="true" applyFont="true">
      <alignment horizontal="center" vertical="center" wrapText="true"/>
    </xf>
    <xf numFmtId="0" fontId="411" fillId="25" borderId="19" xfId="0" applyFill="true" applyAlignment="true" applyBorder="true" applyFont="true">
      <alignment horizontal="center" vertical="center" wrapText="true"/>
    </xf>
    <xf numFmtId="0" fontId="411" fillId="53" borderId="19" xfId="0" applyFill="true" applyAlignment="true" applyBorder="true" applyFont="true">
      <alignment horizontal="center" vertical="center" wrapText="true"/>
    </xf>
    <xf numFmtId="0" fontId="411" fillId="54" borderId="19" xfId="0" applyFill="true" applyAlignment="true" applyBorder="true" applyFont="true">
      <alignment horizontal="center" vertical="center" wrapText="true"/>
    </xf>
    <xf numFmtId="0" fontId="411" fillId="26" borderId="19" xfId="0" applyFill="true" applyAlignment="true" applyBorder="true" applyFont="true">
      <alignment horizontal="center" vertical="center" wrapText="true"/>
    </xf>
    <xf numFmtId="49" fontId="412" fillId="28" borderId="27" xfId="0" applyNumberFormat="true" applyAlignment="true" applyFill="true" applyBorder="true" applyFont="true">
      <alignment horizontal="left" vertical="center" wrapText="false"/>
    </xf>
    <xf numFmtId="49" fontId="413" fillId="28" borderId="27" xfId="0" applyNumberFormat="true" applyAlignment="true" applyFill="true" applyBorder="true" applyFont="true">
      <alignment horizontal="left" vertical="center" wrapText="false"/>
    </xf>
    <xf numFmtId="49" fontId="415" fillId="30" borderId="27" xfId="0" applyNumberFormat="true" applyAlignment="true" applyFill="true" applyBorder="true" applyFont="true">
      <alignment horizontal="left" vertical="center" wrapText="false"/>
    </xf>
    <xf numFmtId="49" fontId="417" fillId="32" borderId="27" xfId="0" applyNumberFormat="true" applyAlignment="true" applyFill="true" applyBorder="true" applyFont="true">
      <alignment horizontal="left" vertical="center" wrapText="false"/>
    </xf>
    <xf numFmtId="164" fontId="412" fillId="28" borderId="27" xfId="0" applyNumberFormat="true" applyAlignment="true" applyFill="true" applyBorder="true" applyFont="true">
      <alignment horizontal="left" vertical="center" wrapText="false"/>
    </xf>
    <xf numFmtId="49" fontId="418" fillId="34" borderId="27" xfId="0" applyNumberFormat="true" applyAlignment="true" applyFill="true" applyBorder="true" applyFont="true">
      <alignment horizontal="left" vertical="center" wrapText="false"/>
    </xf>
    <xf numFmtId="49" fontId="419" fillId="34" borderId="27" xfId="0" applyNumberFormat="true" applyAlignment="true" applyFill="true" applyBorder="true" applyFont="true">
      <alignment horizontal="left" vertical="center" wrapText="false"/>
    </xf>
    <xf numFmtId="49" fontId="421" fillId="36" borderId="27" xfId="0" applyNumberFormat="true" applyAlignment="true" applyFill="true" applyBorder="true" applyFont="true">
      <alignment horizontal="left" vertical="center" wrapText="false"/>
    </xf>
    <xf numFmtId="49" fontId="423" fillId="38" borderId="27" xfId="0" applyNumberFormat="true" applyAlignment="true" applyFill="true" applyBorder="true" applyFont="true">
      <alignment horizontal="left" vertical="center" wrapText="false"/>
    </xf>
    <xf numFmtId="164" fontId="418" fillId="34" borderId="27" xfId="0" applyNumberFormat="true" applyAlignment="true" applyFill="true" applyBorder="true" applyFont="true">
      <alignment horizontal="left" vertical="center" wrapText="false"/>
    </xf>
    <xf numFmtId="49" fontId="424" fillId="28" borderId="27" xfId="0" applyNumberFormat="true" applyAlignment="true" applyFill="true" applyBorder="true" applyFont="true">
      <alignment horizontal="left" vertical="center" wrapText="false"/>
    </xf>
    <xf numFmtId="49" fontId="0" fillId="40" borderId="31" xfId="0" applyNumberFormat="true" applyFill="true" applyBorder="true"/>
    <xf numFmtId="0" fontId="425" fillId="42" borderId="0" xfId="0" applyFill="true" applyAlignment="true" applyFont="true">
      <alignment horizontal="center" vertical="center"/>
    </xf>
    <xf numFmtId="0" fontId="426" fillId="56" borderId="0" xfId="0" applyFill="true" applyAlignment="true" applyFont="true">
      <alignment horizontal="center" vertical="center" wrapText="true"/>
    </xf>
    <xf numFmtId="0" fontId="426" fillId="56" borderId="41" xfId="0" applyFill="true" applyAlignment="true" applyFont="true" applyBorder="true">
      <alignment horizontal="center" vertical="center" wrapText="true"/>
    </xf>
    <xf numFmtId="0" fontId="426" fillId="56" borderId="46" xfId="0" applyFill="true" applyAlignment="true" applyFont="true" applyBorder="true">
      <alignment horizontal="center" vertical="center" wrapText="true"/>
    </xf>
    <xf numFmtId="0" fontId="426" fillId="56" borderId="51" xfId="0" applyFill="true" applyAlignment="true" applyFont="true" applyBorder="true">
      <alignment horizontal="center" vertical="center" wrapText="true"/>
    </xf>
    <xf numFmtId="0" fontId="426" fillId="56" borderId="56" xfId="0" applyFill="true" applyAlignment="true" applyFont="true" applyBorder="true">
      <alignment horizontal="center" vertical="center" wrapText="true"/>
    </xf>
    <xf numFmtId="0" fontId="426" fillId="56" borderId="51" xfId="0" applyFill="true" applyAlignment="true" applyFont="true" applyBorder="true">
      <alignment horizontal="center" vertical="center" wrapText="true"/>
    </xf>
    <xf numFmtId="0" fontId="426" fillId="56" borderId="56" xfId="0" applyFill="true" applyAlignment="true" applyFont="true" applyBorder="true">
      <alignment horizontal="center" vertical="center" wrapText="true"/>
    </xf>
    <xf numFmtId="0" fontId="426" fillId="56" borderId="61" xfId="0" applyFill="true" applyAlignment="true" applyFont="true" applyBorder="true">
      <alignment horizontal="center" vertical="center" wrapText="true"/>
    </xf>
    <xf numFmtId="0" fontId="426" fillId="56" borderId="66" xfId="0" applyFill="true" applyAlignment="true" applyFont="true" applyBorder="true">
      <alignment horizontal="center" vertical="center" wrapText="true"/>
    </xf>
    <xf numFmtId="0" fontId="427" fillId="42" borderId="0" xfId="0" applyFill="true" applyAlignment="true" applyFont="true">
      <alignment horizontal="center" vertical="center" wrapText="true"/>
    </xf>
    <xf numFmtId="0" fontId="428" fillId="42" borderId="0" xfId="0" applyFill="true" applyAlignment="true" applyFont="true">
      <alignment horizontal="center" vertical="center" wrapText="true"/>
    </xf>
    <xf numFmtId="0" fontId="429" fillId="56" borderId="0" xfId="0" applyFill="true" applyAlignment="true" applyFont="true">
      <alignment horizontal="center" vertical="center" wrapText="true"/>
    </xf>
    <xf numFmtId="0" fontId="429" fillId="56" borderId="71" xfId="0" applyFill="true" applyAlignment="true" applyFont="true" applyBorder="true">
      <alignment horizontal="center" vertical="center" wrapText="true"/>
    </xf>
    <xf numFmtId="0" fontId="429" fillId="56" borderId="75" xfId="0" applyFill="true" applyAlignment="true" applyFont="true" applyBorder="true">
      <alignment horizontal="center" vertical="center" wrapText="true"/>
    </xf>
    <xf numFmtId="0" fontId="429" fillId="56" borderId="80" xfId="0" applyFill="true" applyAlignment="true" applyFont="true" applyBorder="true">
      <alignment horizontal="center" vertical="center" wrapText="true"/>
    </xf>
    <xf numFmtId="0" fontId="429" fillId="56" borderId="85" xfId="0" applyFill="true" applyAlignment="true" applyFont="true" applyBorder="true">
      <alignment horizontal="center" vertical="center" wrapText="true"/>
    </xf>
    <xf numFmtId="0" fontId="429" fillId="56" borderId="80" xfId="0" applyFill="true" applyAlignment="true" applyFont="true" applyBorder="true">
      <alignment horizontal="center" vertical="center" wrapText="true"/>
    </xf>
    <xf numFmtId="0" fontId="429" fillId="56" borderId="85" xfId="0" applyFill="true" applyAlignment="true" applyFont="true" applyBorder="true">
      <alignment horizontal="center" vertical="center" wrapText="true"/>
    </xf>
    <xf numFmtId="0" fontId="429" fillId="56" borderId="90" xfId="0" applyFill="true" applyAlignment="true" applyFont="true" applyBorder="true">
      <alignment horizontal="center" vertical="center" wrapText="true"/>
    </xf>
    <xf numFmtId="0" fontId="429" fillId="56" borderId="95" xfId="0" applyFill="true" applyAlignment="true" applyFont="true" applyBorder="true">
      <alignment horizontal="center" vertical="center" wrapText="true"/>
    </xf>
    <xf numFmtId="0" fontId="430" fillId="46" borderId="0" xfId="0" applyFill="true" applyAlignment="true" applyFont="true">
      <alignment horizontal="center" vertical="center" wrapText="true"/>
    </xf>
    <xf numFmtId="0" fontId="431" fillId="56" borderId="0" xfId="0" applyFill="true" applyAlignment="true" applyFont="true">
      <alignment horizontal="center" vertical="center" wrapText="true"/>
    </xf>
    <xf numFmtId="0" fontId="432" fillId="44" borderId="0" xfId="0" applyFill="true" applyAlignment="true" applyFont="true">
      <alignment horizontal="center" vertical="center" wrapText="true"/>
    </xf>
    <xf numFmtId="0" fontId="433" fillId="56" borderId="0" xfId="0" applyFill="true" applyAlignment="true" applyFont="true">
      <alignment horizontal="center" vertical="center" wrapText="true"/>
    </xf>
    <xf numFmtId="0" fontId="434" fillId="56" borderId="0" xfId="0" applyFill="true" applyAlignment="true" applyFont="true">
      <alignment horizontal="center" vertical="center" wrapText="true"/>
    </xf>
    <xf numFmtId="0" fontId="435" fillId="56" borderId="0" xfId="0" applyFill="true" applyAlignment="true" applyFont="true">
      <alignment horizontal="center" vertical="center" wrapText="true"/>
    </xf>
    <xf numFmtId="0" fontId="431" fillId="56" borderId="41" xfId="0" applyFill="true" applyAlignment="true" applyFont="true" applyBorder="true">
      <alignment horizontal="center" vertical="center" wrapText="true"/>
    </xf>
    <xf numFmtId="0" fontId="433" fillId="56" borderId="99" xfId="0" applyFill="true" applyAlignment="true" applyFont="true" applyBorder="true">
      <alignment horizontal="center" vertical="center" wrapText="true"/>
    </xf>
    <xf numFmtId="0" fontId="433" fillId="56" borderId="99" xfId="0" applyFill="true" applyAlignment="true" applyFont="true" applyBorder="true">
      <alignment horizontal="center" vertical="center" wrapText="true"/>
    </xf>
    <xf numFmtId="0" fontId="433" fillId="56" borderId="46" xfId="0" applyFill="true" applyAlignment="true" applyFont="true" applyBorder="true">
      <alignment horizontal="center" vertical="center" wrapText="true"/>
    </xf>
    <xf numFmtId="0" fontId="432" fillId="44" borderId="51" xfId="0" applyFill="true" applyAlignment="true" applyFont="true" applyBorder="true">
      <alignment horizontal="center" vertical="center" wrapText="true"/>
    </xf>
    <xf numFmtId="0" fontId="434" fillId="56" borderId="0" xfId="0" applyFill="true" applyAlignment="true" applyFont="true">
      <alignment horizontal="center" vertical="center" wrapText="true"/>
    </xf>
    <xf numFmtId="0" fontId="434" fillId="56" borderId="0" xfId="0" applyFill="true" applyAlignment="true" applyFont="true">
      <alignment horizontal="center" vertical="center" wrapText="true"/>
    </xf>
    <xf numFmtId="0" fontId="434" fillId="56" borderId="56" xfId="0" applyFill="true" applyAlignment="true" applyFont="true" applyBorder="true">
      <alignment horizontal="center" vertical="center" wrapText="true"/>
    </xf>
    <xf numFmtId="0" fontId="432" fillId="44" borderId="51" xfId="0" applyFill="true" applyAlignment="true" applyFont="true" applyBorder="true">
      <alignment horizontal="center" vertical="center" wrapText="true"/>
    </xf>
    <xf numFmtId="0" fontId="434" fillId="56" borderId="0" xfId="0" applyFill="true" applyAlignment="true" applyFont="true">
      <alignment horizontal="center" vertical="center" wrapText="true"/>
    </xf>
    <xf numFmtId="0" fontId="434" fillId="56" borderId="0" xfId="0" applyFill="true" applyAlignment="true" applyFont="true">
      <alignment horizontal="center" vertical="center" wrapText="true"/>
    </xf>
    <xf numFmtId="0" fontId="434" fillId="56" borderId="56" xfId="0" applyFill="true" applyAlignment="true" applyFont="true" applyBorder="true">
      <alignment horizontal="center" vertical="center" wrapText="true"/>
    </xf>
    <xf numFmtId="0" fontId="432" fillId="44" borderId="51" xfId="0" applyFill="true" applyAlignment="true" applyFont="true" applyBorder="true">
      <alignment horizontal="center" vertical="center" wrapText="true"/>
    </xf>
    <xf numFmtId="0" fontId="435" fillId="56" borderId="0" xfId="0" applyFill="true" applyAlignment="true" applyFont="true">
      <alignment horizontal="center" vertical="center" wrapText="true"/>
    </xf>
    <xf numFmtId="0" fontId="435" fillId="56" borderId="0" xfId="0" applyFill="true" applyAlignment="true" applyFont="true">
      <alignment horizontal="center" vertical="center" wrapText="true"/>
    </xf>
    <xf numFmtId="0" fontId="435" fillId="56" borderId="56" xfId="0" applyFill="true" applyAlignment="true" applyFont="true" applyBorder="true">
      <alignment horizontal="center" vertical="center" wrapText="true"/>
    </xf>
    <xf numFmtId="0" fontId="431" fillId="56" borderId="61" xfId="0" applyFill="true" applyAlignment="true" applyFont="true" applyBorder="true">
      <alignment horizontal="center" vertical="center" wrapText="true"/>
    </xf>
    <xf numFmtId="0" fontId="435" fillId="56" borderId="103" xfId="0" applyFill="true" applyAlignment="true" applyFont="true" applyBorder="true">
      <alignment horizontal="center" vertical="center" wrapText="true"/>
    </xf>
    <xf numFmtId="0" fontId="435" fillId="56" borderId="103" xfId="0" applyFill="true" applyAlignment="true" applyFont="true" applyBorder="true">
      <alignment horizontal="center" vertical="center" wrapText="true"/>
    </xf>
    <xf numFmtId="0" fontId="435" fillId="56" borderId="66" xfId="0" applyFill="true" applyAlignment="true" applyFont="true" applyBorder="true">
      <alignment horizontal="center" vertical="center" wrapText="true"/>
    </xf>
    <xf numFmtId="0" fontId="436" fillId="56" borderId="0" xfId="0" applyFill="true" applyAlignment="true" applyFont="true">
      <alignment horizontal="center" vertical="center" wrapText="true"/>
    </xf>
    <xf numFmtId="0" fontId="437" fillId="44" borderId="0" xfId="0" applyFill="true" applyAlignment="true" applyFont="true">
      <alignment horizontal="center" vertical="center" wrapText="true"/>
    </xf>
    <xf numFmtId="0" fontId="438" fillId="56" borderId="0" xfId="0" applyFill="true" applyAlignment="true" applyFont="true">
      <alignment horizontal="center" vertical="center" wrapText="true"/>
    </xf>
    <xf numFmtId="0" fontId="439" fillId="56" borderId="0" xfId="0" applyFill="true" applyAlignment="true" applyFont="true">
      <alignment horizontal="center" vertical="center" wrapText="true"/>
    </xf>
    <xf numFmtId="0" fontId="440" fillId="56" borderId="0" xfId="0" applyFill="true" applyAlignment="true" applyFont="true">
      <alignment horizontal="center" vertical="center" wrapText="true"/>
    </xf>
    <xf numFmtId="0" fontId="436" fillId="56" borderId="107" xfId="0" applyFill="true" applyAlignment="true" applyFont="true" applyBorder="true">
      <alignment horizontal="center" vertical="center" wrapText="true"/>
    </xf>
    <xf numFmtId="0" fontId="438" fillId="56" borderId="111" xfId="0" applyFill="true" applyAlignment="true" applyFont="true" applyBorder="true">
      <alignment horizontal="center" vertical="center" wrapText="true"/>
    </xf>
    <xf numFmtId="0" fontId="438" fillId="56" borderId="111" xfId="0" applyFill="true" applyAlignment="true" applyFont="true" applyBorder="true">
      <alignment horizontal="center" vertical="center" wrapText="true"/>
    </xf>
    <xf numFmtId="0" fontId="438" fillId="56" borderId="115" xfId="0" applyFill="true" applyAlignment="true" applyFont="true" applyBorder="true">
      <alignment horizontal="center" vertical="center" wrapText="true"/>
    </xf>
    <xf numFmtId="0" fontId="437" fillId="44" borderId="119" xfId="0" applyFill="true" applyAlignment="true" applyFont="true" applyBorder="true">
      <alignment horizontal="center" vertical="center" wrapText="true"/>
    </xf>
    <xf numFmtId="0" fontId="439" fillId="56" borderId="0" xfId="0" applyFill="true" applyAlignment="true" applyFont="true">
      <alignment horizontal="center" vertical="center" wrapText="true"/>
    </xf>
    <xf numFmtId="0" fontId="439" fillId="56" borderId="0" xfId="0" applyFill="true" applyAlignment="true" applyFont="true">
      <alignment horizontal="center" vertical="center" wrapText="true"/>
    </xf>
    <xf numFmtId="0" fontId="439" fillId="56" borderId="123" xfId="0" applyFill="true" applyAlignment="true" applyFont="true" applyBorder="true">
      <alignment horizontal="center" vertical="center" wrapText="true"/>
    </xf>
    <xf numFmtId="0" fontId="437" fillId="44" borderId="119" xfId="0" applyFill="true" applyAlignment="true" applyFont="true" applyBorder="true">
      <alignment horizontal="center" vertical="center" wrapText="true"/>
    </xf>
    <xf numFmtId="0" fontId="439" fillId="56" borderId="0" xfId="0" applyFill="true" applyAlignment="true" applyFont="true">
      <alignment horizontal="center" vertical="center" wrapText="true"/>
    </xf>
    <xf numFmtId="0" fontId="439" fillId="56" borderId="0" xfId="0" applyFill="true" applyAlignment="true" applyFont="true">
      <alignment horizontal="center" vertical="center" wrapText="true"/>
    </xf>
    <xf numFmtId="0" fontId="439" fillId="56" borderId="123" xfId="0" applyFill="true" applyAlignment="true" applyFont="true" applyBorder="true">
      <alignment horizontal="center" vertical="center" wrapText="true"/>
    </xf>
    <xf numFmtId="0" fontId="437" fillId="44" borderId="119" xfId="0" applyFill="true" applyAlignment="true" applyFont="true" applyBorder="true">
      <alignment horizontal="center" vertical="center" wrapText="true"/>
    </xf>
    <xf numFmtId="0" fontId="440" fillId="56" borderId="0" xfId="0" applyFill="true" applyAlignment="true" applyFont="true">
      <alignment horizontal="center" vertical="center" wrapText="true"/>
    </xf>
    <xf numFmtId="0" fontId="440" fillId="56" borderId="0" xfId="0" applyFill="true" applyAlignment="true" applyFont="true">
      <alignment horizontal="center" vertical="center" wrapText="true"/>
    </xf>
    <xf numFmtId="0" fontId="440" fillId="56" borderId="123" xfId="0" applyFill="true" applyAlignment="true" applyFont="true" applyBorder="true">
      <alignment horizontal="center" vertical="center" wrapText="true"/>
    </xf>
    <xf numFmtId="0" fontId="436" fillId="56" borderId="127" xfId="0" applyFill="true" applyAlignment="true" applyFont="true" applyBorder="true">
      <alignment horizontal="center" vertical="center" wrapText="true"/>
    </xf>
    <xf numFmtId="0" fontId="440" fillId="56" borderId="131" xfId="0" applyFill="true" applyAlignment="true" applyFont="true" applyBorder="true">
      <alignment horizontal="center" vertical="center" wrapText="true"/>
    </xf>
    <xf numFmtId="0" fontId="440" fillId="56" borderId="131" xfId="0" applyFill="true" applyAlignment="true" applyFont="true" applyBorder="true">
      <alignment horizontal="center" vertical="center" wrapText="true"/>
    </xf>
    <xf numFmtId="0" fontId="440" fillId="56" borderId="135" xfId="0" applyFill="true" applyAlignment="true" applyFont="true" applyBorder="true">
      <alignment horizontal="center" vertical="center" wrapText="true"/>
    </xf>
    <xf numFmtId="0" fontId="441" fillId="56" borderId="0" xfId="0" applyFill="true" applyAlignment="true" applyFont="true">
      <alignment horizontal="center" vertical="center" wrapText="true"/>
    </xf>
    <xf numFmtId="0" fontId="442" fillId="44" borderId="0" xfId="0" applyFill="true" applyAlignment="true" applyFont="true">
      <alignment horizontal="center" vertical="center" wrapText="true"/>
    </xf>
    <xf numFmtId="0" fontId="443" fillId="56" borderId="0" xfId="0" applyFill="true" applyAlignment="true" applyFont="true">
      <alignment horizontal="center" vertical="center" wrapText="true"/>
    </xf>
    <xf numFmtId="0" fontId="444" fillId="56" borderId="0" xfId="0" applyFill="true" applyAlignment="true" applyFont="true">
      <alignment horizontal="center" vertical="center" wrapText="true"/>
    </xf>
    <xf numFmtId="0" fontId="445" fillId="56" borderId="0" xfId="0" applyFill="true" applyAlignment="true" applyFont="true">
      <alignment horizontal="center" vertical="center" wrapText="true"/>
    </xf>
    <xf numFmtId="0" fontId="441" fillId="56" borderId="139" xfId="0" applyFill="true" applyAlignment="true" applyFont="true" applyBorder="true">
      <alignment horizontal="center" vertical="center" wrapText="true"/>
    </xf>
    <xf numFmtId="0" fontId="443" fillId="56" borderId="143" xfId="0" applyFill="true" applyAlignment="true" applyFont="true" applyBorder="true">
      <alignment horizontal="center" vertical="center" wrapText="true"/>
    </xf>
    <xf numFmtId="0" fontId="443" fillId="56" borderId="143" xfId="0" applyFill="true" applyAlignment="true" applyFont="true" applyBorder="true">
      <alignment horizontal="center" vertical="center" wrapText="true"/>
    </xf>
    <xf numFmtId="0" fontId="443" fillId="56" borderId="147" xfId="0" applyFill="true" applyAlignment="true" applyFont="true" applyBorder="true">
      <alignment horizontal="center" vertical="center" wrapText="true"/>
    </xf>
    <xf numFmtId="0" fontId="442" fillId="44" borderId="151" xfId="0" applyFill="true" applyAlignment="true" applyFont="true" applyBorder="true">
      <alignment horizontal="center" vertical="center" wrapText="true"/>
    </xf>
    <xf numFmtId="0" fontId="444" fillId="56" borderId="0" xfId="0" applyFill="true" applyAlignment="true" applyFont="true">
      <alignment horizontal="center" vertical="center" wrapText="true"/>
    </xf>
    <xf numFmtId="0" fontId="444" fillId="56" borderId="0" xfId="0" applyFill="true" applyAlignment="true" applyFont="true">
      <alignment horizontal="center" vertical="center" wrapText="true"/>
    </xf>
    <xf numFmtId="0" fontId="444" fillId="56" borderId="155" xfId="0" applyFill="true" applyAlignment="true" applyFont="true" applyBorder="true">
      <alignment horizontal="center" vertical="center" wrapText="true"/>
    </xf>
    <xf numFmtId="0" fontId="442" fillId="44" borderId="151" xfId="0" applyFill="true" applyAlignment="true" applyFont="true" applyBorder="true">
      <alignment horizontal="center" vertical="center" wrapText="true"/>
    </xf>
    <xf numFmtId="0" fontId="444" fillId="56" borderId="0" xfId="0" applyFill="true" applyAlignment="true" applyFont="true">
      <alignment horizontal="center" vertical="center" wrapText="true"/>
    </xf>
    <xf numFmtId="0" fontId="444" fillId="56" borderId="0" xfId="0" applyFill="true" applyAlignment="true" applyFont="true">
      <alignment horizontal="center" vertical="center" wrapText="true"/>
    </xf>
    <xf numFmtId="0" fontId="444" fillId="56" borderId="155" xfId="0" applyFill="true" applyAlignment="true" applyFont="true" applyBorder="true">
      <alignment horizontal="center" vertical="center" wrapText="true"/>
    </xf>
    <xf numFmtId="0" fontId="442" fillId="44" borderId="151" xfId="0" applyFill="true" applyAlignment="true" applyFont="true" applyBorder="true">
      <alignment horizontal="center" vertical="center" wrapText="true"/>
    </xf>
    <xf numFmtId="0" fontId="445" fillId="56" borderId="0" xfId="0" applyFill="true" applyAlignment="true" applyFont="true">
      <alignment horizontal="center" vertical="center" wrapText="true"/>
    </xf>
    <xf numFmtId="0" fontId="445" fillId="56" borderId="0" xfId="0" applyFill="true" applyAlignment="true" applyFont="true">
      <alignment horizontal="center" vertical="center" wrapText="true"/>
    </xf>
    <xf numFmtId="0" fontId="445" fillId="56" borderId="155" xfId="0" applyFill="true" applyAlignment="true" applyFont="true" applyBorder="true">
      <alignment horizontal="center" vertical="center" wrapText="true"/>
    </xf>
    <xf numFmtId="0" fontId="441" fillId="56" borderId="159" xfId="0" applyFill="true" applyAlignment="true" applyFont="true" applyBorder="true">
      <alignment horizontal="center" vertical="center" wrapText="true"/>
    </xf>
    <xf numFmtId="0" fontId="445" fillId="56" borderId="163" xfId="0" applyFill="true" applyAlignment="true" applyFont="true" applyBorder="true">
      <alignment horizontal="center" vertical="center" wrapText="true"/>
    </xf>
    <xf numFmtId="0" fontId="445" fillId="56" borderId="163" xfId="0" applyFill="true" applyAlignment="true" applyFont="true" applyBorder="true">
      <alignment horizontal="center" vertical="center" wrapText="true"/>
    </xf>
    <xf numFmtId="0" fontId="445" fillId="56" borderId="167" xfId="0" applyFill="true" applyAlignment="true" applyFont="true" applyBorder="true">
      <alignment horizontal="center" vertical="center" wrapText="true"/>
    </xf>
    <xf numFmtId="0" fontId="446" fillId="56" borderId="0" xfId="0" applyFill="true" applyAlignment="true" applyFont="true">
      <alignment horizontal="center" vertical="center" wrapText="true"/>
    </xf>
    <xf numFmtId="0" fontId="447" fillId="44" borderId="0" xfId="0" applyFill="true" applyAlignment="true" applyFont="true">
      <alignment horizontal="center" vertical="center" wrapText="true"/>
    </xf>
    <xf numFmtId="0" fontId="448" fillId="56" borderId="0" xfId="0" applyFill="true" applyAlignment="true" applyFont="true">
      <alignment horizontal="center" vertical="center" wrapText="true"/>
    </xf>
    <xf numFmtId="0" fontId="449" fillId="56" borderId="0" xfId="0" applyFill="true" applyAlignment="true" applyFont="true">
      <alignment horizontal="center" vertical="center" wrapText="true"/>
    </xf>
    <xf numFmtId="0" fontId="450" fillId="56" borderId="0" xfId="0" applyFill="true" applyAlignment="true" applyFont="true">
      <alignment horizontal="center" vertical="center" wrapText="true"/>
    </xf>
    <xf numFmtId="0" fontId="446" fillId="56" borderId="171" xfId="0" applyFill="true" applyAlignment="true" applyFont="true" applyBorder="true">
      <alignment horizontal="center" vertical="center" wrapText="true"/>
    </xf>
    <xf numFmtId="0" fontId="448" fillId="56" borderId="175" xfId="0" applyFill="true" applyAlignment="true" applyFont="true" applyBorder="true">
      <alignment horizontal="center" vertical="center" wrapText="true"/>
    </xf>
    <xf numFmtId="0" fontId="448" fillId="56" borderId="175" xfId="0" applyFill="true" applyAlignment="true" applyFont="true" applyBorder="true">
      <alignment horizontal="center" vertical="center" wrapText="true"/>
    </xf>
    <xf numFmtId="0" fontId="448" fillId="56" borderId="179" xfId="0" applyFill="true" applyAlignment="true" applyFont="true" applyBorder="true">
      <alignment horizontal="center" vertical="center" wrapText="true"/>
    </xf>
    <xf numFmtId="0" fontId="447" fillId="44" borderId="183" xfId="0" applyFill="true" applyAlignment="true" applyFont="true" applyBorder="true">
      <alignment horizontal="center" vertical="center" wrapText="true"/>
    </xf>
    <xf numFmtId="0" fontId="449" fillId="56" borderId="0" xfId="0" applyFill="true" applyAlignment="true" applyFont="true">
      <alignment horizontal="center" vertical="center" wrapText="true"/>
    </xf>
    <xf numFmtId="0" fontId="449" fillId="56" borderId="0" xfId="0" applyFill="true" applyAlignment="true" applyFont="true">
      <alignment horizontal="center" vertical="center" wrapText="true"/>
    </xf>
    <xf numFmtId="0" fontId="449" fillId="56" borderId="187" xfId="0" applyFill="true" applyAlignment="true" applyFont="true" applyBorder="true">
      <alignment horizontal="center" vertical="center" wrapText="true"/>
    </xf>
    <xf numFmtId="0" fontId="447" fillId="44" borderId="183" xfId="0" applyFill="true" applyAlignment="true" applyFont="true" applyBorder="true">
      <alignment horizontal="center" vertical="center" wrapText="true"/>
    </xf>
    <xf numFmtId="0" fontId="449" fillId="56" borderId="0" xfId="0" applyFill="true" applyAlignment="true" applyFont="true">
      <alignment horizontal="center" vertical="center" wrapText="true"/>
    </xf>
    <xf numFmtId="0" fontId="449" fillId="56" borderId="0" xfId="0" applyFill="true" applyAlignment="true" applyFont="true">
      <alignment horizontal="center" vertical="center" wrapText="true"/>
    </xf>
    <xf numFmtId="0" fontId="449" fillId="56" borderId="187" xfId="0" applyFill="true" applyAlignment="true" applyFont="true" applyBorder="true">
      <alignment horizontal="center" vertical="center" wrapText="true"/>
    </xf>
    <xf numFmtId="0" fontId="447" fillId="44" borderId="183" xfId="0" applyFill="true" applyAlignment="true" applyFont="true" applyBorder="true">
      <alignment horizontal="center" vertical="center" wrapText="true"/>
    </xf>
    <xf numFmtId="0" fontId="450" fillId="56" borderId="0" xfId="0" applyFill="true" applyAlignment="true" applyFont="true">
      <alignment horizontal="center" vertical="center" wrapText="true"/>
    </xf>
    <xf numFmtId="0" fontId="450" fillId="56" borderId="0" xfId="0" applyFill="true" applyAlignment="true" applyFont="true">
      <alignment horizontal="center" vertical="center" wrapText="true"/>
    </xf>
    <xf numFmtId="0" fontId="450" fillId="56" borderId="187" xfId="0" applyFill="true" applyAlignment="true" applyFont="true" applyBorder="true">
      <alignment horizontal="center" vertical="center" wrapText="true"/>
    </xf>
    <xf numFmtId="0" fontId="446" fillId="56" borderId="191" xfId="0" applyFill="true" applyAlignment="true" applyFont="true" applyBorder="true">
      <alignment horizontal="center" vertical="center" wrapText="true"/>
    </xf>
    <xf numFmtId="0" fontId="450" fillId="56" borderId="195" xfId="0" applyFill="true" applyAlignment="true" applyFont="true" applyBorder="true">
      <alignment horizontal="center" vertical="center" wrapText="true"/>
    </xf>
    <xf numFmtId="0" fontId="450" fillId="56" borderId="195" xfId="0" applyFill="true" applyAlignment="true" applyFont="true" applyBorder="true">
      <alignment horizontal="center" vertical="center" wrapText="true"/>
    </xf>
    <xf numFmtId="0" fontId="450" fillId="56" borderId="199" xfId="0" applyFill="true" applyAlignment="true" applyFont="true" applyBorder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41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99" xfId="0" applyFill="true" applyAlignment="true" applyFont="true" applyBorder="true">
      <alignment horizontal="center" vertical="center" wrapText="true"/>
    </xf>
    <xf numFmtId="0" fontId="451" fillId="56" borderId="46" xfId="0" applyFill="true" applyAlignment="true" applyFont="true" applyBorder="true">
      <alignment horizontal="center" vertical="center" wrapText="true"/>
    </xf>
    <xf numFmtId="0" fontId="451" fillId="56" borderId="51" xfId="0" applyFill="true" applyAlignment="true" applyFont="true" applyBorder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56" xfId="0" applyFill="true" applyAlignment="true" applyFont="true" applyBorder="true">
      <alignment horizontal="center" vertical="center" wrapText="true"/>
    </xf>
    <xf numFmtId="0" fontId="451" fillId="56" borderId="51" xfId="0" applyFill="true" applyAlignment="true" applyFont="true" applyBorder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56" xfId="0" applyFill="true" applyAlignment="true" applyFont="true" applyBorder="true">
      <alignment horizontal="center" vertical="center" wrapText="true"/>
    </xf>
    <xf numFmtId="0" fontId="451" fillId="56" borderId="51" xfId="0" applyFill="true" applyAlignment="true" applyFont="true" applyBorder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56" xfId="0" applyFill="true" applyAlignment="true" applyFont="true" applyBorder="true">
      <alignment horizontal="center" vertical="center" wrapText="true"/>
    </xf>
    <xf numFmtId="0" fontId="451" fillId="56" borderId="51" xfId="0" applyFill="true" applyAlignment="true" applyFont="true" applyBorder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56" xfId="0" applyFill="true" applyAlignment="true" applyFont="true" applyBorder="true">
      <alignment horizontal="center" vertical="center" wrapText="true"/>
    </xf>
    <xf numFmtId="0" fontId="451" fillId="56" borderId="51" xfId="0" applyFill="true" applyAlignment="true" applyFont="true" applyBorder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56" xfId="0" applyFill="true" applyAlignment="true" applyFont="true" applyBorder="true">
      <alignment horizontal="center" vertical="center" wrapText="true"/>
    </xf>
    <xf numFmtId="0" fontId="451" fillId="56" borderId="51" xfId="0" applyFill="true" applyAlignment="true" applyFont="true" applyBorder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0" xfId="0" applyFill="true" applyAlignment="true" applyFont="true">
      <alignment horizontal="center" vertical="center" wrapText="true"/>
    </xf>
    <xf numFmtId="0" fontId="451" fillId="56" borderId="56" xfId="0" applyFill="true" applyAlignment="true" applyFont="true" applyBorder="true">
      <alignment horizontal="center" vertical="center" wrapText="true"/>
    </xf>
    <xf numFmtId="0" fontId="451" fillId="56" borderId="61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103" xfId="0" applyFill="true" applyAlignment="true" applyFont="true" applyBorder="true">
      <alignment horizontal="center" vertical="center" wrapText="true"/>
    </xf>
    <xf numFmtId="0" fontId="451" fillId="56" borderId="66" xfId="0" applyFill="true" applyAlignment="true" applyFont="true" applyBorder="true">
      <alignment horizontal="center" vertical="center" wrapText="true"/>
    </xf>
    <xf numFmtId="0" fontId="452" fillId="56" borderId="0" xfId="0" applyFill="true" applyAlignment="true" applyFont="true">
      <alignment horizontal="center" vertical="center" wrapText="true"/>
    </xf>
    <xf numFmtId="0" fontId="453" fillId="56" borderId="0" xfId="0" applyFill="true" applyAlignment="true" applyFont="true">
      <alignment horizontal="center" vertical="center" wrapText="true"/>
    </xf>
    <xf numFmtId="0" fontId="454" fillId="46" borderId="0" xfId="0" applyFill="true" applyAlignment="true" applyFont="true">
      <alignment horizontal="center" vertical="center" wrapText="true"/>
    </xf>
    <xf numFmtId="0" fontId="455" fillId="46" borderId="0" xfId="0" applyFill="true" applyAlignment="true" applyFont="true">
      <alignment horizontal="center" vertical="center" wrapText="true"/>
    </xf>
    <xf numFmtId="0" fontId="456" fillId="46" borderId="0" xfId="0" applyFill="true" applyAlignment="true" applyFont="true">
      <alignment horizontal="center" vertical="center" wrapText="true"/>
    </xf>
    <xf numFmtId="0" fontId="457" fillId="46" borderId="0" xfId="0" applyFill="true" applyAlignment="true" applyFont="true">
      <alignment horizontal="center" vertical="center" wrapText="true"/>
    </xf>
    <xf numFmtId="0" fontId="458" fillId="46" borderId="0" xfId="0" applyFill="true" applyAlignment="true" applyFont="true">
      <alignment horizontal="center" vertical="center" wrapText="true"/>
    </xf>
    <xf numFmtId="0" fontId="459" fillId="48" borderId="0" xfId="0" applyFill="true" applyAlignment="true" applyFont="true">
      <alignment horizontal="center" vertical="center" wrapText="true"/>
    </xf>
    <xf numFmtId="164" fontId="459" fillId="48" borderId="0" xfId="0" applyFill="true" applyAlignment="true" applyFont="true" applyNumberForma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41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99" xfId="0" applyFill="true" applyAlignment="true" applyFont="true" applyBorder="true">
      <alignment horizontal="center" vertical="center" wrapText="true"/>
    </xf>
    <xf numFmtId="0" fontId="460" fillId="56" borderId="46" xfId="0" applyFill="true" applyAlignment="true" applyFont="true" applyBorder="true">
      <alignment horizontal="center" vertical="center" wrapText="true"/>
    </xf>
    <xf numFmtId="0" fontId="460" fillId="56" borderId="51" xfId="0" applyFill="true" applyAlignment="true" applyFont="true" applyBorder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56" xfId="0" applyFill="true" applyAlignment="true" applyFont="true" applyBorder="true">
      <alignment horizontal="center" vertical="center" wrapText="true"/>
    </xf>
    <xf numFmtId="0" fontId="460" fillId="56" borderId="51" xfId="0" applyFill="true" applyAlignment="true" applyFont="true" applyBorder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56" xfId="0" applyFill="true" applyAlignment="true" applyFont="true" applyBorder="true">
      <alignment horizontal="center" vertical="center" wrapText="true"/>
    </xf>
    <xf numFmtId="0" fontId="460" fillId="56" borderId="51" xfId="0" applyFill="true" applyAlignment="true" applyFont="true" applyBorder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56" xfId="0" applyFill="true" applyAlignment="true" applyFont="true" applyBorder="true">
      <alignment horizontal="center" vertical="center" wrapText="true"/>
    </xf>
    <xf numFmtId="0" fontId="460" fillId="56" borderId="51" xfId="0" applyFill="true" applyAlignment="true" applyFont="true" applyBorder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56" xfId="0" applyFill="true" applyAlignment="true" applyFont="true" applyBorder="true">
      <alignment horizontal="center" vertical="center" wrapText="true"/>
    </xf>
    <xf numFmtId="0" fontId="460" fillId="56" borderId="51" xfId="0" applyFill="true" applyAlignment="true" applyFont="true" applyBorder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56" xfId="0" applyFill="true" applyAlignment="true" applyFont="true" applyBorder="true">
      <alignment horizontal="center" vertical="center" wrapText="true"/>
    </xf>
    <xf numFmtId="0" fontId="460" fillId="56" borderId="51" xfId="0" applyFill="true" applyAlignment="true" applyFont="true" applyBorder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56" xfId="0" applyFill="true" applyAlignment="true" applyFont="true" applyBorder="true">
      <alignment horizontal="center" vertical="center" wrapText="true"/>
    </xf>
    <xf numFmtId="0" fontId="460" fillId="56" borderId="51" xfId="0" applyFill="true" applyAlignment="true" applyFont="true" applyBorder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0" xfId="0" applyFill="true" applyAlignment="true" applyFont="true">
      <alignment horizontal="center" vertical="center" wrapText="true"/>
    </xf>
    <xf numFmtId="0" fontId="460" fillId="56" borderId="56" xfId="0" applyFill="true" applyAlignment="true" applyFont="true" applyBorder="true">
      <alignment horizontal="center" vertical="center" wrapText="true"/>
    </xf>
    <xf numFmtId="0" fontId="460" fillId="56" borderId="61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103" xfId="0" applyFill="true" applyAlignment="true" applyFont="true" applyBorder="true">
      <alignment horizontal="center" vertical="center" wrapText="true"/>
    </xf>
    <xf numFmtId="0" fontId="460" fillId="56" borderId="66" xfId="0" applyFill="true" applyAlignment="true" applyFont="true" applyBorder="true">
      <alignment horizontal="center" vertical="center" wrapText="true"/>
    </xf>
    <xf numFmtId="0" fontId="461" fillId="56" borderId="0" xfId="0" applyFill="true" applyAlignment="true" applyFont="true">
      <alignment horizontal="center" vertical="center" wrapText="true"/>
    </xf>
    <xf numFmtId="0" fontId="462" fillId="56" borderId="0" xfId="0" applyFill="true" applyAlignment="true" applyFont="true">
      <alignment horizontal="center" vertical="center" wrapText="true"/>
    </xf>
    <xf numFmtId="0" fontId="463" fillId="48" borderId="0" xfId="0" applyFill="true" applyAlignment="true" applyFont="true">
      <alignment horizontal="center" vertical="center" wrapText="true"/>
    </xf>
    <xf numFmtId="0" fontId="464" fillId="46" borderId="0" xfId="0" applyFill="true" applyAlignment="true" applyFont="true">
      <alignment horizontal="center" vertical="center" wrapText="true"/>
    </xf>
    <xf numFmtId="0" fontId="465" fillId="48" borderId="0" xfId="0" applyFill="true" applyAlignment="true" applyFont="true">
      <alignment horizontal="center" vertical="center" wrapText="true"/>
    </xf>
    <xf numFmtId="0" fontId="466" fillId="48" borderId="0" xfId="0" applyFill="true" applyAlignment="true" applyFont="true">
      <alignment horizontal="center" vertical="center" wrapText="true"/>
    </xf>
    <xf numFmtId="0" fontId="467" fillId="56" borderId="0" xfId="0" applyFill="true" applyAlignment="true" applyFont="true">
      <alignment horizontal="center" vertical="center" wrapText="true"/>
    </xf>
    <xf numFmtId="0" fontId="464" fillId="46" borderId="71" xfId="0" applyFill="true" applyAlignment="true" applyFont="true" applyBorder="true">
      <alignment horizontal="center" vertical="center" wrapText="true"/>
    </xf>
    <xf numFmtId="0" fontId="464" fillId="46" borderId="203" xfId="0" applyFill="true" applyAlignment="true" applyFont="true" applyBorder="true">
      <alignment horizontal="center" vertical="center" wrapText="true"/>
    </xf>
    <xf numFmtId="0" fontId="464" fillId="46" borderId="203" xfId="0" applyFill="true" applyAlignment="true" applyFont="true" applyBorder="true">
      <alignment horizontal="center" vertical="center" wrapText="true"/>
    </xf>
    <xf numFmtId="0" fontId="464" fillId="46" borderId="75" xfId="0" applyFill="true" applyAlignment="true" applyFont="true" applyBorder="true">
      <alignment horizontal="center" vertical="center" wrapText="true"/>
    </xf>
    <xf numFmtId="0" fontId="465" fillId="48" borderId="80" xfId="0" applyFill="true" applyAlignment="true" applyFont="true" applyBorder="true">
      <alignment horizontal="center" vertical="center" wrapText="true"/>
    </xf>
    <xf numFmtId="0" fontId="465" fillId="48" borderId="0" xfId="0" applyFill="true" applyAlignment="true" applyFont="true">
      <alignment horizontal="center" vertical="center" wrapText="true"/>
    </xf>
    <xf numFmtId="0" fontId="465" fillId="48" borderId="0" xfId="0" applyFill="true" applyAlignment="true" applyFont="true">
      <alignment horizontal="center" vertical="center" wrapText="true"/>
    </xf>
    <xf numFmtId="0" fontId="465" fillId="48" borderId="85" xfId="0" applyFill="true" applyAlignment="true" applyFont="true" applyBorder="true">
      <alignment horizontal="center" vertical="center" wrapText="true"/>
    </xf>
    <xf numFmtId="0" fontId="465" fillId="48" borderId="80" xfId="0" applyFill="true" applyAlignment="true" applyFont="true" applyBorder="true">
      <alignment horizontal="center" vertical="center" wrapText="true"/>
    </xf>
    <xf numFmtId="0" fontId="465" fillId="48" borderId="0" xfId="0" applyFill="true" applyAlignment="true" applyFont="true">
      <alignment horizontal="center" vertical="center" wrapText="true"/>
    </xf>
    <xf numFmtId="0" fontId="465" fillId="48" borderId="0" xfId="0" applyFill="true" applyAlignment="true" applyFont="true">
      <alignment horizontal="center" vertical="center" wrapText="true"/>
    </xf>
    <xf numFmtId="0" fontId="465" fillId="48" borderId="85" xfId="0" applyFill="true" applyAlignment="true" applyFont="true" applyBorder="true">
      <alignment horizontal="center" vertical="center" wrapText="true"/>
    </xf>
    <xf numFmtId="0" fontId="466" fillId="48" borderId="80" xfId="0" applyFill="true" applyAlignment="true" applyFont="true" applyBorder="true">
      <alignment horizontal="center" vertical="center" wrapText="true"/>
    </xf>
    <xf numFmtId="0" fontId="466" fillId="48" borderId="0" xfId="0" applyFill="true" applyAlignment="true" applyFont="true">
      <alignment horizontal="center" vertical="center" wrapText="true"/>
    </xf>
    <xf numFmtId="0" fontId="466" fillId="48" borderId="0" xfId="0" applyFill="true" applyAlignment="true" applyFont="true">
      <alignment horizontal="center" vertical="center" wrapText="true"/>
    </xf>
    <xf numFmtId="0" fontId="466" fillId="48" borderId="85" xfId="0" applyFill="true" applyAlignment="true" applyFont="true" applyBorder="true">
      <alignment horizontal="center" vertical="center" wrapText="true"/>
    </xf>
    <xf numFmtId="0" fontId="467" fillId="56" borderId="80" xfId="0" applyFill="true" applyAlignment="true" applyFont="true" applyBorder="true">
      <alignment horizontal="center" vertical="center" wrapText="true"/>
    </xf>
    <xf numFmtId="0" fontId="467" fillId="56" borderId="0" xfId="0" applyFill="true" applyAlignment="true" applyFont="true">
      <alignment horizontal="center" vertical="center" wrapText="true"/>
    </xf>
    <xf numFmtId="0" fontId="467" fillId="56" borderId="0" xfId="0" applyFill="true" applyAlignment="true" applyFont="true">
      <alignment horizontal="center" vertical="center" wrapText="true"/>
    </xf>
    <xf numFmtId="0" fontId="467" fillId="56" borderId="85" xfId="0" applyFill="true" applyAlignment="true" applyFont="true" applyBorder="true">
      <alignment horizontal="center" vertical="center" wrapText="true"/>
    </xf>
    <xf numFmtId="0" fontId="467" fillId="56" borderId="90" xfId="0" applyFill="true" applyAlignment="true" applyFont="true" applyBorder="true">
      <alignment horizontal="center" vertical="center" wrapText="true"/>
    </xf>
    <xf numFmtId="0" fontId="467" fillId="56" borderId="207" xfId="0" applyFill="true" applyAlignment="true" applyFont="true" applyBorder="true">
      <alignment horizontal="center" vertical="center" wrapText="true"/>
    </xf>
    <xf numFmtId="0" fontId="467" fillId="56" borderId="207" xfId="0" applyFill="true" applyAlignment="true" applyFont="true" applyBorder="true">
      <alignment horizontal="center" vertical="center" wrapText="true"/>
    </xf>
    <xf numFmtId="0" fontId="467" fillId="56" borderId="95" xfId="0" applyFill="true" applyAlignment="true" applyFont="true" applyBorder="true">
      <alignment horizontal="center" vertical="center" wrapText="true"/>
    </xf>
    <xf numFmtId="0" fontId="468" fillId="48" borderId="0" xfId="0" applyFill="true" applyAlignment="true" applyFont="true">
      <alignment horizontal="center" vertical="center" wrapText="true"/>
    </xf>
    <xf numFmtId="0" fontId="469" fillId="46" borderId="0" xfId="0" applyFill="true" applyAlignment="true" applyFont="true">
      <alignment horizontal="center" vertical="center" wrapText="true"/>
    </xf>
    <xf numFmtId="0" fontId="470" fillId="48" borderId="0" xfId="0" applyFill="true" applyAlignment="true" applyFont="true">
      <alignment horizontal="center" vertical="center" wrapText="true"/>
    </xf>
    <xf numFmtId="0" fontId="471" fillId="48" borderId="0" xfId="0" applyFill="true" applyAlignment="true" applyFont="true">
      <alignment horizontal="center" vertical="center" wrapText="true"/>
    </xf>
    <xf numFmtId="0" fontId="472" fillId="56" borderId="0" xfId="0" applyFill="true" applyAlignment="true" applyFont="true">
      <alignment horizontal="center" vertical="center" wrapText="true"/>
    </xf>
    <xf numFmtId="0" fontId="469" fillId="46" borderId="71" xfId="0" applyFill="true" applyAlignment="true" applyFont="true" applyBorder="true">
      <alignment horizontal="center" vertical="center" wrapText="true"/>
    </xf>
    <xf numFmtId="0" fontId="469" fillId="46" borderId="203" xfId="0" applyFill="true" applyAlignment="true" applyFont="true" applyBorder="true">
      <alignment horizontal="center" vertical="center" wrapText="true"/>
    </xf>
    <xf numFmtId="0" fontId="469" fillId="46" borderId="203" xfId="0" applyFill="true" applyAlignment="true" applyFont="true" applyBorder="true">
      <alignment horizontal="center" vertical="center" wrapText="true"/>
    </xf>
    <xf numFmtId="0" fontId="469" fillId="46" borderId="75" xfId="0" applyFill="true" applyAlignment="true" applyFont="true" applyBorder="true">
      <alignment horizontal="center" vertical="center" wrapText="true"/>
    </xf>
    <xf numFmtId="0" fontId="470" fillId="48" borderId="80" xfId="0" applyFill="true" applyAlignment="true" applyFont="true" applyBorder="true">
      <alignment horizontal="center" vertical="center" wrapText="true"/>
    </xf>
    <xf numFmtId="0" fontId="470" fillId="48" borderId="0" xfId="0" applyFill="true" applyAlignment="true" applyFont="true">
      <alignment horizontal="center" vertical="center" wrapText="true"/>
    </xf>
    <xf numFmtId="0" fontId="470" fillId="48" borderId="0" xfId="0" applyFill="true" applyAlignment="true" applyFont="true">
      <alignment horizontal="center" vertical="center" wrapText="true"/>
    </xf>
    <xf numFmtId="0" fontId="470" fillId="48" borderId="85" xfId="0" applyFill="true" applyAlignment="true" applyFont="true" applyBorder="true">
      <alignment horizontal="center" vertical="center" wrapText="true"/>
    </xf>
    <xf numFmtId="0" fontId="470" fillId="48" borderId="80" xfId="0" applyFill="true" applyAlignment="true" applyFont="true" applyBorder="true">
      <alignment horizontal="center" vertical="center" wrapText="true"/>
    </xf>
    <xf numFmtId="0" fontId="470" fillId="48" borderId="0" xfId="0" applyFill="true" applyAlignment="true" applyFont="true">
      <alignment horizontal="center" vertical="center" wrapText="true"/>
    </xf>
    <xf numFmtId="0" fontId="470" fillId="48" borderId="0" xfId="0" applyFill="true" applyAlignment="true" applyFont="true">
      <alignment horizontal="center" vertical="center" wrapText="true"/>
    </xf>
    <xf numFmtId="0" fontId="470" fillId="48" borderId="85" xfId="0" applyFill="true" applyAlignment="true" applyFont="true" applyBorder="true">
      <alignment horizontal="center" vertical="center" wrapText="true"/>
    </xf>
    <xf numFmtId="0" fontId="471" fillId="48" borderId="80" xfId="0" applyFill="true" applyAlignment="true" applyFont="true" applyBorder="true">
      <alignment horizontal="center" vertical="center" wrapText="true"/>
    </xf>
    <xf numFmtId="0" fontId="471" fillId="48" borderId="0" xfId="0" applyFill="true" applyAlignment="true" applyFont="true">
      <alignment horizontal="center" vertical="center" wrapText="true"/>
    </xf>
    <xf numFmtId="0" fontId="471" fillId="48" borderId="0" xfId="0" applyFill="true" applyAlignment="true" applyFont="true">
      <alignment horizontal="center" vertical="center" wrapText="true"/>
    </xf>
    <xf numFmtId="0" fontId="471" fillId="48" borderId="85" xfId="0" applyFill="true" applyAlignment="true" applyFont="true" applyBorder="true">
      <alignment horizontal="center" vertical="center" wrapText="true"/>
    </xf>
    <xf numFmtId="0" fontId="472" fillId="56" borderId="80" xfId="0" applyFill="true" applyAlignment="true" applyFont="true" applyBorder="true">
      <alignment horizontal="center" vertical="center" wrapText="true"/>
    </xf>
    <xf numFmtId="0" fontId="472" fillId="56" borderId="0" xfId="0" applyFill="true" applyAlignment="true" applyFont="true">
      <alignment horizontal="center" vertical="center" wrapText="true"/>
    </xf>
    <xf numFmtId="0" fontId="472" fillId="56" borderId="0" xfId="0" applyFill="true" applyAlignment="true" applyFont="true">
      <alignment horizontal="center" vertical="center" wrapText="true"/>
    </xf>
    <xf numFmtId="0" fontId="472" fillId="56" borderId="85" xfId="0" applyFill="true" applyAlignment="true" applyFont="true" applyBorder="true">
      <alignment horizontal="center" vertical="center" wrapText="true"/>
    </xf>
    <xf numFmtId="0" fontId="472" fillId="56" borderId="90" xfId="0" applyFill="true" applyAlignment="true" applyFont="true" applyBorder="true">
      <alignment horizontal="center" vertical="center" wrapText="true"/>
    </xf>
    <xf numFmtId="0" fontId="472" fillId="56" borderId="207" xfId="0" applyFill="true" applyAlignment="true" applyFont="true" applyBorder="true">
      <alignment horizontal="center" vertical="center" wrapText="true"/>
    </xf>
    <xf numFmtId="0" fontId="472" fillId="56" borderId="207" xfId="0" applyFill="true" applyAlignment="true" applyFont="true" applyBorder="true">
      <alignment horizontal="center" vertical="center" wrapText="true"/>
    </xf>
    <xf numFmtId="0" fontId="472" fillId="56" borderId="95" xfId="0" applyFill="true" applyAlignment="true" applyFont="true" applyBorder="true">
      <alignment horizontal="center" vertical="center" wrapText="true"/>
    </xf>
    <xf numFmtId="0" fontId="473" fillId="48" borderId="0" xfId="0" applyFill="true" applyAlignment="true" applyFont="true">
      <alignment horizontal="center" vertical="center" wrapText="true"/>
    </xf>
    <xf numFmtId="0" fontId="474" fillId="46" borderId="0" xfId="0" applyFill="true" applyAlignment="true" applyFont="true">
      <alignment horizontal="center" vertical="center" wrapText="true"/>
    </xf>
    <xf numFmtId="0" fontId="475" fillId="48" borderId="0" xfId="0" applyFill="true" applyAlignment="true" applyFont="true">
      <alignment horizontal="center" vertical="center" wrapText="true"/>
    </xf>
    <xf numFmtId="0" fontId="476" fillId="48" borderId="0" xfId="0" applyFill="true" applyAlignment="true" applyFont="true">
      <alignment horizontal="center" vertical="center" wrapText="true"/>
    </xf>
    <xf numFmtId="0" fontId="477" fillId="56" borderId="0" xfId="0" applyFill="true" applyAlignment="true" applyFont="true">
      <alignment horizontal="center" vertical="center" wrapText="true"/>
    </xf>
    <xf numFmtId="0" fontId="474" fillId="46" borderId="71" xfId="0" applyFill="true" applyAlignment="true" applyFont="true" applyBorder="true">
      <alignment horizontal="center" vertical="center" wrapText="true"/>
    </xf>
    <xf numFmtId="0" fontId="474" fillId="46" borderId="203" xfId="0" applyFill="true" applyAlignment="true" applyFont="true" applyBorder="true">
      <alignment horizontal="center" vertical="center" wrapText="true"/>
    </xf>
    <xf numFmtId="0" fontId="474" fillId="46" borderId="203" xfId="0" applyFill="true" applyAlignment="true" applyFont="true" applyBorder="true">
      <alignment horizontal="center" vertical="center" wrapText="true"/>
    </xf>
    <xf numFmtId="0" fontId="474" fillId="46" borderId="75" xfId="0" applyFill="true" applyAlignment="true" applyFont="true" applyBorder="true">
      <alignment horizontal="center" vertical="center" wrapText="true"/>
    </xf>
    <xf numFmtId="0" fontId="475" fillId="48" borderId="80" xfId="0" applyFill="true" applyAlignment="true" applyFont="true" applyBorder="true">
      <alignment horizontal="center" vertical="center" wrapText="true"/>
    </xf>
    <xf numFmtId="0" fontId="475" fillId="48" borderId="0" xfId="0" applyFill="true" applyAlignment="true" applyFont="true">
      <alignment horizontal="center" vertical="center" wrapText="true"/>
    </xf>
    <xf numFmtId="0" fontId="475" fillId="48" borderId="0" xfId="0" applyFill="true" applyAlignment="true" applyFont="true">
      <alignment horizontal="center" vertical="center" wrapText="true"/>
    </xf>
    <xf numFmtId="0" fontId="475" fillId="48" borderId="85" xfId="0" applyFill="true" applyAlignment="true" applyFont="true" applyBorder="true">
      <alignment horizontal="center" vertical="center" wrapText="true"/>
    </xf>
    <xf numFmtId="0" fontId="475" fillId="48" borderId="80" xfId="0" applyFill="true" applyAlignment="true" applyFont="true" applyBorder="true">
      <alignment horizontal="center" vertical="center" wrapText="true"/>
    </xf>
    <xf numFmtId="0" fontId="475" fillId="48" borderId="0" xfId="0" applyFill="true" applyAlignment="true" applyFont="true">
      <alignment horizontal="center" vertical="center" wrapText="true"/>
    </xf>
    <xf numFmtId="0" fontId="475" fillId="48" borderId="0" xfId="0" applyFill="true" applyAlignment="true" applyFont="true">
      <alignment horizontal="center" vertical="center" wrapText="true"/>
    </xf>
    <xf numFmtId="0" fontId="475" fillId="48" borderId="85" xfId="0" applyFill="true" applyAlignment="true" applyFont="true" applyBorder="true">
      <alignment horizontal="center" vertical="center" wrapText="true"/>
    </xf>
    <xf numFmtId="0" fontId="476" fillId="48" borderId="80" xfId="0" applyFill="true" applyAlignment="true" applyFont="true" applyBorder="true">
      <alignment horizontal="center" vertical="center" wrapText="true"/>
    </xf>
    <xf numFmtId="0" fontId="476" fillId="48" borderId="0" xfId="0" applyFill="true" applyAlignment="true" applyFont="true">
      <alignment horizontal="center" vertical="center" wrapText="true"/>
    </xf>
    <xf numFmtId="0" fontId="476" fillId="48" borderId="0" xfId="0" applyFill="true" applyAlignment="true" applyFont="true">
      <alignment horizontal="center" vertical="center" wrapText="true"/>
    </xf>
    <xf numFmtId="0" fontId="476" fillId="48" borderId="85" xfId="0" applyFill="true" applyAlignment="true" applyFont="true" applyBorder="true">
      <alignment horizontal="center" vertical="center" wrapText="true"/>
    </xf>
    <xf numFmtId="0" fontId="477" fillId="56" borderId="80" xfId="0" applyFill="true" applyAlignment="true" applyFont="true" applyBorder="true">
      <alignment horizontal="center" vertical="center" wrapText="true"/>
    </xf>
    <xf numFmtId="0" fontId="477" fillId="56" borderId="0" xfId="0" applyFill="true" applyAlignment="true" applyFont="true">
      <alignment horizontal="center" vertical="center" wrapText="true"/>
    </xf>
    <xf numFmtId="0" fontId="477" fillId="56" borderId="0" xfId="0" applyFill="true" applyAlignment="true" applyFont="true">
      <alignment horizontal="center" vertical="center" wrapText="true"/>
    </xf>
    <xf numFmtId="0" fontId="477" fillId="56" borderId="85" xfId="0" applyFill="true" applyAlignment="true" applyFont="true" applyBorder="true">
      <alignment horizontal="center" vertical="center" wrapText="true"/>
    </xf>
    <xf numFmtId="0" fontId="477" fillId="56" borderId="90" xfId="0" applyFill="true" applyAlignment="true" applyFont="true" applyBorder="true">
      <alignment horizontal="center" vertical="center" wrapText="true"/>
    </xf>
    <xf numFmtId="0" fontId="477" fillId="56" borderId="207" xfId="0" applyFill="true" applyAlignment="true" applyFont="true" applyBorder="true">
      <alignment horizontal="center" vertical="center" wrapText="true"/>
    </xf>
    <xf numFmtId="0" fontId="477" fillId="56" borderId="207" xfId="0" applyFill="true" applyAlignment="true" applyFont="true" applyBorder="true">
      <alignment horizontal="center" vertical="center" wrapText="true"/>
    </xf>
    <xf numFmtId="0" fontId="477" fillId="56" borderId="95" xfId="0" applyFill="true" applyAlignment="true" applyFont="true" applyBorder="true">
      <alignment horizontal="center" vertical="center" wrapText="true"/>
    </xf>
    <xf numFmtId="0" fontId="478" fillId="48" borderId="0" xfId="0" applyFill="true" applyAlignment="true" applyFont="true">
      <alignment horizontal="center" vertical="center" wrapText="true"/>
    </xf>
    <xf numFmtId="0" fontId="479" fillId="46" borderId="0" xfId="0" applyFill="true" applyAlignment="true" applyFont="true">
      <alignment horizontal="center" vertical="center" wrapText="true"/>
    </xf>
    <xf numFmtId="0" fontId="480" fillId="48" borderId="0" xfId="0" applyFill="true" applyAlignment="true" applyFont="true">
      <alignment horizontal="center" vertical="center" wrapText="true"/>
    </xf>
    <xf numFmtId="0" fontId="481" fillId="48" borderId="0" xfId="0" applyFill="true" applyAlignment="true" applyFont="true">
      <alignment horizontal="center" vertical="center" wrapText="true"/>
    </xf>
    <xf numFmtId="0" fontId="482" fillId="56" borderId="0" xfId="0" applyFill="true" applyAlignment="true" applyFont="true">
      <alignment horizontal="center" vertical="center" wrapText="true"/>
    </xf>
    <xf numFmtId="0" fontId="479" fillId="46" borderId="71" xfId="0" applyFill="true" applyAlignment="true" applyFont="true" applyBorder="true">
      <alignment horizontal="center" vertical="center" wrapText="true"/>
    </xf>
    <xf numFmtId="0" fontId="479" fillId="46" borderId="203" xfId="0" applyFill="true" applyAlignment="true" applyFont="true" applyBorder="true">
      <alignment horizontal="center" vertical="center" wrapText="true"/>
    </xf>
    <xf numFmtId="0" fontId="479" fillId="46" borderId="203" xfId="0" applyFill="true" applyAlignment="true" applyFont="true" applyBorder="true">
      <alignment horizontal="center" vertical="center" wrapText="true"/>
    </xf>
    <xf numFmtId="0" fontId="479" fillId="46" borderId="75" xfId="0" applyFill="true" applyAlignment="true" applyFont="true" applyBorder="true">
      <alignment horizontal="center" vertical="center" wrapText="true"/>
    </xf>
    <xf numFmtId="0" fontId="480" fillId="48" borderId="80" xfId="0" applyFill="true" applyAlignment="true" applyFont="true" applyBorder="true">
      <alignment horizontal="center" vertical="center" wrapText="true"/>
    </xf>
    <xf numFmtId="0" fontId="480" fillId="48" borderId="0" xfId="0" applyFill="true" applyAlignment="true" applyFont="true">
      <alignment horizontal="center" vertical="center" wrapText="true"/>
    </xf>
    <xf numFmtId="0" fontId="480" fillId="48" borderId="0" xfId="0" applyFill="true" applyAlignment="true" applyFont="true">
      <alignment horizontal="center" vertical="center" wrapText="true"/>
    </xf>
    <xf numFmtId="0" fontId="480" fillId="48" borderId="85" xfId="0" applyFill="true" applyAlignment="true" applyFont="true" applyBorder="true">
      <alignment horizontal="center" vertical="center" wrapText="true"/>
    </xf>
    <xf numFmtId="0" fontId="480" fillId="48" borderId="80" xfId="0" applyFill="true" applyAlignment="true" applyFont="true" applyBorder="true">
      <alignment horizontal="center" vertical="center" wrapText="true"/>
    </xf>
    <xf numFmtId="0" fontId="480" fillId="48" borderId="0" xfId="0" applyFill="true" applyAlignment="true" applyFont="true">
      <alignment horizontal="center" vertical="center" wrapText="true"/>
    </xf>
    <xf numFmtId="0" fontId="480" fillId="48" borderId="0" xfId="0" applyFill="true" applyAlignment="true" applyFont="true">
      <alignment horizontal="center" vertical="center" wrapText="true"/>
    </xf>
    <xf numFmtId="0" fontId="480" fillId="48" borderId="85" xfId="0" applyFill="true" applyAlignment="true" applyFont="true" applyBorder="true">
      <alignment horizontal="center" vertical="center" wrapText="true"/>
    </xf>
    <xf numFmtId="0" fontId="481" fillId="48" borderId="80" xfId="0" applyFill="true" applyAlignment="true" applyFont="true" applyBorder="true">
      <alignment horizontal="center" vertical="center" wrapText="true"/>
    </xf>
    <xf numFmtId="0" fontId="481" fillId="48" borderId="0" xfId="0" applyFill="true" applyAlignment="true" applyFont="true">
      <alignment horizontal="center" vertical="center" wrapText="true"/>
    </xf>
    <xf numFmtId="0" fontId="481" fillId="48" borderId="0" xfId="0" applyFill="true" applyAlignment="true" applyFont="true">
      <alignment horizontal="center" vertical="center" wrapText="true"/>
    </xf>
    <xf numFmtId="0" fontId="481" fillId="48" borderId="85" xfId="0" applyFill="true" applyAlignment="true" applyFont="true" applyBorder="true">
      <alignment horizontal="center" vertical="center" wrapText="true"/>
    </xf>
    <xf numFmtId="0" fontId="482" fillId="56" borderId="80" xfId="0" applyFill="true" applyAlignment="true" applyFont="true" applyBorder="true">
      <alignment horizontal="center" vertical="center" wrapText="true"/>
    </xf>
    <xf numFmtId="0" fontId="482" fillId="56" borderId="0" xfId="0" applyFill="true" applyAlignment="true" applyFont="true">
      <alignment horizontal="center" vertical="center" wrapText="true"/>
    </xf>
    <xf numFmtId="0" fontId="482" fillId="56" borderId="0" xfId="0" applyFill="true" applyAlignment="true" applyFont="true">
      <alignment horizontal="center" vertical="center" wrapText="true"/>
    </xf>
    <xf numFmtId="0" fontId="482" fillId="56" borderId="85" xfId="0" applyFill="true" applyAlignment="true" applyFont="true" applyBorder="true">
      <alignment horizontal="center" vertical="center" wrapText="true"/>
    </xf>
    <xf numFmtId="0" fontId="482" fillId="56" borderId="90" xfId="0" applyFill="true" applyAlignment="true" applyFont="true" applyBorder="true">
      <alignment horizontal="center" vertical="center" wrapText="true"/>
    </xf>
    <xf numFmtId="0" fontId="482" fillId="56" borderId="207" xfId="0" applyFill="true" applyAlignment="true" applyFont="true" applyBorder="true">
      <alignment horizontal="center" vertical="center" wrapText="true"/>
    </xf>
    <xf numFmtId="0" fontId="482" fillId="56" borderId="207" xfId="0" applyFill="true" applyAlignment="true" applyFont="true" applyBorder="true">
      <alignment horizontal="center" vertical="center" wrapText="true"/>
    </xf>
    <xf numFmtId="0" fontId="482" fillId="56" borderId="95" xfId="0" applyFill="true" applyAlignment="true" applyFont="true" applyBorder="true">
      <alignment horizontal="center" vertical="center" wrapText="true"/>
    </xf>
    <xf numFmtId="0" fontId="483" fillId="46" borderId="0" xfId="0" applyFill="true" applyAlignment="true" applyFont="true">
      <alignment horizontal="center" vertical="center" wrapText="true"/>
    </xf>
    <xf numFmtId="0" fontId="484" fillId="42" borderId="0" xfId="0" applyFill="true" applyAlignment="true" applyFont="true">
      <alignment horizontal="center" vertical="center" wrapText="true"/>
    </xf>
    <xf numFmtId="0" fontId="485" fillId="42" borderId="35" xfId="0" applyFill="true" applyAlignment="true" applyBorder="true" applyFont="true">
      <alignment horizontal="center" vertical="center" wrapText="true"/>
    </xf>
    <xf numFmtId="0" fontId="486" fillId="46" borderId="35" xfId="0" applyFill="true" applyAlignment="true" applyBorder="true" applyFont="true">
      <alignment horizontal="center" vertical="center" wrapText="true"/>
    </xf>
    <xf numFmtId="0" fontId="487" fillId="46" borderId="35" xfId="0" applyFill="true" applyAlignment="true" applyBorder="true" applyFont="true">
      <alignment horizontal="center" vertical="center" wrapText="true"/>
    </xf>
    <xf numFmtId="0" fontId="488" fillId="46" borderId="35" xfId="0" applyFill="true" applyAlignment="true" applyBorder="true" applyFont="true">
      <alignment horizontal="center" vertical="center" wrapText="true"/>
    </xf>
    <xf numFmtId="0" fontId="489" fillId="46" borderId="35" xfId="0" applyFill="true" applyAlignment="true" applyBorder="true" applyFont="true">
      <alignment horizontal="center" vertical="center" wrapText="true"/>
    </xf>
    <xf numFmtId="0" fontId="490" fillId="46" borderId="35" xfId="0" applyFill="true" applyAlignment="true" applyBorder="true" applyFont="true">
      <alignment horizontal="center" vertical="center" wrapText="true"/>
    </xf>
    <xf numFmtId="0" fontId="491" fillId="46" borderId="35" xfId="0" applyFill="true" applyAlignment="true" applyBorder="true" applyFont="true">
      <alignment horizontal="center" vertical="center" wrapText="true"/>
    </xf>
    <xf numFmtId="0" fontId="492" fillId="28" borderId="35" xfId="0" applyFill="true" applyAlignment="true" applyBorder="true" applyFont="true">
      <alignment horizontal="center" vertical="center" wrapText="true"/>
    </xf>
    <xf numFmtId="0" fontId="493" fillId="28" borderId="35" xfId="0" applyFill="true" applyAlignment="true" applyBorder="true" applyFont="true">
      <alignment horizontal="center" vertical="center" wrapText="true"/>
    </xf>
    <xf numFmtId="0" fontId="494" fillId="28" borderId="35" xfId="0" applyFill="true" applyAlignment="true" applyBorder="true" applyFont="true">
      <alignment horizontal="center" vertical="center" wrapText="true"/>
    </xf>
    <xf numFmtId="0" fontId="495" fillId="28" borderId="35" xfId="0" applyFill="true" applyAlignment="true" applyBorder="true" applyFont="true">
      <alignment horizontal="center" vertical="center" wrapText="true"/>
    </xf>
    <xf numFmtId="0" fontId="496" fillId="28" borderId="35" xfId="0" applyFill="true" applyAlignment="true" applyBorder="true" applyFont="true">
      <alignment horizontal="center" vertical="center" wrapText="true"/>
    </xf>
    <xf numFmtId="0" fontId="497" fillId="28" borderId="35" xfId="0" applyFill="true" applyAlignment="true" applyBorder="true" applyFont="true">
      <alignment horizontal="center" vertical="center" wrapText="true"/>
    </xf>
    <xf numFmtId="0" fontId="498" fillId="28" borderId="35" xfId="0" applyFill="true" applyAlignment="true" applyBorder="true" applyFont="true">
      <alignment horizontal="center" vertical="center" wrapText="true"/>
    </xf>
    <xf numFmtId="0" fontId="499" fillId="28" borderId="35" xfId="0" applyFill="true" applyAlignment="true" applyBorder="true" applyFont="true">
      <alignment horizontal="center" vertical="center" wrapText="true"/>
    </xf>
    <xf numFmtId="0" fontId="500" fillId="28" borderId="35" xfId="0" applyFill="true" applyAlignment="true" applyBorder="true" applyFont="true">
      <alignment horizontal="center" vertical="center" wrapText="true"/>
    </xf>
    <xf numFmtId="0" fontId="501" fillId="28" borderId="35" xfId="0" applyFill="true" applyAlignment="true" applyBorder="true" applyFont="true">
      <alignment horizontal="center" vertical="center" wrapText="true"/>
    </xf>
    <xf numFmtId="0" fontId="502" fillId="46" borderId="35" xfId="0" applyFill="true" applyAlignment="true" applyBorder="true" applyFont="true">
      <alignment horizontal="center" vertical="center" wrapText="true"/>
    </xf>
    <xf numFmtId="0" fontId="503" fillId="46" borderId="35" xfId="0" applyFill="true" applyAlignment="true" applyBorder="true" applyFont="true">
      <alignment horizontal="center" vertical="center" wrapText="true"/>
    </xf>
    <xf numFmtId="0" fontId="504" fillId="46" borderId="35" xfId="0" applyFill="true" applyAlignment="true" applyBorder="true" applyFont="true">
      <alignment horizontal="center" vertical="center" wrapText="true"/>
    </xf>
    <xf numFmtId="0" fontId="505" fillId="28" borderId="35" xfId="0" applyFill="true" applyAlignment="true" applyBorder="true" applyFont="true">
      <alignment horizontal="center" vertical="center" wrapText="true"/>
    </xf>
    <xf numFmtId="0" fontId="506" fillId="28" borderId="35" xfId="0" applyFill="true" applyAlignment="true" applyBorder="true" applyFont="true">
      <alignment horizontal="center" vertical="center" wrapText="true"/>
    </xf>
    <xf numFmtId="0" fontId="507" fillId="20" borderId="17" xfId="0" applyFill="true" applyAlignment="true" applyBorder="true" applyFont="true">
      <alignment horizontal="center" vertical="center"/>
    </xf>
    <xf numFmtId="0" fontId="508" fillId="22" borderId="19" xfId="0" applyFill="true" applyAlignment="true" applyBorder="true" applyFont="true">
      <alignment horizontal="center" vertical="center" wrapText="true"/>
    </xf>
    <xf numFmtId="0" fontId="508" fillId="23" borderId="19" xfId="0" applyFill="true" applyAlignment="true" applyBorder="true" applyFont="true">
      <alignment horizontal="center" vertical="center" wrapText="true"/>
    </xf>
    <xf numFmtId="0" fontId="508" fillId="24" borderId="19" xfId="0" applyFill="true" applyAlignment="true" applyBorder="true" applyFont="true">
      <alignment horizontal="center" vertical="center" wrapText="true"/>
    </xf>
    <xf numFmtId="0" fontId="508" fillId="51" borderId="19" xfId="0" applyFill="true" applyAlignment="true" applyBorder="true" applyFont="true">
      <alignment horizontal="center" vertical="center" wrapText="true"/>
    </xf>
    <xf numFmtId="0" fontId="508" fillId="52" borderId="19" xfId="0" applyFill="true" applyAlignment="true" applyBorder="true" applyFont="true">
      <alignment horizontal="center" vertical="center" wrapText="true"/>
    </xf>
    <xf numFmtId="0" fontId="508" fillId="25" borderId="19" xfId="0" applyFill="true" applyAlignment="true" applyBorder="true" applyFont="true">
      <alignment horizontal="center" vertical="center" wrapText="true"/>
    </xf>
    <xf numFmtId="0" fontId="508" fillId="53" borderId="19" xfId="0" applyFill="true" applyAlignment="true" applyBorder="true" applyFont="true">
      <alignment horizontal="center" vertical="center" wrapText="true"/>
    </xf>
    <xf numFmtId="0" fontId="508" fillId="54" borderId="19" xfId="0" applyFill="true" applyAlignment="true" applyBorder="true" applyFont="true">
      <alignment horizontal="center" vertical="center" wrapText="true"/>
    </xf>
    <xf numFmtId="0" fontId="508" fillId="26" borderId="19" xfId="0" applyFill="true" applyAlignment="true" applyBorder="true" applyFont="true">
      <alignment horizontal="center" vertical="center" wrapText="true"/>
    </xf>
    <xf numFmtId="49" fontId="509" fillId="28" borderId="27" xfId="0" applyNumberFormat="true" applyAlignment="true" applyFill="true" applyBorder="true" applyFont="true">
      <alignment horizontal="left" vertical="center" wrapText="false"/>
    </xf>
    <xf numFmtId="49" fontId="510" fillId="28" borderId="27" xfId="0" applyNumberFormat="true" applyAlignment="true" applyFill="true" applyBorder="true" applyFont="true">
      <alignment horizontal="left" vertical="center" wrapText="false"/>
    </xf>
    <xf numFmtId="49" fontId="512" fillId="30" borderId="27" xfId="0" applyNumberFormat="true" applyAlignment="true" applyFill="true" applyBorder="true" applyFont="true">
      <alignment horizontal="left" vertical="center" wrapText="false"/>
    </xf>
    <xf numFmtId="49" fontId="514" fillId="32" borderId="27" xfId="0" applyNumberFormat="true" applyAlignment="true" applyFill="true" applyBorder="true" applyFont="true">
      <alignment horizontal="left" vertical="center" wrapText="false"/>
    </xf>
    <xf numFmtId="164" fontId="509" fillId="28" borderId="27" xfId="0" applyNumberFormat="true" applyAlignment="true" applyFill="true" applyBorder="true" applyFont="true">
      <alignment horizontal="left" vertical="center" wrapText="false"/>
    </xf>
    <xf numFmtId="49" fontId="515" fillId="34" borderId="27" xfId="0" applyNumberFormat="true" applyAlignment="true" applyFill="true" applyBorder="true" applyFont="true">
      <alignment horizontal="left" vertical="center" wrapText="false"/>
    </xf>
    <xf numFmtId="49" fontId="516" fillId="34" borderId="27" xfId="0" applyNumberFormat="true" applyAlignment="true" applyFill="true" applyBorder="true" applyFont="true">
      <alignment horizontal="left" vertical="center" wrapText="false"/>
    </xf>
    <xf numFmtId="49" fontId="518" fillId="36" borderId="27" xfId="0" applyNumberFormat="true" applyAlignment="true" applyFill="true" applyBorder="true" applyFont="true">
      <alignment horizontal="left" vertical="center" wrapText="false"/>
    </xf>
    <xf numFmtId="49" fontId="520" fillId="38" borderId="27" xfId="0" applyNumberFormat="true" applyAlignment="true" applyFill="true" applyBorder="true" applyFont="true">
      <alignment horizontal="left" vertical="center" wrapText="false"/>
    </xf>
    <xf numFmtId="164" fontId="515" fillId="34" borderId="27" xfId="0" applyNumberFormat="true" applyAlignment="true" applyFill="true" applyBorder="true" applyFont="true">
      <alignment horizontal="left" vertical="center" wrapText="false"/>
    </xf>
    <xf numFmtId="49" fontId="521" fillId="28" borderId="27" xfId="0" applyNumberFormat="true" applyAlignment="true" applyFill="true" applyBorder="true" applyFont="true">
      <alignment horizontal="left" vertical="center" wrapText="false"/>
    </xf>
    <xf numFmtId="49" fontId="0" fillId="40" borderId="31" xfId="0" applyNumberFormat="true" applyFill="true" applyBorder="true"/>
    <xf numFmtId="0" fontId="522" fillId="58" borderId="0" xfId="0" applyFill="true" applyAlignment="true" applyFont="true">
      <alignment horizontal="center" vertical="center"/>
    </xf>
    <xf numFmtId="0" fontId="523" fillId="42" borderId="0" xfId="0" applyFill="true" applyAlignment="true" applyFont="true">
      <alignment horizontal="center" vertical="center"/>
    </xf>
    <xf numFmtId="0" fontId="524" fillId="56" borderId="0" xfId="0" applyFill="true" applyAlignment="true" applyFont="true">
      <alignment horizontal="center" vertical="center" wrapText="true"/>
    </xf>
    <xf numFmtId="0" fontId="524" fillId="56" borderId="41" xfId="0" applyFill="true" applyAlignment="true" applyFont="true" applyBorder="true">
      <alignment horizontal="center" vertical="center" wrapText="true"/>
    </xf>
    <xf numFmtId="0" fontId="524" fillId="56" borderId="46" xfId="0" applyFill="true" applyAlignment="true" applyFont="true" applyBorder="true">
      <alignment horizontal="center" vertical="center" wrapText="true"/>
    </xf>
    <xf numFmtId="0" fontId="524" fillId="56" borderId="51" xfId="0" applyFill="true" applyAlignment="true" applyFont="true" applyBorder="true">
      <alignment horizontal="center" vertical="center" wrapText="true"/>
    </xf>
    <xf numFmtId="0" fontId="524" fillId="56" borderId="56" xfId="0" applyFill="true" applyAlignment="true" applyFont="true" applyBorder="true">
      <alignment horizontal="center" vertical="center" wrapText="true"/>
    </xf>
    <xf numFmtId="0" fontId="524" fillId="56" borderId="51" xfId="0" applyFill="true" applyAlignment="true" applyFont="true" applyBorder="true">
      <alignment horizontal="center" vertical="center" wrapText="true"/>
    </xf>
    <xf numFmtId="0" fontId="524" fillId="56" borderId="56" xfId="0" applyFill="true" applyAlignment="true" applyFont="true" applyBorder="true">
      <alignment horizontal="center" vertical="center" wrapText="true"/>
    </xf>
    <xf numFmtId="0" fontId="524" fillId="56" borderId="61" xfId="0" applyFill="true" applyAlignment="true" applyFont="true" applyBorder="true">
      <alignment horizontal="center" vertical="center" wrapText="true"/>
    </xf>
    <xf numFmtId="0" fontId="524" fillId="56" borderId="66" xfId="0" applyFill="true" applyAlignment="true" applyFont="true" applyBorder="true">
      <alignment horizontal="center" vertical="center" wrapText="true"/>
    </xf>
    <xf numFmtId="0" fontId="525" fillId="42" borderId="0" xfId="0" applyFill="true" applyAlignment="true" applyFont="true">
      <alignment horizontal="center" vertical="center" wrapText="true"/>
    </xf>
    <xf numFmtId="0" fontId="526" fillId="42" borderId="0" xfId="0" applyFill="true" applyAlignment="true" applyFont="true">
      <alignment horizontal="center" vertical="center" wrapText="true"/>
    </xf>
    <xf numFmtId="0" fontId="527" fillId="56" borderId="0" xfId="0" applyFill="true" applyAlignment="true" applyFont="true">
      <alignment horizontal="center" vertical="center" wrapText="true"/>
    </xf>
    <xf numFmtId="0" fontId="527" fillId="56" borderId="71" xfId="0" applyFill="true" applyAlignment="true" applyFont="true" applyBorder="true">
      <alignment horizontal="center" vertical="center" wrapText="true"/>
    </xf>
    <xf numFmtId="0" fontId="527" fillId="56" borderId="75" xfId="0" applyFill="true" applyAlignment="true" applyFont="true" applyBorder="true">
      <alignment horizontal="center" vertical="center" wrapText="true"/>
    </xf>
    <xf numFmtId="0" fontId="527" fillId="56" borderId="80" xfId="0" applyFill="true" applyAlignment="true" applyFont="true" applyBorder="true">
      <alignment horizontal="center" vertical="center" wrapText="true"/>
    </xf>
    <xf numFmtId="0" fontId="527" fillId="56" borderId="85" xfId="0" applyFill="true" applyAlignment="true" applyFont="true" applyBorder="true">
      <alignment horizontal="center" vertical="center" wrapText="true"/>
    </xf>
    <xf numFmtId="0" fontId="527" fillId="56" borderId="80" xfId="0" applyFill="true" applyAlignment="true" applyFont="true" applyBorder="true">
      <alignment horizontal="center" vertical="center" wrapText="true"/>
    </xf>
    <xf numFmtId="0" fontId="527" fillId="56" borderId="85" xfId="0" applyFill="true" applyAlignment="true" applyFont="true" applyBorder="true">
      <alignment horizontal="center" vertical="center" wrapText="true"/>
    </xf>
    <xf numFmtId="0" fontId="527" fillId="56" borderId="90" xfId="0" applyFill="true" applyAlignment="true" applyFont="true" applyBorder="true">
      <alignment horizontal="center" vertical="center" wrapText="true"/>
    </xf>
    <xf numFmtId="0" fontId="527" fillId="56" borderId="95" xfId="0" applyFill="true" applyAlignment="true" applyFont="true" applyBorder="true">
      <alignment horizontal="center" vertical="center" wrapText="true"/>
    </xf>
    <xf numFmtId="0" fontId="528" fillId="46" borderId="0" xfId="0" applyFill="true" applyAlignment="true" applyFont="true">
      <alignment horizontal="center" vertical="center" wrapText="true"/>
    </xf>
    <xf numFmtId="0" fontId="529" fillId="56" borderId="0" xfId="0" applyFill="true" applyAlignment="true" applyFont="true">
      <alignment horizontal="center" vertical="center" wrapText="true"/>
    </xf>
    <xf numFmtId="0" fontId="530" fillId="44" borderId="0" xfId="0" applyFill="true" applyAlignment="true" applyFont="true">
      <alignment horizontal="center" vertical="center" wrapText="true"/>
    </xf>
    <xf numFmtId="0" fontId="531" fillId="56" borderId="0" xfId="0" applyFill="true" applyAlignment="true" applyFont="true">
      <alignment horizontal="center" vertical="center" wrapText="true"/>
    </xf>
    <xf numFmtId="0" fontId="532" fillId="56" borderId="0" xfId="0" applyFill="true" applyAlignment="true" applyFont="true">
      <alignment horizontal="center" vertical="center" wrapText="true"/>
    </xf>
    <xf numFmtId="0" fontId="533" fillId="56" borderId="0" xfId="0" applyFill="true" applyAlignment="true" applyFont="true">
      <alignment horizontal="center" vertical="center" wrapText="true"/>
    </xf>
    <xf numFmtId="0" fontId="529" fillId="56" borderId="41" xfId="0" applyFill="true" applyAlignment="true" applyFont="true" applyBorder="true">
      <alignment horizontal="center" vertical="center" wrapText="true"/>
    </xf>
    <xf numFmtId="0" fontId="531" fillId="56" borderId="99" xfId="0" applyFill="true" applyAlignment="true" applyFont="true" applyBorder="true">
      <alignment horizontal="center" vertical="center" wrapText="true"/>
    </xf>
    <xf numFmtId="0" fontId="531" fillId="56" borderId="99" xfId="0" applyFill="true" applyAlignment="true" applyFont="true" applyBorder="true">
      <alignment horizontal="center" vertical="center" wrapText="true"/>
    </xf>
    <xf numFmtId="0" fontId="531" fillId="56" borderId="46" xfId="0" applyFill="true" applyAlignment="true" applyFont="true" applyBorder="true">
      <alignment horizontal="center" vertical="center" wrapText="true"/>
    </xf>
    <xf numFmtId="0" fontId="530" fillId="44" borderId="51" xfId="0" applyFill="true" applyAlignment="true" applyFont="true" applyBorder="true">
      <alignment horizontal="center" vertical="center" wrapText="true"/>
    </xf>
    <xf numFmtId="0" fontId="532" fillId="56" borderId="0" xfId="0" applyFill="true" applyAlignment="true" applyFont="true">
      <alignment horizontal="center" vertical="center" wrapText="true"/>
    </xf>
    <xf numFmtId="0" fontId="532" fillId="56" borderId="0" xfId="0" applyFill="true" applyAlignment="true" applyFont="true">
      <alignment horizontal="center" vertical="center" wrapText="true"/>
    </xf>
    <xf numFmtId="0" fontId="532" fillId="56" borderId="56" xfId="0" applyFill="true" applyAlignment="true" applyFont="true" applyBorder="true">
      <alignment horizontal="center" vertical="center" wrapText="true"/>
    </xf>
    <xf numFmtId="0" fontId="530" fillId="44" borderId="51" xfId="0" applyFill="true" applyAlignment="true" applyFont="true" applyBorder="true">
      <alignment horizontal="center" vertical="center" wrapText="true"/>
    </xf>
    <xf numFmtId="0" fontId="532" fillId="56" borderId="0" xfId="0" applyFill="true" applyAlignment="true" applyFont="true">
      <alignment horizontal="center" vertical="center" wrapText="true"/>
    </xf>
    <xf numFmtId="0" fontId="532" fillId="56" borderId="0" xfId="0" applyFill="true" applyAlignment="true" applyFont="true">
      <alignment horizontal="center" vertical="center" wrapText="true"/>
    </xf>
    <xf numFmtId="0" fontId="532" fillId="56" borderId="56" xfId="0" applyFill="true" applyAlignment="true" applyFont="true" applyBorder="true">
      <alignment horizontal="center" vertical="center" wrapText="true"/>
    </xf>
    <xf numFmtId="0" fontId="530" fillId="44" borderId="51" xfId="0" applyFill="true" applyAlignment="true" applyFont="true" applyBorder="true">
      <alignment horizontal="center" vertical="center" wrapText="true"/>
    </xf>
    <xf numFmtId="0" fontId="533" fillId="56" borderId="0" xfId="0" applyFill="true" applyAlignment="true" applyFont="true">
      <alignment horizontal="center" vertical="center" wrapText="true"/>
    </xf>
    <xf numFmtId="0" fontId="533" fillId="56" borderId="0" xfId="0" applyFill="true" applyAlignment="true" applyFont="true">
      <alignment horizontal="center" vertical="center" wrapText="true"/>
    </xf>
    <xf numFmtId="0" fontId="533" fillId="56" borderId="56" xfId="0" applyFill="true" applyAlignment="true" applyFont="true" applyBorder="true">
      <alignment horizontal="center" vertical="center" wrapText="true"/>
    </xf>
    <xf numFmtId="0" fontId="529" fillId="56" borderId="61" xfId="0" applyFill="true" applyAlignment="true" applyFont="true" applyBorder="true">
      <alignment horizontal="center" vertical="center" wrapText="true"/>
    </xf>
    <xf numFmtId="0" fontId="533" fillId="56" borderId="103" xfId="0" applyFill="true" applyAlignment="true" applyFont="true" applyBorder="true">
      <alignment horizontal="center" vertical="center" wrapText="true"/>
    </xf>
    <xf numFmtId="0" fontId="533" fillId="56" borderId="103" xfId="0" applyFill="true" applyAlignment="true" applyFont="true" applyBorder="true">
      <alignment horizontal="center" vertical="center" wrapText="true"/>
    </xf>
    <xf numFmtId="0" fontId="533" fillId="56" borderId="66" xfId="0" applyFill="true" applyAlignment="true" applyFont="true" applyBorder="true">
      <alignment horizontal="center" vertical="center" wrapText="true"/>
    </xf>
    <xf numFmtId="0" fontId="534" fillId="56" borderId="0" xfId="0" applyFill="true" applyAlignment="true" applyFont="true">
      <alignment horizontal="center" vertical="center" wrapText="true"/>
    </xf>
    <xf numFmtId="0" fontId="535" fillId="44" borderId="0" xfId="0" applyFill="true" applyAlignment="true" applyFont="true">
      <alignment horizontal="center" vertical="center" wrapText="true"/>
    </xf>
    <xf numFmtId="0" fontId="536" fillId="56" borderId="0" xfId="0" applyFill="true" applyAlignment="true" applyFont="true">
      <alignment horizontal="center" vertical="center" wrapText="true"/>
    </xf>
    <xf numFmtId="0" fontId="537" fillId="56" borderId="0" xfId="0" applyFill="true" applyAlignment="true" applyFont="true">
      <alignment horizontal="center" vertical="center" wrapText="true"/>
    </xf>
    <xf numFmtId="0" fontId="538" fillId="56" borderId="0" xfId="0" applyFill="true" applyAlignment="true" applyFont="true">
      <alignment horizontal="center" vertical="center" wrapText="true"/>
    </xf>
    <xf numFmtId="0" fontId="534" fillId="56" borderId="107" xfId="0" applyFill="true" applyAlignment="true" applyFont="true" applyBorder="true">
      <alignment horizontal="center" vertical="center" wrapText="true"/>
    </xf>
    <xf numFmtId="0" fontId="536" fillId="56" borderId="111" xfId="0" applyFill="true" applyAlignment="true" applyFont="true" applyBorder="true">
      <alignment horizontal="center" vertical="center" wrapText="true"/>
    </xf>
    <xf numFmtId="0" fontId="536" fillId="56" borderId="111" xfId="0" applyFill="true" applyAlignment="true" applyFont="true" applyBorder="true">
      <alignment horizontal="center" vertical="center" wrapText="true"/>
    </xf>
    <xf numFmtId="0" fontId="536" fillId="56" borderId="115" xfId="0" applyFill="true" applyAlignment="true" applyFont="true" applyBorder="true">
      <alignment horizontal="center" vertical="center" wrapText="true"/>
    </xf>
    <xf numFmtId="0" fontId="535" fillId="44" borderId="119" xfId="0" applyFill="true" applyAlignment="true" applyFont="true" applyBorder="true">
      <alignment horizontal="center" vertical="center" wrapText="true"/>
    </xf>
    <xf numFmtId="0" fontId="537" fillId="56" borderId="0" xfId="0" applyFill="true" applyAlignment="true" applyFont="true">
      <alignment horizontal="center" vertical="center" wrapText="true"/>
    </xf>
    <xf numFmtId="0" fontId="537" fillId="56" borderId="0" xfId="0" applyFill="true" applyAlignment="true" applyFont="true">
      <alignment horizontal="center" vertical="center" wrapText="true"/>
    </xf>
    <xf numFmtId="0" fontId="537" fillId="56" borderId="123" xfId="0" applyFill="true" applyAlignment="true" applyFont="true" applyBorder="true">
      <alignment horizontal="center" vertical="center" wrapText="true"/>
    </xf>
    <xf numFmtId="0" fontId="535" fillId="44" borderId="119" xfId="0" applyFill="true" applyAlignment="true" applyFont="true" applyBorder="true">
      <alignment horizontal="center" vertical="center" wrapText="true"/>
    </xf>
    <xf numFmtId="0" fontId="537" fillId="56" borderId="0" xfId="0" applyFill="true" applyAlignment="true" applyFont="true">
      <alignment horizontal="center" vertical="center" wrapText="true"/>
    </xf>
    <xf numFmtId="0" fontId="537" fillId="56" borderId="0" xfId="0" applyFill="true" applyAlignment="true" applyFont="true">
      <alignment horizontal="center" vertical="center" wrapText="true"/>
    </xf>
    <xf numFmtId="0" fontId="537" fillId="56" borderId="123" xfId="0" applyFill="true" applyAlignment="true" applyFont="true" applyBorder="true">
      <alignment horizontal="center" vertical="center" wrapText="true"/>
    </xf>
    <xf numFmtId="0" fontId="535" fillId="44" borderId="119" xfId="0" applyFill="true" applyAlignment="true" applyFont="true" applyBorder="true">
      <alignment horizontal="center" vertical="center" wrapText="true"/>
    </xf>
    <xf numFmtId="0" fontId="538" fillId="56" borderId="0" xfId="0" applyFill="true" applyAlignment="true" applyFont="true">
      <alignment horizontal="center" vertical="center" wrapText="true"/>
    </xf>
    <xf numFmtId="0" fontId="538" fillId="56" borderId="0" xfId="0" applyFill="true" applyAlignment="true" applyFont="true">
      <alignment horizontal="center" vertical="center" wrapText="true"/>
    </xf>
    <xf numFmtId="0" fontId="538" fillId="56" borderId="123" xfId="0" applyFill="true" applyAlignment="true" applyFont="true" applyBorder="true">
      <alignment horizontal="center" vertical="center" wrapText="true"/>
    </xf>
    <xf numFmtId="0" fontId="534" fillId="56" borderId="127" xfId="0" applyFill="true" applyAlignment="true" applyFont="true" applyBorder="true">
      <alignment horizontal="center" vertical="center" wrapText="true"/>
    </xf>
    <xf numFmtId="0" fontId="538" fillId="56" borderId="131" xfId="0" applyFill="true" applyAlignment="true" applyFont="true" applyBorder="true">
      <alignment horizontal="center" vertical="center" wrapText="true"/>
    </xf>
    <xf numFmtId="0" fontId="538" fillId="56" borderId="131" xfId="0" applyFill="true" applyAlignment="true" applyFont="true" applyBorder="true">
      <alignment horizontal="center" vertical="center" wrapText="true"/>
    </xf>
    <xf numFmtId="0" fontId="538" fillId="56" borderId="135" xfId="0" applyFill="true" applyAlignment="true" applyFont="true" applyBorder="true">
      <alignment horizontal="center" vertical="center" wrapText="true"/>
    </xf>
    <xf numFmtId="0" fontId="539" fillId="56" borderId="0" xfId="0" applyFill="true" applyAlignment="true" applyFont="true">
      <alignment horizontal="center" vertical="center" wrapText="true"/>
    </xf>
    <xf numFmtId="0" fontId="540" fillId="44" borderId="0" xfId="0" applyFill="true" applyAlignment="true" applyFont="true">
      <alignment horizontal="center" vertical="center" wrapText="true"/>
    </xf>
    <xf numFmtId="0" fontId="541" fillId="56" borderId="0" xfId="0" applyFill="true" applyAlignment="true" applyFont="true">
      <alignment horizontal="center" vertical="center" wrapText="true"/>
    </xf>
    <xf numFmtId="0" fontId="542" fillId="56" borderId="0" xfId="0" applyFill="true" applyAlignment="true" applyFont="true">
      <alignment horizontal="center" vertical="center" wrapText="true"/>
    </xf>
    <xf numFmtId="0" fontId="543" fillId="56" borderId="0" xfId="0" applyFill="true" applyAlignment="true" applyFont="true">
      <alignment horizontal="center" vertical="center" wrapText="true"/>
    </xf>
    <xf numFmtId="0" fontId="539" fillId="56" borderId="139" xfId="0" applyFill="true" applyAlignment="true" applyFont="true" applyBorder="true">
      <alignment horizontal="center" vertical="center" wrapText="true"/>
    </xf>
    <xf numFmtId="0" fontId="541" fillId="56" borderId="143" xfId="0" applyFill="true" applyAlignment="true" applyFont="true" applyBorder="true">
      <alignment horizontal="center" vertical="center" wrapText="true"/>
    </xf>
    <xf numFmtId="0" fontId="541" fillId="56" borderId="143" xfId="0" applyFill="true" applyAlignment="true" applyFont="true" applyBorder="true">
      <alignment horizontal="center" vertical="center" wrapText="true"/>
    </xf>
    <xf numFmtId="0" fontId="541" fillId="56" borderId="147" xfId="0" applyFill="true" applyAlignment="true" applyFont="true" applyBorder="true">
      <alignment horizontal="center" vertical="center" wrapText="true"/>
    </xf>
    <xf numFmtId="0" fontId="540" fillId="44" borderId="151" xfId="0" applyFill="true" applyAlignment="true" applyFont="true" applyBorder="true">
      <alignment horizontal="center" vertical="center" wrapText="true"/>
    </xf>
    <xf numFmtId="0" fontId="542" fillId="56" borderId="0" xfId="0" applyFill="true" applyAlignment="true" applyFont="true">
      <alignment horizontal="center" vertical="center" wrapText="true"/>
    </xf>
    <xf numFmtId="0" fontId="542" fillId="56" borderId="0" xfId="0" applyFill="true" applyAlignment="true" applyFont="true">
      <alignment horizontal="center" vertical="center" wrapText="true"/>
    </xf>
    <xf numFmtId="0" fontId="542" fillId="56" borderId="155" xfId="0" applyFill="true" applyAlignment="true" applyFont="true" applyBorder="true">
      <alignment horizontal="center" vertical="center" wrapText="true"/>
    </xf>
    <xf numFmtId="0" fontId="540" fillId="44" borderId="151" xfId="0" applyFill="true" applyAlignment="true" applyFont="true" applyBorder="true">
      <alignment horizontal="center" vertical="center" wrapText="true"/>
    </xf>
    <xf numFmtId="0" fontId="542" fillId="56" borderId="0" xfId="0" applyFill="true" applyAlignment="true" applyFont="true">
      <alignment horizontal="center" vertical="center" wrapText="true"/>
    </xf>
    <xf numFmtId="0" fontId="542" fillId="56" borderId="0" xfId="0" applyFill="true" applyAlignment="true" applyFont="true">
      <alignment horizontal="center" vertical="center" wrapText="true"/>
    </xf>
    <xf numFmtId="0" fontId="542" fillId="56" borderId="155" xfId="0" applyFill="true" applyAlignment="true" applyFont="true" applyBorder="true">
      <alignment horizontal="center" vertical="center" wrapText="true"/>
    </xf>
    <xf numFmtId="0" fontId="540" fillId="44" borderId="151" xfId="0" applyFill="true" applyAlignment="true" applyFont="true" applyBorder="true">
      <alignment horizontal="center" vertical="center" wrapText="true"/>
    </xf>
    <xf numFmtId="0" fontId="543" fillId="56" borderId="0" xfId="0" applyFill="true" applyAlignment="true" applyFont="true">
      <alignment horizontal="center" vertical="center" wrapText="true"/>
    </xf>
    <xf numFmtId="0" fontId="543" fillId="56" borderId="0" xfId="0" applyFill="true" applyAlignment="true" applyFont="true">
      <alignment horizontal="center" vertical="center" wrapText="true"/>
    </xf>
    <xf numFmtId="0" fontId="543" fillId="56" borderId="155" xfId="0" applyFill="true" applyAlignment="true" applyFont="true" applyBorder="true">
      <alignment horizontal="center" vertical="center" wrapText="true"/>
    </xf>
    <xf numFmtId="0" fontId="539" fillId="56" borderId="159" xfId="0" applyFill="true" applyAlignment="true" applyFont="true" applyBorder="true">
      <alignment horizontal="center" vertical="center" wrapText="true"/>
    </xf>
    <xf numFmtId="0" fontId="543" fillId="56" borderId="163" xfId="0" applyFill="true" applyAlignment="true" applyFont="true" applyBorder="true">
      <alignment horizontal="center" vertical="center" wrapText="true"/>
    </xf>
    <xf numFmtId="0" fontId="543" fillId="56" borderId="163" xfId="0" applyFill="true" applyAlignment="true" applyFont="true" applyBorder="true">
      <alignment horizontal="center" vertical="center" wrapText="true"/>
    </xf>
    <xf numFmtId="0" fontId="543" fillId="56" borderId="167" xfId="0" applyFill="true" applyAlignment="true" applyFont="true" applyBorder="true">
      <alignment horizontal="center" vertical="center" wrapText="true"/>
    </xf>
    <xf numFmtId="0" fontId="544" fillId="56" borderId="0" xfId="0" applyFill="true" applyAlignment="true" applyFont="true">
      <alignment horizontal="center" vertical="center" wrapText="true"/>
    </xf>
    <xf numFmtId="0" fontId="545" fillId="44" borderId="0" xfId="0" applyFill="true" applyAlignment="true" applyFont="true">
      <alignment horizontal="center" vertical="center" wrapText="true"/>
    </xf>
    <xf numFmtId="0" fontId="546" fillId="56" borderId="0" xfId="0" applyFill="true" applyAlignment="true" applyFont="true">
      <alignment horizontal="center" vertical="center" wrapText="true"/>
    </xf>
    <xf numFmtId="0" fontId="547" fillId="56" borderId="0" xfId="0" applyFill="true" applyAlignment="true" applyFont="true">
      <alignment horizontal="center" vertical="center" wrapText="true"/>
    </xf>
    <xf numFmtId="0" fontId="548" fillId="56" borderId="0" xfId="0" applyFill="true" applyAlignment="true" applyFont="true">
      <alignment horizontal="center" vertical="center" wrapText="true"/>
    </xf>
    <xf numFmtId="0" fontId="544" fillId="56" borderId="171" xfId="0" applyFill="true" applyAlignment="true" applyFont="true" applyBorder="true">
      <alignment horizontal="center" vertical="center" wrapText="true"/>
    </xf>
    <xf numFmtId="0" fontId="546" fillId="56" borderId="175" xfId="0" applyFill="true" applyAlignment="true" applyFont="true" applyBorder="true">
      <alignment horizontal="center" vertical="center" wrapText="true"/>
    </xf>
    <xf numFmtId="0" fontId="546" fillId="56" borderId="175" xfId="0" applyFill="true" applyAlignment="true" applyFont="true" applyBorder="true">
      <alignment horizontal="center" vertical="center" wrapText="true"/>
    </xf>
    <xf numFmtId="0" fontId="546" fillId="56" borderId="179" xfId="0" applyFill="true" applyAlignment="true" applyFont="true" applyBorder="true">
      <alignment horizontal="center" vertical="center" wrapText="true"/>
    </xf>
    <xf numFmtId="0" fontId="545" fillId="44" borderId="183" xfId="0" applyFill="true" applyAlignment="true" applyFont="true" applyBorder="true">
      <alignment horizontal="center" vertical="center" wrapText="true"/>
    </xf>
    <xf numFmtId="0" fontId="547" fillId="56" borderId="0" xfId="0" applyFill="true" applyAlignment="true" applyFont="true">
      <alignment horizontal="center" vertical="center" wrapText="true"/>
    </xf>
    <xf numFmtId="0" fontId="547" fillId="56" borderId="0" xfId="0" applyFill="true" applyAlignment="true" applyFont="true">
      <alignment horizontal="center" vertical="center" wrapText="true"/>
    </xf>
    <xf numFmtId="0" fontId="547" fillId="56" borderId="187" xfId="0" applyFill="true" applyAlignment="true" applyFont="true" applyBorder="true">
      <alignment horizontal="center" vertical="center" wrapText="true"/>
    </xf>
    <xf numFmtId="0" fontId="545" fillId="44" borderId="183" xfId="0" applyFill="true" applyAlignment="true" applyFont="true" applyBorder="true">
      <alignment horizontal="center" vertical="center" wrapText="true"/>
    </xf>
    <xf numFmtId="0" fontId="547" fillId="56" borderId="0" xfId="0" applyFill="true" applyAlignment="true" applyFont="true">
      <alignment horizontal="center" vertical="center" wrapText="true"/>
    </xf>
    <xf numFmtId="0" fontId="547" fillId="56" borderId="0" xfId="0" applyFill="true" applyAlignment="true" applyFont="true">
      <alignment horizontal="center" vertical="center" wrapText="true"/>
    </xf>
    <xf numFmtId="0" fontId="547" fillId="56" borderId="187" xfId="0" applyFill="true" applyAlignment="true" applyFont="true" applyBorder="true">
      <alignment horizontal="center" vertical="center" wrapText="true"/>
    </xf>
    <xf numFmtId="0" fontId="545" fillId="44" borderId="183" xfId="0" applyFill="true" applyAlignment="true" applyFont="true" applyBorder="true">
      <alignment horizontal="center" vertical="center" wrapText="true"/>
    </xf>
    <xf numFmtId="0" fontId="548" fillId="56" borderId="0" xfId="0" applyFill="true" applyAlignment="true" applyFont="true">
      <alignment horizontal="center" vertical="center" wrapText="true"/>
    </xf>
    <xf numFmtId="0" fontId="548" fillId="56" borderId="0" xfId="0" applyFill="true" applyAlignment="true" applyFont="true">
      <alignment horizontal="center" vertical="center" wrapText="true"/>
    </xf>
    <xf numFmtId="0" fontId="548" fillId="56" borderId="187" xfId="0" applyFill="true" applyAlignment="true" applyFont="true" applyBorder="true">
      <alignment horizontal="center" vertical="center" wrapText="true"/>
    </xf>
    <xf numFmtId="0" fontId="544" fillId="56" borderId="191" xfId="0" applyFill="true" applyAlignment="true" applyFont="true" applyBorder="true">
      <alignment horizontal="center" vertical="center" wrapText="true"/>
    </xf>
    <xf numFmtId="0" fontId="548" fillId="56" borderId="195" xfId="0" applyFill="true" applyAlignment="true" applyFont="true" applyBorder="true">
      <alignment horizontal="center" vertical="center" wrapText="true"/>
    </xf>
    <xf numFmtId="0" fontId="548" fillId="56" borderId="195" xfId="0" applyFill="true" applyAlignment="true" applyFont="true" applyBorder="true">
      <alignment horizontal="center" vertical="center" wrapText="true"/>
    </xf>
    <xf numFmtId="0" fontId="548" fillId="56" borderId="199" xfId="0" applyFill="true" applyAlignment="true" applyFont="true" applyBorder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41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99" xfId="0" applyFill="true" applyAlignment="true" applyFont="true" applyBorder="true">
      <alignment horizontal="center" vertical="center" wrapText="true"/>
    </xf>
    <xf numFmtId="0" fontId="549" fillId="56" borderId="46" xfId="0" applyFill="true" applyAlignment="true" applyFont="true" applyBorder="true">
      <alignment horizontal="center" vertical="center" wrapText="true"/>
    </xf>
    <xf numFmtId="0" fontId="549" fillId="56" borderId="51" xfId="0" applyFill="true" applyAlignment="true" applyFont="true" applyBorder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56" xfId="0" applyFill="true" applyAlignment="true" applyFont="true" applyBorder="true">
      <alignment horizontal="center" vertical="center" wrapText="true"/>
    </xf>
    <xf numFmtId="0" fontId="549" fillId="56" borderId="51" xfId="0" applyFill="true" applyAlignment="true" applyFont="true" applyBorder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56" xfId="0" applyFill="true" applyAlignment="true" applyFont="true" applyBorder="true">
      <alignment horizontal="center" vertical="center" wrapText="true"/>
    </xf>
    <xf numFmtId="0" fontId="549" fillId="56" borderId="51" xfId="0" applyFill="true" applyAlignment="true" applyFont="true" applyBorder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56" xfId="0" applyFill="true" applyAlignment="true" applyFont="true" applyBorder="true">
      <alignment horizontal="center" vertical="center" wrapText="true"/>
    </xf>
    <xf numFmtId="0" fontId="549" fillId="56" borderId="51" xfId="0" applyFill="true" applyAlignment="true" applyFont="true" applyBorder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56" xfId="0" applyFill="true" applyAlignment="true" applyFont="true" applyBorder="true">
      <alignment horizontal="center" vertical="center" wrapText="true"/>
    </xf>
    <xf numFmtId="0" fontId="549" fillId="56" borderId="51" xfId="0" applyFill="true" applyAlignment="true" applyFont="true" applyBorder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56" xfId="0" applyFill="true" applyAlignment="true" applyFont="true" applyBorder="true">
      <alignment horizontal="center" vertical="center" wrapText="true"/>
    </xf>
    <xf numFmtId="0" fontId="549" fillId="56" borderId="51" xfId="0" applyFill="true" applyAlignment="true" applyFont="true" applyBorder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0" xfId="0" applyFill="true" applyAlignment="true" applyFont="true">
      <alignment horizontal="center" vertical="center" wrapText="true"/>
    </xf>
    <xf numFmtId="0" fontId="549" fillId="56" borderId="56" xfId="0" applyFill="true" applyAlignment="true" applyFont="true" applyBorder="true">
      <alignment horizontal="center" vertical="center" wrapText="true"/>
    </xf>
    <xf numFmtId="0" fontId="549" fillId="56" borderId="61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103" xfId="0" applyFill="true" applyAlignment="true" applyFont="true" applyBorder="true">
      <alignment horizontal="center" vertical="center" wrapText="true"/>
    </xf>
    <xf numFmtId="0" fontId="549" fillId="56" borderId="66" xfId="0" applyFill="true" applyAlignment="true" applyFont="true" applyBorder="true">
      <alignment horizontal="center" vertical="center" wrapText="true"/>
    </xf>
    <xf numFmtId="0" fontId="550" fillId="56" borderId="0" xfId="0" applyFill="true" applyAlignment="true" applyFont="true">
      <alignment horizontal="center" vertical="center" wrapText="true"/>
    </xf>
    <xf numFmtId="0" fontId="551" fillId="56" borderId="0" xfId="0" applyFill="true" applyAlignment="true" applyFont="true">
      <alignment horizontal="center" vertical="center" wrapText="true"/>
    </xf>
    <xf numFmtId="0" fontId="552" fillId="46" borderId="0" xfId="0" applyFill="true" applyAlignment="true" applyFont="true">
      <alignment horizontal="center" vertical="center" wrapText="true"/>
    </xf>
    <xf numFmtId="0" fontId="553" fillId="46" borderId="0" xfId="0" applyFill="true" applyAlignment="true" applyFont="true">
      <alignment horizontal="center" vertical="center" wrapText="true"/>
    </xf>
    <xf numFmtId="0" fontId="554" fillId="46" borderId="0" xfId="0" applyFill="true" applyAlignment="true" applyFont="true">
      <alignment horizontal="center" vertical="center" wrapText="true"/>
    </xf>
    <xf numFmtId="0" fontId="555" fillId="46" borderId="0" xfId="0" applyFill="true" applyAlignment="true" applyFont="true">
      <alignment horizontal="center" vertical="center" wrapText="true"/>
    </xf>
    <xf numFmtId="0" fontId="556" fillId="46" borderId="0" xfId="0" applyFill="true" applyAlignment="true" applyFont="true">
      <alignment horizontal="center" vertical="center" wrapText="true"/>
    </xf>
    <xf numFmtId="0" fontId="557" fillId="48" borderId="0" xfId="0" applyFill="true" applyAlignment="true" applyFont="true">
      <alignment horizontal="center" vertical="center" wrapText="true"/>
    </xf>
    <xf numFmtId="164" fontId="557" fillId="48" borderId="0" xfId="0" applyFill="true" applyAlignment="true" applyFont="true" applyNumberForma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41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99" xfId="0" applyFill="true" applyAlignment="true" applyFont="true" applyBorder="true">
      <alignment horizontal="center" vertical="center" wrapText="true"/>
    </xf>
    <xf numFmtId="0" fontId="558" fillId="56" borderId="46" xfId="0" applyFill="true" applyAlignment="true" applyFont="true" applyBorder="true">
      <alignment horizontal="center" vertical="center" wrapText="true"/>
    </xf>
    <xf numFmtId="0" fontId="558" fillId="56" borderId="51" xfId="0" applyFill="true" applyAlignment="true" applyFont="true" applyBorder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56" xfId="0" applyFill="true" applyAlignment="true" applyFont="true" applyBorder="true">
      <alignment horizontal="center" vertical="center" wrapText="true"/>
    </xf>
    <xf numFmtId="0" fontId="558" fillId="56" borderId="51" xfId="0" applyFill="true" applyAlignment="true" applyFont="true" applyBorder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56" xfId="0" applyFill="true" applyAlignment="true" applyFont="true" applyBorder="true">
      <alignment horizontal="center" vertical="center" wrapText="true"/>
    </xf>
    <xf numFmtId="0" fontId="558" fillId="56" borderId="51" xfId="0" applyFill="true" applyAlignment="true" applyFont="true" applyBorder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56" xfId="0" applyFill="true" applyAlignment="true" applyFont="true" applyBorder="true">
      <alignment horizontal="center" vertical="center" wrapText="true"/>
    </xf>
    <xf numFmtId="0" fontId="558" fillId="56" borderId="51" xfId="0" applyFill="true" applyAlignment="true" applyFont="true" applyBorder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56" xfId="0" applyFill="true" applyAlignment="true" applyFont="true" applyBorder="true">
      <alignment horizontal="center" vertical="center" wrapText="true"/>
    </xf>
    <xf numFmtId="0" fontId="558" fillId="56" borderId="51" xfId="0" applyFill="true" applyAlignment="true" applyFont="true" applyBorder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56" xfId="0" applyFill="true" applyAlignment="true" applyFont="true" applyBorder="true">
      <alignment horizontal="center" vertical="center" wrapText="true"/>
    </xf>
    <xf numFmtId="0" fontId="558" fillId="56" borderId="51" xfId="0" applyFill="true" applyAlignment="true" applyFont="true" applyBorder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56" xfId="0" applyFill="true" applyAlignment="true" applyFont="true" applyBorder="true">
      <alignment horizontal="center" vertical="center" wrapText="true"/>
    </xf>
    <xf numFmtId="0" fontId="558" fillId="56" borderId="51" xfId="0" applyFill="true" applyAlignment="true" applyFont="true" applyBorder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0" xfId="0" applyFill="true" applyAlignment="true" applyFont="true">
      <alignment horizontal="center" vertical="center" wrapText="true"/>
    </xf>
    <xf numFmtId="0" fontId="558" fillId="56" borderId="56" xfId="0" applyFill="true" applyAlignment="true" applyFont="true" applyBorder="true">
      <alignment horizontal="center" vertical="center" wrapText="true"/>
    </xf>
    <xf numFmtId="0" fontId="558" fillId="56" borderId="61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103" xfId="0" applyFill="true" applyAlignment="true" applyFont="true" applyBorder="true">
      <alignment horizontal="center" vertical="center" wrapText="true"/>
    </xf>
    <xf numFmtId="0" fontId="558" fillId="56" borderId="66" xfId="0" applyFill="true" applyAlignment="true" applyFont="true" applyBorder="true">
      <alignment horizontal="center" vertical="center" wrapText="true"/>
    </xf>
    <xf numFmtId="0" fontId="559" fillId="56" borderId="0" xfId="0" applyFill="true" applyAlignment="true" applyFont="true">
      <alignment horizontal="center" vertical="center" wrapText="true"/>
    </xf>
    <xf numFmtId="0" fontId="560" fillId="56" borderId="0" xfId="0" applyFill="true" applyAlignment="true" applyFont="true">
      <alignment horizontal="center" vertical="center" wrapText="true"/>
    </xf>
    <xf numFmtId="0" fontId="561" fillId="48" borderId="0" xfId="0" applyFill="true" applyAlignment="true" applyFont="true">
      <alignment horizontal="center" vertical="center" wrapText="true"/>
    </xf>
    <xf numFmtId="0" fontId="562" fillId="46" borderId="0" xfId="0" applyFill="true" applyAlignment="true" applyFont="true">
      <alignment horizontal="center" vertical="center" wrapText="true"/>
    </xf>
    <xf numFmtId="0" fontId="563" fillId="48" borderId="0" xfId="0" applyFill="true" applyAlignment="true" applyFont="true">
      <alignment horizontal="center" vertical="center" wrapText="true"/>
    </xf>
    <xf numFmtId="0" fontId="564" fillId="48" borderId="0" xfId="0" applyFill="true" applyAlignment="true" applyFont="true">
      <alignment horizontal="center" vertical="center" wrapText="true"/>
    </xf>
    <xf numFmtId="0" fontId="565" fillId="56" borderId="0" xfId="0" applyFill="true" applyAlignment="true" applyFont="true">
      <alignment horizontal="center" vertical="center" wrapText="true"/>
    </xf>
    <xf numFmtId="0" fontId="562" fillId="46" borderId="71" xfId="0" applyFill="true" applyAlignment="true" applyFont="true" applyBorder="true">
      <alignment horizontal="center" vertical="center" wrapText="true"/>
    </xf>
    <xf numFmtId="0" fontId="562" fillId="46" borderId="203" xfId="0" applyFill="true" applyAlignment="true" applyFont="true" applyBorder="true">
      <alignment horizontal="center" vertical="center" wrapText="true"/>
    </xf>
    <xf numFmtId="0" fontId="562" fillId="46" borderId="203" xfId="0" applyFill="true" applyAlignment="true" applyFont="true" applyBorder="true">
      <alignment horizontal="center" vertical="center" wrapText="true"/>
    </xf>
    <xf numFmtId="0" fontId="562" fillId="46" borderId="75" xfId="0" applyFill="true" applyAlignment="true" applyFont="true" applyBorder="true">
      <alignment horizontal="center" vertical="center" wrapText="true"/>
    </xf>
    <xf numFmtId="0" fontId="563" fillId="48" borderId="80" xfId="0" applyFill="true" applyAlignment="true" applyFont="true" applyBorder="true">
      <alignment horizontal="center" vertical="center" wrapText="true"/>
    </xf>
    <xf numFmtId="0" fontId="563" fillId="48" borderId="0" xfId="0" applyFill="true" applyAlignment="true" applyFont="true">
      <alignment horizontal="center" vertical="center" wrapText="true"/>
    </xf>
    <xf numFmtId="0" fontId="563" fillId="48" borderId="0" xfId="0" applyFill="true" applyAlignment="true" applyFont="true">
      <alignment horizontal="center" vertical="center" wrapText="true"/>
    </xf>
    <xf numFmtId="0" fontId="563" fillId="48" borderId="85" xfId="0" applyFill="true" applyAlignment="true" applyFont="true" applyBorder="true">
      <alignment horizontal="center" vertical="center" wrapText="true"/>
    </xf>
    <xf numFmtId="0" fontId="563" fillId="48" borderId="80" xfId="0" applyFill="true" applyAlignment="true" applyFont="true" applyBorder="true">
      <alignment horizontal="center" vertical="center" wrapText="true"/>
    </xf>
    <xf numFmtId="0" fontId="563" fillId="48" borderId="0" xfId="0" applyFill="true" applyAlignment="true" applyFont="true">
      <alignment horizontal="center" vertical="center" wrapText="true"/>
    </xf>
    <xf numFmtId="0" fontId="563" fillId="48" borderId="0" xfId="0" applyFill="true" applyAlignment="true" applyFont="true">
      <alignment horizontal="center" vertical="center" wrapText="true"/>
    </xf>
    <xf numFmtId="0" fontId="563" fillId="48" borderId="85" xfId="0" applyFill="true" applyAlignment="true" applyFont="true" applyBorder="true">
      <alignment horizontal="center" vertical="center" wrapText="true"/>
    </xf>
    <xf numFmtId="0" fontId="564" fillId="48" borderId="80" xfId="0" applyFill="true" applyAlignment="true" applyFont="true" applyBorder="true">
      <alignment horizontal="center" vertical="center" wrapText="true"/>
    </xf>
    <xf numFmtId="0" fontId="564" fillId="48" borderId="0" xfId="0" applyFill="true" applyAlignment="true" applyFont="true">
      <alignment horizontal="center" vertical="center" wrapText="true"/>
    </xf>
    <xf numFmtId="0" fontId="564" fillId="48" borderId="0" xfId="0" applyFill="true" applyAlignment="true" applyFont="true">
      <alignment horizontal="center" vertical="center" wrapText="true"/>
    </xf>
    <xf numFmtId="0" fontId="564" fillId="48" borderId="85" xfId="0" applyFill="true" applyAlignment="true" applyFont="true" applyBorder="true">
      <alignment horizontal="center" vertical="center" wrapText="true"/>
    </xf>
    <xf numFmtId="0" fontId="565" fillId="56" borderId="80" xfId="0" applyFill="true" applyAlignment="true" applyFont="true" applyBorder="true">
      <alignment horizontal="center" vertical="center" wrapText="true"/>
    </xf>
    <xf numFmtId="0" fontId="565" fillId="56" borderId="0" xfId="0" applyFill="true" applyAlignment="true" applyFont="true">
      <alignment horizontal="center" vertical="center" wrapText="true"/>
    </xf>
    <xf numFmtId="0" fontId="565" fillId="56" borderId="0" xfId="0" applyFill="true" applyAlignment="true" applyFont="true">
      <alignment horizontal="center" vertical="center" wrapText="true"/>
    </xf>
    <xf numFmtId="0" fontId="565" fillId="56" borderId="85" xfId="0" applyFill="true" applyAlignment="true" applyFont="true" applyBorder="true">
      <alignment horizontal="center" vertical="center" wrapText="true"/>
    </xf>
    <xf numFmtId="0" fontId="565" fillId="56" borderId="90" xfId="0" applyFill="true" applyAlignment="true" applyFont="true" applyBorder="true">
      <alignment horizontal="center" vertical="center" wrapText="true"/>
    </xf>
    <xf numFmtId="0" fontId="565" fillId="56" borderId="207" xfId="0" applyFill="true" applyAlignment="true" applyFont="true" applyBorder="true">
      <alignment horizontal="center" vertical="center" wrapText="true"/>
    </xf>
    <xf numFmtId="0" fontId="565" fillId="56" borderId="207" xfId="0" applyFill="true" applyAlignment="true" applyFont="true" applyBorder="true">
      <alignment horizontal="center" vertical="center" wrapText="true"/>
    </xf>
    <xf numFmtId="0" fontId="565" fillId="56" borderId="95" xfId="0" applyFill="true" applyAlignment="true" applyFont="true" applyBorder="true">
      <alignment horizontal="center" vertical="center" wrapText="true"/>
    </xf>
    <xf numFmtId="0" fontId="566" fillId="48" borderId="0" xfId="0" applyFill="true" applyAlignment="true" applyFont="true">
      <alignment horizontal="center" vertical="center" wrapText="true"/>
    </xf>
    <xf numFmtId="0" fontId="567" fillId="46" borderId="0" xfId="0" applyFill="true" applyAlignment="true" applyFont="true">
      <alignment horizontal="center" vertical="center" wrapText="true"/>
    </xf>
    <xf numFmtId="0" fontId="568" fillId="48" borderId="0" xfId="0" applyFill="true" applyAlignment="true" applyFont="true">
      <alignment horizontal="center" vertical="center" wrapText="true"/>
    </xf>
    <xf numFmtId="0" fontId="569" fillId="48" borderId="0" xfId="0" applyFill="true" applyAlignment="true" applyFont="true">
      <alignment horizontal="center" vertical="center" wrapText="true"/>
    </xf>
    <xf numFmtId="0" fontId="570" fillId="56" borderId="0" xfId="0" applyFill="true" applyAlignment="true" applyFont="true">
      <alignment horizontal="center" vertical="center" wrapText="true"/>
    </xf>
    <xf numFmtId="0" fontId="567" fillId="46" borderId="71" xfId="0" applyFill="true" applyAlignment="true" applyFont="true" applyBorder="true">
      <alignment horizontal="center" vertical="center" wrapText="true"/>
    </xf>
    <xf numFmtId="0" fontId="567" fillId="46" borderId="203" xfId="0" applyFill="true" applyAlignment="true" applyFont="true" applyBorder="true">
      <alignment horizontal="center" vertical="center" wrapText="true"/>
    </xf>
    <xf numFmtId="0" fontId="567" fillId="46" borderId="203" xfId="0" applyFill="true" applyAlignment="true" applyFont="true" applyBorder="true">
      <alignment horizontal="center" vertical="center" wrapText="true"/>
    </xf>
    <xf numFmtId="0" fontId="567" fillId="46" borderId="75" xfId="0" applyFill="true" applyAlignment="true" applyFont="true" applyBorder="true">
      <alignment horizontal="center" vertical="center" wrapText="true"/>
    </xf>
    <xf numFmtId="0" fontId="568" fillId="48" borderId="80" xfId="0" applyFill="true" applyAlignment="true" applyFont="true" applyBorder="true">
      <alignment horizontal="center" vertical="center" wrapText="true"/>
    </xf>
    <xf numFmtId="0" fontId="568" fillId="48" borderId="0" xfId="0" applyFill="true" applyAlignment="true" applyFont="true">
      <alignment horizontal="center" vertical="center" wrapText="true"/>
    </xf>
    <xf numFmtId="0" fontId="568" fillId="48" borderId="0" xfId="0" applyFill="true" applyAlignment="true" applyFont="true">
      <alignment horizontal="center" vertical="center" wrapText="true"/>
    </xf>
    <xf numFmtId="0" fontId="568" fillId="48" borderId="85" xfId="0" applyFill="true" applyAlignment="true" applyFont="true" applyBorder="true">
      <alignment horizontal="center" vertical="center" wrapText="true"/>
    </xf>
    <xf numFmtId="0" fontId="568" fillId="48" borderId="80" xfId="0" applyFill="true" applyAlignment="true" applyFont="true" applyBorder="true">
      <alignment horizontal="center" vertical="center" wrapText="true"/>
    </xf>
    <xf numFmtId="0" fontId="568" fillId="48" borderId="0" xfId="0" applyFill="true" applyAlignment="true" applyFont="true">
      <alignment horizontal="center" vertical="center" wrapText="true"/>
    </xf>
    <xf numFmtId="0" fontId="568" fillId="48" borderId="0" xfId="0" applyFill="true" applyAlignment="true" applyFont="true">
      <alignment horizontal="center" vertical="center" wrapText="true"/>
    </xf>
    <xf numFmtId="0" fontId="568" fillId="48" borderId="85" xfId="0" applyFill="true" applyAlignment="true" applyFont="true" applyBorder="true">
      <alignment horizontal="center" vertical="center" wrapText="true"/>
    </xf>
    <xf numFmtId="0" fontId="569" fillId="48" borderId="80" xfId="0" applyFill="true" applyAlignment="true" applyFont="true" applyBorder="true">
      <alignment horizontal="center" vertical="center" wrapText="true"/>
    </xf>
    <xf numFmtId="0" fontId="569" fillId="48" borderId="0" xfId="0" applyFill="true" applyAlignment="true" applyFont="true">
      <alignment horizontal="center" vertical="center" wrapText="true"/>
    </xf>
    <xf numFmtId="0" fontId="569" fillId="48" borderId="0" xfId="0" applyFill="true" applyAlignment="true" applyFont="true">
      <alignment horizontal="center" vertical="center" wrapText="true"/>
    </xf>
    <xf numFmtId="0" fontId="569" fillId="48" borderId="85" xfId="0" applyFill="true" applyAlignment="true" applyFont="true" applyBorder="true">
      <alignment horizontal="center" vertical="center" wrapText="true"/>
    </xf>
    <xf numFmtId="0" fontId="570" fillId="56" borderId="80" xfId="0" applyFill="true" applyAlignment="true" applyFont="true" applyBorder="true">
      <alignment horizontal="center" vertical="center" wrapText="true"/>
    </xf>
    <xf numFmtId="0" fontId="570" fillId="56" borderId="0" xfId="0" applyFill="true" applyAlignment="true" applyFont="true">
      <alignment horizontal="center" vertical="center" wrapText="true"/>
    </xf>
    <xf numFmtId="0" fontId="570" fillId="56" borderId="0" xfId="0" applyFill="true" applyAlignment="true" applyFont="true">
      <alignment horizontal="center" vertical="center" wrapText="true"/>
    </xf>
    <xf numFmtId="0" fontId="570" fillId="56" borderId="85" xfId="0" applyFill="true" applyAlignment="true" applyFont="true" applyBorder="true">
      <alignment horizontal="center" vertical="center" wrapText="true"/>
    </xf>
    <xf numFmtId="0" fontId="570" fillId="56" borderId="90" xfId="0" applyFill="true" applyAlignment="true" applyFont="true" applyBorder="true">
      <alignment horizontal="center" vertical="center" wrapText="true"/>
    </xf>
    <xf numFmtId="0" fontId="570" fillId="56" borderId="207" xfId="0" applyFill="true" applyAlignment="true" applyFont="true" applyBorder="true">
      <alignment horizontal="center" vertical="center" wrapText="true"/>
    </xf>
    <xf numFmtId="0" fontId="570" fillId="56" borderId="207" xfId="0" applyFill="true" applyAlignment="true" applyFont="true" applyBorder="true">
      <alignment horizontal="center" vertical="center" wrapText="true"/>
    </xf>
    <xf numFmtId="0" fontId="570" fillId="56" borderId="95" xfId="0" applyFill="true" applyAlignment="true" applyFont="true" applyBorder="true">
      <alignment horizontal="center" vertical="center" wrapText="true"/>
    </xf>
    <xf numFmtId="0" fontId="571" fillId="48" borderId="0" xfId="0" applyFill="true" applyAlignment="true" applyFont="true">
      <alignment horizontal="center" vertical="center" wrapText="true"/>
    </xf>
    <xf numFmtId="0" fontId="572" fillId="46" borderId="0" xfId="0" applyFill="true" applyAlignment="true" applyFont="true">
      <alignment horizontal="center" vertical="center" wrapText="true"/>
    </xf>
    <xf numFmtId="0" fontId="573" fillId="48" borderId="0" xfId="0" applyFill="true" applyAlignment="true" applyFont="true">
      <alignment horizontal="center" vertical="center" wrapText="true"/>
    </xf>
    <xf numFmtId="0" fontId="574" fillId="48" borderId="0" xfId="0" applyFill="true" applyAlignment="true" applyFont="true">
      <alignment horizontal="center" vertical="center" wrapText="true"/>
    </xf>
    <xf numFmtId="0" fontId="575" fillId="56" borderId="0" xfId="0" applyFill="true" applyAlignment="true" applyFont="true">
      <alignment horizontal="center" vertical="center" wrapText="true"/>
    </xf>
    <xf numFmtId="0" fontId="572" fillId="46" borderId="71" xfId="0" applyFill="true" applyAlignment="true" applyFont="true" applyBorder="true">
      <alignment horizontal="center" vertical="center" wrapText="true"/>
    </xf>
    <xf numFmtId="0" fontId="572" fillId="46" borderId="203" xfId="0" applyFill="true" applyAlignment="true" applyFont="true" applyBorder="true">
      <alignment horizontal="center" vertical="center" wrapText="true"/>
    </xf>
    <xf numFmtId="0" fontId="572" fillId="46" borderId="203" xfId="0" applyFill="true" applyAlignment="true" applyFont="true" applyBorder="true">
      <alignment horizontal="center" vertical="center" wrapText="true"/>
    </xf>
    <xf numFmtId="0" fontId="572" fillId="46" borderId="75" xfId="0" applyFill="true" applyAlignment="true" applyFont="true" applyBorder="true">
      <alignment horizontal="center" vertical="center" wrapText="true"/>
    </xf>
    <xf numFmtId="0" fontId="573" fillId="48" borderId="80" xfId="0" applyFill="true" applyAlignment="true" applyFont="true" applyBorder="true">
      <alignment horizontal="center" vertical="center" wrapText="true"/>
    </xf>
    <xf numFmtId="0" fontId="573" fillId="48" borderId="0" xfId="0" applyFill="true" applyAlignment="true" applyFont="true">
      <alignment horizontal="center" vertical="center" wrapText="true"/>
    </xf>
    <xf numFmtId="0" fontId="573" fillId="48" borderId="0" xfId="0" applyFill="true" applyAlignment="true" applyFont="true">
      <alignment horizontal="center" vertical="center" wrapText="true"/>
    </xf>
    <xf numFmtId="0" fontId="573" fillId="48" borderId="85" xfId="0" applyFill="true" applyAlignment="true" applyFont="true" applyBorder="true">
      <alignment horizontal="center" vertical="center" wrapText="true"/>
    </xf>
    <xf numFmtId="0" fontId="573" fillId="48" borderId="80" xfId="0" applyFill="true" applyAlignment="true" applyFont="true" applyBorder="true">
      <alignment horizontal="center" vertical="center" wrapText="true"/>
    </xf>
    <xf numFmtId="0" fontId="573" fillId="48" borderId="0" xfId="0" applyFill="true" applyAlignment="true" applyFont="true">
      <alignment horizontal="center" vertical="center" wrapText="true"/>
    </xf>
    <xf numFmtId="0" fontId="573" fillId="48" borderId="0" xfId="0" applyFill="true" applyAlignment="true" applyFont="true">
      <alignment horizontal="center" vertical="center" wrapText="true"/>
    </xf>
    <xf numFmtId="0" fontId="573" fillId="48" borderId="85" xfId="0" applyFill="true" applyAlignment="true" applyFont="true" applyBorder="true">
      <alignment horizontal="center" vertical="center" wrapText="true"/>
    </xf>
    <xf numFmtId="0" fontId="574" fillId="48" borderId="80" xfId="0" applyFill="true" applyAlignment="true" applyFont="true" applyBorder="true">
      <alignment horizontal="center" vertical="center" wrapText="true"/>
    </xf>
    <xf numFmtId="0" fontId="574" fillId="48" borderId="0" xfId="0" applyFill="true" applyAlignment="true" applyFont="true">
      <alignment horizontal="center" vertical="center" wrapText="true"/>
    </xf>
    <xf numFmtId="0" fontId="574" fillId="48" borderId="0" xfId="0" applyFill="true" applyAlignment="true" applyFont="true">
      <alignment horizontal="center" vertical="center" wrapText="true"/>
    </xf>
    <xf numFmtId="0" fontId="574" fillId="48" borderId="85" xfId="0" applyFill="true" applyAlignment="true" applyFont="true" applyBorder="true">
      <alignment horizontal="center" vertical="center" wrapText="true"/>
    </xf>
    <xf numFmtId="0" fontId="575" fillId="56" borderId="80" xfId="0" applyFill="true" applyAlignment="true" applyFont="true" applyBorder="true">
      <alignment horizontal="center" vertical="center" wrapText="true"/>
    </xf>
    <xf numFmtId="0" fontId="575" fillId="56" borderId="0" xfId="0" applyFill="true" applyAlignment="true" applyFont="true">
      <alignment horizontal="center" vertical="center" wrapText="true"/>
    </xf>
    <xf numFmtId="0" fontId="575" fillId="56" borderId="0" xfId="0" applyFill="true" applyAlignment="true" applyFont="true">
      <alignment horizontal="center" vertical="center" wrapText="true"/>
    </xf>
    <xf numFmtId="0" fontId="575" fillId="56" borderId="85" xfId="0" applyFill="true" applyAlignment="true" applyFont="true" applyBorder="true">
      <alignment horizontal="center" vertical="center" wrapText="true"/>
    </xf>
    <xf numFmtId="0" fontId="575" fillId="56" borderId="90" xfId="0" applyFill="true" applyAlignment="true" applyFont="true" applyBorder="true">
      <alignment horizontal="center" vertical="center" wrapText="true"/>
    </xf>
    <xf numFmtId="0" fontId="575" fillId="56" borderId="207" xfId="0" applyFill="true" applyAlignment="true" applyFont="true" applyBorder="true">
      <alignment horizontal="center" vertical="center" wrapText="true"/>
    </xf>
    <xf numFmtId="0" fontId="575" fillId="56" borderId="207" xfId="0" applyFill="true" applyAlignment="true" applyFont="true" applyBorder="true">
      <alignment horizontal="center" vertical="center" wrapText="true"/>
    </xf>
    <xf numFmtId="0" fontId="575" fillId="56" borderId="95" xfId="0" applyFill="true" applyAlignment="true" applyFont="true" applyBorder="true">
      <alignment horizontal="center" vertical="center" wrapText="true"/>
    </xf>
    <xf numFmtId="0" fontId="576" fillId="48" borderId="0" xfId="0" applyFill="true" applyAlignment="true" applyFont="true">
      <alignment horizontal="center" vertical="center" wrapText="true"/>
    </xf>
    <xf numFmtId="0" fontId="577" fillId="46" borderId="0" xfId="0" applyFill="true" applyAlignment="true" applyFont="true">
      <alignment horizontal="center" vertical="center" wrapText="true"/>
    </xf>
    <xf numFmtId="0" fontId="578" fillId="48" borderId="0" xfId="0" applyFill="true" applyAlignment="true" applyFont="true">
      <alignment horizontal="center" vertical="center" wrapText="true"/>
    </xf>
    <xf numFmtId="0" fontId="579" fillId="48" borderId="0" xfId="0" applyFill="true" applyAlignment="true" applyFont="true">
      <alignment horizontal="center" vertical="center" wrapText="true"/>
    </xf>
    <xf numFmtId="0" fontId="580" fillId="56" borderId="0" xfId="0" applyFill="true" applyAlignment="true" applyFont="true">
      <alignment horizontal="center" vertical="center" wrapText="true"/>
    </xf>
    <xf numFmtId="0" fontId="577" fillId="46" borderId="71" xfId="0" applyFill="true" applyAlignment="true" applyFont="true" applyBorder="true">
      <alignment horizontal="center" vertical="center" wrapText="true"/>
    </xf>
    <xf numFmtId="0" fontId="577" fillId="46" borderId="203" xfId="0" applyFill="true" applyAlignment="true" applyFont="true" applyBorder="true">
      <alignment horizontal="center" vertical="center" wrapText="true"/>
    </xf>
    <xf numFmtId="0" fontId="577" fillId="46" borderId="203" xfId="0" applyFill="true" applyAlignment="true" applyFont="true" applyBorder="true">
      <alignment horizontal="center" vertical="center" wrapText="true"/>
    </xf>
    <xf numFmtId="0" fontId="577" fillId="46" borderId="75" xfId="0" applyFill="true" applyAlignment="true" applyFont="true" applyBorder="true">
      <alignment horizontal="center" vertical="center" wrapText="true"/>
    </xf>
    <xf numFmtId="0" fontId="578" fillId="48" borderId="80" xfId="0" applyFill="true" applyAlignment="true" applyFont="true" applyBorder="true">
      <alignment horizontal="center" vertical="center" wrapText="true"/>
    </xf>
    <xf numFmtId="0" fontId="578" fillId="48" borderId="0" xfId="0" applyFill="true" applyAlignment="true" applyFont="true">
      <alignment horizontal="center" vertical="center" wrapText="true"/>
    </xf>
    <xf numFmtId="0" fontId="578" fillId="48" borderId="0" xfId="0" applyFill="true" applyAlignment="true" applyFont="true">
      <alignment horizontal="center" vertical="center" wrapText="true"/>
    </xf>
    <xf numFmtId="0" fontId="578" fillId="48" borderId="85" xfId="0" applyFill="true" applyAlignment="true" applyFont="true" applyBorder="true">
      <alignment horizontal="center" vertical="center" wrapText="true"/>
    </xf>
    <xf numFmtId="0" fontId="578" fillId="48" borderId="80" xfId="0" applyFill="true" applyAlignment="true" applyFont="true" applyBorder="true">
      <alignment horizontal="center" vertical="center" wrapText="true"/>
    </xf>
    <xf numFmtId="0" fontId="578" fillId="48" borderId="0" xfId="0" applyFill="true" applyAlignment="true" applyFont="true">
      <alignment horizontal="center" vertical="center" wrapText="true"/>
    </xf>
    <xf numFmtId="0" fontId="578" fillId="48" borderId="0" xfId="0" applyFill="true" applyAlignment="true" applyFont="true">
      <alignment horizontal="center" vertical="center" wrapText="true"/>
    </xf>
    <xf numFmtId="0" fontId="578" fillId="48" borderId="85" xfId="0" applyFill="true" applyAlignment="true" applyFont="true" applyBorder="true">
      <alignment horizontal="center" vertical="center" wrapText="true"/>
    </xf>
    <xf numFmtId="0" fontId="579" fillId="48" borderId="80" xfId="0" applyFill="true" applyAlignment="true" applyFont="true" applyBorder="true">
      <alignment horizontal="center" vertical="center" wrapText="true"/>
    </xf>
    <xf numFmtId="0" fontId="579" fillId="48" borderId="0" xfId="0" applyFill="true" applyAlignment="true" applyFont="true">
      <alignment horizontal="center" vertical="center" wrapText="true"/>
    </xf>
    <xf numFmtId="0" fontId="579" fillId="48" borderId="0" xfId="0" applyFill="true" applyAlignment="true" applyFont="true">
      <alignment horizontal="center" vertical="center" wrapText="true"/>
    </xf>
    <xf numFmtId="0" fontId="579" fillId="48" borderId="85" xfId="0" applyFill="true" applyAlignment="true" applyFont="true" applyBorder="true">
      <alignment horizontal="center" vertical="center" wrapText="true"/>
    </xf>
    <xf numFmtId="0" fontId="580" fillId="56" borderId="80" xfId="0" applyFill="true" applyAlignment="true" applyFont="true" applyBorder="true">
      <alignment horizontal="center" vertical="center" wrapText="true"/>
    </xf>
    <xf numFmtId="0" fontId="580" fillId="56" borderId="0" xfId="0" applyFill="true" applyAlignment="true" applyFont="true">
      <alignment horizontal="center" vertical="center" wrapText="true"/>
    </xf>
    <xf numFmtId="0" fontId="580" fillId="56" borderId="0" xfId="0" applyFill="true" applyAlignment="true" applyFont="true">
      <alignment horizontal="center" vertical="center" wrapText="true"/>
    </xf>
    <xf numFmtId="0" fontId="580" fillId="56" borderId="85" xfId="0" applyFill="true" applyAlignment="true" applyFont="true" applyBorder="true">
      <alignment horizontal="center" vertical="center" wrapText="true"/>
    </xf>
    <xf numFmtId="0" fontId="580" fillId="56" borderId="90" xfId="0" applyFill="true" applyAlignment="true" applyFont="true" applyBorder="true">
      <alignment horizontal="center" vertical="center" wrapText="true"/>
    </xf>
    <xf numFmtId="0" fontId="580" fillId="56" borderId="207" xfId="0" applyFill="true" applyAlignment="true" applyFont="true" applyBorder="true">
      <alignment horizontal="center" vertical="center" wrapText="true"/>
    </xf>
    <xf numFmtId="0" fontId="580" fillId="56" borderId="207" xfId="0" applyFill="true" applyAlignment="true" applyFont="true" applyBorder="true">
      <alignment horizontal="center" vertical="center" wrapText="true"/>
    </xf>
    <xf numFmtId="0" fontId="580" fillId="56" borderId="95" xfId="0" applyFill="true" applyAlignment="true" applyFont="true" applyBorder="true">
      <alignment horizontal="center" vertical="center" wrapText="true"/>
    </xf>
    <xf numFmtId="0" fontId="581" fillId="46" borderId="0" xfId="0" applyFill="true" applyAlignment="true" applyFont="true">
      <alignment horizontal="center" vertical="center" wrapText="true"/>
    </xf>
    <xf numFmtId="0" fontId="582" fillId="42" borderId="0" xfId="0" applyFill="true" applyAlignment="true" applyFont="true">
      <alignment horizontal="center" vertical="center" wrapText="true"/>
    </xf>
    <xf numFmtId="0" fontId="583" fillId="42" borderId="35" xfId="0" applyFill="true" applyAlignment="true" applyBorder="true" applyFont="true">
      <alignment horizontal="center" vertical="center" wrapText="true"/>
    </xf>
    <xf numFmtId="0" fontId="584" fillId="46" borderId="35" xfId="0" applyFill="true" applyAlignment="true" applyBorder="true" applyFont="true">
      <alignment horizontal="center" vertical="center" wrapText="true"/>
    </xf>
    <xf numFmtId="0" fontId="585" fillId="46" borderId="35" xfId="0" applyFill="true" applyAlignment="true" applyBorder="true" applyFont="true">
      <alignment horizontal="center" vertical="center" wrapText="true"/>
    </xf>
    <xf numFmtId="0" fontId="586" fillId="46" borderId="35" xfId="0" applyFill="true" applyAlignment="true" applyBorder="true" applyFont="true">
      <alignment horizontal="center" vertical="center" wrapText="true"/>
    </xf>
    <xf numFmtId="0" fontId="587" fillId="46" borderId="35" xfId="0" applyFill="true" applyAlignment="true" applyBorder="true" applyFont="true">
      <alignment horizontal="center" vertical="center" wrapText="true"/>
    </xf>
    <xf numFmtId="0" fontId="588" fillId="46" borderId="35" xfId="0" applyFill="true" applyAlignment="true" applyBorder="true" applyFont="true">
      <alignment horizontal="center" vertical="center" wrapText="true"/>
    </xf>
    <xf numFmtId="0" fontId="589" fillId="46" borderId="35" xfId="0" applyFill="true" applyAlignment="true" applyBorder="true" applyFont="true">
      <alignment horizontal="center" vertical="center" wrapText="true"/>
    </xf>
    <xf numFmtId="0" fontId="590" fillId="28" borderId="35" xfId="0" applyFill="true" applyAlignment="true" applyBorder="true" applyFont="true">
      <alignment horizontal="center" vertical="center" wrapText="true"/>
    </xf>
    <xf numFmtId="0" fontId="591" fillId="28" borderId="35" xfId="0" applyFill="true" applyAlignment="true" applyBorder="true" applyFont="true">
      <alignment horizontal="center" vertical="center" wrapText="true"/>
    </xf>
    <xf numFmtId="0" fontId="592" fillId="28" borderId="35" xfId="0" applyFill="true" applyAlignment="true" applyBorder="true" applyFont="true">
      <alignment horizontal="center" vertical="center" wrapText="true"/>
    </xf>
    <xf numFmtId="0" fontId="593" fillId="28" borderId="35" xfId="0" applyFill="true" applyAlignment="true" applyBorder="true" applyFont="true">
      <alignment horizontal="center" vertical="center" wrapText="true"/>
    </xf>
    <xf numFmtId="0" fontId="594" fillId="28" borderId="35" xfId="0" applyFill="true" applyAlignment="true" applyBorder="true" applyFont="true">
      <alignment horizontal="center" vertical="center" wrapText="true"/>
    </xf>
    <xf numFmtId="0" fontId="595" fillId="28" borderId="35" xfId="0" applyFill="true" applyAlignment="true" applyBorder="true" applyFont="true">
      <alignment horizontal="center" vertical="center" wrapText="true"/>
    </xf>
    <xf numFmtId="0" fontId="596" fillId="28" borderId="35" xfId="0" applyFill="true" applyAlignment="true" applyBorder="true" applyFont="true">
      <alignment horizontal="center" vertical="center" wrapText="true"/>
    </xf>
    <xf numFmtId="0" fontId="597" fillId="28" borderId="35" xfId="0" applyFill="true" applyAlignment="true" applyBorder="true" applyFont="true">
      <alignment horizontal="center" vertical="center" wrapText="true"/>
    </xf>
    <xf numFmtId="0" fontId="598" fillId="28" borderId="35" xfId="0" applyFill="true" applyAlignment="true" applyBorder="true" applyFont="true">
      <alignment horizontal="center" vertical="center" wrapText="true"/>
    </xf>
    <xf numFmtId="0" fontId="599" fillId="28" borderId="35" xfId="0" applyFill="true" applyAlignment="true" applyBorder="true" applyFont="true">
      <alignment horizontal="center" vertical="center" wrapText="true"/>
    </xf>
    <xf numFmtId="0" fontId="600" fillId="46" borderId="35" xfId="0" applyFill="true" applyAlignment="true" applyBorder="true" applyFont="true">
      <alignment horizontal="center" vertical="center" wrapText="true"/>
    </xf>
    <xf numFmtId="0" fontId="601" fillId="46" borderId="35" xfId="0" applyFill="true" applyAlignment="true" applyBorder="true" applyFont="true">
      <alignment horizontal="center" vertical="center" wrapText="true"/>
    </xf>
    <xf numFmtId="0" fontId="602" fillId="46" borderId="35" xfId="0" applyFill="true" applyAlignment="true" applyBorder="true" applyFont="true">
      <alignment horizontal="center" vertical="center" wrapText="true"/>
    </xf>
    <xf numFmtId="0" fontId="603" fillId="28" borderId="35" xfId="0" applyFill="true" applyAlignment="true" applyBorder="true" applyFont="true">
      <alignment horizontal="center" vertical="center" wrapText="true"/>
    </xf>
    <xf numFmtId="0" fontId="604" fillId="28" borderId="35" xfId="0" applyFill="true" applyAlignment="true" applyBorder="true" applyFont="true">
      <alignment horizontal="center" vertical="center" wrapText="true"/>
    </xf>
    <xf numFmtId="0" fontId="605" fillId="20" borderId="17" xfId="0" applyFill="true" applyAlignment="true" applyBorder="true" applyFont="true">
      <alignment horizontal="center" vertical="center"/>
    </xf>
    <xf numFmtId="0" fontId="606" fillId="22" borderId="19" xfId="0" applyFill="true" applyAlignment="true" applyBorder="true" applyFont="true">
      <alignment horizontal="center" vertical="center" wrapText="true"/>
    </xf>
    <xf numFmtId="0" fontId="606" fillId="23" borderId="19" xfId="0" applyFill="true" applyAlignment="true" applyBorder="true" applyFont="true">
      <alignment horizontal="center" vertical="center" wrapText="true"/>
    </xf>
    <xf numFmtId="0" fontId="606" fillId="24" borderId="19" xfId="0" applyFill="true" applyAlignment="true" applyBorder="true" applyFont="true">
      <alignment horizontal="center" vertical="center" wrapText="true"/>
    </xf>
    <xf numFmtId="0" fontId="606" fillId="51" borderId="19" xfId="0" applyFill="true" applyAlignment="true" applyBorder="true" applyFont="true">
      <alignment horizontal="center" vertical="center" wrapText="true"/>
    </xf>
    <xf numFmtId="0" fontId="606" fillId="52" borderId="19" xfId="0" applyFill="true" applyAlignment="true" applyBorder="true" applyFont="true">
      <alignment horizontal="center" vertical="center" wrapText="true"/>
    </xf>
    <xf numFmtId="0" fontId="606" fillId="25" borderId="19" xfId="0" applyFill="true" applyAlignment="true" applyBorder="true" applyFont="true">
      <alignment horizontal="center" vertical="center" wrapText="true"/>
    </xf>
    <xf numFmtId="0" fontId="606" fillId="53" borderId="19" xfId="0" applyFill="true" applyAlignment="true" applyBorder="true" applyFont="true">
      <alignment horizontal="center" vertical="center" wrapText="true"/>
    </xf>
    <xf numFmtId="0" fontId="606" fillId="54" borderId="19" xfId="0" applyFill="true" applyAlignment="true" applyBorder="true" applyFont="true">
      <alignment horizontal="center" vertical="center" wrapText="true"/>
    </xf>
    <xf numFmtId="0" fontId="606" fillId="26" borderId="19" xfId="0" applyFill="true" applyAlignment="true" applyBorder="true" applyFont="true">
      <alignment horizontal="center" vertical="center" wrapText="true"/>
    </xf>
    <xf numFmtId="49" fontId="607" fillId="28" borderId="27" xfId="0" applyNumberFormat="true" applyAlignment="true" applyFill="true" applyBorder="true" applyFont="true">
      <alignment horizontal="left" vertical="center" wrapText="false"/>
    </xf>
    <xf numFmtId="49" fontId="608" fillId="28" borderId="27" xfId="0" applyNumberFormat="true" applyAlignment="true" applyFill="true" applyBorder="true" applyFont="true">
      <alignment horizontal="left" vertical="center" wrapText="false"/>
    </xf>
    <xf numFmtId="49" fontId="610" fillId="30" borderId="27" xfId="0" applyNumberFormat="true" applyAlignment="true" applyFill="true" applyBorder="true" applyFont="true">
      <alignment horizontal="left" vertical="center" wrapText="false"/>
    </xf>
    <xf numFmtId="49" fontId="612" fillId="32" borderId="27" xfId="0" applyNumberFormat="true" applyAlignment="true" applyFill="true" applyBorder="true" applyFont="true">
      <alignment horizontal="left" vertical="center" wrapText="false"/>
    </xf>
    <xf numFmtId="164" fontId="607" fillId="28" borderId="27" xfId="0" applyNumberFormat="true" applyAlignment="true" applyFill="true" applyBorder="true" applyFont="true">
      <alignment horizontal="left" vertical="center" wrapText="false"/>
    </xf>
    <xf numFmtId="49" fontId="613" fillId="34" borderId="27" xfId="0" applyNumberFormat="true" applyAlignment="true" applyFill="true" applyBorder="true" applyFont="true">
      <alignment horizontal="left" vertical="center" wrapText="false"/>
    </xf>
    <xf numFmtId="49" fontId="614" fillId="34" borderId="27" xfId="0" applyNumberFormat="true" applyAlignment="true" applyFill="true" applyBorder="true" applyFont="true">
      <alignment horizontal="left" vertical="center" wrapText="false"/>
    </xf>
    <xf numFmtId="49" fontId="616" fillId="36" borderId="27" xfId="0" applyNumberFormat="true" applyAlignment="true" applyFill="true" applyBorder="true" applyFont="true">
      <alignment horizontal="left" vertical="center" wrapText="false"/>
    </xf>
    <xf numFmtId="49" fontId="618" fillId="38" borderId="27" xfId="0" applyNumberFormat="true" applyAlignment="true" applyFill="true" applyBorder="true" applyFont="true">
      <alignment horizontal="left" vertical="center" wrapText="false"/>
    </xf>
    <xf numFmtId="164" fontId="613" fillId="34" borderId="27" xfId="0" applyNumberFormat="true" applyAlignment="true" applyFill="true" applyBorder="true" applyFont="true">
      <alignment horizontal="left" vertical="center" wrapText="false"/>
    </xf>
    <xf numFmtId="49" fontId="619" fillId="28" borderId="27" xfId="0" applyNumberFormat="true" applyAlignment="true" applyFill="true" applyBorder="true" applyFont="true">
      <alignment horizontal="left" vertical="center" wrapText="false"/>
    </xf>
    <xf numFmtId="49" fontId="0" fillId="40" borderId="31" xfId="0" applyNumberFormat="true" applyFill="true" applyBorder="true"/>
    <xf numFmtId="0" fontId="620" fillId="58" borderId="0" xfId="0" applyFill="true" applyAlignment="true" applyFont="true">
      <alignment horizontal="center" vertical="center"/>
    </xf>
    <xf numFmtId="0" fontId="621" fillId="42" borderId="0" xfId="0" applyFill="true" applyAlignment="true" applyFont="true">
      <alignment horizontal="center" vertical="center"/>
    </xf>
    <xf numFmtId="0" fontId="622" fillId="56" borderId="0" xfId="0" applyFill="true" applyAlignment="true" applyFont="true">
      <alignment horizontal="center" vertical="center" wrapText="true"/>
    </xf>
    <xf numFmtId="0" fontId="622" fillId="56" borderId="41" xfId="0" applyFill="true" applyAlignment="true" applyFont="true" applyBorder="true">
      <alignment horizontal="center" vertical="center" wrapText="true"/>
    </xf>
    <xf numFmtId="0" fontId="622" fillId="56" borderId="46" xfId="0" applyFill="true" applyAlignment="true" applyFont="true" applyBorder="true">
      <alignment horizontal="center" vertical="center" wrapText="true"/>
    </xf>
    <xf numFmtId="0" fontId="622" fillId="56" borderId="51" xfId="0" applyFill="true" applyAlignment="true" applyFont="true" applyBorder="true">
      <alignment horizontal="center" vertical="center" wrapText="true"/>
    </xf>
    <xf numFmtId="0" fontId="622" fillId="56" borderId="56" xfId="0" applyFill="true" applyAlignment="true" applyFont="true" applyBorder="true">
      <alignment horizontal="center" vertical="center" wrapText="true"/>
    </xf>
    <xf numFmtId="0" fontId="622" fillId="56" borderId="51" xfId="0" applyFill="true" applyAlignment="true" applyFont="true" applyBorder="true">
      <alignment horizontal="center" vertical="center" wrapText="true"/>
    </xf>
    <xf numFmtId="0" fontId="622" fillId="56" borderId="56" xfId="0" applyFill="true" applyAlignment="true" applyFont="true" applyBorder="true">
      <alignment horizontal="center" vertical="center" wrapText="true"/>
    </xf>
    <xf numFmtId="0" fontId="622" fillId="56" borderId="61" xfId="0" applyFill="true" applyAlignment="true" applyFont="true" applyBorder="true">
      <alignment horizontal="center" vertical="center" wrapText="true"/>
    </xf>
    <xf numFmtId="0" fontId="622" fillId="56" borderId="66" xfId="0" applyFill="true" applyAlignment="true" applyFont="true" applyBorder="true">
      <alignment horizontal="center" vertical="center" wrapText="true"/>
    </xf>
    <xf numFmtId="0" fontId="623" fillId="42" borderId="0" xfId="0" applyFill="true" applyAlignment="true" applyFont="true">
      <alignment horizontal="center" vertical="center" wrapText="true"/>
    </xf>
    <xf numFmtId="0" fontId="624" fillId="42" borderId="0" xfId="0" applyFill="true" applyAlignment="true" applyFont="true">
      <alignment horizontal="center" vertical="center" wrapText="true"/>
    </xf>
    <xf numFmtId="0" fontId="625" fillId="56" borderId="0" xfId="0" applyFill="true" applyAlignment="true" applyFont="true">
      <alignment horizontal="center" vertical="center" wrapText="true"/>
    </xf>
    <xf numFmtId="0" fontId="625" fillId="56" borderId="71" xfId="0" applyFill="true" applyAlignment="true" applyFont="true" applyBorder="true">
      <alignment horizontal="center" vertical="center" wrapText="true"/>
    </xf>
    <xf numFmtId="0" fontId="625" fillId="56" borderId="75" xfId="0" applyFill="true" applyAlignment="true" applyFont="true" applyBorder="true">
      <alignment horizontal="center" vertical="center" wrapText="true"/>
    </xf>
    <xf numFmtId="0" fontId="625" fillId="56" borderId="80" xfId="0" applyFill="true" applyAlignment="true" applyFont="true" applyBorder="true">
      <alignment horizontal="center" vertical="center" wrapText="true"/>
    </xf>
    <xf numFmtId="0" fontId="625" fillId="56" borderId="85" xfId="0" applyFill="true" applyAlignment="true" applyFont="true" applyBorder="true">
      <alignment horizontal="center" vertical="center" wrapText="true"/>
    </xf>
    <xf numFmtId="0" fontId="625" fillId="56" borderId="80" xfId="0" applyFill="true" applyAlignment="true" applyFont="true" applyBorder="true">
      <alignment horizontal="center" vertical="center" wrapText="true"/>
    </xf>
    <xf numFmtId="0" fontId="625" fillId="56" borderId="85" xfId="0" applyFill="true" applyAlignment="true" applyFont="true" applyBorder="true">
      <alignment horizontal="center" vertical="center" wrapText="true"/>
    </xf>
    <xf numFmtId="0" fontId="625" fillId="56" borderId="90" xfId="0" applyFill="true" applyAlignment="true" applyFont="true" applyBorder="true">
      <alignment horizontal="center" vertical="center" wrapText="true"/>
    </xf>
    <xf numFmtId="0" fontId="625" fillId="56" borderId="95" xfId="0" applyFill="true" applyAlignment="true" applyFont="true" applyBorder="true">
      <alignment horizontal="center" vertical="center" wrapText="true"/>
    </xf>
    <xf numFmtId="0" fontId="626" fillId="46" borderId="0" xfId="0" applyFill="true" applyAlignment="true" applyFont="true">
      <alignment horizontal="center" vertical="center" wrapText="true"/>
    </xf>
    <xf numFmtId="0" fontId="627" fillId="56" borderId="0" xfId="0" applyFill="true" applyAlignment="true" applyFont="true">
      <alignment horizontal="center" vertical="center" wrapText="true"/>
    </xf>
    <xf numFmtId="0" fontId="628" fillId="44" borderId="0" xfId="0" applyFill="true" applyAlignment="true" applyFont="true">
      <alignment horizontal="center" vertical="center" wrapText="true"/>
    </xf>
    <xf numFmtId="0" fontId="629" fillId="56" borderId="0" xfId="0" applyFill="true" applyAlignment="true" applyFont="true">
      <alignment horizontal="center" vertical="center" wrapText="true"/>
    </xf>
    <xf numFmtId="0" fontId="630" fillId="56" borderId="0" xfId="0" applyFill="true" applyAlignment="true" applyFont="true">
      <alignment horizontal="center" vertical="center" wrapText="true"/>
    </xf>
    <xf numFmtId="0" fontId="631" fillId="56" borderId="0" xfId="0" applyFill="true" applyAlignment="true" applyFont="true">
      <alignment horizontal="center" vertical="center" wrapText="true"/>
    </xf>
    <xf numFmtId="0" fontId="627" fillId="56" borderId="41" xfId="0" applyFill="true" applyAlignment="true" applyFont="true" applyBorder="true">
      <alignment horizontal="center" vertical="center" wrapText="true"/>
    </xf>
    <xf numFmtId="0" fontId="629" fillId="56" borderId="99" xfId="0" applyFill="true" applyAlignment="true" applyFont="true" applyBorder="true">
      <alignment horizontal="center" vertical="center" wrapText="true"/>
    </xf>
    <xf numFmtId="0" fontId="629" fillId="56" borderId="99" xfId="0" applyFill="true" applyAlignment="true" applyFont="true" applyBorder="true">
      <alignment horizontal="center" vertical="center" wrapText="true"/>
    </xf>
    <xf numFmtId="0" fontId="629" fillId="56" borderId="46" xfId="0" applyFill="true" applyAlignment="true" applyFont="true" applyBorder="true">
      <alignment horizontal="center" vertical="center" wrapText="true"/>
    </xf>
    <xf numFmtId="0" fontId="628" fillId="44" borderId="51" xfId="0" applyFill="true" applyAlignment="true" applyFont="true" applyBorder="true">
      <alignment horizontal="center" vertical="center" wrapText="true"/>
    </xf>
    <xf numFmtId="0" fontId="630" fillId="56" borderId="0" xfId="0" applyFill="true" applyAlignment="true" applyFont="true">
      <alignment horizontal="center" vertical="center" wrapText="true"/>
    </xf>
    <xf numFmtId="0" fontId="630" fillId="56" borderId="0" xfId="0" applyFill="true" applyAlignment="true" applyFont="true">
      <alignment horizontal="center" vertical="center" wrapText="true"/>
    </xf>
    <xf numFmtId="0" fontId="630" fillId="56" borderId="56" xfId="0" applyFill="true" applyAlignment="true" applyFont="true" applyBorder="true">
      <alignment horizontal="center" vertical="center" wrapText="true"/>
    </xf>
    <xf numFmtId="0" fontId="628" fillId="44" borderId="51" xfId="0" applyFill="true" applyAlignment="true" applyFont="true" applyBorder="true">
      <alignment horizontal="center" vertical="center" wrapText="true"/>
    </xf>
    <xf numFmtId="0" fontId="630" fillId="56" borderId="0" xfId="0" applyFill="true" applyAlignment="true" applyFont="true">
      <alignment horizontal="center" vertical="center" wrapText="true"/>
    </xf>
    <xf numFmtId="0" fontId="630" fillId="56" borderId="0" xfId="0" applyFill="true" applyAlignment="true" applyFont="true">
      <alignment horizontal="center" vertical="center" wrapText="true"/>
    </xf>
    <xf numFmtId="0" fontId="630" fillId="56" borderId="56" xfId="0" applyFill="true" applyAlignment="true" applyFont="true" applyBorder="true">
      <alignment horizontal="center" vertical="center" wrapText="true"/>
    </xf>
    <xf numFmtId="0" fontId="628" fillId="44" borderId="51" xfId="0" applyFill="true" applyAlignment="true" applyFont="true" applyBorder="true">
      <alignment horizontal="center" vertical="center" wrapText="true"/>
    </xf>
    <xf numFmtId="0" fontId="631" fillId="56" borderId="0" xfId="0" applyFill="true" applyAlignment="true" applyFont="true">
      <alignment horizontal="center" vertical="center" wrapText="true"/>
    </xf>
    <xf numFmtId="0" fontId="631" fillId="56" borderId="0" xfId="0" applyFill="true" applyAlignment="true" applyFont="true">
      <alignment horizontal="center" vertical="center" wrapText="true"/>
    </xf>
    <xf numFmtId="0" fontId="631" fillId="56" borderId="56" xfId="0" applyFill="true" applyAlignment="true" applyFont="true" applyBorder="true">
      <alignment horizontal="center" vertical="center" wrapText="true"/>
    </xf>
    <xf numFmtId="0" fontId="627" fillId="56" borderId="61" xfId="0" applyFill="true" applyAlignment="true" applyFont="true" applyBorder="true">
      <alignment horizontal="center" vertical="center" wrapText="true"/>
    </xf>
    <xf numFmtId="0" fontId="631" fillId="56" borderId="103" xfId="0" applyFill="true" applyAlignment="true" applyFont="true" applyBorder="true">
      <alignment horizontal="center" vertical="center" wrapText="true"/>
    </xf>
    <xf numFmtId="0" fontId="631" fillId="56" borderId="103" xfId="0" applyFill="true" applyAlignment="true" applyFont="true" applyBorder="true">
      <alignment horizontal="center" vertical="center" wrapText="true"/>
    </xf>
    <xf numFmtId="0" fontId="631" fillId="56" borderId="66" xfId="0" applyFill="true" applyAlignment="true" applyFont="true" applyBorder="true">
      <alignment horizontal="center" vertical="center" wrapText="true"/>
    </xf>
    <xf numFmtId="0" fontId="632" fillId="56" borderId="0" xfId="0" applyFill="true" applyAlignment="true" applyFont="true">
      <alignment horizontal="center" vertical="center" wrapText="true"/>
    </xf>
    <xf numFmtId="0" fontId="633" fillId="44" borderId="0" xfId="0" applyFill="true" applyAlignment="true" applyFont="true">
      <alignment horizontal="center" vertical="center" wrapText="true"/>
    </xf>
    <xf numFmtId="0" fontId="634" fillId="56" borderId="0" xfId="0" applyFill="true" applyAlignment="true" applyFont="true">
      <alignment horizontal="center" vertical="center" wrapText="true"/>
    </xf>
    <xf numFmtId="0" fontId="635" fillId="56" borderId="0" xfId="0" applyFill="true" applyAlignment="true" applyFont="true">
      <alignment horizontal="center" vertical="center" wrapText="true"/>
    </xf>
    <xf numFmtId="0" fontId="636" fillId="56" borderId="0" xfId="0" applyFill="true" applyAlignment="true" applyFont="true">
      <alignment horizontal="center" vertical="center" wrapText="true"/>
    </xf>
    <xf numFmtId="0" fontId="632" fillId="56" borderId="107" xfId="0" applyFill="true" applyAlignment="true" applyFont="true" applyBorder="true">
      <alignment horizontal="center" vertical="center" wrapText="true"/>
    </xf>
    <xf numFmtId="0" fontId="634" fillId="56" borderId="111" xfId="0" applyFill="true" applyAlignment="true" applyFont="true" applyBorder="true">
      <alignment horizontal="center" vertical="center" wrapText="true"/>
    </xf>
    <xf numFmtId="0" fontId="634" fillId="56" borderId="111" xfId="0" applyFill="true" applyAlignment="true" applyFont="true" applyBorder="true">
      <alignment horizontal="center" vertical="center" wrapText="true"/>
    </xf>
    <xf numFmtId="0" fontId="634" fillId="56" borderId="115" xfId="0" applyFill="true" applyAlignment="true" applyFont="true" applyBorder="true">
      <alignment horizontal="center" vertical="center" wrapText="true"/>
    </xf>
    <xf numFmtId="0" fontId="633" fillId="44" borderId="119" xfId="0" applyFill="true" applyAlignment="true" applyFont="true" applyBorder="true">
      <alignment horizontal="center" vertical="center" wrapText="true"/>
    </xf>
    <xf numFmtId="0" fontId="635" fillId="56" borderId="0" xfId="0" applyFill="true" applyAlignment="true" applyFont="true">
      <alignment horizontal="center" vertical="center" wrapText="true"/>
    </xf>
    <xf numFmtId="0" fontId="635" fillId="56" borderId="0" xfId="0" applyFill="true" applyAlignment="true" applyFont="true">
      <alignment horizontal="center" vertical="center" wrapText="true"/>
    </xf>
    <xf numFmtId="0" fontId="635" fillId="56" borderId="123" xfId="0" applyFill="true" applyAlignment="true" applyFont="true" applyBorder="true">
      <alignment horizontal="center" vertical="center" wrapText="true"/>
    </xf>
    <xf numFmtId="0" fontId="633" fillId="44" borderId="119" xfId="0" applyFill="true" applyAlignment="true" applyFont="true" applyBorder="true">
      <alignment horizontal="center" vertical="center" wrapText="true"/>
    </xf>
    <xf numFmtId="0" fontId="635" fillId="56" borderId="0" xfId="0" applyFill="true" applyAlignment="true" applyFont="true">
      <alignment horizontal="center" vertical="center" wrapText="true"/>
    </xf>
    <xf numFmtId="0" fontId="635" fillId="56" borderId="0" xfId="0" applyFill="true" applyAlignment="true" applyFont="true">
      <alignment horizontal="center" vertical="center" wrapText="true"/>
    </xf>
    <xf numFmtId="0" fontId="635" fillId="56" borderId="123" xfId="0" applyFill="true" applyAlignment="true" applyFont="true" applyBorder="true">
      <alignment horizontal="center" vertical="center" wrapText="true"/>
    </xf>
    <xf numFmtId="0" fontId="633" fillId="44" borderId="119" xfId="0" applyFill="true" applyAlignment="true" applyFont="true" applyBorder="true">
      <alignment horizontal="center" vertical="center" wrapText="true"/>
    </xf>
    <xf numFmtId="0" fontId="636" fillId="56" borderId="0" xfId="0" applyFill="true" applyAlignment="true" applyFont="true">
      <alignment horizontal="center" vertical="center" wrapText="true"/>
    </xf>
    <xf numFmtId="0" fontId="636" fillId="56" borderId="0" xfId="0" applyFill="true" applyAlignment="true" applyFont="true">
      <alignment horizontal="center" vertical="center" wrapText="true"/>
    </xf>
    <xf numFmtId="0" fontId="636" fillId="56" borderId="123" xfId="0" applyFill="true" applyAlignment="true" applyFont="true" applyBorder="true">
      <alignment horizontal="center" vertical="center" wrapText="true"/>
    </xf>
    <xf numFmtId="0" fontId="632" fillId="56" borderId="127" xfId="0" applyFill="true" applyAlignment="true" applyFont="true" applyBorder="true">
      <alignment horizontal="center" vertical="center" wrapText="true"/>
    </xf>
    <xf numFmtId="0" fontId="636" fillId="56" borderId="131" xfId="0" applyFill="true" applyAlignment="true" applyFont="true" applyBorder="true">
      <alignment horizontal="center" vertical="center" wrapText="true"/>
    </xf>
    <xf numFmtId="0" fontId="636" fillId="56" borderId="131" xfId="0" applyFill="true" applyAlignment="true" applyFont="true" applyBorder="true">
      <alignment horizontal="center" vertical="center" wrapText="true"/>
    </xf>
    <xf numFmtId="0" fontId="636" fillId="56" borderId="135" xfId="0" applyFill="true" applyAlignment="true" applyFont="true" applyBorder="true">
      <alignment horizontal="center" vertical="center" wrapText="true"/>
    </xf>
    <xf numFmtId="0" fontId="637" fillId="56" borderId="0" xfId="0" applyFill="true" applyAlignment="true" applyFont="true">
      <alignment horizontal="center" vertical="center" wrapText="true"/>
    </xf>
    <xf numFmtId="0" fontId="638" fillId="44" borderId="0" xfId="0" applyFill="true" applyAlignment="true" applyFont="true">
      <alignment horizontal="center" vertical="center" wrapText="true"/>
    </xf>
    <xf numFmtId="0" fontId="639" fillId="56" borderId="0" xfId="0" applyFill="true" applyAlignment="true" applyFont="true">
      <alignment horizontal="center" vertical="center" wrapText="true"/>
    </xf>
    <xf numFmtId="0" fontId="640" fillId="56" borderId="0" xfId="0" applyFill="true" applyAlignment="true" applyFont="true">
      <alignment horizontal="center" vertical="center" wrapText="true"/>
    </xf>
    <xf numFmtId="0" fontId="641" fillId="56" borderId="0" xfId="0" applyFill="true" applyAlignment="true" applyFont="true">
      <alignment horizontal="center" vertical="center" wrapText="true"/>
    </xf>
    <xf numFmtId="0" fontId="637" fillId="56" borderId="139" xfId="0" applyFill="true" applyAlignment="true" applyFont="true" applyBorder="true">
      <alignment horizontal="center" vertical="center" wrapText="true"/>
    </xf>
    <xf numFmtId="0" fontId="639" fillId="56" borderId="143" xfId="0" applyFill="true" applyAlignment="true" applyFont="true" applyBorder="true">
      <alignment horizontal="center" vertical="center" wrapText="true"/>
    </xf>
    <xf numFmtId="0" fontId="639" fillId="56" borderId="143" xfId="0" applyFill="true" applyAlignment="true" applyFont="true" applyBorder="true">
      <alignment horizontal="center" vertical="center" wrapText="true"/>
    </xf>
    <xf numFmtId="0" fontId="639" fillId="56" borderId="147" xfId="0" applyFill="true" applyAlignment="true" applyFont="true" applyBorder="true">
      <alignment horizontal="center" vertical="center" wrapText="true"/>
    </xf>
    <xf numFmtId="0" fontId="638" fillId="44" borderId="151" xfId="0" applyFill="true" applyAlignment="true" applyFont="true" applyBorder="true">
      <alignment horizontal="center" vertical="center" wrapText="true"/>
    </xf>
    <xf numFmtId="0" fontId="640" fillId="56" borderId="0" xfId="0" applyFill="true" applyAlignment="true" applyFont="true">
      <alignment horizontal="center" vertical="center" wrapText="true"/>
    </xf>
    <xf numFmtId="0" fontId="640" fillId="56" borderId="0" xfId="0" applyFill="true" applyAlignment="true" applyFont="true">
      <alignment horizontal="center" vertical="center" wrapText="true"/>
    </xf>
    <xf numFmtId="0" fontId="640" fillId="56" borderId="155" xfId="0" applyFill="true" applyAlignment="true" applyFont="true" applyBorder="true">
      <alignment horizontal="center" vertical="center" wrapText="true"/>
    </xf>
    <xf numFmtId="0" fontId="638" fillId="44" borderId="151" xfId="0" applyFill="true" applyAlignment="true" applyFont="true" applyBorder="true">
      <alignment horizontal="center" vertical="center" wrapText="true"/>
    </xf>
    <xf numFmtId="0" fontId="640" fillId="56" borderId="0" xfId="0" applyFill="true" applyAlignment="true" applyFont="true">
      <alignment horizontal="center" vertical="center" wrapText="true"/>
    </xf>
    <xf numFmtId="0" fontId="640" fillId="56" borderId="0" xfId="0" applyFill="true" applyAlignment="true" applyFont="true">
      <alignment horizontal="center" vertical="center" wrapText="true"/>
    </xf>
    <xf numFmtId="0" fontId="640" fillId="56" borderId="155" xfId="0" applyFill="true" applyAlignment="true" applyFont="true" applyBorder="true">
      <alignment horizontal="center" vertical="center" wrapText="true"/>
    </xf>
    <xf numFmtId="0" fontId="638" fillId="44" borderId="151" xfId="0" applyFill="true" applyAlignment="true" applyFont="true" applyBorder="true">
      <alignment horizontal="center" vertical="center" wrapText="true"/>
    </xf>
    <xf numFmtId="0" fontId="641" fillId="56" borderId="0" xfId="0" applyFill="true" applyAlignment="true" applyFont="true">
      <alignment horizontal="center" vertical="center" wrapText="true"/>
    </xf>
    <xf numFmtId="0" fontId="641" fillId="56" borderId="0" xfId="0" applyFill="true" applyAlignment="true" applyFont="true">
      <alignment horizontal="center" vertical="center" wrapText="true"/>
    </xf>
    <xf numFmtId="0" fontId="641" fillId="56" borderId="155" xfId="0" applyFill="true" applyAlignment="true" applyFont="true" applyBorder="true">
      <alignment horizontal="center" vertical="center" wrapText="true"/>
    </xf>
    <xf numFmtId="0" fontId="637" fillId="56" borderId="159" xfId="0" applyFill="true" applyAlignment="true" applyFont="true" applyBorder="true">
      <alignment horizontal="center" vertical="center" wrapText="true"/>
    </xf>
    <xf numFmtId="0" fontId="641" fillId="56" borderId="163" xfId="0" applyFill="true" applyAlignment="true" applyFont="true" applyBorder="true">
      <alignment horizontal="center" vertical="center" wrapText="true"/>
    </xf>
    <xf numFmtId="0" fontId="641" fillId="56" borderId="163" xfId="0" applyFill="true" applyAlignment="true" applyFont="true" applyBorder="true">
      <alignment horizontal="center" vertical="center" wrapText="true"/>
    </xf>
    <xf numFmtId="0" fontId="641" fillId="56" borderId="167" xfId="0" applyFill="true" applyAlignment="true" applyFont="true" applyBorder="true">
      <alignment horizontal="center" vertical="center" wrapText="true"/>
    </xf>
    <xf numFmtId="0" fontId="642" fillId="56" borderId="0" xfId="0" applyFill="true" applyAlignment="true" applyFont="true">
      <alignment horizontal="center" vertical="center" wrapText="true"/>
    </xf>
    <xf numFmtId="0" fontId="643" fillId="44" borderId="0" xfId="0" applyFill="true" applyAlignment="true" applyFont="true">
      <alignment horizontal="center" vertical="center" wrapText="true"/>
    </xf>
    <xf numFmtId="0" fontId="644" fillId="56" borderId="0" xfId="0" applyFill="true" applyAlignment="true" applyFont="true">
      <alignment horizontal="center" vertical="center" wrapText="true"/>
    </xf>
    <xf numFmtId="0" fontId="645" fillId="56" borderId="0" xfId="0" applyFill="true" applyAlignment="true" applyFont="true">
      <alignment horizontal="center" vertical="center" wrapText="true"/>
    </xf>
    <xf numFmtId="0" fontId="646" fillId="56" borderId="0" xfId="0" applyFill="true" applyAlignment="true" applyFont="true">
      <alignment horizontal="center" vertical="center" wrapText="true"/>
    </xf>
    <xf numFmtId="0" fontId="642" fillId="56" borderId="107" xfId="0" applyFill="true" applyAlignment="true" applyFont="true" applyBorder="true">
      <alignment horizontal="center" vertical="center" wrapText="true"/>
    </xf>
    <xf numFmtId="0" fontId="644" fillId="56" borderId="111" xfId="0" applyFill="true" applyAlignment="true" applyFont="true" applyBorder="true">
      <alignment horizontal="center" vertical="center" wrapText="true"/>
    </xf>
    <xf numFmtId="0" fontId="644" fillId="56" borderId="111" xfId="0" applyFill="true" applyAlignment="true" applyFont="true" applyBorder="true">
      <alignment horizontal="center" vertical="center" wrapText="true"/>
    </xf>
    <xf numFmtId="0" fontId="644" fillId="56" borderId="115" xfId="0" applyFill="true" applyAlignment="true" applyFont="true" applyBorder="true">
      <alignment horizontal="center" vertical="center" wrapText="true"/>
    </xf>
    <xf numFmtId="0" fontId="643" fillId="44" borderId="119" xfId="0" applyFill="true" applyAlignment="true" applyFont="true" applyBorder="true">
      <alignment horizontal="center" vertical="center" wrapText="true"/>
    </xf>
    <xf numFmtId="0" fontId="645" fillId="56" borderId="0" xfId="0" applyFill="true" applyAlignment="true" applyFont="true">
      <alignment horizontal="center" vertical="center" wrapText="true"/>
    </xf>
    <xf numFmtId="0" fontId="645" fillId="56" borderId="0" xfId="0" applyFill="true" applyAlignment="true" applyFont="true">
      <alignment horizontal="center" vertical="center" wrapText="true"/>
    </xf>
    <xf numFmtId="0" fontId="645" fillId="56" borderId="123" xfId="0" applyFill="true" applyAlignment="true" applyFont="true" applyBorder="true">
      <alignment horizontal="center" vertical="center" wrapText="true"/>
    </xf>
    <xf numFmtId="0" fontId="643" fillId="44" borderId="119" xfId="0" applyFill="true" applyAlignment="true" applyFont="true" applyBorder="true">
      <alignment horizontal="center" vertical="center" wrapText="true"/>
    </xf>
    <xf numFmtId="0" fontId="645" fillId="56" borderId="0" xfId="0" applyFill="true" applyAlignment="true" applyFont="true">
      <alignment horizontal="center" vertical="center" wrapText="true"/>
    </xf>
    <xf numFmtId="0" fontId="645" fillId="56" borderId="0" xfId="0" applyFill="true" applyAlignment="true" applyFont="true">
      <alignment horizontal="center" vertical="center" wrapText="true"/>
    </xf>
    <xf numFmtId="0" fontId="645" fillId="56" borderId="123" xfId="0" applyFill="true" applyAlignment="true" applyFont="true" applyBorder="true">
      <alignment horizontal="center" vertical="center" wrapText="true"/>
    </xf>
    <xf numFmtId="0" fontId="643" fillId="44" borderId="119" xfId="0" applyFill="true" applyAlignment="true" applyFont="true" applyBorder="true">
      <alignment horizontal="center" vertical="center" wrapText="true"/>
    </xf>
    <xf numFmtId="0" fontId="646" fillId="56" borderId="0" xfId="0" applyFill="true" applyAlignment="true" applyFont="true">
      <alignment horizontal="center" vertical="center" wrapText="true"/>
    </xf>
    <xf numFmtId="0" fontId="646" fillId="56" borderId="0" xfId="0" applyFill="true" applyAlignment="true" applyFont="true">
      <alignment horizontal="center" vertical="center" wrapText="true"/>
    </xf>
    <xf numFmtId="0" fontId="646" fillId="56" borderId="123" xfId="0" applyFill="true" applyAlignment="true" applyFont="true" applyBorder="true">
      <alignment horizontal="center" vertical="center" wrapText="true"/>
    </xf>
    <xf numFmtId="0" fontId="642" fillId="56" borderId="127" xfId="0" applyFill="true" applyAlignment="true" applyFont="true" applyBorder="true">
      <alignment horizontal="center" vertical="center" wrapText="true"/>
    </xf>
    <xf numFmtId="0" fontId="646" fillId="56" borderId="131" xfId="0" applyFill="true" applyAlignment="true" applyFont="true" applyBorder="true">
      <alignment horizontal="center" vertical="center" wrapText="true"/>
    </xf>
    <xf numFmtId="0" fontId="646" fillId="56" borderId="131" xfId="0" applyFill="true" applyAlignment="true" applyFont="true" applyBorder="true">
      <alignment horizontal="center" vertical="center" wrapText="true"/>
    </xf>
    <xf numFmtId="0" fontId="646" fillId="56" borderId="135" xfId="0" applyFill="true" applyAlignment="true" applyFont="true" applyBorder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41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99" xfId="0" applyFill="true" applyAlignment="true" applyFont="true" applyBorder="true">
      <alignment horizontal="center" vertical="center" wrapText="true"/>
    </xf>
    <xf numFmtId="0" fontId="647" fillId="56" borderId="46" xfId="0" applyFill="true" applyAlignment="true" applyFont="true" applyBorder="true">
      <alignment horizontal="center" vertical="center" wrapText="true"/>
    </xf>
    <xf numFmtId="0" fontId="647" fillId="56" borderId="51" xfId="0" applyFill="true" applyAlignment="true" applyFont="true" applyBorder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56" xfId="0" applyFill="true" applyAlignment="true" applyFont="true" applyBorder="true">
      <alignment horizontal="center" vertical="center" wrapText="true"/>
    </xf>
    <xf numFmtId="0" fontId="647" fillId="56" borderId="51" xfId="0" applyFill="true" applyAlignment="true" applyFont="true" applyBorder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56" xfId="0" applyFill="true" applyAlignment="true" applyFont="true" applyBorder="true">
      <alignment horizontal="center" vertical="center" wrapText="true"/>
    </xf>
    <xf numFmtId="0" fontId="647" fillId="56" borderId="51" xfId="0" applyFill="true" applyAlignment="true" applyFont="true" applyBorder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56" xfId="0" applyFill="true" applyAlignment="true" applyFont="true" applyBorder="true">
      <alignment horizontal="center" vertical="center" wrapText="true"/>
    </xf>
    <xf numFmtId="0" fontId="647" fillId="56" borderId="51" xfId="0" applyFill="true" applyAlignment="true" applyFont="true" applyBorder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56" xfId="0" applyFill="true" applyAlignment="true" applyFont="true" applyBorder="true">
      <alignment horizontal="center" vertical="center" wrapText="true"/>
    </xf>
    <xf numFmtId="0" fontId="647" fillId="56" borderId="51" xfId="0" applyFill="true" applyAlignment="true" applyFont="true" applyBorder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56" xfId="0" applyFill="true" applyAlignment="true" applyFont="true" applyBorder="true">
      <alignment horizontal="center" vertical="center" wrapText="true"/>
    </xf>
    <xf numFmtId="0" fontId="647" fillId="56" borderId="51" xfId="0" applyFill="true" applyAlignment="true" applyFont="true" applyBorder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0" xfId="0" applyFill="true" applyAlignment="true" applyFont="true">
      <alignment horizontal="center" vertical="center" wrapText="true"/>
    </xf>
    <xf numFmtId="0" fontId="647" fillId="56" borderId="56" xfId="0" applyFill="true" applyAlignment="true" applyFont="true" applyBorder="true">
      <alignment horizontal="center" vertical="center" wrapText="true"/>
    </xf>
    <xf numFmtId="0" fontId="647" fillId="56" borderId="61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103" xfId="0" applyFill="true" applyAlignment="true" applyFont="true" applyBorder="true">
      <alignment horizontal="center" vertical="center" wrapText="true"/>
    </xf>
    <xf numFmtId="0" fontId="647" fillId="56" borderId="66" xfId="0" applyFill="true" applyAlignment="true" applyFont="true" applyBorder="true">
      <alignment horizontal="center" vertical="center" wrapText="true"/>
    </xf>
    <xf numFmtId="0" fontId="648" fillId="56" borderId="0" xfId="0" applyFill="true" applyAlignment="true" applyFont="true">
      <alignment horizontal="center" vertical="center" wrapText="true"/>
    </xf>
    <xf numFmtId="0" fontId="649" fillId="56" borderId="0" xfId="0" applyFill="true" applyAlignment="true" applyFont="true">
      <alignment horizontal="center" vertical="center" wrapText="true"/>
    </xf>
    <xf numFmtId="0" fontId="650" fillId="46" borderId="0" xfId="0" applyFill="true" applyAlignment="true" applyFont="true">
      <alignment horizontal="center" vertical="center" wrapText="true"/>
    </xf>
    <xf numFmtId="0" fontId="651" fillId="46" borderId="0" xfId="0" applyFill="true" applyAlignment="true" applyFont="true">
      <alignment horizontal="center" vertical="center" wrapText="true"/>
    </xf>
    <xf numFmtId="0" fontId="652" fillId="46" borderId="0" xfId="0" applyFill="true" applyAlignment="true" applyFont="true">
      <alignment horizontal="center" vertical="center" wrapText="true"/>
    </xf>
    <xf numFmtId="0" fontId="653" fillId="46" borderId="0" xfId="0" applyFill="true" applyAlignment="true" applyFont="true">
      <alignment horizontal="center" vertical="center" wrapText="true"/>
    </xf>
    <xf numFmtId="0" fontId="654" fillId="46" borderId="0" xfId="0" applyFill="true" applyAlignment="true" applyFont="true">
      <alignment horizontal="center" vertical="center" wrapText="true"/>
    </xf>
    <xf numFmtId="0" fontId="655" fillId="48" borderId="0" xfId="0" applyFill="true" applyAlignment="true" applyFont="true">
      <alignment horizontal="center" vertical="center" wrapText="true"/>
    </xf>
    <xf numFmtId="164" fontId="655" fillId="48" borderId="0" xfId="0" applyFill="true" applyAlignment="true" applyFont="true" applyNumberForma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41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99" xfId="0" applyFill="true" applyAlignment="true" applyFont="true" applyBorder="true">
      <alignment horizontal="center" vertical="center" wrapText="true"/>
    </xf>
    <xf numFmtId="0" fontId="656" fillId="56" borderId="46" xfId="0" applyFill="true" applyAlignment="true" applyFont="true" applyBorder="true">
      <alignment horizontal="center" vertical="center" wrapText="true"/>
    </xf>
    <xf numFmtId="0" fontId="656" fillId="56" borderId="51" xfId="0" applyFill="true" applyAlignment="true" applyFont="true" applyBorder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56" xfId="0" applyFill="true" applyAlignment="true" applyFont="true" applyBorder="true">
      <alignment horizontal="center" vertical="center" wrapText="true"/>
    </xf>
    <xf numFmtId="0" fontId="656" fillId="56" borderId="51" xfId="0" applyFill="true" applyAlignment="true" applyFont="true" applyBorder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56" xfId="0" applyFill="true" applyAlignment="true" applyFont="true" applyBorder="true">
      <alignment horizontal="center" vertical="center" wrapText="true"/>
    </xf>
    <xf numFmtId="0" fontId="656" fillId="56" borderId="51" xfId="0" applyFill="true" applyAlignment="true" applyFont="true" applyBorder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56" xfId="0" applyFill="true" applyAlignment="true" applyFont="true" applyBorder="true">
      <alignment horizontal="center" vertical="center" wrapText="true"/>
    </xf>
    <xf numFmtId="0" fontId="656" fillId="56" borderId="51" xfId="0" applyFill="true" applyAlignment="true" applyFont="true" applyBorder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56" xfId="0" applyFill="true" applyAlignment="true" applyFont="true" applyBorder="true">
      <alignment horizontal="center" vertical="center" wrapText="true"/>
    </xf>
    <xf numFmtId="0" fontId="656" fillId="56" borderId="51" xfId="0" applyFill="true" applyAlignment="true" applyFont="true" applyBorder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56" xfId="0" applyFill="true" applyAlignment="true" applyFont="true" applyBorder="true">
      <alignment horizontal="center" vertical="center" wrapText="true"/>
    </xf>
    <xf numFmtId="0" fontId="656" fillId="56" borderId="51" xfId="0" applyFill="true" applyAlignment="true" applyFont="true" applyBorder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56" xfId="0" applyFill="true" applyAlignment="true" applyFont="true" applyBorder="true">
      <alignment horizontal="center" vertical="center" wrapText="true"/>
    </xf>
    <xf numFmtId="0" fontId="656" fillId="56" borderId="51" xfId="0" applyFill="true" applyAlignment="true" applyFont="true" applyBorder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0" xfId="0" applyFill="true" applyAlignment="true" applyFont="true">
      <alignment horizontal="center" vertical="center" wrapText="true"/>
    </xf>
    <xf numFmtId="0" fontId="656" fillId="56" borderId="56" xfId="0" applyFill="true" applyAlignment="true" applyFont="true" applyBorder="true">
      <alignment horizontal="center" vertical="center" wrapText="true"/>
    </xf>
    <xf numFmtId="0" fontId="656" fillId="56" borderId="61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103" xfId="0" applyFill="true" applyAlignment="true" applyFont="true" applyBorder="true">
      <alignment horizontal="center" vertical="center" wrapText="true"/>
    </xf>
    <xf numFmtId="0" fontId="656" fillId="56" borderId="66" xfId="0" applyFill="true" applyAlignment="true" applyFont="true" applyBorder="true">
      <alignment horizontal="center" vertical="center" wrapText="true"/>
    </xf>
    <xf numFmtId="0" fontId="657" fillId="56" borderId="0" xfId="0" applyFill="true" applyAlignment="true" applyFont="true">
      <alignment horizontal="center" vertical="center" wrapText="true"/>
    </xf>
    <xf numFmtId="0" fontId="658" fillId="56" borderId="0" xfId="0" applyFill="true" applyAlignment="true" applyFont="true">
      <alignment horizontal="center" vertical="center" wrapText="true"/>
    </xf>
    <xf numFmtId="0" fontId="659" fillId="48" borderId="0" xfId="0" applyFill="true" applyAlignment="true" applyFont="true">
      <alignment horizontal="center" vertical="center" wrapText="true"/>
    </xf>
    <xf numFmtId="0" fontId="660" fillId="46" borderId="0" xfId="0" applyFill="true" applyAlignment="true" applyFont="true">
      <alignment horizontal="center" vertical="center" wrapText="true"/>
    </xf>
    <xf numFmtId="0" fontId="661" fillId="48" borderId="0" xfId="0" applyFill="true" applyAlignment="true" applyFont="true">
      <alignment horizontal="center" vertical="center" wrapText="true"/>
    </xf>
    <xf numFmtId="0" fontId="662" fillId="48" borderId="0" xfId="0" applyFill="true" applyAlignment="true" applyFont="true">
      <alignment horizontal="center" vertical="center" wrapText="true"/>
    </xf>
    <xf numFmtId="0" fontId="663" fillId="56" borderId="0" xfId="0" applyFill="true" applyAlignment="true" applyFont="true">
      <alignment horizontal="center" vertical="center" wrapText="true"/>
    </xf>
    <xf numFmtId="0" fontId="660" fillId="46" borderId="71" xfId="0" applyFill="true" applyAlignment="true" applyFont="true" applyBorder="true">
      <alignment horizontal="center" vertical="center" wrapText="true"/>
    </xf>
    <xf numFmtId="0" fontId="660" fillId="46" borderId="203" xfId="0" applyFill="true" applyAlignment="true" applyFont="true" applyBorder="true">
      <alignment horizontal="center" vertical="center" wrapText="true"/>
    </xf>
    <xf numFmtId="0" fontId="660" fillId="46" borderId="203" xfId="0" applyFill="true" applyAlignment="true" applyFont="true" applyBorder="true">
      <alignment horizontal="center" vertical="center" wrapText="true"/>
    </xf>
    <xf numFmtId="0" fontId="660" fillId="46" borderId="75" xfId="0" applyFill="true" applyAlignment="true" applyFont="true" applyBorder="true">
      <alignment horizontal="center" vertical="center" wrapText="true"/>
    </xf>
    <xf numFmtId="0" fontId="661" fillId="48" borderId="80" xfId="0" applyFill="true" applyAlignment="true" applyFont="true" applyBorder="true">
      <alignment horizontal="center" vertical="center" wrapText="true"/>
    </xf>
    <xf numFmtId="0" fontId="661" fillId="48" borderId="0" xfId="0" applyFill="true" applyAlignment="true" applyFont="true">
      <alignment horizontal="center" vertical="center" wrapText="true"/>
    </xf>
    <xf numFmtId="0" fontId="661" fillId="48" borderId="0" xfId="0" applyFill="true" applyAlignment="true" applyFont="true">
      <alignment horizontal="center" vertical="center" wrapText="true"/>
    </xf>
    <xf numFmtId="0" fontId="661" fillId="48" borderId="85" xfId="0" applyFill="true" applyAlignment="true" applyFont="true" applyBorder="true">
      <alignment horizontal="center" vertical="center" wrapText="true"/>
    </xf>
    <xf numFmtId="0" fontId="661" fillId="48" borderId="80" xfId="0" applyFill="true" applyAlignment="true" applyFont="true" applyBorder="true">
      <alignment horizontal="center" vertical="center" wrapText="true"/>
    </xf>
    <xf numFmtId="0" fontId="661" fillId="48" borderId="0" xfId="0" applyFill="true" applyAlignment="true" applyFont="true">
      <alignment horizontal="center" vertical="center" wrapText="true"/>
    </xf>
    <xf numFmtId="0" fontId="661" fillId="48" borderId="0" xfId="0" applyFill="true" applyAlignment="true" applyFont="true">
      <alignment horizontal="center" vertical="center" wrapText="true"/>
    </xf>
    <xf numFmtId="0" fontId="661" fillId="48" borderId="85" xfId="0" applyFill="true" applyAlignment="true" applyFont="true" applyBorder="true">
      <alignment horizontal="center" vertical="center" wrapText="true"/>
    </xf>
    <xf numFmtId="0" fontId="662" fillId="48" borderId="80" xfId="0" applyFill="true" applyAlignment="true" applyFont="true" applyBorder="true">
      <alignment horizontal="center" vertical="center" wrapText="true"/>
    </xf>
    <xf numFmtId="0" fontId="662" fillId="48" borderId="0" xfId="0" applyFill="true" applyAlignment="true" applyFont="true">
      <alignment horizontal="center" vertical="center" wrapText="true"/>
    </xf>
    <xf numFmtId="0" fontId="662" fillId="48" borderId="0" xfId="0" applyFill="true" applyAlignment="true" applyFont="true">
      <alignment horizontal="center" vertical="center" wrapText="true"/>
    </xf>
    <xf numFmtId="0" fontId="662" fillId="48" borderId="85" xfId="0" applyFill="true" applyAlignment="true" applyFont="true" applyBorder="true">
      <alignment horizontal="center" vertical="center" wrapText="true"/>
    </xf>
    <xf numFmtId="0" fontId="663" fillId="56" borderId="80" xfId="0" applyFill="true" applyAlignment="true" applyFont="true" applyBorder="true">
      <alignment horizontal="center" vertical="center" wrapText="true"/>
    </xf>
    <xf numFmtId="0" fontId="663" fillId="56" borderId="0" xfId="0" applyFill="true" applyAlignment="true" applyFont="true">
      <alignment horizontal="center" vertical="center" wrapText="true"/>
    </xf>
    <xf numFmtId="0" fontId="663" fillId="56" borderId="0" xfId="0" applyFill="true" applyAlignment="true" applyFont="true">
      <alignment horizontal="center" vertical="center" wrapText="true"/>
    </xf>
    <xf numFmtId="0" fontId="663" fillId="56" borderId="85" xfId="0" applyFill="true" applyAlignment="true" applyFont="true" applyBorder="true">
      <alignment horizontal="center" vertical="center" wrapText="true"/>
    </xf>
    <xf numFmtId="0" fontId="663" fillId="56" borderId="90" xfId="0" applyFill="true" applyAlignment="true" applyFont="true" applyBorder="true">
      <alignment horizontal="center" vertical="center" wrapText="true"/>
    </xf>
    <xf numFmtId="0" fontId="663" fillId="56" borderId="207" xfId="0" applyFill="true" applyAlignment="true" applyFont="true" applyBorder="true">
      <alignment horizontal="center" vertical="center" wrapText="true"/>
    </xf>
    <xf numFmtId="0" fontId="663" fillId="56" borderId="207" xfId="0" applyFill="true" applyAlignment="true" applyFont="true" applyBorder="true">
      <alignment horizontal="center" vertical="center" wrapText="true"/>
    </xf>
    <xf numFmtId="0" fontId="663" fillId="56" borderId="95" xfId="0" applyFill="true" applyAlignment="true" applyFont="true" applyBorder="true">
      <alignment horizontal="center" vertical="center" wrapText="true"/>
    </xf>
    <xf numFmtId="0" fontId="664" fillId="48" borderId="0" xfId="0" applyFill="true" applyAlignment="true" applyFont="true">
      <alignment horizontal="center" vertical="center" wrapText="true"/>
    </xf>
    <xf numFmtId="0" fontId="665" fillId="46" borderId="0" xfId="0" applyFill="true" applyAlignment="true" applyFont="true">
      <alignment horizontal="center" vertical="center" wrapText="true"/>
    </xf>
    <xf numFmtId="0" fontId="666" fillId="48" borderId="0" xfId="0" applyFill="true" applyAlignment="true" applyFont="true">
      <alignment horizontal="center" vertical="center" wrapText="true"/>
    </xf>
    <xf numFmtId="0" fontId="667" fillId="48" borderId="0" xfId="0" applyFill="true" applyAlignment="true" applyFont="true">
      <alignment horizontal="center" vertical="center" wrapText="true"/>
    </xf>
    <xf numFmtId="0" fontId="668" fillId="56" borderId="0" xfId="0" applyFill="true" applyAlignment="true" applyFont="true">
      <alignment horizontal="center" vertical="center" wrapText="true"/>
    </xf>
    <xf numFmtId="0" fontId="665" fillId="46" borderId="71" xfId="0" applyFill="true" applyAlignment="true" applyFont="true" applyBorder="true">
      <alignment horizontal="center" vertical="center" wrapText="true"/>
    </xf>
    <xf numFmtId="0" fontId="665" fillId="46" borderId="203" xfId="0" applyFill="true" applyAlignment="true" applyFont="true" applyBorder="true">
      <alignment horizontal="center" vertical="center" wrapText="true"/>
    </xf>
    <xf numFmtId="0" fontId="665" fillId="46" borderId="203" xfId="0" applyFill="true" applyAlignment="true" applyFont="true" applyBorder="true">
      <alignment horizontal="center" vertical="center" wrapText="true"/>
    </xf>
    <xf numFmtId="0" fontId="665" fillId="46" borderId="75" xfId="0" applyFill="true" applyAlignment="true" applyFont="true" applyBorder="true">
      <alignment horizontal="center" vertical="center" wrapText="true"/>
    </xf>
    <xf numFmtId="0" fontId="666" fillId="48" borderId="80" xfId="0" applyFill="true" applyAlignment="true" applyFont="true" applyBorder="true">
      <alignment horizontal="center" vertical="center" wrapText="true"/>
    </xf>
    <xf numFmtId="0" fontId="666" fillId="48" borderId="0" xfId="0" applyFill="true" applyAlignment="true" applyFont="true">
      <alignment horizontal="center" vertical="center" wrapText="true"/>
    </xf>
    <xf numFmtId="0" fontId="666" fillId="48" borderId="0" xfId="0" applyFill="true" applyAlignment="true" applyFont="true">
      <alignment horizontal="center" vertical="center" wrapText="true"/>
    </xf>
    <xf numFmtId="0" fontId="666" fillId="48" borderId="85" xfId="0" applyFill="true" applyAlignment="true" applyFont="true" applyBorder="true">
      <alignment horizontal="center" vertical="center" wrapText="true"/>
    </xf>
    <xf numFmtId="0" fontId="666" fillId="48" borderId="80" xfId="0" applyFill="true" applyAlignment="true" applyFont="true" applyBorder="true">
      <alignment horizontal="center" vertical="center" wrapText="true"/>
    </xf>
    <xf numFmtId="0" fontId="666" fillId="48" borderId="0" xfId="0" applyFill="true" applyAlignment="true" applyFont="true">
      <alignment horizontal="center" vertical="center" wrapText="true"/>
    </xf>
    <xf numFmtId="0" fontId="666" fillId="48" borderId="0" xfId="0" applyFill="true" applyAlignment="true" applyFont="true">
      <alignment horizontal="center" vertical="center" wrapText="true"/>
    </xf>
    <xf numFmtId="0" fontId="666" fillId="48" borderId="85" xfId="0" applyFill="true" applyAlignment="true" applyFont="true" applyBorder="true">
      <alignment horizontal="center" vertical="center" wrapText="true"/>
    </xf>
    <xf numFmtId="0" fontId="667" fillId="48" borderId="80" xfId="0" applyFill="true" applyAlignment="true" applyFont="true" applyBorder="true">
      <alignment horizontal="center" vertical="center" wrapText="true"/>
    </xf>
    <xf numFmtId="0" fontId="667" fillId="48" borderId="0" xfId="0" applyFill="true" applyAlignment="true" applyFont="true">
      <alignment horizontal="center" vertical="center" wrapText="true"/>
    </xf>
    <xf numFmtId="0" fontId="667" fillId="48" borderId="0" xfId="0" applyFill="true" applyAlignment="true" applyFont="true">
      <alignment horizontal="center" vertical="center" wrapText="true"/>
    </xf>
    <xf numFmtId="0" fontId="667" fillId="48" borderId="85" xfId="0" applyFill="true" applyAlignment="true" applyFont="true" applyBorder="true">
      <alignment horizontal="center" vertical="center" wrapText="true"/>
    </xf>
    <xf numFmtId="0" fontId="668" fillId="56" borderId="80" xfId="0" applyFill="true" applyAlignment="true" applyFont="true" applyBorder="true">
      <alignment horizontal="center" vertical="center" wrapText="true"/>
    </xf>
    <xf numFmtId="0" fontId="668" fillId="56" borderId="0" xfId="0" applyFill="true" applyAlignment="true" applyFont="true">
      <alignment horizontal="center" vertical="center" wrapText="true"/>
    </xf>
    <xf numFmtId="0" fontId="668" fillId="56" borderId="0" xfId="0" applyFill="true" applyAlignment="true" applyFont="true">
      <alignment horizontal="center" vertical="center" wrapText="true"/>
    </xf>
    <xf numFmtId="0" fontId="668" fillId="56" borderId="85" xfId="0" applyFill="true" applyAlignment="true" applyFont="true" applyBorder="true">
      <alignment horizontal="center" vertical="center" wrapText="true"/>
    </xf>
    <xf numFmtId="0" fontId="668" fillId="56" borderId="90" xfId="0" applyFill="true" applyAlignment="true" applyFont="true" applyBorder="true">
      <alignment horizontal="center" vertical="center" wrapText="true"/>
    </xf>
    <xf numFmtId="0" fontId="668" fillId="56" borderId="207" xfId="0" applyFill="true" applyAlignment="true" applyFont="true" applyBorder="true">
      <alignment horizontal="center" vertical="center" wrapText="true"/>
    </xf>
    <xf numFmtId="0" fontId="668" fillId="56" borderId="207" xfId="0" applyFill="true" applyAlignment="true" applyFont="true" applyBorder="true">
      <alignment horizontal="center" vertical="center" wrapText="true"/>
    </xf>
    <xf numFmtId="0" fontId="668" fillId="56" borderId="95" xfId="0" applyFill="true" applyAlignment="true" applyFont="true" applyBorder="true">
      <alignment horizontal="center" vertical="center" wrapText="true"/>
    </xf>
    <xf numFmtId="0" fontId="669" fillId="48" borderId="0" xfId="0" applyFill="true" applyAlignment="true" applyFont="true">
      <alignment horizontal="center" vertical="center" wrapText="true"/>
    </xf>
    <xf numFmtId="0" fontId="670" fillId="46" borderId="0" xfId="0" applyFill="true" applyAlignment="true" applyFont="true">
      <alignment horizontal="center" vertical="center" wrapText="true"/>
    </xf>
    <xf numFmtId="0" fontId="671" fillId="48" borderId="0" xfId="0" applyFill="true" applyAlignment="true" applyFont="true">
      <alignment horizontal="center" vertical="center" wrapText="true"/>
    </xf>
    <xf numFmtId="0" fontId="672" fillId="48" borderId="0" xfId="0" applyFill="true" applyAlignment="true" applyFont="true">
      <alignment horizontal="center" vertical="center" wrapText="true"/>
    </xf>
    <xf numFmtId="0" fontId="673" fillId="56" borderId="0" xfId="0" applyFill="true" applyAlignment="true" applyFont="true">
      <alignment horizontal="center" vertical="center" wrapText="true"/>
    </xf>
    <xf numFmtId="0" fontId="670" fillId="46" borderId="71" xfId="0" applyFill="true" applyAlignment="true" applyFont="true" applyBorder="true">
      <alignment horizontal="center" vertical="center" wrapText="true"/>
    </xf>
    <xf numFmtId="0" fontId="670" fillId="46" borderId="203" xfId="0" applyFill="true" applyAlignment="true" applyFont="true" applyBorder="true">
      <alignment horizontal="center" vertical="center" wrapText="true"/>
    </xf>
    <xf numFmtId="0" fontId="670" fillId="46" borderId="203" xfId="0" applyFill="true" applyAlignment="true" applyFont="true" applyBorder="true">
      <alignment horizontal="center" vertical="center" wrapText="true"/>
    </xf>
    <xf numFmtId="0" fontId="670" fillId="46" borderId="75" xfId="0" applyFill="true" applyAlignment="true" applyFont="true" applyBorder="true">
      <alignment horizontal="center" vertical="center" wrapText="true"/>
    </xf>
    <xf numFmtId="0" fontId="671" fillId="48" borderId="80" xfId="0" applyFill="true" applyAlignment="true" applyFont="true" applyBorder="true">
      <alignment horizontal="center" vertical="center" wrapText="true"/>
    </xf>
    <xf numFmtId="0" fontId="671" fillId="48" borderId="0" xfId="0" applyFill="true" applyAlignment="true" applyFont="true">
      <alignment horizontal="center" vertical="center" wrapText="true"/>
    </xf>
    <xf numFmtId="0" fontId="671" fillId="48" borderId="0" xfId="0" applyFill="true" applyAlignment="true" applyFont="true">
      <alignment horizontal="center" vertical="center" wrapText="true"/>
    </xf>
    <xf numFmtId="0" fontId="671" fillId="48" borderId="85" xfId="0" applyFill="true" applyAlignment="true" applyFont="true" applyBorder="true">
      <alignment horizontal="center" vertical="center" wrapText="true"/>
    </xf>
    <xf numFmtId="0" fontId="671" fillId="48" borderId="80" xfId="0" applyFill="true" applyAlignment="true" applyFont="true" applyBorder="true">
      <alignment horizontal="center" vertical="center" wrapText="true"/>
    </xf>
    <xf numFmtId="0" fontId="671" fillId="48" borderId="0" xfId="0" applyFill="true" applyAlignment="true" applyFont="true">
      <alignment horizontal="center" vertical="center" wrapText="true"/>
    </xf>
    <xf numFmtId="0" fontId="671" fillId="48" borderId="0" xfId="0" applyFill="true" applyAlignment="true" applyFont="true">
      <alignment horizontal="center" vertical="center" wrapText="true"/>
    </xf>
    <xf numFmtId="0" fontId="671" fillId="48" borderId="85" xfId="0" applyFill="true" applyAlignment="true" applyFont="true" applyBorder="true">
      <alignment horizontal="center" vertical="center" wrapText="true"/>
    </xf>
    <xf numFmtId="0" fontId="672" fillId="48" borderId="80" xfId="0" applyFill="true" applyAlignment="true" applyFont="true" applyBorder="true">
      <alignment horizontal="center" vertical="center" wrapText="true"/>
    </xf>
    <xf numFmtId="0" fontId="672" fillId="48" borderId="0" xfId="0" applyFill="true" applyAlignment="true" applyFont="true">
      <alignment horizontal="center" vertical="center" wrapText="true"/>
    </xf>
    <xf numFmtId="0" fontId="672" fillId="48" borderId="0" xfId="0" applyFill="true" applyAlignment="true" applyFont="true">
      <alignment horizontal="center" vertical="center" wrapText="true"/>
    </xf>
    <xf numFmtId="0" fontId="672" fillId="48" borderId="85" xfId="0" applyFill="true" applyAlignment="true" applyFont="true" applyBorder="true">
      <alignment horizontal="center" vertical="center" wrapText="true"/>
    </xf>
    <xf numFmtId="0" fontId="673" fillId="56" borderId="80" xfId="0" applyFill="true" applyAlignment="true" applyFont="true" applyBorder="true">
      <alignment horizontal="center" vertical="center" wrapText="true"/>
    </xf>
    <xf numFmtId="0" fontId="673" fillId="56" borderId="0" xfId="0" applyFill="true" applyAlignment="true" applyFont="true">
      <alignment horizontal="center" vertical="center" wrapText="true"/>
    </xf>
    <xf numFmtId="0" fontId="673" fillId="56" borderId="0" xfId="0" applyFill="true" applyAlignment="true" applyFont="true">
      <alignment horizontal="center" vertical="center" wrapText="true"/>
    </xf>
    <xf numFmtId="0" fontId="673" fillId="56" borderId="85" xfId="0" applyFill="true" applyAlignment="true" applyFont="true" applyBorder="true">
      <alignment horizontal="center" vertical="center" wrapText="true"/>
    </xf>
    <xf numFmtId="0" fontId="673" fillId="56" borderId="90" xfId="0" applyFill="true" applyAlignment="true" applyFont="true" applyBorder="true">
      <alignment horizontal="center" vertical="center" wrapText="true"/>
    </xf>
    <xf numFmtId="0" fontId="673" fillId="56" borderId="207" xfId="0" applyFill="true" applyAlignment="true" applyFont="true" applyBorder="true">
      <alignment horizontal="center" vertical="center" wrapText="true"/>
    </xf>
    <xf numFmtId="0" fontId="673" fillId="56" borderId="207" xfId="0" applyFill="true" applyAlignment="true" applyFont="true" applyBorder="true">
      <alignment horizontal="center" vertical="center" wrapText="true"/>
    </xf>
    <xf numFmtId="0" fontId="673" fillId="56" borderId="95" xfId="0" applyFill="true" applyAlignment="true" applyFont="true" applyBorder="true">
      <alignment horizontal="center" vertical="center" wrapText="true"/>
    </xf>
    <xf numFmtId="0" fontId="674" fillId="48" borderId="0" xfId="0" applyFill="true" applyAlignment="true" applyFont="true">
      <alignment horizontal="center" vertical="center" wrapText="true"/>
    </xf>
    <xf numFmtId="0" fontId="675" fillId="46" borderId="0" xfId="0" applyFill="true" applyAlignment="true" applyFont="true">
      <alignment horizontal="center" vertical="center" wrapText="true"/>
    </xf>
    <xf numFmtId="0" fontId="676" fillId="48" borderId="0" xfId="0" applyFill="true" applyAlignment="true" applyFont="true">
      <alignment horizontal="center" vertical="center" wrapText="true"/>
    </xf>
    <xf numFmtId="0" fontId="677" fillId="48" borderId="0" xfId="0" applyFill="true" applyAlignment="true" applyFont="true">
      <alignment horizontal="center" vertical="center" wrapText="true"/>
    </xf>
    <xf numFmtId="0" fontId="678" fillId="56" borderId="0" xfId="0" applyFill="true" applyAlignment="true" applyFont="true">
      <alignment horizontal="center" vertical="center" wrapText="true"/>
    </xf>
    <xf numFmtId="0" fontId="675" fillId="46" borderId="71" xfId="0" applyFill="true" applyAlignment="true" applyFont="true" applyBorder="true">
      <alignment horizontal="center" vertical="center" wrapText="true"/>
    </xf>
    <xf numFmtId="0" fontId="675" fillId="46" borderId="203" xfId="0" applyFill="true" applyAlignment="true" applyFont="true" applyBorder="true">
      <alignment horizontal="center" vertical="center" wrapText="true"/>
    </xf>
    <xf numFmtId="0" fontId="675" fillId="46" borderId="203" xfId="0" applyFill="true" applyAlignment="true" applyFont="true" applyBorder="true">
      <alignment horizontal="center" vertical="center" wrapText="true"/>
    </xf>
    <xf numFmtId="0" fontId="675" fillId="46" borderId="75" xfId="0" applyFill="true" applyAlignment="true" applyFont="true" applyBorder="true">
      <alignment horizontal="center" vertical="center" wrapText="true"/>
    </xf>
    <xf numFmtId="0" fontId="676" fillId="48" borderId="80" xfId="0" applyFill="true" applyAlignment="true" applyFont="true" applyBorder="true">
      <alignment horizontal="center" vertical="center" wrapText="true"/>
    </xf>
    <xf numFmtId="0" fontId="676" fillId="48" borderId="0" xfId="0" applyFill="true" applyAlignment="true" applyFont="true">
      <alignment horizontal="center" vertical="center" wrapText="true"/>
    </xf>
    <xf numFmtId="0" fontId="676" fillId="48" borderId="0" xfId="0" applyFill="true" applyAlignment="true" applyFont="true">
      <alignment horizontal="center" vertical="center" wrapText="true"/>
    </xf>
    <xf numFmtId="0" fontId="676" fillId="48" borderId="85" xfId="0" applyFill="true" applyAlignment="true" applyFont="true" applyBorder="true">
      <alignment horizontal="center" vertical="center" wrapText="true"/>
    </xf>
    <xf numFmtId="0" fontId="676" fillId="48" borderId="80" xfId="0" applyFill="true" applyAlignment="true" applyFont="true" applyBorder="true">
      <alignment horizontal="center" vertical="center" wrapText="true"/>
    </xf>
    <xf numFmtId="0" fontId="676" fillId="48" borderId="0" xfId="0" applyFill="true" applyAlignment="true" applyFont="true">
      <alignment horizontal="center" vertical="center" wrapText="true"/>
    </xf>
    <xf numFmtId="0" fontId="676" fillId="48" borderId="0" xfId="0" applyFill="true" applyAlignment="true" applyFont="true">
      <alignment horizontal="center" vertical="center" wrapText="true"/>
    </xf>
    <xf numFmtId="0" fontId="676" fillId="48" borderId="85" xfId="0" applyFill="true" applyAlignment="true" applyFont="true" applyBorder="true">
      <alignment horizontal="center" vertical="center" wrapText="true"/>
    </xf>
    <xf numFmtId="0" fontId="677" fillId="48" borderId="80" xfId="0" applyFill="true" applyAlignment="true" applyFont="true" applyBorder="true">
      <alignment horizontal="center" vertical="center" wrapText="true"/>
    </xf>
    <xf numFmtId="0" fontId="677" fillId="48" borderId="0" xfId="0" applyFill="true" applyAlignment="true" applyFont="true">
      <alignment horizontal="center" vertical="center" wrapText="true"/>
    </xf>
    <xf numFmtId="0" fontId="677" fillId="48" borderId="0" xfId="0" applyFill="true" applyAlignment="true" applyFont="true">
      <alignment horizontal="center" vertical="center" wrapText="true"/>
    </xf>
    <xf numFmtId="0" fontId="677" fillId="48" borderId="85" xfId="0" applyFill="true" applyAlignment="true" applyFont="true" applyBorder="true">
      <alignment horizontal="center" vertical="center" wrapText="true"/>
    </xf>
    <xf numFmtId="0" fontId="678" fillId="56" borderId="80" xfId="0" applyFill="true" applyAlignment="true" applyFont="true" applyBorder="true">
      <alignment horizontal="center" vertical="center" wrapText="true"/>
    </xf>
    <xf numFmtId="0" fontId="678" fillId="56" borderId="0" xfId="0" applyFill="true" applyAlignment="true" applyFont="true">
      <alignment horizontal="center" vertical="center" wrapText="true"/>
    </xf>
    <xf numFmtId="0" fontId="678" fillId="56" borderId="0" xfId="0" applyFill="true" applyAlignment="true" applyFont="true">
      <alignment horizontal="center" vertical="center" wrapText="true"/>
    </xf>
    <xf numFmtId="0" fontId="678" fillId="56" borderId="85" xfId="0" applyFill="true" applyAlignment="true" applyFont="true" applyBorder="true">
      <alignment horizontal="center" vertical="center" wrapText="true"/>
    </xf>
    <xf numFmtId="0" fontId="678" fillId="56" borderId="90" xfId="0" applyFill="true" applyAlignment="true" applyFont="true" applyBorder="true">
      <alignment horizontal="center" vertical="center" wrapText="true"/>
    </xf>
    <xf numFmtId="0" fontId="678" fillId="56" borderId="207" xfId="0" applyFill="true" applyAlignment="true" applyFont="true" applyBorder="true">
      <alignment horizontal="center" vertical="center" wrapText="true"/>
    </xf>
    <xf numFmtId="0" fontId="678" fillId="56" borderId="207" xfId="0" applyFill="true" applyAlignment="true" applyFont="true" applyBorder="true">
      <alignment horizontal="center" vertical="center" wrapText="true"/>
    </xf>
    <xf numFmtId="0" fontId="678" fillId="56" borderId="95" xfId="0" applyFill="true" applyAlignment="true" applyFont="true" applyBorder="true">
      <alignment horizontal="center" vertical="center" wrapText="true"/>
    </xf>
    <xf numFmtId="0" fontId="679" fillId="46" borderId="0" xfId="0" applyFill="true" applyAlignment="true" applyFont="true">
      <alignment horizontal="center" vertical="center" wrapText="true"/>
    </xf>
    <xf numFmtId="0" fontId="680" fillId="42" borderId="0" xfId="0" applyFill="true" applyAlignment="true" applyFont="true">
      <alignment horizontal="center" vertical="center" wrapText="true"/>
    </xf>
    <xf numFmtId="0" fontId="681" fillId="42" borderId="35" xfId="0" applyFill="true" applyAlignment="true" applyBorder="true" applyFont="true">
      <alignment horizontal="center" vertical="center" wrapText="true"/>
    </xf>
    <xf numFmtId="0" fontId="682" fillId="46" borderId="35" xfId="0" applyFill="true" applyAlignment="true" applyBorder="true" applyFont="true">
      <alignment horizontal="center" vertical="center" wrapText="true"/>
    </xf>
    <xf numFmtId="0" fontId="683" fillId="46" borderId="35" xfId="0" applyFill="true" applyAlignment="true" applyBorder="true" applyFont="true">
      <alignment horizontal="center" vertical="center" wrapText="true"/>
    </xf>
    <xf numFmtId="0" fontId="684" fillId="46" borderId="35" xfId="0" applyFill="true" applyAlignment="true" applyBorder="true" applyFont="true">
      <alignment horizontal="center" vertical="center" wrapText="true"/>
    </xf>
    <xf numFmtId="0" fontId="685" fillId="46" borderId="35" xfId="0" applyFill="true" applyAlignment="true" applyBorder="true" applyFont="true">
      <alignment horizontal="center" vertical="center" wrapText="true"/>
    </xf>
    <xf numFmtId="0" fontId="686" fillId="46" borderId="35" xfId="0" applyFill="true" applyAlignment="true" applyBorder="true" applyFont="true">
      <alignment horizontal="center" vertical="center" wrapText="true"/>
    </xf>
    <xf numFmtId="0" fontId="687" fillId="46" borderId="35" xfId="0" applyFill="true" applyAlignment="true" applyBorder="true" applyFont="true">
      <alignment horizontal="center" vertical="center" wrapText="true"/>
    </xf>
    <xf numFmtId="0" fontId="688" fillId="28" borderId="35" xfId="0" applyFill="true" applyAlignment="true" applyBorder="true" applyFont="true">
      <alignment horizontal="center" vertical="center" wrapText="true"/>
    </xf>
    <xf numFmtId="0" fontId="689" fillId="28" borderId="35" xfId="0" applyFill="true" applyAlignment="true" applyBorder="true" applyFont="true">
      <alignment horizontal="center" vertical="center" wrapText="true"/>
    </xf>
    <xf numFmtId="0" fontId="690" fillId="28" borderId="35" xfId="0" applyFill="true" applyAlignment="true" applyBorder="true" applyFont="true">
      <alignment horizontal="center" vertical="center" wrapText="true"/>
    </xf>
    <xf numFmtId="0" fontId="691" fillId="28" borderId="35" xfId="0" applyFill="true" applyAlignment="true" applyBorder="true" applyFont="true">
      <alignment horizontal="center" vertical="center" wrapText="true"/>
    </xf>
    <xf numFmtId="0" fontId="692" fillId="28" borderId="35" xfId="0" applyFill="true" applyAlignment="true" applyBorder="true" applyFont="true">
      <alignment horizontal="center" vertical="center" wrapText="true"/>
    </xf>
    <xf numFmtId="0" fontId="693" fillId="28" borderId="35" xfId="0" applyFill="true" applyAlignment="true" applyBorder="true" applyFont="true">
      <alignment horizontal="center" vertical="center" wrapText="true"/>
    </xf>
    <xf numFmtId="0" fontId="694" fillId="28" borderId="35" xfId="0" applyFill="true" applyAlignment="true" applyBorder="true" applyFont="true">
      <alignment horizontal="center" vertical="center" wrapText="true"/>
    </xf>
    <xf numFmtId="0" fontId="695" fillId="28" borderId="35" xfId="0" applyFill="true" applyAlignment="true" applyBorder="true" applyFont="true">
      <alignment horizontal="center" vertical="center" wrapText="true"/>
    </xf>
    <xf numFmtId="0" fontId="696" fillId="28" borderId="35" xfId="0" applyFill="true" applyAlignment="true" applyBorder="true" applyFont="true">
      <alignment horizontal="center" vertical="center" wrapText="true"/>
    </xf>
    <xf numFmtId="0" fontId="697" fillId="28" borderId="35" xfId="0" applyFill="true" applyAlignment="true" applyBorder="true" applyFont="true">
      <alignment horizontal="center" vertical="center" wrapText="true"/>
    </xf>
    <xf numFmtId="0" fontId="698" fillId="46" borderId="35" xfId="0" applyFill="true" applyAlignment="true" applyBorder="true" applyFont="true">
      <alignment horizontal="center" vertical="center" wrapText="true"/>
    </xf>
    <xf numFmtId="0" fontId="699" fillId="46" borderId="35" xfId="0" applyFill="true" applyAlignment="true" applyBorder="true" applyFont="true">
      <alignment horizontal="center" vertical="center" wrapText="true"/>
    </xf>
    <xf numFmtId="0" fontId="700" fillId="46" borderId="35" xfId="0" applyFill="true" applyAlignment="true" applyBorder="true" applyFont="true">
      <alignment horizontal="center" vertical="center" wrapText="true"/>
    </xf>
    <xf numFmtId="0" fontId="701" fillId="28" borderId="35" xfId="0" applyFill="true" applyAlignment="true" applyBorder="true" applyFont="true">
      <alignment horizontal="center" vertical="center" wrapText="true"/>
    </xf>
    <xf numFmtId="0" fontId="702" fillId="28" borderId="35" xfId="0" applyFill="true" applyAlignment="true" applyBorder="true" applyFont="true">
      <alignment horizontal="center" vertical="center" wrapText="true"/>
    </xf>
    <xf numFmtId="0" fontId="703" fillId="20" borderId="17" xfId="0" applyFill="true" applyAlignment="true" applyBorder="true" applyFont="true">
      <alignment horizontal="center" vertical="center"/>
    </xf>
    <xf numFmtId="0" fontId="704" fillId="22" borderId="19" xfId="0" applyFill="true" applyAlignment="true" applyBorder="true" applyFont="true">
      <alignment horizontal="center" vertical="center" wrapText="true"/>
    </xf>
    <xf numFmtId="0" fontId="704" fillId="23" borderId="19" xfId="0" applyFill="true" applyAlignment="true" applyBorder="true" applyFont="true">
      <alignment horizontal="center" vertical="center" wrapText="true"/>
    </xf>
    <xf numFmtId="0" fontId="704" fillId="24" borderId="19" xfId="0" applyFill="true" applyAlignment="true" applyBorder="true" applyFont="true">
      <alignment horizontal="center" vertical="center" wrapText="true"/>
    </xf>
    <xf numFmtId="0" fontId="704" fillId="51" borderId="19" xfId="0" applyFill="true" applyAlignment="true" applyBorder="true" applyFont="true">
      <alignment horizontal="center" vertical="center" wrapText="true"/>
    </xf>
    <xf numFmtId="0" fontId="704" fillId="25" borderId="19" xfId="0" applyFill="true" applyAlignment="true" applyBorder="true" applyFont="true">
      <alignment horizontal="center" vertical="center" wrapText="true"/>
    </xf>
    <xf numFmtId="0" fontId="704" fillId="53" borderId="19" xfId="0" applyFill="true" applyAlignment="true" applyBorder="true" applyFont="true">
      <alignment horizontal="center" vertical="center" wrapText="true"/>
    </xf>
    <xf numFmtId="0" fontId="704" fillId="54" borderId="19" xfId="0" applyFill="true" applyAlignment="true" applyBorder="true" applyFont="true">
      <alignment horizontal="center" vertical="center" wrapText="true"/>
    </xf>
    <xf numFmtId="0" fontId="704" fillId="26" borderId="19" xfId="0" applyFill="true" applyAlignment="true" applyBorder="true" applyFont="true">
      <alignment horizontal="center" vertical="center" wrapText="true"/>
    </xf>
    <xf numFmtId="49" fontId="705" fillId="28" borderId="27" xfId="0" applyNumberFormat="true" applyAlignment="true" applyFill="true" applyBorder="true" applyFont="true">
      <alignment horizontal="left" vertical="center" wrapText="false"/>
    </xf>
    <xf numFmtId="49" fontId="706" fillId="28" borderId="27" xfId="0" applyNumberFormat="true" applyAlignment="true" applyFill="true" applyBorder="true" applyFont="true">
      <alignment horizontal="left" vertical="center" wrapText="false"/>
    </xf>
    <xf numFmtId="49" fontId="708" fillId="30" borderId="27" xfId="0" applyNumberFormat="true" applyAlignment="true" applyFill="true" applyBorder="true" applyFont="true">
      <alignment horizontal="left" vertical="center" wrapText="false"/>
    </xf>
    <xf numFmtId="49" fontId="710" fillId="32" borderId="27" xfId="0" applyNumberFormat="true" applyAlignment="true" applyFill="true" applyBorder="true" applyFont="true">
      <alignment horizontal="left" vertical="center" wrapText="false"/>
    </xf>
    <xf numFmtId="164" fontId="705" fillId="28" borderId="27" xfId="0" applyNumberFormat="true" applyAlignment="true" applyFill="true" applyBorder="true" applyFont="true">
      <alignment horizontal="left" vertical="center" wrapText="false"/>
    </xf>
    <xf numFmtId="49" fontId="711" fillId="34" borderId="27" xfId="0" applyNumberFormat="true" applyAlignment="true" applyFill="true" applyBorder="true" applyFont="true">
      <alignment horizontal="left" vertical="center" wrapText="false"/>
    </xf>
    <xf numFmtId="49" fontId="712" fillId="34" borderId="27" xfId="0" applyNumberFormat="true" applyAlignment="true" applyFill="true" applyBorder="true" applyFont="true">
      <alignment horizontal="left" vertical="center" wrapText="false"/>
    </xf>
    <xf numFmtId="49" fontId="714" fillId="36" borderId="27" xfId="0" applyNumberFormat="true" applyAlignment="true" applyFill="true" applyBorder="true" applyFont="true">
      <alignment horizontal="left" vertical="center" wrapText="false"/>
    </xf>
    <xf numFmtId="49" fontId="716" fillId="38" borderId="27" xfId="0" applyNumberFormat="true" applyAlignment="true" applyFill="true" applyBorder="true" applyFont="true">
      <alignment horizontal="left" vertical="center" wrapText="false"/>
    </xf>
    <xf numFmtId="164" fontId="711" fillId="34" borderId="27" xfId="0" applyNumberFormat="true" applyAlignment="true" applyFill="true" applyBorder="true" applyFont="true">
      <alignment horizontal="left" vertical="center" wrapText="false"/>
    </xf>
    <xf numFmtId="49" fontId="717" fillId="28" borderId="27" xfId="0" applyNumberFormat="true" applyAlignment="true" applyFill="true" applyBorder="true" applyFont="true">
      <alignment horizontal="left" vertical="center" wrapText="false"/>
    </xf>
    <xf numFmtId="49" fontId="0" fillId="40" borderId="31" xfId="0" applyNumberFormat="true" applyFill="true" applyBorder="true"/>
    <xf numFmtId="49" fontId="718" fillId="28" borderId="27" xfId="0" applyNumberFormat="true" applyAlignment="true" applyFill="true" applyBorder="true" applyFont="true">
      <alignment horizontal="left" vertical="center" wrapText="false"/>
    </xf>
    <xf numFmtId="49" fontId="719" fillId="28" borderId="27" xfId="0" applyNumberFormat="true" applyAlignment="true" applyFill="true" applyBorder="true" applyFont="true">
      <alignment horizontal="left" vertical="center" wrapText="false"/>
    </xf>
    <xf numFmtId="49" fontId="721" fillId="30" borderId="27" xfId="0" applyNumberFormat="true" applyAlignment="true" applyFill="true" applyBorder="true" applyFont="true">
      <alignment horizontal="left" vertical="center" wrapText="false"/>
    </xf>
    <xf numFmtId="49" fontId="723" fillId="32" borderId="27" xfId="0" applyNumberFormat="true" applyAlignment="true" applyFill="true" applyBorder="true" applyFont="true">
      <alignment horizontal="left" vertical="center" wrapText="false"/>
    </xf>
    <xf numFmtId="164" fontId="718" fillId="28" borderId="27" xfId="0" applyNumberFormat="true" applyAlignment="true" applyFill="true" applyBorder="true" applyFont="true">
      <alignment horizontal="left" vertical="center" wrapText="false"/>
    </xf>
    <xf numFmtId="49" fontId="724" fillId="34" borderId="27" xfId="0" applyNumberFormat="true" applyAlignment="true" applyFill="true" applyBorder="true" applyFont="true">
      <alignment horizontal="left" vertical="center" wrapText="false"/>
    </xf>
    <xf numFmtId="49" fontId="725" fillId="34" borderId="27" xfId="0" applyNumberFormat="true" applyAlignment="true" applyFill="true" applyBorder="true" applyFont="true">
      <alignment horizontal="left" vertical="center" wrapText="false"/>
    </xf>
    <xf numFmtId="49" fontId="727" fillId="36" borderId="27" xfId="0" applyNumberFormat="true" applyAlignment="true" applyFill="true" applyBorder="true" applyFont="true">
      <alignment horizontal="left" vertical="center" wrapText="false"/>
    </xf>
    <xf numFmtId="49" fontId="729" fillId="38" borderId="27" xfId="0" applyNumberFormat="true" applyAlignment="true" applyFill="true" applyBorder="true" applyFont="true">
      <alignment horizontal="left" vertical="center" wrapText="false"/>
    </xf>
    <xf numFmtId="164" fontId="724" fillId="34" borderId="27" xfId="0" applyNumberFormat="true" applyAlignment="true" applyFill="true" applyBorder="true" applyFont="true">
      <alignment horizontal="left" vertical="center" wrapText="false"/>
    </xf>
    <xf numFmtId="49" fontId="730" fillId="28" borderId="27" xfId="0" applyNumberFormat="true" applyAlignment="true" applyFill="true" applyBorder="true" applyFont="true">
      <alignment horizontal="left" vertical="center" wrapText="false"/>
    </xf>
    <xf numFmtId="49" fontId="731" fillId="28" borderId="27" xfId="0" applyNumberFormat="true" applyAlignment="true" applyFill="true" applyBorder="true" applyFont="true">
      <alignment horizontal="left" vertical="center" wrapText="false"/>
    </xf>
    <xf numFmtId="49" fontId="733" fillId="30" borderId="27" xfId="0" applyNumberFormat="true" applyAlignment="true" applyFill="true" applyBorder="true" applyFont="true">
      <alignment horizontal="left" vertical="center" wrapText="false"/>
    </xf>
    <xf numFmtId="49" fontId="735" fillId="32" borderId="27" xfId="0" applyNumberFormat="true" applyAlignment="true" applyFill="true" applyBorder="true" applyFont="true">
      <alignment horizontal="left" vertical="center" wrapText="false"/>
    </xf>
    <xf numFmtId="164" fontId="730" fillId="28" borderId="27" xfId="0" applyNumberFormat="true" applyAlignment="true" applyFill="true" applyBorder="true" applyFont="true">
      <alignment horizontal="left" vertical="center" wrapText="false"/>
    </xf>
    <xf numFmtId="49" fontId="736" fillId="34" borderId="27" xfId="0" applyNumberFormat="true" applyAlignment="true" applyFill="true" applyBorder="true" applyFont="true">
      <alignment horizontal="left" vertical="center" wrapText="false"/>
    </xf>
    <xf numFmtId="49" fontId="737" fillId="34" borderId="27" xfId="0" applyNumberFormat="true" applyAlignment="true" applyFill="true" applyBorder="true" applyFont="true">
      <alignment horizontal="left" vertical="center" wrapText="false"/>
    </xf>
    <xf numFmtId="49" fontId="739" fillId="36" borderId="27" xfId="0" applyNumberFormat="true" applyAlignment="true" applyFill="true" applyBorder="true" applyFont="true">
      <alignment horizontal="left" vertical="center" wrapText="false"/>
    </xf>
    <xf numFmtId="49" fontId="741" fillId="38" borderId="27" xfId="0" applyNumberFormat="true" applyAlignment="true" applyFill="true" applyBorder="true" applyFont="true">
      <alignment horizontal="left" vertical="center" wrapText="false"/>
    </xf>
    <xf numFmtId="164" fontId="736" fillId="34" borderId="27" xfId="0" applyNumberFormat="true" applyAlignment="true" applyFill="true" applyBorder="true" applyFont="true">
      <alignment horizontal="left" vertical="center" wrapText="false"/>
    </xf>
    <xf numFmtId="49" fontId="742" fillId="28" borderId="27" xfId="0" applyNumberFormat="true" applyAlignment="true" applyFill="true" applyBorder="true" applyFont="true">
      <alignment horizontal="left" vertical="center" wrapText="false"/>
    </xf>
    <xf numFmtId="49" fontId="743" fillId="28" borderId="27" xfId="0" applyNumberFormat="true" applyAlignment="true" applyFill="true" applyBorder="true" applyFont="true">
      <alignment horizontal="left" vertical="center" wrapText="false"/>
    </xf>
    <xf numFmtId="49" fontId="745" fillId="30" borderId="27" xfId="0" applyNumberFormat="true" applyAlignment="true" applyFill="true" applyBorder="true" applyFont="true">
      <alignment horizontal="left" vertical="center" wrapText="false"/>
    </xf>
    <xf numFmtId="49" fontId="747" fillId="32" borderId="27" xfId="0" applyNumberFormat="true" applyAlignment="true" applyFill="true" applyBorder="true" applyFont="true">
      <alignment horizontal="left" vertical="center" wrapText="false"/>
    </xf>
    <xf numFmtId="164" fontId="742" fillId="28" borderId="27" xfId="0" applyNumberFormat="true" applyAlignment="true" applyFill="true" applyBorder="true" applyFont="true">
      <alignment horizontal="left" vertical="center" wrapText="false"/>
    </xf>
    <xf numFmtId="49" fontId="748" fillId="34" borderId="27" xfId="0" applyNumberFormat="true" applyAlignment="true" applyFill="true" applyBorder="true" applyFont="true">
      <alignment horizontal="left" vertical="center" wrapText="false"/>
    </xf>
    <xf numFmtId="49" fontId="749" fillId="34" borderId="27" xfId="0" applyNumberFormat="true" applyAlignment="true" applyFill="true" applyBorder="true" applyFont="true">
      <alignment horizontal="left" vertical="center" wrapText="false"/>
    </xf>
    <xf numFmtId="49" fontId="751" fillId="36" borderId="27" xfId="0" applyNumberFormat="true" applyAlignment="true" applyFill="true" applyBorder="true" applyFont="true">
      <alignment horizontal="left" vertical="center" wrapText="false"/>
    </xf>
    <xf numFmtId="49" fontId="753" fillId="38" borderId="27" xfId="0" applyNumberFormat="true" applyAlignment="true" applyFill="true" applyBorder="true" applyFont="true">
      <alignment horizontal="left" vertical="center" wrapText="false"/>
    </xf>
    <xf numFmtId="164" fontId="748" fillId="34" borderId="27" xfId="0" applyNumberFormat="true" applyAlignment="true" applyFill="true" applyBorder="true" applyFont="true">
      <alignment horizontal="left" vertical="center" wrapText="false"/>
    </xf>
    <xf numFmtId="49" fontId="754" fillId="28" borderId="27" xfId="0" applyNumberFormat="true" applyAlignment="true" applyFill="true" applyBorder="true" applyFont="true">
      <alignment horizontal="left" vertical="center" wrapText="false"/>
    </xf>
    <xf numFmtId="49" fontId="755" fillId="28" borderId="27" xfId="0" applyNumberFormat="true" applyAlignment="true" applyFill="true" applyBorder="true" applyFont="true">
      <alignment horizontal="left" vertical="center" wrapText="false"/>
    </xf>
    <xf numFmtId="49" fontId="757" fillId="30" borderId="27" xfId="0" applyNumberFormat="true" applyAlignment="true" applyFill="true" applyBorder="true" applyFont="true">
      <alignment horizontal="left" vertical="center" wrapText="false"/>
    </xf>
    <xf numFmtId="49" fontId="759" fillId="32" borderId="27" xfId="0" applyNumberFormat="true" applyAlignment="true" applyFill="true" applyBorder="true" applyFont="true">
      <alignment horizontal="left" vertical="center" wrapText="false"/>
    </xf>
    <xf numFmtId="164" fontId="754" fillId="28" borderId="27" xfId="0" applyNumberFormat="true" applyAlignment="true" applyFill="true" applyBorder="true" applyFont="true">
      <alignment horizontal="left" vertical="center" wrapText="false"/>
    </xf>
    <xf numFmtId="49" fontId="760" fillId="34" borderId="27" xfId="0" applyNumberFormat="true" applyAlignment="true" applyFill="true" applyBorder="true" applyFont="true">
      <alignment horizontal="left" vertical="center" wrapText="false"/>
    </xf>
    <xf numFmtId="49" fontId="761" fillId="34" borderId="27" xfId="0" applyNumberFormat="true" applyAlignment="true" applyFill="true" applyBorder="true" applyFont="true">
      <alignment horizontal="left" vertical="center" wrapText="false"/>
    </xf>
    <xf numFmtId="49" fontId="763" fillId="36" borderId="27" xfId="0" applyNumberFormat="true" applyAlignment="true" applyFill="true" applyBorder="true" applyFont="true">
      <alignment horizontal="left" vertical="center" wrapText="false"/>
    </xf>
    <xf numFmtId="49" fontId="765" fillId="38" borderId="27" xfId="0" applyNumberFormat="true" applyAlignment="true" applyFill="true" applyBorder="true" applyFont="true">
      <alignment horizontal="left" vertical="center" wrapText="false"/>
    </xf>
    <xf numFmtId="164" fontId="760" fillId="34" borderId="27" xfId="0" applyNumberFormat="true" applyAlignment="true" applyFill="true" applyBorder="true" applyFont="true">
      <alignment horizontal="left" vertical="center" wrapText="false"/>
    </xf>
    <xf numFmtId="49" fontId="766" fillId="28" borderId="27" xfId="0" applyNumberFormat="true" applyAlignment="true" applyFill="true" applyBorder="true" applyFont="true">
      <alignment horizontal="left" vertical="center" wrapText="false"/>
    </xf>
    <xf numFmtId="49" fontId="767" fillId="28" borderId="27" xfId="0" applyNumberFormat="true" applyAlignment="true" applyFill="true" applyBorder="true" applyFont="true">
      <alignment horizontal="left" vertical="center" wrapText="false"/>
    </xf>
    <xf numFmtId="49" fontId="769" fillId="30" borderId="27" xfId="0" applyNumberFormat="true" applyAlignment="true" applyFill="true" applyBorder="true" applyFont="true">
      <alignment horizontal="left" vertical="center" wrapText="false"/>
    </xf>
    <xf numFmtId="49" fontId="771" fillId="32" borderId="27" xfId="0" applyNumberFormat="true" applyAlignment="true" applyFill="true" applyBorder="true" applyFont="true">
      <alignment horizontal="left" vertical="center" wrapText="false"/>
    </xf>
    <xf numFmtId="164" fontId="766" fillId="28" borderId="27" xfId="0" applyNumberFormat="true" applyAlignment="true" applyFill="true" applyBorder="true" applyFont="true">
      <alignment horizontal="left" vertical="center" wrapText="false"/>
    </xf>
    <xf numFmtId="49" fontId="772" fillId="34" borderId="27" xfId="0" applyNumberFormat="true" applyAlignment="true" applyFill="true" applyBorder="true" applyFont="true">
      <alignment horizontal="left" vertical="center" wrapText="false"/>
    </xf>
    <xf numFmtId="49" fontId="773" fillId="34" borderId="27" xfId="0" applyNumberFormat="true" applyAlignment="true" applyFill="true" applyBorder="true" applyFont="true">
      <alignment horizontal="left" vertical="center" wrapText="false"/>
    </xf>
    <xf numFmtId="49" fontId="775" fillId="36" borderId="27" xfId="0" applyNumberFormat="true" applyAlignment="true" applyFill="true" applyBorder="true" applyFont="true">
      <alignment horizontal="left" vertical="center" wrapText="false"/>
    </xf>
    <xf numFmtId="49" fontId="777" fillId="38" borderId="27" xfId="0" applyNumberFormat="true" applyAlignment="true" applyFill="true" applyBorder="true" applyFont="true">
      <alignment horizontal="left" vertical="center" wrapText="false"/>
    </xf>
    <xf numFmtId="164" fontId="772" fillId="34" borderId="27" xfId="0" applyNumberFormat="true" applyAlignment="true" applyFill="true" applyBorder="true" applyFont="true">
      <alignment horizontal="left" vertical="center" wrapText="false"/>
    </xf>
    <xf numFmtId="49" fontId="778" fillId="28" borderId="27" xfId="0" applyNumberFormat="true" applyAlignment="true" applyFill="true" applyBorder="true" applyFont="true">
      <alignment horizontal="left" vertical="center" wrapText="false"/>
    </xf>
    <xf numFmtId="49" fontId="779" fillId="28" borderId="27" xfId="0" applyNumberFormat="true" applyAlignment="true" applyFill="true" applyBorder="true" applyFont="true">
      <alignment horizontal="left" vertical="center" wrapText="false"/>
    </xf>
    <xf numFmtId="49" fontId="781" fillId="30" borderId="27" xfId="0" applyNumberFormat="true" applyAlignment="true" applyFill="true" applyBorder="true" applyFont="true">
      <alignment horizontal="left" vertical="center" wrapText="false"/>
    </xf>
    <xf numFmtId="49" fontId="783" fillId="32" borderId="27" xfId="0" applyNumberFormat="true" applyAlignment="true" applyFill="true" applyBorder="true" applyFont="true">
      <alignment horizontal="left" vertical="center" wrapText="false"/>
    </xf>
    <xf numFmtId="164" fontId="778" fillId="28" borderId="27" xfId="0" applyNumberFormat="true" applyAlignment="true" applyFill="true" applyBorder="true" applyFont="true">
      <alignment horizontal="left" vertical="center" wrapText="false"/>
    </xf>
    <xf numFmtId="49" fontId="784" fillId="34" borderId="27" xfId="0" applyNumberFormat="true" applyAlignment="true" applyFill="true" applyBorder="true" applyFont="true">
      <alignment horizontal="left" vertical="center" wrapText="false"/>
    </xf>
    <xf numFmtId="49" fontId="785" fillId="34" borderId="27" xfId="0" applyNumberFormat="true" applyAlignment="true" applyFill="true" applyBorder="true" applyFont="true">
      <alignment horizontal="left" vertical="center" wrapText="false"/>
    </xf>
    <xf numFmtId="49" fontId="787" fillId="36" borderId="27" xfId="0" applyNumberFormat="true" applyAlignment="true" applyFill="true" applyBorder="true" applyFont="true">
      <alignment horizontal="left" vertical="center" wrapText="false"/>
    </xf>
    <xf numFmtId="49" fontId="789" fillId="38" borderId="27" xfId="0" applyNumberFormat="true" applyAlignment="true" applyFill="true" applyBorder="true" applyFont="true">
      <alignment horizontal="left" vertical="center" wrapText="false"/>
    </xf>
    <xf numFmtId="164" fontId="784" fillId="34" borderId="27" xfId="0" applyNumberFormat="true" applyAlignment="true" applyFill="true" applyBorder="true" applyFont="true">
      <alignment horizontal="left" vertical="center" wrapText="false"/>
    </xf>
    <xf numFmtId="49" fontId="790" fillId="28" borderId="27" xfId="0" applyNumberFormat="true" applyAlignment="true" applyFill="true" applyBorder="true" applyFont="true">
      <alignment horizontal="left" vertical="center" wrapText="false"/>
    </xf>
    <xf numFmtId="49" fontId="791" fillId="28" borderId="27" xfId="0" applyNumberFormat="true" applyAlignment="true" applyFill="true" applyBorder="true" applyFont="true">
      <alignment horizontal="left" vertical="center" wrapText="false"/>
    </xf>
    <xf numFmtId="49" fontId="793" fillId="30" borderId="27" xfId="0" applyNumberFormat="true" applyAlignment="true" applyFill="true" applyBorder="true" applyFont="true">
      <alignment horizontal="left" vertical="center" wrapText="false"/>
    </xf>
    <xf numFmtId="49" fontId="795" fillId="32" borderId="27" xfId="0" applyNumberFormat="true" applyAlignment="true" applyFill="true" applyBorder="true" applyFont="true">
      <alignment horizontal="left" vertical="center" wrapText="false"/>
    </xf>
    <xf numFmtId="164" fontId="790" fillId="28" borderId="27" xfId="0" applyNumberFormat="true" applyAlignment="true" applyFill="true" applyBorder="true" applyFont="true">
      <alignment horizontal="left" vertical="center" wrapText="false"/>
    </xf>
    <xf numFmtId="49" fontId="796" fillId="34" borderId="27" xfId="0" applyNumberFormat="true" applyAlignment="true" applyFill="true" applyBorder="true" applyFont="true">
      <alignment horizontal="left" vertical="center" wrapText="false"/>
    </xf>
    <xf numFmtId="49" fontId="797" fillId="34" borderId="27" xfId="0" applyNumberFormat="true" applyAlignment="true" applyFill="true" applyBorder="true" applyFont="true">
      <alignment horizontal="left" vertical="center" wrapText="false"/>
    </xf>
    <xf numFmtId="49" fontId="799" fillId="36" borderId="27" xfId="0" applyNumberFormat="true" applyAlignment="true" applyFill="true" applyBorder="true" applyFont="true">
      <alignment horizontal="left" vertical="center" wrapText="false"/>
    </xf>
    <xf numFmtId="49" fontId="801" fillId="38" borderId="27" xfId="0" applyNumberFormat="true" applyAlignment="true" applyFill="true" applyBorder="true" applyFont="true">
      <alignment horizontal="left" vertical="center" wrapText="false"/>
    </xf>
    <xf numFmtId="164" fontId="796" fillId="34" borderId="27" xfId="0" applyNumberFormat="true" applyAlignment="true" applyFill="true" applyBorder="true" applyFont="true">
      <alignment horizontal="left" vertical="center" wrapText="false"/>
    </xf>
    <xf numFmtId="49" fontId="802" fillId="28" borderId="27" xfId="0" applyNumberFormat="true" applyAlignment="true" applyFill="true" applyBorder="true" applyFont="true">
      <alignment horizontal="left" vertical="center" wrapText="false"/>
    </xf>
    <xf numFmtId="49" fontId="803" fillId="28" borderId="27" xfId="0" applyNumberFormat="true" applyAlignment="true" applyFill="true" applyBorder="true" applyFont="true">
      <alignment horizontal="left" vertical="center" wrapText="false"/>
    </xf>
    <xf numFmtId="49" fontId="805" fillId="30" borderId="27" xfId="0" applyNumberFormat="true" applyAlignment="true" applyFill="true" applyBorder="true" applyFont="true">
      <alignment horizontal="left" vertical="center" wrapText="false"/>
    </xf>
    <xf numFmtId="49" fontId="807" fillId="32" borderId="27" xfId="0" applyNumberFormat="true" applyAlignment="true" applyFill="true" applyBorder="true" applyFont="true">
      <alignment horizontal="left" vertical="center" wrapText="false"/>
    </xf>
    <xf numFmtId="164" fontId="802" fillId="28" borderId="27" xfId="0" applyNumberFormat="true" applyAlignment="true" applyFill="true" applyBorder="true" applyFont="true">
      <alignment horizontal="left" vertical="center" wrapText="false"/>
    </xf>
    <xf numFmtId="49" fontId="808" fillId="34" borderId="27" xfId="0" applyNumberFormat="true" applyAlignment="true" applyFill="true" applyBorder="true" applyFont="true">
      <alignment horizontal="left" vertical="center" wrapText="false"/>
    </xf>
    <xf numFmtId="49" fontId="809" fillId="34" borderId="27" xfId="0" applyNumberFormat="true" applyAlignment="true" applyFill="true" applyBorder="true" applyFont="true">
      <alignment horizontal="left" vertical="center" wrapText="false"/>
    </xf>
    <xf numFmtId="49" fontId="811" fillId="36" borderId="27" xfId="0" applyNumberFormat="true" applyAlignment="true" applyFill="true" applyBorder="true" applyFont="true">
      <alignment horizontal="left" vertical="center" wrapText="false"/>
    </xf>
    <xf numFmtId="49" fontId="813" fillId="38" borderId="27" xfId="0" applyNumberFormat="true" applyAlignment="true" applyFill="true" applyBorder="true" applyFont="true">
      <alignment horizontal="left" vertical="center" wrapText="false"/>
    </xf>
    <xf numFmtId="164" fontId="808" fillId="34" borderId="27" xfId="0" applyNumberFormat="true" applyAlignment="true" applyFill="true" applyBorder="true" applyFont="true">
      <alignment horizontal="left" vertical="center" wrapText="false"/>
    </xf>
    <xf numFmtId="0" fontId="814" fillId="58" borderId="0" xfId="0" applyFill="true" applyAlignment="true" applyFont="true">
      <alignment horizontal="center" vertical="center"/>
    </xf>
    <xf numFmtId="0" fontId="815" fillId="42" borderId="0" xfId="0" applyFill="true" applyAlignment="true" applyFont="true">
      <alignment horizontal="center" vertical="center"/>
    </xf>
    <xf numFmtId="0" fontId="816" fillId="56" borderId="0" xfId="0" applyFill="true" applyAlignment="true" applyFont="true">
      <alignment horizontal="center" vertical="center" wrapText="true"/>
    </xf>
    <xf numFmtId="0" fontId="816" fillId="56" borderId="41" xfId="0" applyFill="true" applyAlignment="true" applyFont="true" applyBorder="true">
      <alignment horizontal="center" vertical="center" wrapText="true"/>
    </xf>
    <xf numFmtId="0" fontId="816" fillId="56" borderId="46" xfId="0" applyFill="true" applyAlignment="true" applyFont="true" applyBorder="true">
      <alignment horizontal="center" vertical="center" wrapText="true"/>
    </xf>
    <xf numFmtId="0" fontId="816" fillId="56" borderId="51" xfId="0" applyFill="true" applyAlignment="true" applyFont="true" applyBorder="true">
      <alignment horizontal="center" vertical="center" wrapText="true"/>
    </xf>
    <xf numFmtId="0" fontId="816" fillId="56" borderId="56" xfId="0" applyFill="true" applyAlignment="true" applyFont="true" applyBorder="true">
      <alignment horizontal="center" vertical="center" wrapText="true"/>
    </xf>
    <xf numFmtId="0" fontId="816" fillId="56" borderId="51" xfId="0" applyFill="true" applyAlignment="true" applyFont="true" applyBorder="true">
      <alignment horizontal="center" vertical="center" wrapText="true"/>
    </xf>
    <xf numFmtId="0" fontId="816" fillId="56" borderId="56" xfId="0" applyFill="true" applyAlignment="true" applyFont="true" applyBorder="true">
      <alignment horizontal="center" vertical="center" wrapText="true"/>
    </xf>
    <xf numFmtId="0" fontId="816" fillId="56" borderId="61" xfId="0" applyFill="true" applyAlignment="true" applyFont="true" applyBorder="true">
      <alignment horizontal="center" vertical="center" wrapText="true"/>
    </xf>
    <xf numFmtId="0" fontId="816" fillId="56" borderId="66" xfId="0" applyFill="true" applyAlignment="true" applyFont="true" applyBorder="true">
      <alignment horizontal="center" vertical="center" wrapText="true"/>
    </xf>
    <xf numFmtId="0" fontId="817" fillId="42" borderId="0" xfId="0" applyFill="true" applyAlignment="true" applyFont="true">
      <alignment horizontal="center" vertical="center" wrapText="true"/>
    </xf>
    <xf numFmtId="0" fontId="818" fillId="42" borderId="0" xfId="0" applyFill="true" applyAlignment="true" applyFont="true">
      <alignment horizontal="center" vertical="center" wrapText="true"/>
    </xf>
    <xf numFmtId="0" fontId="819" fillId="56" borderId="0" xfId="0" applyFill="true" applyAlignment="true" applyFont="true">
      <alignment horizontal="center" vertical="center" wrapText="true"/>
    </xf>
    <xf numFmtId="0" fontId="819" fillId="56" borderId="71" xfId="0" applyFill="true" applyAlignment="true" applyFont="true" applyBorder="true">
      <alignment horizontal="center" vertical="center" wrapText="true"/>
    </xf>
    <xf numFmtId="0" fontId="819" fillId="56" borderId="75" xfId="0" applyFill="true" applyAlignment="true" applyFont="true" applyBorder="true">
      <alignment horizontal="center" vertical="center" wrapText="true"/>
    </xf>
    <xf numFmtId="0" fontId="819" fillId="56" borderId="80" xfId="0" applyFill="true" applyAlignment="true" applyFont="true" applyBorder="true">
      <alignment horizontal="center" vertical="center" wrapText="true"/>
    </xf>
    <xf numFmtId="0" fontId="819" fillId="56" borderId="85" xfId="0" applyFill="true" applyAlignment="true" applyFont="true" applyBorder="true">
      <alignment horizontal="center" vertical="center" wrapText="true"/>
    </xf>
    <xf numFmtId="0" fontId="819" fillId="56" borderId="80" xfId="0" applyFill="true" applyAlignment="true" applyFont="true" applyBorder="true">
      <alignment horizontal="center" vertical="center" wrapText="true"/>
    </xf>
    <xf numFmtId="0" fontId="819" fillId="56" borderId="85" xfId="0" applyFill="true" applyAlignment="true" applyFont="true" applyBorder="true">
      <alignment horizontal="center" vertical="center" wrapText="true"/>
    </xf>
    <xf numFmtId="0" fontId="819" fillId="56" borderId="90" xfId="0" applyFill="true" applyAlignment="true" applyFont="true" applyBorder="true">
      <alignment horizontal="center" vertical="center" wrapText="true"/>
    </xf>
    <xf numFmtId="0" fontId="819" fillId="56" borderId="95" xfId="0" applyFill="true" applyAlignment="true" applyFont="true" applyBorder="true">
      <alignment horizontal="center" vertical="center" wrapText="true"/>
    </xf>
    <xf numFmtId="0" fontId="820" fillId="46" borderId="0" xfId="0" applyFill="true" applyAlignment="true" applyFont="true">
      <alignment horizontal="center" vertical="center" wrapText="true"/>
    </xf>
    <xf numFmtId="0" fontId="821" fillId="56" borderId="0" xfId="0" applyFill="true" applyAlignment="true" applyFont="true">
      <alignment horizontal="center" vertical="center" wrapText="true"/>
    </xf>
    <xf numFmtId="0" fontId="822" fillId="44" borderId="0" xfId="0" applyFill="true" applyAlignment="true" applyFont="true">
      <alignment horizontal="center" vertical="center" wrapText="true"/>
    </xf>
    <xf numFmtId="0" fontId="823" fillId="56" borderId="0" xfId="0" applyFill="true" applyAlignment="true" applyFont="true">
      <alignment horizontal="center" vertical="center" wrapText="true"/>
    </xf>
    <xf numFmtId="0" fontId="824" fillId="56" borderId="0" xfId="0" applyFill="true" applyAlignment="true" applyFont="true">
      <alignment horizontal="center" vertical="center" wrapText="true"/>
    </xf>
    <xf numFmtId="0" fontId="825" fillId="56" borderId="0" xfId="0" applyFill="true" applyAlignment="true" applyFont="true">
      <alignment horizontal="center" vertical="center" wrapText="true"/>
    </xf>
    <xf numFmtId="0" fontId="821" fillId="56" borderId="41" xfId="0" applyFill="true" applyAlignment="true" applyFont="true" applyBorder="true">
      <alignment horizontal="center" vertical="center" wrapText="true"/>
    </xf>
    <xf numFmtId="0" fontId="823" fillId="56" borderId="99" xfId="0" applyFill="true" applyAlignment="true" applyFont="true" applyBorder="true">
      <alignment horizontal="center" vertical="center" wrapText="true"/>
    </xf>
    <xf numFmtId="0" fontId="823" fillId="56" borderId="99" xfId="0" applyFill="true" applyAlignment="true" applyFont="true" applyBorder="true">
      <alignment horizontal="center" vertical="center" wrapText="true"/>
    </xf>
    <xf numFmtId="0" fontId="823" fillId="56" borderId="46" xfId="0" applyFill="true" applyAlignment="true" applyFont="true" applyBorder="true">
      <alignment horizontal="center" vertical="center" wrapText="true"/>
    </xf>
    <xf numFmtId="0" fontId="822" fillId="44" borderId="51" xfId="0" applyFill="true" applyAlignment="true" applyFont="true" applyBorder="true">
      <alignment horizontal="center" vertical="center" wrapText="true"/>
    </xf>
    <xf numFmtId="0" fontId="824" fillId="56" borderId="0" xfId="0" applyFill="true" applyAlignment="true" applyFont="true">
      <alignment horizontal="center" vertical="center" wrapText="true"/>
    </xf>
    <xf numFmtId="0" fontId="824" fillId="56" borderId="0" xfId="0" applyFill="true" applyAlignment="true" applyFont="true">
      <alignment horizontal="center" vertical="center" wrapText="true"/>
    </xf>
    <xf numFmtId="0" fontId="824" fillId="56" borderId="56" xfId="0" applyFill="true" applyAlignment="true" applyFont="true" applyBorder="true">
      <alignment horizontal="center" vertical="center" wrapText="true"/>
    </xf>
    <xf numFmtId="0" fontId="822" fillId="44" borderId="51" xfId="0" applyFill="true" applyAlignment="true" applyFont="true" applyBorder="true">
      <alignment horizontal="center" vertical="center" wrapText="true"/>
    </xf>
    <xf numFmtId="0" fontId="824" fillId="56" borderId="0" xfId="0" applyFill="true" applyAlignment="true" applyFont="true">
      <alignment horizontal="center" vertical="center" wrapText="true"/>
    </xf>
    <xf numFmtId="0" fontId="824" fillId="56" borderId="0" xfId="0" applyFill="true" applyAlignment="true" applyFont="true">
      <alignment horizontal="center" vertical="center" wrapText="true"/>
    </xf>
    <xf numFmtId="0" fontId="824" fillId="56" borderId="56" xfId="0" applyFill="true" applyAlignment="true" applyFont="true" applyBorder="true">
      <alignment horizontal="center" vertical="center" wrapText="true"/>
    </xf>
    <xf numFmtId="0" fontId="822" fillId="44" borderId="51" xfId="0" applyFill="true" applyAlignment="true" applyFont="true" applyBorder="true">
      <alignment horizontal="center" vertical="center" wrapText="true"/>
    </xf>
    <xf numFmtId="0" fontId="825" fillId="56" borderId="0" xfId="0" applyFill="true" applyAlignment="true" applyFont="true">
      <alignment horizontal="center" vertical="center" wrapText="true"/>
    </xf>
    <xf numFmtId="0" fontId="825" fillId="56" borderId="0" xfId="0" applyFill="true" applyAlignment="true" applyFont="true">
      <alignment horizontal="center" vertical="center" wrapText="true"/>
    </xf>
    <xf numFmtId="0" fontId="825" fillId="56" borderId="56" xfId="0" applyFill="true" applyAlignment="true" applyFont="true" applyBorder="true">
      <alignment horizontal="center" vertical="center" wrapText="true"/>
    </xf>
    <xf numFmtId="0" fontId="821" fillId="56" borderId="61" xfId="0" applyFill="true" applyAlignment="true" applyFont="true" applyBorder="true">
      <alignment horizontal="center" vertical="center" wrapText="true"/>
    </xf>
    <xf numFmtId="0" fontId="825" fillId="56" borderId="103" xfId="0" applyFill="true" applyAlignment="true" applyFont="true" applyBorder="true">
      <alignment horizontal="center" vertical="center" wrapText="true"/>
    </xf>
    <xf numFmtId="0" fontId="825" fillId="56" borderId="103" xfId="0" applyFill="true" applyAlignment="true" applyFont="true" applyBorder="true">
      <alignment horizontal="center" vertical="center" wrapText="true"/>
    </xf>
    <xf numFmtId="0" fontId="825" fillId="56" borderId="66" xfId="0" applyFill="true" applyAlignment="true" applyFont="true" applyBorder="true">
      <alignment horizontal="center" vertical="center" wrapText="true"/>
    </xf>
    <xf numFmtId="0" fontId="826" fillId="56" borderId="0" xfId="0" applyFill="true" applyAlignment="true" applyFont="true">
      <alignment horizontal="center" vertical="center" wrapText="true"/>
    </xf>
    <xf numFmtId="0" fontId="827" fillId="44" borderId="0" xfId="0" applyFill="true" applyAlignment="true" applyFont="true">
      <alignment horizontal="center" vertical="center" wrapText="true"/>
    </xf>
    <xf numFmtId="0" fontId="828" fillId="56" borderId="0" xfId="0" applyFill="true" applyAlignment="true" applyFont="true">
      <alignment horizontal="center" vertical="center" wrapText="true"/>
    </xf>
    <xf numFmtId="0" fontId="829" fillId="56" borderId="0" xfId="0" applyFill="true" applyAlignment="true" applyFont="true">
      <alignment horizontal="center" vertical="center" wrapText="true"/>
    </xf>
    <xf numFmtId="0" fontId="830" fillId="56" borderId="0" xfId="0" applyFill="true" applyAlignment="true" applyFont="true">
      <alignment horizontal="center" vertical="center" wrapText="true"/>
    </xf>
    <xf numFmtId="0" fontId="826" fillId="56" borderId="107" xfId="0" applyFill="true" applyAlignment="true" applyFont="true" applyBorder="true">
      <alignment horizontal="center" vertical="center" wrapText="true"/>
    </xf>
    <xf numFmtId="0" fontId="828" fillId="56" borderId="111" xfId="0" applyFill="true" applyAlignment="true" applyFont="true" applyBorder="true">
      <alignment horizontal="center" vertical="center" wrapText="true"/>
    </xf>
    <xf numFmtId="0" fontId="828" fillId="56" borderId="111" xfId="0" applyFill="true" applyAlignment="true" applyFont="true" applyBorder="true">
      <alignment horizontal="center" vertical="center" wrapText="true"/>
    </xf>
    <xf numFmtId="0" fontId="828" fillId="56" borderId="115" xfId="0" applyFill="true" applyAlignment="true" applyFont="true" applyBorder="true">
      <alignment horizontal="center" vertical="center" wrapText="true"/>
    </xf>
    <xf numFmtId="0" fontId="827" fillId="44" borderId="119" xfId="0" applyFill="true" applyAlignment="true" applyFont="true" applyBorder="true">
      <alignment horizontal="center" vertical="center" wrapText="true"/>
    </xf>
    <xf numFmtId="0" fontId="829" fillId="56" borderId="0" xfId="0" applyFill="true" applyAlignment="true" applyFont="true">
      <alignment horizontal="center" vertical="center" wrapText="true"/>
    </xf>
    <xf numFmtId="0" fontId="829" fillId="56" borderId="0" xfId="0" applyFill="true" applyAlignment="true" applyFont="true">
      <alignment horizontal="center" vertical="center" wrapText="true"/>
    </xf>
    <xf numFmtId="0" fontId="829" fillId="56" borderId="123" xfId="0" applyFill="true" applyAlignment="true" applyFont="true" applyBorder="true">
      <alignment horizontal="center" vertical="center" wrapText="true"/>
    </xf>
    <xf numFmtId="0" fontId="827" fillId="44" borderId="119" xfId="0" applyFill="true" applyAlignment="true" applyFont="true" applyBorder="true">
      <alignment horizontal="center" vertical="center" wrapText="true"/>
    </xf>
    <xf numFmtId="0" fontId="829" fillId="56" borderId="0" xfId="0" applyFill="true" applyAlignment="true" applyFont="true">
      <alignment horizontal="center" vertical="center" wrapText="true"/>
    </xf>
    <xf numFmtId="0" fontId="829" fillId="56" borderId="0" xfId="0" applyFill="true" applyAlignment="true" applyFont="true">
      <alignment horizontal="center" vertical="center" wrapText="true"/>
    </xf>
    <xf numFmtId="0" fontId="829" fillId="56" borderId="123" xfId="0" applyFill="true" applyAlignment="true" applyFont="true" applyBorder="true">
      <alignment horizontal="center" vertical="center" wrapText="true"/>
    </xf>
    <xf numFmtId="0" fontId="827" fillId="44" borderId="119" xfId="0" applyFill="true" applyAlignment="true" applyFont="true" applyBorder="true">
      <alignment horizontal="center" vertical="center" wrapText="true"/>
    </xf>
    <xf numFmtId="0" fontId="830" fillId="56" borderId="0" xfId="0" applyFill="true" applyAlignment="true" applyFont="true">
      <alignment horizontal="center" vertical="center" wrapText="true"/>
    </xf>
    <xf numFmtId="0" fontId="830" fillId="56" borderId="0" xfId="0" applyFill="true" applyAlignment="true" applyFont="true">
      <alignment horizontal="center" vertical="center" wrapText="true"/>
    </xf>
    <xf numFmtId="0" fontId="830" fillId="56" borderId="123" xfId="0" applyFill="true" applyAlignment="true" applyFont="true" applyBorder="true">
      <alignment horizontal="center" vertical="center" wrapText="true"/>
    </xf>
    <xf numFmtId="0" fontId="826" fillId="56" borderId="127" xfId="0" applyFill="true" applyAlignment="true" applyFont="true" applyBorder="true">
      <alignment horizontal="center" vertical="center" wrapText="true"/>
    </xf>
    <xf numFmtId="0" fontId="830" fillId="56" borderId="131" xfId="0" applyFill="true" applyAlignment="true" applyFont="true" applyBorder="true">
      <alignment horizontal="center" vertical="center" wrapText="true"/>
    </xf>
    <xf numFmtId="0" fontId="830" fillId="56" borderId="131" xfId="0" applyFill="true" applyAlignment="true" applyFont="true" applyBorder="true">
      <alignment horizontal="center" vertical="center" wrapText="true"/>
    </xf>
    <xf numFmtId="0" fontId="830" fillId="56" borderId="135" xfId="0" applyFill="true" applyAlignment="true" applyFont="true" applyBorder="true">
      <alignment horizontal="center" vertical="center" wrapText="true"/>
    </xf>
    <xf numFmtId="0" fontId="831" fillId="56" borderId="0" xfId="0" applyFill="true" applyAlignment="true" applyFont="true">
      <alignment horizontal="center" vertical="center" wrapText="true"/>
    </xf>
    <xf numFmtId="0" fontId="832" fillId="44" borderId="0" xfId="0" applyFill="true" applyAlignment="true" applyFont="true">
      <alignment horizontal="center" vertical="center" wrapText="true"/>
    </xf>
    <xf numFmtId="0" fontId="833" fillId="56" borderId="0" xfId="0" applyFill="true" applyAlignment="true" applyFont="true">
      <alignment horizontal="center" vertical="center" wrapText="true"/>
    </xf>
    <xf numFmtId="0" fontId="834" fillId="56" borderId="0" xfId="0" applyFill="true" applyAlignment="true" applyFont="true">
      <alignment horizontal="center" vertical="center" wrapText="true"/>
    </xf>
    <xf numFmtId="0" fontId="835" fillId="56" borderId="0" xfId="0" applyFill="true" applyAlignment="true" applyFont="true">
      <alignment horizontal="center" vertical="center" wrapText="true"/>
    </xf>
    <xf numFmtId="0" fontId="831" fillId="56" borderId="139" xfId="0" applyFill="true" applyAlignment="true" applyFont="true" applyBorder="true">
      <alignment horizontal="center" vertical="center" wrapText="true"/>
    </xf>
    <xf numFmtId="0" fontId="833" fillId="56" borderId="143" xfId="0" applyFill="true" applyAlignment="true" applyFont="true" applyBorder="true">
      <alignment horizontal="center" vertical="center" wrapText="true"/>
    </xf>
    <xf numFmtId="0" fontId="833" fillId="56" borderId="143" xfId="0" applyFill="true" applyAlignment="true" applyFont="true" applyBorder="true">
      <alignment horizontal="center" vertical="center" wrapText="true"/>
    </xf>
    <xf numFmtId="0" fontId="833" fillId="56" borderId="147" xfId="0" applyFill="true" applyAlignment="true" applyFont="true" applyBorder="true">
      <alignment horizontal="center" vertical="center" wrapText="true"/>
    </xf>
    <xf numFmtId="0" fontId="832" fillId="44" borderId="151" xfId="0" applyFill="true" applyAlignment="true" applyFont="true" applyBorder="true">
      <alignment horizontal="center" vertical="center" wrapText="true"/>
    </xf>
    <xf numFmtId="0" fontId="834" fillId="56" borderId="0" xfId="0" applyFill="true" applyAlignment="true" applyFont="true">
      <alignment horizontal="center" vertical="center" wrapText="true"/>
    </xf>
    <xf numFmtId="0" fontId="834" fillId="56" borderId="0" xfId="0" applyFill="true" applyAlignment="true" applyFont="true">
      <alignment horizontal="center" vertical="center" wrapText="true"/>
    </xf>
    <xf numFmtId="0" fontId="834" fillId="56" borderId="155" xfId="0" applyFill="true" applyAlignment="true" applyFont="true" applyBorder="true">
      <alignment horizontal="center" vertical="center" wrapText="true"/>
    </xf>
    <xf numFmtId="0" fontId="832" fillId="44" borderId="151" xfId="0" applyFill="true" applyAlignment="true" applyFont="true" applyBorder="true">
      <alignment horizontal="center" vertical="center" wrapText="true"/>
    </xf>
    <xf numFmtId="0" fontId="834" fillId="56" borderId="0" xfId="0" applyFill="true" applyAlignment="true" applyFont="true">
      <alignment horizontal="center" vertical="center" wrapText="true"/>
    </xf>
    <xf numFmtId="0" fontId="834" fillId="56" borderId="0" xfId="0" applyFill="true" applyAlignment="true" applyFont="true">
      <alignment horizontal="center" vertical="center" wrapText="true"/>
    </xf>
    <xf numFmtId="0" fontId="834" fillId="56" borderId="155" xfId="0" applyFill="true" applyAlignment="true" applyFont="true" applyBorder="true">
      <alignment horizontal="center" vertical="center" wrapText="true"/>
    </xf>
    <xf numFmtId="0" fontId="832" fillId="44" borderId="151" xfId="0" applyFill="true" applyAlignment="true" applyFont="true" applyBorder="true">
      <alignment horizontal="center" vertical="center" wrapText="true"/>
    </xf>
    <xf numFmtId="0" fontId="835" fillId="56" borderId="0" xfId="0" applyFill="true" applyAlignment="true" applyFont="true">
      <alignment horizontal="center" vertical="center" wrapText="true"/>
    </xf>
    <xf numFmtId="0" fontId="835" fillId="56" borderId="0" xfId="0" applyFill="true" applyAlignment="true" applyFont="true">
      <alignment horizontal="center" vertical="center" wrapText="true"/>
    </xf>
    <xf numFmtId="0" fontId="835" fillId="56" borderId="155" xfId="0" applyFill="true" applyAlignment="true" applyFont="true" applyBorder="true">
      <alignment horizontal="center" vertical="center" wrapText="true"/>
    </xf>
    <xf numFmtId="0" fontId="831" fillId="56" borderId="159" xfId="0" applyFill="true" applyAlignment="true" applyFont="true" applyBorder="true">
      <alignment horizontal="center" vertical="center" wrapText="true"/>
    </xf>
    <xf numFmtId="0" fontId="835" fillId="56" borderId="163" xfId="0" applyFill="true" applyAlignment="true" applyFont="true" applyBorder="true">
      <alignment horizontal="center" vertical="center" wrapText="true"/>
    </xf>
    <xf numFmtId="0" fontId="835" fillId="56" borderId="163" xfId="0" applyFill="true" applyAlignment="true" applyFont="true" applyBorder="true">
      <alignment horizontal="center" vertical="center" wrapText="true"/>
    </xf>
    <xf numFmtId="0" fontId="835" fillId="56" borderId="167" xfId="0" applyFill="true" applyAlignment="true" applyFont="true" applyBorder="true">
      <alignment horizontal="center" vertical="center" wrapText="true"/>
    </xf>
    <xf numFmtId="0" fontId="836" fillId="56" borderId="0" xfId="0" applyFill="true" applyAlignment="true" applyFont="true">
      <alignment horizontal="center" vertical="center" wrapText="true"/>
    </xf>
    <xf numFmtId="0" fontId="837" fillId="44" borderId="0" xfId="0" applyFill="true" applyAlignment="true" applyFont="true">
      <alignment horizontal="center" vertical="center" wrapText="true"/>
    </xf>
    <xf numFmtId="0" fontId="838" fillId="56" borderId="0" xfId="0" applyFill="true" applyAlignment="true" applyFont="true">
      <alignment horizontal="center" vertical="center" wrapText="true"/>
    </xf>
    <xf numFmtId="0" fontId="839" fillId="56" borderId="0" xfId="0" applyFill="true" applyAlignment="true" applyFont="true">
      <alignment horizontal="center" vertical="center" wrapText="true"/>
    </xf>
    <xf numFmtId="0" fontId="840" fillId="56" borderId="0" xfId="0" applyFill="true" applyAlignment="true" applyFont="true">
      <alignment horizontal="center" vertical="center" wrapText="true"/>
    </xf>
    <xf numFmtId="0" fontId="836" fillId="56" borderId="107" xfId="0" applyFill="true" applyAlignment="true" applyFont="true" applyBorder="true">
      <alignment horizontal="center" vertical="center" wrapText="true"/>
    </xf>
    <xf numFmtId="0" fontId="838" fillId="56" borderId="111" xfId="0" applyFill="true" applyAlignment="true" applyFont="true" applyBorder="true">
      <alignment horizontal="center" vertical="center" wrapText="true"/>
    </xf>
    <xf numFmtId="0" fontId="838" fillId="56" borderId="111" xfId="0" applyFill="true" applyAlignment="true" applyFont="true" applyBorder="true">
      <alignment horizontal="center" vertical="center" wrapText="true"/>
    </xf>
    <xf numFmtId="0" fontId="838" fillId="56" borderId="115" xfId="0" applyFill="true" applyAlignment="true" applyFont="true" applyBorder="true">
      <alignment horizontal="center" vertical="center" wrapText="true"/>
    </xf>
    <xf numFmtId="0" fontId="837" fillId="44" borderId="119" xfId="0" applyFill="true" applyAlignment="true" applyFont="true" applyBorder="true">
      <alignment horizontal="center" vertical="center" wrapText="true"/>
    </xf>
    <xf numFmtId="0" fontId="839" fillId="56" borderId="0" xfId="0" applyFill="true" applyAlignment="true" applyFont="true">
      <alignment horizontal="center" vertical="center" wrapText="true"/>
    </xf>
    <xf numFmtId="0" fontId="839" fillId="56" borderId="0" xfId="0" applyFill="true" applyAlignment="true" applyFont="true">
      <alignment horizontal="center" vertical="center" wrapText="true"/>
    </xf>
    <xf numFmtId="0" fontId="839" fillId="56" borderId="123" xfId="0" applyFill="true" applyAlignment="true" applyFont="true" applyBorder="true">
      <alignment horizontal="center" vertical="center" wrapText="true"/>
    </xf>
    <xf numFmtId="0" fontId="837" fillId="44" borderId="119" xfId="0" applyFill="true" applyAlignment="true" applyFont="true" applyBorder="true">
      <alignment horizontal="center" vertical="center" wrapText="true"/>
    </xf>
    <xf numFmtId="0" fontId="839" fillId="56" borderId="0" xfId="0" applyFill="true" applyAlignment="true" applyFont="true">
      <alignment horizontal="center" vertical="center" wrapText="true"/>
    </xf>
    <xf numFmtId="0" fontId="839" fillId="56" borderId="0" xfId="0" applyFill="true" applyAlignment="true" applyFont="true">
      <alignment horizontal="center" vertical="center" wrapText="true"/>
    </xf>
    <xf numFmtId="0" fontId="839" fillId="56" borderId="123" xfId="0" applyFill="true" applyAlignment="true" applyFont="true" applyBorder="true">
      <alignment horizontal="center" vertical="center" wrapText="true"/>
    </xf>
    <xf numFmtId="0" fontId="837" fillId="44" borderId="119" xfId="0" applyFill="true" applyAlignment="true" applyFont="true" applyBorder="true">
      <alignment horizontal="center" vertical="center" wrapText="true"/>
    </xf>
    <xf numFmtId="0" fontId="840" fillId="56" borderId="0" xfId="0" applyFill="true" applyAlignment="true" applyFont="true">
      <alignment horizontal="center" vertical="center" wrapText="true"/>
    </xf>
    <xf numFmtId="0" fontId="840" fillId="56" borderId="0" xfId="0" applyFill="true" applyAlignment="true" applyFont="true">
      <alignment horizontal="center" vertical="center" wrapText="true"/>
    </xf>
    <xf numFmtId="0" fontId="840" fillId="56" borderId="123" xfId="0" applyFill="true" applyAlignment="true" applyFont="true" applyBorder="true">
      <alignment horizontal="center" vertical="center" wrapText="true"/>
    </xf>
    <xf numFmtId="0" fontId="836" fillId="56" borderId="127" xfId="0" applyFill="true" applyAlignment="true" applyFont="true" applyBorder="true">
      <alignment horizontal="center" vertical="center" wrapText="true"/>
    </xf>
    <xf numFmtId="0" fontId="840" fillId="56" borderId="131" xfId="0" applyFill="true" applyAlignment="true" applyFont="true" applyBorder="true">
      <alignment horizontal="center" vertical="center" wrapText="true"/>
    </xf>
    <xf numFmtId="0" fontId="840" fillId="56" borderId="131" xfId="0" applyFill="true" applyAlignment="true" applyFont="true" applyBorder="true">
      <alignment horizontal="center" vertical="center" wrapText="true"/>
    </xf>
    <xf numFmtId="0" fontId="840" fillId="56" borderId="135" xfId="0" applyFill="true" applyAlignment="true" applyFont="true" applyBorder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41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99" xfId="0" applyFill="true" applyAlignment="true" applyFont="true" applyBorder="true">
      <alignment horizontal="center" vertical="center" wrapText="true"/>
    </xf>
    <xf numFmtId="0" fontId="841" fillId="56" borderId="46" xfId="0" applyFill="true" applyAlignment="true" applyFont="true" applyBorder="true">
      <alignment horizontal="center" vertical="center" wrapText="true"/>
    </xf>
    <xf numFmtId="0" fontId="841" fillId="56" borderId="51" xfId="0" applyFill="true" applyAlignment="true" applyFont="true" applyBorder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56" xfId="0" applyFill="true" applyAlignment="true" applyFont="true" applyBorder="true">
      <alignment horizontal="center" vertical="center" wrapText="true"/>
    </xf>
    <xf numFmtId="0" fontId="841" fillId="56" borderId="51" xfId="0" applyFill="true" applyAlignment="true" applyFont="true" applyBorder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56" xfId="0" applyFill="true" applyAlignment="true" applyFont="true" applyBorder="true">
      <alignment horizontal="center" vertical="center" wrapText="true"/>
    </xf>
    <xf numFmtId="0" fontId="841" fillId="56" borderId="51" xfId="0" applyFill="true" applyAlignment="true" applyFont="true" applyBorder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56" xfId="0" applyFill="true" applyAlignment="true" applyFont="true" applyBorder="true">
      <alignment horizontal="center" vertical="center" wrapText="true"/>
    </xf>
    <xf numFmtId="0" fontId="841" fillId="56" borderId="51" xfId="0" applyFill="true" applyAlignment="true" applyFont="true" applyBorder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56" xfId="0" applyFill="true" applyAlignment="true" applyFont="true" applyBorder="true">
      <alignment horizontal="center" vertical="center" wrapText="true"/>
    </xf>
    <xf numFmtId="0" fontId="841" fillId="56" borderId="51" xfId="0" applyFill="true" applyAlignment="true" applyFont="true" applyBorder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56" xfId="0" applyFill="true" applyAlignment="true" applyFont="true" applyBorder="true">
      <alignment horizontal="center" vertical="center" wrapText="true"/>
    </xf>
    <xf numFmtId="0" fontId="841" fillId="56" borderId="51" xfId="0" applyFill="true" applyAlignment="true" applyFont="true" applyBorder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0" xfId="0" applyFill="true" applyAlignment="true" applyFont="true">
      <alignment horizontal="center" vertical="center" wrapText="true"/>
    </xf>
    <xf numFmtId="0" fontId="841" fillId="56" borderId="56" xfId="0" applyFill="true" applyAlignment="true" applyFont="true" applyBorder="true">
      <alignment horizontal="center" vertical="center" wrapText="true"/>
    </xf>
    <xf numFmtId="0" fontId="841" fillId="56" borderId="61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103" xfId="0" applyFill="true" applyAlignment="true" applyFont="true" applyBorder="true">
      <alignment horizontal="center" vertical="center" wrapText="true"/>
    </xf>
    <xf numFmtId="0" fontId="841" fillId="56" borderId="66" xfId="0" applyFill="true" applyAlignment="true" applyFont="true" applyBorder="true">
      <alignment horizontal="center" vertical="center" wrapText="true"/>
    </xf>
    <xf numFmtId="0" fontId="842" fillId="56" borderId="0" xfId="0" applyFill="true" applyAlignment="true" applyFont="true">
      <alignment horizontal="center" vertical="center" wrapText="true"/>
    </xf>
    <xf numFmtId="0" fontId="843" fillId="56" borderId="0" xfId="0" applyFill="true" applyAlignment="true" applyFont="true">
      <alignment horizontal="center" vertical="center" wrapText="true"/>
    </xf>
    <xf numFmtId="0" fontId="844" fillId="46" borderId="0" xfId="0" applyFill="true" applyAlignment="true" applyFont="true">
      <alignment horizontal="center" vertical="center" wrapText="true"/>
    </xf>
    <xf numFmtId="0" fontId="845" fillId="46" borderId="0" xfId="0" applyFill="true" applyAlignment="true" applyFont="true">
      <alignment horizontal="center" vertical="center" wrapText="true"/>
    </xf>
    <xf numFmtId="0" fontId="846" fillId="46" borderId="0" xfId="0" applyFill="true" applyAlignment="true" applyFont="true">
      <alignment horizontal="center" vertical="center" wrapText="true"/>
    </xf>
    <xf numFmtId="0" fontId="847" fillId="46" borderId="0" xfId="0" applyFill="true" applyAlignment="true" applyFont="true">
      <alignment horizontal="center" vertical="center" wrapText="true"/>
    </xf>
    <xf numFmtId="0" fontId="848" fillId="46" borderId="0" xfId="0" applyFill="true" applyAlignment="true" applyFont="true">
      <alignment horizontal="center" vertical="center" wrapText="true"/>
    </xf>
    <xf numFmtId="0" fontId="849" fillId="48" borderId="0" xfId="0" applyFill="true" applyAlignment="true" applyFont="true">
      <alignment horizontal="center" vertical="center" wrapText="true"/>
    </xf>
    <xf numFmtId="164" fontId="849" fillId="48" borderId="0" xfId="0" applyFill="true" applyAlignment="true" applyFont="true" applyNumberForma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41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99" xfId="0" applyFill="true" applyAlignment="true" applyFont="true" applyBorder="true">
      <alignment horizontal="center" vertical="center" wrapText="true"/>
    </xf>
    <xf numFmtId="0" fontId="850" fillId="56" borderId="46" xfId="0" applyFill="true" applyAlignment="true" applyFont="true" applyBorder="true">
      <alignment horizontal="center" vertical="center" wrapText="true"/>
    </xf>
    <xf numFmtId="0" fontId="850" fillId="56" borderId="51" xfId="0" applyFill="true" applyAlignment="true" applyFont="true" applyBorder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56" xfId="0" applyFill="true" applyAlignment="true" applyFont="true" applyBorder="true">
      <alignment horizontal="center" vertical="center" wrapText="true"/>
    </xf>
    <xf numFmtId="0" fontId="850" fillId="56" borderId="51" xfId="0" applyFill="true" applyAlignment="true" applyFont="true" applyBorder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56" xfId="0" applyFill="true" applyAlignment="true" applyFont="true" applyBorder="true">
      <alignment horizontal="center" vertical="center" wrapText="true"/>
    </xf>
    <xf numFmtId="0" fontId="850" fillId="56" borderId="51" xfId="0" applyFill="true" applyAlignment="true" applyFont="true" applyBorder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56" xfId="0" applyFill="true" applyAlignment="true" applyFont="true" applyBorder="true">
      <alignment horizontal="center" vertical="center" wrapText="true"/>
    </xf>
    <xf numFmtId="0" fontId="850" fillId="56" borderId="51" xfId="0" applyFill="true" applyAlignment="true" applyFont="true" applyBorder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56" xfId="0" applyFill="true" applyAlignment="true" applyFont="true" applyBorder="true">
      <alignment horizontal="center" vertical="center" wrapText="true"/>
    </xf>
    <xf numFmtId="0" fontId="850" fillId="56" borderId="51" xfId="0" applyFill="true" applyAlignment="true" applyFont="true" applyBorder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56" xfId="0" applyFill="true" applyAlignment="true" applyFont="true" applyBorder="true">
      <alignment horizontal="center" vertical="center" wrapText="true"/>
    </xf>
    <xf numFmtId="0" fontId="850" fillId="56" borderId="51" xfId="0" applyFill="true" applyAlignment="true" applyFont="true" applyBorder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56" xfId="0" applyFill="true" applyAlignment="true" applyFont="true" applyBorder="true">
      <alignment horizontal="center" vertical="center" wrapText="true"/>
    </xf>
    <xf numFmtId="0" fontId="850" fillId="56" borderId="51" xfId="0" applyFill="true" applyAlignment="true" applyFont="true" applyBorder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0" xfId="0" applyFill="true" applyAlignment="true" applyFont="true">
      <alignment horizontal="center" vertical="center" wrapText="true"/>
    </xf>
    <xf numFmtId="0" fontId="850" fillId="56" borderId="56" xfId="0" applyFill="true" applyAlignment="true" applyFont="true" applyBorder="true">
      <alignment horizontal="center" vertical="center" wrapText="true"/>
    </xf>
    <xf numFmtId="0" fontId="850" fillId="56" borderId="61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103" xfId="0" applyFill="true" applyAlignment="true" applyFont="true" applyBorder="true">
      <alignment horizontal="center" vertical="center" wrapText="true"/>
    </xf>
    <xf numFmtId="0" fontId="850" fillId="56" borderId="66" xfId="0" applyFill="true" applyAlignment="true" applyFont="true" applyBorder="true">
      <alignment horizontal="center" vertical="center" wrapText="true"/>
    </xf>
    <xf numFmtId="0" fontId="851" fillId="56" borderId="0" xfId="0" applyFill="true" applyAlignment="true" applyFont="true">
      <alignment horizontal="center" vertical="center" wrapText="true"/>
    </xf>
    <xf numFmtId="0" fontId="852" fillId="56" borderId="0" xfId="0" applyFill="true" applyAlignment="true" applyFont="true">
      <alignment horizontal="center" vertical="center" wrapText="true"/>
    </xf>
    <xf numFmtId="0" fontId="853" fillId="48" borderId="0" xfId="0" applyFill="true" applyAlignment="true" applyFont="true">
      <alignment horizontal="center" vertical="center" wrapText="true"/>
    </xf>
    <xf numFmtId="0" fontId="854" fillId="46" borderId="0" xfId="0" applyFill="true" applyAlignment="true" applyFont="true">
      <alignment horizontal="center" vertical="center" wrapText="true"/>
    </xf>
    <xf numFmtId="0" fontId="855" fillId="48" borderId="0" xfId="0" applyFill="true" applyAlignment="true" applyFont="true">
      <alignment horizontal="center" vertical="center" wrapText="true"/>
    </xf>
    <xf numFmtId="0" fontId="856" fillId="48" borderId="0" xfId="0" applyFill="true" applyAlignment="true" applyFont="true">
      <alignment horizontal="center" vertical="center" wrapText="true"/>
    </xf>
    <xf numFmtId="0" fontId="857" fillId="56" borderId="0" xfId="0" applyFill="true" applyAlignment="true" applyFont="true">
      <alignment horizontal="center" vertical="center" wrapText="true"/>
    </xf>
    <xf numFmtId="0" fontId="854" fillId="46" borderId="71" xfId="0" applyFill="true" applyAlignment="true" applyFont="true" applyBorder="true">
      <alignment horizontal="center" vertical="center" wrapText="true"/>
    </xf>
    <xf numFmtId="0" fontId="854" fillId="46" borderId="203" xfId="0" applyFill="true" applyAlignment="true" applyFont="true" applyBorder="true">
      <alignment horizontal="center" vertical="center" wrapText="true"/>
    </xf>
    <xf numFmtId="0" fontId="854" fillId="46" borderId="203" xfId="0" applyFill="true" applyAlignment="true" applyFont="true" applyBorder="true">
      <alignment horizontal="center" vertical="center" wrapText="true"/>
    </xf>
    <xf numFmtId="0" fontId="854" fillId="46" borderId="75" xfId="0" applyFill="true" applyAlignment="true" applyFont="true" applyBorder="true">
      <alignment horizontal="center" vertical="center" wrapText="true"/>
    </xf>
    <xf numFmtId="0" fontId="855" fillId="48" borderId="80" xfId="0" applyFill="true" applyAlignment="true" applyFont="true" applyBorder="true">
      <alignment horizontal="center" vertical="center" wrapText="true"/>
    </xf>
    <xf numFmtId="0" fontId="855" fillId="48" borderId="0" xfId="0" applyFill="true" applyAlignment="true" applyFont="true">
      <alignment horizontal="center" vertical="center" wrapText="true"/>
    </xf>
    <xf numFmtId="0" fontId="855" fillId="48" borderId="0" xfId="0" applyFill="true" applyAlignment="true" applyFont="true">
      <alignment horizontal="center" vertical="center" wrapText="true"/>
    </xf>
    <xf numFmtId="0" fontId="855" fillId="48" borderId="85" xfId="0" applyFill="true" applyAlignment="true" applyFont="true" applyBorder="true">
      <alignment horizontal="center" vertical="center" wrapText="true"/>
    </xf>
    <xf numFmtId="0" fontId="855" fillId="48" borderId="80" xfId="0" applyFill="true" applyAlignment="true" applyFont="true" applyBorder="true">
      <alignment horizontal="center" vertical="center" wrapText="true"/>
    </xf>
    <xf numFmtId="0" fontId="855" fillId="48" borderId="0" xfId="0" applyFill="true" applyAlignment="true" applyFont="true">
      <alignment horizontal="center" vertical="center" wrapText="true"/>
    </xf>
    <xf numFmtId="0" fontId="855" fillId="48" borderId="0" xfId="0" applyFill="true" applyAlignment="true" applyFont="true">
      <alignment horizontal="center" vertical="center" wrapText="true"/>
    </xf>
    <xf numFmtId="0" fontId="855" fillId="48" borderId="85" xfId="0" applyFill="true" applyAlignment="true" applyFont="true" applyBorder="true">
      <alignment horizontal="center" vertical="center" wrapText="true"/>
    </xf>
    <xf numFmtId="0" fontId="856" fillId="48" borderId="80" xfId="0" applyFill="true" applyAlignment="true" applyFont="true" applyBorder="true">
      <alignment horizontal="center" vertical="center" wrapText="true"/>
    </xf>
    <xf numFmtId="0" fontId="856" fillId="48" borderId="0" xfId="0" applyFill="true" applyAlignment="true" applyFont="true">
      <alignment horizontal="center" vertical="center" wrapText="true"/>
    </xf>
    <xf numFmtId="0" fontId="856" fillId="48" borderId="0" xfId="0" applyFill="true" applyAlignment="true" applyFont="true">
      <alignment horizontal="center" vertical="center" wrapText="true"/>
    </xf>
    <xf numFmtId="0" fontId="856" fillId="48" borderId="85" xfId="0" applyFill="true" applyAlignment="true" applyFont="true" applyBorder="true">
      <alignment horizontal="center" vertical="center" wrapText="true"/>
    </xf>
    <xf numFmtId="0" fontId="857" fillId="56" borderId="80" xfId="0" applyFill="true" applyAlignment="true" applyFont="true" applyBorder="true">
      <alignment horizontal="center" vertical="center" wrapText="true"/>
    </xf>
    <xf numFmtId="0" fontId="857" fillId="56" borderId="0" xfId="0" applyFill="true" applyAlignment="true" applyFont="true">
      <alignment horizontal="center" vertical="center" wrapText="true"/>
    </xf>
    <xf numFmtId="0" fontId="857" fillId="56" borderId="0" xfId="0" applyFill="true" applyAlignment="true" applyFont="true">
      <alignment horizontal="center" vertical="center" wrapText="true"/>
    </xf>
    <xf numFmtId="0" fontId="857" fillId="56" borderId="85" xfId="0" applyFill="true" applyAlignment="true" applyFont="true" applyBorder="true">
      <alignment horizontal="center" vertical="center" wrapText="true"/>
    </xf>
    <xf numFmtId="0" fontId="857" fillId="56" borderId="90" xfId="0" applyFill="true" applyAlignment="true" applyFont="true" applyBorder="true">
      <alignment horizontal="center" vertical="center" wrapText="true"/>
    </xf>
    <xf numFmtId="0" fontId="857" fillId="56" borderId="207" xfId="0" applyFill="true" applyAlignment="true" applyFont="true" applyBorder="true">
      <alignment horizontal="center" vertical="center" wrapText="true"/>
    </xf>
    <xf numFmtId="0" fontId="857" fillId="56" borderId="207" xfId="0" applyFill="true" applyAlignment="true" applyFont="true" applyBorder="true">
      <alignment horizontal="center" vertical="center" wrapText="true"/>
    </xf>
    <xf numFmtId="0" fontId="857" fillId="56" borderId="95" xfId="0" applyFill="true" applyAlignment="true" applyFont="true" applyBorder="true">
      <alignment horizontal="center" vertical="center" wrapText="true"/>
    </xf>
    <xf numFmtId="0" fontId="858" fillId="48" borderId="0" xfId="0" applyFill="true" applyAlignment="true" applyFont="true">
      <alignment horizontal="center" vertical="center" wrapText="true"/>
    </xf>
    <xf numFmtId="0" fontId="859" fillId="46" borderId="0" xfId="0" applyFill="true" applyAlignment="true" applyFont="true">
      <alignment horizontal="center" vertical="center" wrapText="true"/>
    </xf>
    <xf numFmtId="0" fontId="860" fillId="48" borderId="0" xfId="0" applyFill="true" applyAlignment="true" applyFont="true">
      <alignment horizontal="center" vertical="center" wrapText="true"/>
    </xf>
    <xf numFmtId="0" fontId="861" fillId="48" borderId="0" xfId="0" applyFill="true" applyAlignment="true" applyFont="true">
      <alignment horizontal="center" vertical="center" wrapText="true"/>
    </xf>
    <xf numFmtId="0" fontId="862" fillId="56" borderId="0" xfId="0" applyFill="true" applyAlignment="true" applyFont="true">
      <alignment horizontal="center" vertical="center" wrapText="true"/>
    </xf>
    <xf numFmtId="0" fontId="859" fillId="46" borderId="71" xfId="0" applyFill="true" applyAlignment="true" applyFont="true" applyBorder="true">
      <alignment horizontal="center" vertical="center" wrapText="true"/>
    </xf>
    <xf numFmtId="0" fontId="859" fillId="46" borderId="203" xfId="0" applyFill="true" applyAlignment="true" applyFont="true" applyBorder="true">
      <alignment horizontal="center" vertical="center" wrapText="true"/>
    </xf>
    <xf numFmtId="0" fontId="859" fillId="46" borderId="203" xfId="0" applyFill="true" applyAlignment="true" applyFont="true" applyBorder="true">
      <alignment horizontal="center" vertical="center" wrapText="true"/>
    </xf>
    <xf numFmtId="0" fontId="859" fillId="46" borderId="75" xfId="0" applyFill="true" applyAlignment="true" applyFont="true" applyBorder="true">
      <alignment horizontal="center" vertical="center" wrapText="true"/>
    </xf>
    <xf numFmtId="0" fontId="860" fillId="48" borderId="80" xfId="0" applyFill="true" applyAlignment="true" applyFont="true" applyBorder="true">
      <alignment horizontal="center" vertical="center" wrapText="true"/>
    </xf>
    <xf numFmtId="0" fontId="860" fillId="48" borderId="0" xfId="0" applyFill="true" applyAlignment="true" applyFont="true">
      <alignment horizontal="center" vertical="center" wrapText="true"/>
    </xf>
    <xf numFmtId="0" fontId="860" fillId="48" borderId="0" xfId="0" applyFill="true" applyAlignment="true" applyFont="true">
      <alignment horizontal="center" vertical="center" wrapText="true"/>
    </xf>
    <xf numFmtId="0" fontId="860" fillId="48" borderId="85" xfId="0" applyFill="true" applyAlignment="true" applyFont="true" applyBorder="true">
      <alignment horizontal="center" vertical="center" wrapText="true"/>
    </xf>
    <xf numFmtId="0" fontId="860" fillId="48" borderId="80" xfId="0" applyFill="true" applyAlignment="true" applyFont="true" applyBorder="true">
      <alignment horizontal="center" vertical="center" wrapText="true"/>
    </xf>
    <xf numFmtId="0" fontId="860" fillId="48" borderId="0" xfId="0" applyFill="true" applyAlignment="true" applyFont="true">
      <alignment horizontal="center" vertical="center" wrapText="true"/>
    </xf>
    <xf numFmtId="0" fontId="860" fillId="48" borderId="0" xfId="0" applyFill="true" applyAlignment="true" applyFont="true">
      <alignment horizontal="center" vertical="center" wrapText="true"/>
    </xf>
    <xf numFmtId="0" fontId="860" fillId="48" borderId="85" xfId="0" applyFill="true" applyAlignment="true" applyFont="true" applyBorder="true">
      <alignment horizontal="center" vertical="center" wrapText="true"/>
    </xf>
    <xf numFmtId="0" fontId="861" fillId="48" borderId="80" xfId="0" applyFill="true" applyAlignment="true" applyFont="true" applyBorder="true">
      <alignment horizontal="center" vertical="center" wrapText="true"/>
    </xf>
    <xf numFmtId="0" fontId="861" fillId="48" borderId="0" xfId="0" applyFill="true" applyAlignment="true" applyFont="true">
      <alignment horizontal="center" vertical="center" wrapText="true"/>
    </xf>
    <xf numFmtId="0" fontId="861" fillId="48" borderId="0" xfId="0" applyFill="true" applyAlignment="true" applyFont="true">
      <alignment horizontal="center" vertical="center" wrapText="true"/>
    </xf>
    <xf numFmtId="0" fontId="861" fillId="48" borderId="85" xfId="0" applyFill="true" applyAlignment="true" applyFont="true" applyBorder="true">
      <alignment horizontal="center" vertical="center" wrapText="true"/>
    </xf>
    <xf numFmtId="0" fontId="862" fillId="56" borderId="80" xfId="0" applyFill="true" applyAlignment="true" applyFont="true" applyBorder="true">
      <alignment horizontal="center" vertical="center" wrapText="true"/>
    </xf>
    <xf numFmtId="0" fontId="862" fillId="56" borderId="0" xfId="0" applyFill="true" applyAlignment="true" applyFont="true">
      <alignment horizontal="center" vertical="center" wrapText="true"/>
    </xf>
    <xf numFmtId="0" fontId="862" fillId="56" borderId="0" xfId="0" applyFill="true" applyAlignment="true" applyFont="true">
      <alignment horizontal="center" vertical="center" wrapText="true"/>
    </xf>
    <xf numFmtId="0" fontId="862" fillId="56" borderId="85" xfId="0" applyFill="true" applyAlignment="true" applyFont="true" applyBorder="true">
      <alignment horizontal="center" vertical="center" wrapText="true"/>
    </xf>
    <xf numFmtId="0" fontId="862" fillId="56" borderId="90" xfId="0" applyFill="true" applyAlignment="true" applyFont="true" applyBorder="true">
      <alignment horizontal="center" vertical="center" wrapText="true"/>
    </xf>
    <xf numFmtId="0" fontId="862" fillId="56" borderId="207" xfId="0" applyFill="true" applyAlignment="true" applyFont="true" applyBorder="true">
      <alignment horizontal="center" vertical="center" wrapText="true"/>
    </xf>
    <xf numFmtId="0" fontId="862" fillId="56" borderId="207" xfId="0" applyFill="true" applyAlignment="true" applyFont="true" applyBorder="true">
      <alignment horizontal="center" vertical="center" wrapText="true"/>
    </xf>
    <xf numFmtId="0" fontId="862" fillId="56" borderId="95" xfId="0" applyFill="true" applyAlignment="true" applyFont="true" applyBorder="true">
      <alignment horizontal="center" vertical="center" wrapText="true"/>
    </xf>
    <xf numFmtId="0" fontId="863" fillId="48" borderId="0" xfId="0" applyFill="true" applyAlignment="true" applyFont="true">
      <alignment horizontal="center" vertical="center" wrapText="true"/>
    </xf>
    <xf numFmtId="0" fontId="864" fillId="46" borderId="0" xfId="0" applyFill="true" applyAlignment="true" applyFont="true">
      <alignment horizontal="center" vertical="center" wrapText="true"/>
    </xf>
    <xf numFmtId="0" fontId="865" fillId="48" borderId="0" xfId="0" applyFill="true" applyAlignment="true" applyFont="true">
      <alignment horizontal="center" vertical="center" wrapText="true"/>
    </xf>
    <xf numFmtId="0" fontId="866" fillId="48" borderId="0" xfId="0" applyFill="true" applyAlignment="true" applyFont="true">
      <alignment horizontal="center" vertical="center" wrapText="true"/>
    </xf>
    <xf numFmtId="0" fontId="867" fillId="56" borderId="0" xfId="0" applyFill="true" applyAlignment="true" applyFont="true">
      <alignment horizontal="center" vertical="center" wrapText="true"/>
    </xf>
    <xf numFmtId="0" fontId="864" fillId="46" borderId="71" xfId="0" applyFill="true" applyAlignment="true" applyFont="true" applyBorder="true">
      <alignment horizontal="center" vertical="center" wrapText="true"/>
    </xf>
    <xf numFmtId="0" fontId="864" fillId="46" borderId="203" xfId="0" applyFill="true" applyAlignment="true" applyFont="true" applyBorder="true">
      <alignment horizontal="center" vertical="center" wrapText="true"/>
    </xf>
    <xf numFmtId="0" fontId="864" fillId="46" borderId="203" xfId="0" applyFill="true" applyAlignment="true" applyFont="true" applyBorder="true">
      <alignment horizontal="center" vertical="center" wrapText="true"/>
    </xf>
    <xf numFmtId="0" fontId="864" fillId="46" borderId="75" xfId="0" applyFill="true" applyAlignment="true" applyFont="true" applyBorder="true">
      <alignment horizontal="center" vertical="center" wrapText="true"/>
    </xf>
    <xf numFmtId="0" fontId="865" fillId="48" borderId="80" xfId="0" applyFill="true" applyAlignment="true" applyFont="true" applyBorder="true">
      <alignment horizontal="center" vertical="center" wrapText="true"/>
    </xf>
    <xf numFmtId="0" fontId="865" fillId="48" borderId="0" xfId="0" applyFill="true" applyAlignment="true" applyFont="true">
      <alignment horizontal="center" vertical="center" wrapText="true"/>
    </xf>
    <xf numFmtId="0" fontId="865" fillId="48" borderId="0" xfId="0" applyFill="true" applyAlignment="true" applyFont="true">
      <alignment horizontal="center" vertical="center" wrapText="true"/>
    </xf>
    <xf numFmtId="0" fontId="865" fillId="48" borderId="85" xfId="0" applyFill="true" applyAlignment="true" applyFont="true" applyBorder="true">
      <alignment horizontal="center" vertical="center" wrapText="true"/>
    </xf>
    <xf numFmtId="0" fontId="865" fillId="48" borderId="80" xfId="0" applyFill="true" applyAlignment="true" applyFont="true" applyBorder="true">
      <alignment horizontal="center" vertical="center" wrapText="true"/>
    </xf>
    <xf numFmtId="0" fontId="865" fillId="48" borderId="0" xfId="0" applyFill="true" applyAlignment="true" applyFont="true">
      <alignment horizontal="center" vertical="center" wrapText="true"/>
    </xf>
    <xf numFmtId="0" fontId="865" fillId="48" borderId="0" xfId="0" applyFill="true" applyAlignment="true" applyFont="true">
      <alignment horizontal="center" vertical="center" wrapText="true"/>
    </xf>
    <xf numFmtId="0" fontId="865" fillId="48" borderId="85" xfId="0" applyFill="true" applyAlignment="true" applyFont="true" applyBorder="true">
      <alignment horizontal="center" vertical="center" wrapText="true"/>
    </xf>
    <xf numFmtId="0" fontId="866" fillId="48" borderId="80" xfId="0" applyFill="true" applyAlignment="true" applyFont="true" applyBorder="true">
      <alignment horizontal="center" vertical="center" wrapText="true"/>
    </xf>
    <xf numFmtId="0" fontId="866" fillId="48" borderId="0" xfId="0" applyFill="true" applyAlignment="true" applyFont="true">
      <alignment horizontal="center" vertical="center" wrapText="true"/>
    </xf>
    <xf numFmtId="0" fontId="866" fillId="48" borderId="0" xfId="0" applyFill="true" applyAlignment="true" applyFont="true">
      <alignment horizontal="center" vertical="center" wrapText="true"/>
    </xf>
    <xf numFmtId="0" fontId="866" fillId="48" borderId="85" xfId="0" applyFill="true" applyAlignment="true" applyFont="true" applyBorder="true">
      <alignment horizontal="center" vertical="center" wrapText="true"/>
    </xf>
    <xf numFmtId="0" fontId="867" fillId="56" borderId="80" xfId="0" applyFill="true" applyAlignment="true" applyFont="true" applyBorder="true">
      <alignment horizontal="center" vertical="center" wrapText="true"/>
    </xf>
    <xf numFmtId="0" fontId="867" fillId="56" borderId="0" xfId="0" applyFill="true" applyAlignment="true" applyFont="true">
      <alignment horizontal="center" vertical="center" wrapText="true"/>
    </xf>
    <xf numFmtId="0" fontId="867" fillId="56" borderId="0" xfId="0" applyFill="true" applyAlignment="true" applyFont="true">
      <alignment horizontal="center" vertical="center" wrapText="true"/>
    </xf>
    <xf numFmtId="0" fontId="867" fillId="56" borderId="85" xfId="0" applyFill="true" applyAlignment="true" applyFont="true" applyBorder="true">
      <alignment horizontal="center" vertical="center" wrapText="true"/>
    </xf>
    <xf numFmtId="0" fontId="867" fillId="56" borderId="90" xfId="0" applyFill="true" applyAlignment="true" applyFont="true" applyBorder="true">
      <alignment horizontal="center" vertical="center" wrapText="true"/>
    </xf>
    <xf numFmtId="0" fontId="867" fillId="56" borderId="207" xfId="0" applyFill="true" applyAlignment="true" applyFont="true" applyBorder="true">
      <alignment horizontal="center" vertical="center" wrapText="true"/>
    </xf>
    <xf numFmtId="0" fontId="867" fillId="56" borderId="207" xfId="0" applyFill="true" applyAlignment="true" applyFont="true" applyBorder="true">
      <alignment horizontal="center" vertical="center" wrapText="true"/>
    </xf>
    <xf numFmtId="0" fontId="867" fillId="56" borderId="95" xfId="0" applyFill="true" applyAlignment="true" applyFont="true" applyBorder="true">
      <alignment horizontal="center" vertical="center" wrapText="true"/>
    </xf>
    <xf numFmtId="0" fontId="868" fillId="48" borderId="0" xfId="0" applyFill="true" applyAlignment="true" applyFont="true">
      <alignment horizontal="center" vertical="center" wrapText="true"/>
    </xf>
    <xf numFmtId="0" fontId="869" fillId="46" borderId="0" xfId="0" applyFill="true" applyAlignment="true" applyFont="true">
      <alignment horizontal="center" vertical="center" wrapText="true"/>
    </xf>
    <xf numFmtId="0" fontId="870" fillId="48" borderId="0" xfId="0" applyFill="true" applyAlignment="true" applyFont="true">
      <alignment horizontal="center" vertical="center" wrapText="true"/>
    </xf>
    <xf numFmtId="0" fontId="871" fillId="48" borderId="0" xfId="0" applyFill="true" applyAlignment="true" applyFont="true">
      <alignment horizontal="center" vertical="center" wrapText="true"/>
    </xf>
    <xf numFmtId="0" fontId="872" fillId="56" borderId="0" xfId="0" applyFill="true" applyAlignment="true" applyFont="true">
      <alignment horizontal="center" vertical="center" wrapText="true"/>
    </xf>
    <xf numFmtId="0" fontId="869" fillId="46" borderId="71" xfId="0" applyFill="true" applyAlignment="true" applyFont="true" applyBorder="true">
      <alignment horizontal="center" vertical="center" wrapText="true"/>
    </xf>
    <xf numFmtId="0" fontId="869" fillId="46" borderId="203" xfId="0" applyFill="true" applyAlignment="true" applyFont="true" applyBorder="true">
      <alignment horizontal="center" vertical="center" wrapText="true"/>
    </xf>
    <xf numFmtId="0" fontId="869" fillId="46" borderId="203" xfId="0" applyFill="true" applyAlignment="true" applyFont="true" applyBorder="true">
      <alignment horizontal="center" vertical="center" wrapText="true"/>
    </xf>
    <xf numFmtId="0" fontId="869" fillId="46" borderId="75" xfId="0" applyFill="true" applyAlignment="true" applyFont="true" applyBorder="true">
      <alignment horizontal="center" vertical="center" wrapText="true"/>
    </xf>
    <xf numFmtId="0" fontId="870" fillId="48" borderId="80" xfId="0" applyFill="true" applyAlignment="true" applyFont="true" applyBorder="true">
      <alignment horizontal="center" vertical="center" wrapText="true"/>
    </xf>
    <xf numFmtId="0" fontId="870" fillId="48" borderId="0" xfId="0" applyFill="true" applyAlignment="true" applyFont="true">
      <alignment horizontal="center" vertical="center" wrapText="true"/>
    </xf>
    <xf numFmtId="0" fontId="870" fillId="48" borderId="0" xfId="0" applyFill="true" applyAlignment="true" applyFont="true">
      <alignment horizontal="center" vertical="center" wrapText="true"/>
    </xf>
    <xf numFmtId="0" fontId="870" fillId="48" borderId="85" xfId="0" applyFill="true" applyAlignment="true" applyFont="true" applyBorder="true">
      <alignment horizontal="center" vertical="center" wrapText="true"/>
    </xf>
    <xf numFmtId="0" fontId="870" fillId="48" borderId="80" xfId="0" applyFill="true" applyAlignment="true" applyFont="true" applyBorder="true">
      <alignment horizontal="center" vertical="center" wrapText="true"/>
    </xf>
    <xf numFmtId="0" fontId="870" fillId="48" borderId="0" xfId="0" applyFill="true" applyAlignment="true" applyFont="true">
      <alignment horizontal="center" vertical="center" wrapText="true"/>
    </xf>
    <xf numFmtId="0" fontId="870" fillId="48" borderId="0" xfId="0" applyFill="true" applyAlignment="true" applyFont="true">
      <alignment horizontal="center" vertical="center" wrapText="true"/>
    </xf>
    <xf numFmtId="0" fontId="870" fillId="48" borderId="85" xfId="0" applyFill="true" applyAlignment="true" applyFont="true" applyBorder="true">
      <alignment horizontal="center" vertical="center" wrapText="true"/>
    </xf>
    <xf numFmtId="0" fontId="871" fillId="48" borderId="80" xfId="0" applyFill="true" applyAlignment="true" applyFont="true" applyBorder="true">
      <alignment horizontal="center" vertical="center" wrapText="true"/>
    </xf>
    <xf numFmtId="0" fontId="871" fillId="48" borderId="0" xfId="0" applyFill="true" applyAlignment="true" applyFont="true">
      <alignment horizontal="center" vertical="center" wrapText="true"/>
    </xf>
    <xf numFmtId="0" fontId="871" fillId="48" borderId="0" xfId="0" applyFill="true" applyAlignment="true" applyFont="true">
      <alignment horizontal="center" vertical="center" wrapText="true"/>
    </xf>
    <xf numFmtId="0" fontId="871" fillId="48" borderId="85" xfId="0" applyFill="true" applyAlignment="true" applyFont="true" applyBorder="true">
      <alignment horizontal="center" vertical="center" wrapText="true"/>
    </xf>
    <xf numFmtId="0" fontId="872" fillId="56" borderId="80" xfId="0" applyFill="true" applyAlignment="true" applyFont="true" applyBorder="true">
      <alignment horizontal="center" vertical="center" wrapText="true"/>
    </xf>
    <xf numFmtId="0" fontId="872" fillId="56" borderId="0" xfId="0" applyFill="true" applyAlignment="true" applyFont="true">
      <alignment horizontal="center" vertical="center" wrapText="true"/>
    </xf>
    <xf numFmtId="0" fontId="872" fillId="56" borderId="0" xfId="0" applyFill="true" applyAlignment="true" applyFont="true">
      <alignment horizontal="center" vertical="center" wrapText="true"/>
    </xf>
    <xf numFmtId="0" fontId="872" fillId="56" borderId="85" xfId="0" applyFill="true" applyAlignment="true" applyFont="true" applyBorder="true">
      <alignment horizontal="center" vertical="center" wrapText="true"/>
    </xf>
    <xf numFmtId="0" fontId="872" fillId="56" borderId="90" xfId="0" applyFill="true" applyAlignment="true" applyFont="true" applyBorder="true">
      <alignment horizontal="center" vertical="center" wrapText="true"/>
    </xf>
    <xf numFmtId="0" fontId="872" fillId="56" borderId="207" xfId="0" applyFill="true" applyAlignment="true" applyFont="true" applyBorder="true">
      <alignment horizontal="center" vertical="center" wrapText="true"/>
    </xf>
    <xf numFmtId="0" fontId="872" fillId="56" borderId="207" xfId="0" applyFill="true" applyAlignment="true" applyFont="true" applyBorder="true">
      <alignment horizontal="center" vertical="center" wrapText="true"/>
    </xf>
    <xf numFmtId="0" fontId="872" fillId="56" borderId="95" xfId="0" applyFill="true" applyAlignment="true" applyFont="true" applyBorder="true">
      <alignment horizontal="center" vertical="center" wrapText="true"/>
    </xf>
    <xf numFmtId="0" fontId="873" fillId="46" borderId="0" xfId="0" applyFill="true" applyAlignment="true" applyFont="true">
      <alignment horizontal="center" vertical="center" wrapText="true"/>
    </xf>
    <xf numFmtId="0" fontId="874" fillId="42" borderId="0" xfId="0" applyFill="true" applyAlignment="true" applyFont="true">
      <alignment horizontal="center" vertical="center" wrapText="true"/>
    </xf>
    <xf numFmtId="0" fontId="875" fillId="42" borderId="35" xfId="0" applyFill="true" applyAlignment="true" applyBorder="true" applyFont="true">
      <alignment horizontal="center" vertical="center" wrapText="true"/>
    </xf>
    <xf numFmtId="0" fontId="876" fillId="46" borderId="35" xfId="0" applyFill="true" applyAlignment="true" applyBorder="true" applyFont="true">
      <alignment horizontal="center" vertical="center" wrapText="true"/>
    </xf>
    <xf numFmtId="0" fontId="877" fillId="46" borderId="35" xfId="0" applyFill="true" applyAlignment="true" applyBorder="true" applyFont="true">
      <alignment horizontal="center" vertical="center" wrapText="true"/>
    </xf>
    <xf numFmtId="0" fontId="878" fillId="46" borderId="35" xfId="0" applyFill="true" applyAlignment="true" applyBorder="true" applyFont="true">
      <alignment horizontal="center" vertical="center" wrapText="true"/>
    </xf>
    <xf numFmtId="0" fontId="879" fillId="46" borderId="35" xfId="0" applyFill="true" applyAlignment="true" applyBorder="true" applyFont="true">
      <alignment horizontal="center" vertical="center" wrapText="true"/>
    </xf>
    <xf numFmtId="0" fontId="880" fillId="46" borderId="35" xfId="0" applyFill="true" applyAlignment="true" applyBorder="true" applyFont="true">
      <alignment horizontal="center" vertical="center" wrapText="true"/>
    </xf>
    <xf numFmtId="0" fontId="881" fillId="46" borderId="35" xfId="0" applyFill="true" applyAlignment="true" applyBorder="true" applyFont="true">
      <alignment horizontal="center" vertical="center" wrapText="true"/>
    </xf>
    <xf numFmtId="0" fontId="882" fillId="28" borderId="35" xfId="0" applyFill="true" applyAlignment="true" applyBorder="true" applyFont="true">
      <alignment horizontal="center" vertical="center" wrapText="true"/>
    </xf>
    <xf numFmtId="0" fontId="883" fillId="28" borderId="35" xfId="0" applyFill="true" applyAlignment="true" applyBorder="true" applyFont="true">
      <alignment horizontal="center" vertical="center" wrapText="true"/>
    </xf>
    <xf numFmtId="0" fontId="884" fillId="28" borderId="35" xfId="0" applyFill="true" applyAlignment="true" applyBorder="true" applyFont="true">
      <alignment horizontal="center" vertical="center" wrapText="true"/>
    </xf>
    <xf numFmtId="0" fontId="885" fillId="28" borderId="35" xfId="0" applyFill="true" applyAlignment="true" applyBorder="true" applyFont="true">
      <alignment horizontal="center" vertical="center" wrapText="true"/>
    </xf>
    <xf numFmtId="0" fontId="886" fillId="28" borderId="35" xfId="0" applyFill="true" applyAlignment="true" applyBorder="true" applyFont="true">
      <alignment horizontal="center" vertical="center" wrapText="true"/>
    </xf>
    <xf numFmtId="0" fontId="887" fillId="28" borderId="35" xfId="0" applyFill="true" applyAlignment="true" applyBorder="true" applyFont="true">
      <alignment horizontal="center" vertical="center" wrapText="true"/>
    </xf>
    <xf numFmtId="0" fontId="888" fillId="28" borderId="35" xfId="0" applyFill="true" applyAlignment="true" applyBorder="true" applyFont="true">
      <alignment horizontal="center" vertical="center" wrapText="true"/>
    </xf>
    <xf numFmtId="0" fontId="889" fillId="28" borderId="35" xfId="0" applyFill="true" applyAlignment="true" applyBorder="true" applyFont="true">
      <alignment horizontal="center" vertical="center" wrapText="true"/>
    </xf>
    <xf numFmtId="0" fontId="890" fillId="28" borderId="35" xfId="0" applyFill="true" applyAlignment="true" applyBorder="true" applyFont="true">
      <alignment horizontal="center" vertical="center" wrapText="true"/>
    </xf>
    <xf numFmtId="0" fontId="891" fillId="28" borderId="35" xfId="0" applyFill="true" applyAlignment="true" applyBorder="true" applyFont="true">
      <alignment horizontal="center" vertical="center" wrapText="true"/>
    </xf>
    <xf numFmtId="0" fontId="892" fillId="46" borderId="35" xfId="0" applyFill="true" applyAlignment="true" applyBorder="true" applyFont="true">
      <alignment horizontal="center" vertical="center" wrapText="true"/>
    </xf>
    <xf numFmtId="0" fontId="893" fillId="46" borderId="35" xfId="0" applyFill="true" applyAlignment="true" applyBorder="true" applyFont="true">
      <alignment horizontal="center" vertical="center" wrapText="true"/>
    </xf>
    <xf numFmtId="0" fontId="894" fillId="46" borderId="35" xfId="0" applyFill="true" applyAlignment="true" applyBorder="true" applyFont="true">
      <alignment horizontal="center" vertical="center" wrapText="true"/>
    </xf>
    <xf numFmtId="0" fontId="895" fillId="28" borderId="35" xfId="0" applyFill="true" applyAlignment="true" applyBorder="true" applyFont="true">
      <alignment horizontal="center" vertical="center" wrapText="true"/>
    </xf>
    <xf numFmtId="0" fontId="896" fillId="28" borderId="35" xfId="0" applyFill="true" applyAlignment="true" applyBorder="true" applyFont="true">
      <alignment horizontal="center" vertical="center" wrapText="true"/>
    </xf>
    <xf numFmtId="0" fontId="897" fillId="20" borderId="17" xfId="0" applyFill="true" applyAlignment="true" applyBorder="true" applyFont="true">
      <alignment horizontal="center" vertical="center"/>
    </xf>
    <xf numFmtId="0" fontId="898" fillId="22" borderId="19" xfId="0" applyFill="true" applyAlignment="true" applyBorder="true" applyFont="true">
      <alignment horizontal="center" vertical="center" wrapText="true"/>
    </xf>
    <xf numFmtId="0" fontId="898" fillId="23" borderId="19" xfId="0" applyFill="true" applyAlignment="true" applyBorder="true" applyFont="true">
      <alignment horizontal="center" vertical="center" wrapText="true"/>
    </xf>
    <xf numFmtId="0" fontId="898" fillId="24" borderId="19" xfId="0" applyFill="true" applyAlignment="true" applyBorder="true" applyFont="true">
      <alignment horizontal="center" vertical="center" wrapText="true"/>
    </xf>
    <xf numFmtId="0" fontId="898" fillId="51" borderId="19" xfId="0" applyFill="true" applyAlignment="true" applyBorder="true" applyFont="true">
      <alignment horizontal="center" vertical="center" wrapText="true"/>
    </xf>
    <xf numFmtId="0" fontId="898" fillId="25" borderId="19" xfId="0" applyFill="true" applyAlignment="true" applyBorder="true" applyFont="true">
      <alignment horizontal="center" vertical="center" wrapText="true"/>
    </xf>
    <xf numFmtId="0" fontId="898" fillId="53" borderId="19" xfId="0" applyFill="true" applyAlignment="true" applyBorder="true" applyFont="true">
      <alignment horizontal="center" vertical="center" wrapText="true"/>
    </xf>
    <xf numFmtId="0" fontId="898" fillId="54" borderId="19" xfId="0" applyFill="true" applyAlignment="true" applyBorder="true" applyFont="true">
      <alignment horizontal="center" vertical="center" wrapText="true"/>
    </xf>
    <xf numFmtId="0" fontId="898" fillId="26" borderId="19" xfId="0" applyFill="true" applyAlignment="true" applyBorder="true" applyFont="true">
      <alignment horizontal="center" vertical="center" wrapText="true"/>
    </xf>
    <xf numFmtId="49" fontId="899" fillId="28" borderId="27" xfId="0" applyNumberFormat="true" applyAlignment="true" applyFill="true" applyBorder="true" applyFont="true">
      <alignment horizontal="left" vertical="center" wrapText="false"/>
    </xf>
    <xf numFmtId="49" fontId="900" fillId="28" borderId="27" xfId="0" applyNumberFormat="true" applyAlignment="true" applyFill="true" applyBorder="true" applyFont="true">
      <alignment horizontal="left" vertical="center" wrapText="false"/>
    </xf>
    <xf numFmtId="49" fontId="902" fillId="30" borderId="27" xfId="0" applyNumberFormat="true" applyAlignment="true" applyFill="true" applyBorder="true" applyFont="true">
      <alignment horizontal="left" vertical="center" wrapText="false"/>
    </xf>
    <xf numFmtId="49" fontId="904" fillId="32" borderId="27" xfId="0" applyNumberFormat="true" applyAlignment="true" applyFill="true" applyBorder="true" applyFont="true">
      <alignment horizontal="left" vertical="center" wrapText="false"/>
    </xf>
    <xf numFmtId="164" fontId="899" fillId="28" borderId="27" xfId="0" applyNumberFormat="true" applyAlignment="true" applyFill="true" applyBorder="true" applyFont="true">
      <alignment horizontal="left" vertical="center" wrapText="false"/>
    </xf>
    <xf numFmtId="49" fontId="905" fillId="34" borderId="27" xfId="0" applyNumberFormat="true" applyAlignment="true" applyFill="true" applyBorder="true" applyFont="true">
      <alignment horizontal="left" vertical="center" wrapText="false"/>
    </xf>
    <xf numFmtId="49" fontId="906" fillId="34" borderId="27" xfId="0" applyNumberFormat="true" applyAlignment="true" applyFill="true" applyBorder="true" applyFont="true">
      <alignment horizontal="left" vertical="center" wrapText="false"/>
    </xf>
    <xf numFmtId="49" fontId="908" fillId="36" borderId="27" xfId="0" applyNumberFormat="true" applyAlignment="true" applyFill="true" applyBorder="true" applyFont="true">
      <alignment horizontal="left" vertical="center" wrapText="false"/>
    </xf>
    <xf numFmtId="49" fontId="910" fillId="38" borderId="27" xfId="0" applyNumberFormat="true" applyAlignment="true" applyFill="true" applyBorder="true" applyFont="true">
      <alignment horizontal="left" vertical="center" wrapText="false"/>
    </xf>
    <xf numFmtId="164" fontId="905" fillId="34" borderId="27" xfId="0" applyNumberFormat="true" applyAlignment="true" applyFill="true" applyBorder="true" applyFont="true">
      <alignment horizontal="left" vertical="center" wrapText="false"/>
    </xf>
    <xf numFmtId="49" fontId="911" fillId="28" borderId="27" xfId="0" applyNumberFormat="true" applyAlignment="true" applyFill="true" applyBorder="true" applyFont="true">
      <alignment horizontal="left" vertical="center" wrapText="false"/>
    </xf>
    <xf numFmtId="49" fontId="0" fillId="40" borderId="31" xfId="0" applyNumberFormat="true" applyFill="true" applyBorder="true"/>
    <xf numFmtId="49" fontId="912" fillId="28" borderId="27" xfId="0" applyNumberFormat="true" applyAlignment="true" applyFill="true" applyBorder="true" applyFont="true">
      <alignment horizontal="left" vertical="center" wrapText="false"/>
    </xf>
    <xf numFmtId="49" fontId="913" fillId="28" borderId="27" xfId="0" applyNumberFormat="true" applyAlignment="true" applyFill="true" applyBorder="true" applyFont="true">
      <alignment horizontal="left" vertical="center" wrapText="false"/>
    </xf>
    <xf numFmtId="49" fontId="915" fillId="30" borderId="27" xfId="0" applyNumberFormat="true" applyAlignment="true" applyFill="true" applyBorder="true" applyFont="true">
      <alignment horizontal="left" vertical="center" wrapText="false"/>
    </xf>
    <xf numFmtId="49" fontId="917" fillId="32" borderId="27" xfId="0" applyNumberFormat="true" applyAlignment="true" applyFill="true" applyBorder="true" applyFont="true">
      <alignment horizontal="left" vertical="center" wrapText="false"/>
    </xf>
    <xf numFmtId="164" fontId="912" fillId="28" borderId="27" xfId="0" applyNumberFormat="true" applyAlignment="true" applyFill="true" applyBorder="true" applyFont="true">
      <alignment horizontal="left" vertical="center" wrapText="false"/>
    </xf>
    <xf numFmtId="49" fontId="918" fillId="34" borderId="27" xfId="0" applyNumberFormat="true" applyAlignment="true" applyFill="true" applyBorder="true" applyFont="true">
      <alignment horizontal="left" vertical="center" wrapText="false"/>
    </xf>
    <xf numFmtId="49" fontId="919" fillId="34" borderId="27" xfId="0" applyNumberFormat="true" applyAlignment="true" applyFill="true" applyBorder="true" applyFont="true">
      <alignment horizontal="left" vertical="center" wrapText="false"/>
    </xf>
    <xf numFmtId="49" fontId="921" fillId="36" borderId="27" xfId="0" applyNumberFormat="true" applyAlignment="true" applyFill="true" applyBorder="true" applyFont="true">
      <alignment horizontal="left" vertical="center" wrapText="false"/>
    </xf>
    <xf numFmtId="49" fontId="923" fillId="38" borderId="27" xfId="0" applyNumberFormat="true" applyAlignment="true" applyFill="true" applyBorder="true" applyFont="true">
      <alignment horizontal="left" vertical="center" wrapText="false"/>
    </xf>
    <xf numFmtId="164" fontId="918" fillId="34" borderId="27" xfId="0" applyNumberFormat="true" applyAlignment="true" applyFill="true" applyBorder="true" applyFont="true">
      <alignment horizontal="left" vertical="center" wrapText="false"/>
    </xf>
    <xf numFmtId="49" fontId="924" fillId="28" borderId="27" xfId="0" applyNumberFormat="true" applyAlignment="true" applyFill="true" applyBorder="true" applyFont="true">
      <alignment horizontal="left" vertical="center" wrapText="false"/>
    </xf>
    <xf numFmtId="49" fontId="925" fillId="28" borderId="27" xfId="0" applyNumberFormat="true" applyAlignment="true" applyFill="true" applyBorder="true" applyFont="true">
      <alignment horizontal="left" vertical="center" wrapText="false"/>
    </xf>
    <xf numFmtId="49" fontId="927" fillId="30" borderId="27" xfId="0" applyNumberFormat="true" applyAlignment="true" applyFill="true" applyBorder="true" applyFont="true">
      <alignment horizontal="left" vertical="center" wrapText="false"/>
    </xf>
    <xf numFmtId="49" fontId="929" fillId="32" borderId="27" xfId="0" applyNumberFormat="true" applyAlignment="true" applyFill="true" applyBorder="true" applyFont="true">
      <alignment horizontal="left" vertical="center" wrapText="false"/>
    </xf>
    <xf numFmtId="164" fontId="924" fillId="28" borderId="27" xfId="0" applyNumberFormat="true" applyAlignment="true" applyFill="true" applyBorder="true" applyFont="true">
      <alignment horizontal="left" vertical="center" wrapText="false"/>
    </xf>
    <xf numFmtId="49" fontId="930" fillId="34" borderId="27" xfId="0" applyNumberFormat="true" applyAlignment="true" applyFill="true" applyBorder="true" applyFont="true">
      <alignment horizontal="left" vertical="center" wrapText="false"/>
    </xf>
    <xf numFmtId="49" fontId="931" fillId="34" borderId="27" xfId="0" applyNumberFormat="true" applyAlignment="true" applyFill="true" applyBorder="true" applyFont="true">
      <alignment horizontal="left" vertical="center" wrapText="false"/>
    </xf>
    <xf numFmtId="49" fontId="933" fillId="36" borderId="27" xfId="0" applyNumberFormat="true" applyAlignment="true" applyFill="true" applyBorder="true" applyFont="true">
      <alignment horizontal="left" vertical="center" wrapText="false"/>
    </xf>
    <xf numFmtId="49" fontId="935" fillId="38" borderId="27" xfId="0" applyNumberFormat="true" applyAlignment="true" applyFill="true" applyBorder="true" applyFont="true">
      <alignment horizontal="left" vertical="center" wrapText="false"/>
    </xf>
    <xf numFmtId="164" fontId="930" fillId="34" borderId="27" xfId="0" applyNumberFormat="true" applyAlignment="true" applyFill="true" applyBorder="true" applyFont="true">
      <alignment horizontal="left" vertical="center" wrapText="false"/>
    </xf>
    <xf numFmtId="49" fontId="936" fillId="28" borderId="27" xfId="0" applyNumberFormat="true" applyAlignment="true" applyFill="true" applyBorder="true" applyFont="true">
      <alignment horizontal="left" vertical="center" wrapText="false"/>
    </xf>
    <xf numFmtId="49" fontId="937" fillId="28" borderId="27" xfId="0" applyNumberFormat="true" applyAlignment="true" applyFill="true" applyBorder="true" applyFont="true">
      <alignment horizontal="left" vertical="center" wrapText="false"/>
    </xf>
    <xf numFmtId="49" fontId="939" fillId="30" borderId="27" xfId="0" applyNumberFormat="true" applyAlignment="true" applyFill="true" applyBorder="true" applyFont="true">
      <alignment horizontal="left" vertical="center" wrapText="false"/>
    </xf>
    <xf numFmtId="49" fontId="941" fillId="32" borderId="27" xfId="0" applyNumberFormat="true" applyAlignment="true" applyFill="true" applyBorder="true" applyFont="true">
      <alignment horizontal="left" vertical="center" wrapText="false"/>
    </xf>
    <xf numFmtId="164" fontId="936" fillId="28" borderId="27" xfId="0" applyNumberFormat="true" applyAlignment="true" applyFill="true" applyBorder="true" applyFont="true">
      <alignment horizontal="left" vertical="center" wrapText="false"/>
    </xf>
    <xf numFmtId="49" fontId="942" fillId="34" borderId="27" xfId="0" applyNumberFormat="true" applyAlignment="true" applyFill="true" applyBorder="true" applyFont="true">
      <alignment horizontal="left" vertical="center" wrapText="false"/>
    </xf>
    <xf numFmtId="49" fontId="943" fillId="34" borderId="27" xfId="0" applyNumberFormat="true" applyAlignment="true" applyFill="true" applyBorder="true" applyFont="true">
      <alignment horizontal="left" vertical="center" wrapText="false"/>
    </xf>
    <xf numFmtId="49" fontId="945" fillId="36" borderId="27" xfId="0" applyNumberFormat="true" applyAlignment="true" applyFill="true" applyBorder="true" applyFont="true">
      <alignment horizontal="left" vertical="center" wrapText="false"/>
    </xf>
    <xf numFmtId="49" fontId="947" fillId="38" borderId="27" xfId="0" applyNumberFormat="true" applyAlignment="true" applyFill="true" applyBorder="true" applyFont="true">
      <alignment horizontal="left" vertical="center" wrapText="false"/>
    </xf>
    <xf numFmtId="164" fontId="942" fillId="34" borderId="27" xfId="0" applyNumberFormat="true" applyAlignment="true" applyFill="true" applyBorder="true" applyFont="true">
      <alignment horizontal="left" vertical="center" wrapText="false"/>
    </xf>
    <xf numFmtId="49" fontId="948" fillId="28" borderId="27" xfId="0" applyNumberFormat="true" applyAlignment="true" applyFill="true" applyBorder="true" applyFont="true">
      <alignment horizontal="left" vertical="center" wrapText="false"/>
    </xf>
    <xf numFmtId="49" fontId="949" fillId="28" borderId="27" xfId="0" applyNumberFormat="true" applyAlignment="true" applyFill="true" applyBorder="true" applyFont="true">
      <alignment horizontal="left" vertical="center" wrapText="false"/>
    </xf>
    <xf numFmtId="49" fontId="951" fillId="30" borderId="27" xfId="0" applyNumberFormat="true" applyAlignment="true" applyFill="true" applyBorder="true" applyFont="true">
      <alignment horizontal="left" vertical="center" wrapText="false"/>
    </xf>
    <xf numFmtId="49" fontId="953" fillId="32" borderId="27" xfId="0" applyNumberFormat="true" applyAlignment="true" applyFill="true" applyBorder="true" applyFont="true">
      <alignment horizontal="left" vertical="center" wrapText="false"/>
    </xf>
    <xf numFmtId="164" fontId="948" fillId="28" borderId="27" xfId="0" applyNumberFormat="true" applyAlignment="true" applyFill="true" applyBorder="true" applyFont="true">
      <alignment horizontal="left" vertical="center" wrapText="false"/>
    </xf>
    <xf numFmtId="49" fontId="954" fillId="34" borderId="27" xfId="0" applyNumberFormat="true" applyAlignment="true" applyFill="true" applyBorder="true" applyFont="true">
      <alignment horizontal="left" vertical="center" wrapText="false"/>
    </xf>
    <xf numFmtId="49" fontId="955" fillId="34" borderId="27" xfId="0" applyNumberFormat="true" applyAlignment="true" applyFill="true" applyBorder="true" applyFont="true">
      <alignment horizontal="left" vertical="center" wrapText="false"/>
    </xf>
    <xf numFmtId="49" fontId="957" fillId="36" borderId="27" xfId="0" applyNumberFormat="true" applyAlignment="true" applyFill="true" applyBorder="true" applyFont="true">
      <alignment horizontal="left" vertical="center" wrapText="false"/>
    </xf>
    <xf numFmtId="49" fontId="959" fillId="38" borderId="27" xfId="0" applyNumberFormat="true" applyAlignment="true" applyFill="true" applyBorder="true" applyFont="true">
      <alignment horizontal="left" vertical="center" wrapText="false"/>
    </xf>
    <xf numFmtId="164" fontId="954" fillId="34" borderId="27" xfId="0" applyNumberFormat="true" applyAlignment="true" applyFill="true" applyBorder="true" applyFont="true">
      <alignment horizontal="left" vertical="center" wrapText="false"/>
    </xf>
    <xf numFmtId="49" fontId="960" fillId="28" borderId="27" xfId="0" applyNumberFormat="true" applyAlignment="true" applyFill="true" applyBorder="true" applyFont="true">
      <alignment horizontal="left" vertical="center" wrapText="false"/>
    </xf>
    <xf numFmtId="49" fontId="961" fillId="28" borderId="27" xfId="0" applyNumberFormat="true" applyAlignment="true" applyFill="true" applyBorder="true" applyFont="true">
      <alignment horizontal="left" vertical="center" wrapText="false"/>
    </xf>
    <xf numFmtId="49" fontId="963" fillId="30" borderId="27" xfId="0" applyNumberFormat="true" applyAlignment="true" applyFill="true" applyBorder="true" applyFont="true">
      <alignment horizontal="left" vertical="center" wrapText="false"/>
    </xf>
    <xf numFmtId="49" fontId="965" fillId="32" borderId="27" xfId="0" applyNumberFormat="true" applyAlignment="true" applyFill="true" applyBorder="true" applyFont="true">
      <alignment horizontal="left" vertical="center" wrapText="false"/>
    </xf>
    <xf numFmtId="164" fontId="960" fillId="28" borderId="27" xfId="0" applyNumberFormat="true" applyAlignment="true" applyFill="true" applyBorder="true" applyFont="true">
      <alignment horizontal="left" vertical="center" wrapText="false"/>
    </xf>
    <xf numFmtId="49" fontId="966" fillId="34" borderId="27" xfId="0" applyNumberFormat="true" applyAlignment="true" applyFill="true" applyBorder="true" applyFont="true">
      <alignment horizontal="left" vertical="center" wrapText="false"/>
    </xf>
    <xf numFmtId="49" fontId="967" fillId="34" borderId="27" xfId="0" applyNumberFormat="true" applyAlignment="true" applyFill="true" applyBorder="true" applyFont="true">
      <alignment horizontal="left" vertical="center" wrapText="false"/>
    </xf>
    <xf numFmtId="49" fontId="969" fillId="36" borderId="27" xfId="0" applyNumberFormat="true" applyAlignment="true" applyFill="true" applyBorder="true" applyFont="true">
      <alignment horizontal="left" vertical="center" wrapText="false"/>
    </xf>
    <xf numFmtId="49" fontId="971" fillId="38" borderId="27" xfId="0" applyNumberFormat="true" applyAlignment="true" applyFill="true" applyBorder="true" applyFont="true">
      <alignment horizontal="left" vertical="center" wrapText="false"/>
    </xf>
    <xf numFmtId="164" fontId="966" fillId="34" borderId="27" xfId="0" applyNumberFormat="true" applyAlignment="true" applyFill="true" applyBorder="true" applyFont="true">
      <alignment horizontal="left" vertical="center" wrapText="false"/>
    </xf>
    <xf numFmtId="49" fontId="972" fillId="28" borderId="27" xfId="0" applyNumberFormat="true" applyAlignment="true" applyFill="true" applyBorder="true" applyFont="true">
      <alignment horizontal="left" vertical="center" wrapText="false"/>
    </xf>
    <xf numFmtId="49" fontId="973" fillId="28" borderId="27" xfId="0" applyNumberFormat="true" applyAlignment="true" applyFill="true" applyBorder="true" applyFont="true">
      <alignment horizontal="left" vertical="center" wrapText="false"/>
    </xf>
    <xf numFmtId="49" fontId="975" fillId="30" borderId="27" xfId="0" applyNumberFormat="true" applyAlignment="true" applyFill="true" applyBorder="true" applyFont="true">
      <alignment horizontal="left" vertical="center" wrapText="false"/>
    </xf>
    <xf numFmtId="49" fontId="977" fillId="32" borderId="27" xfId="0" applyNumberFormat="true" applyAlignment="true" applyFill="true" applyBorder="true" applyFont="true">
      <alignment horizontal="left" vertical="center" wrapText="false"/>
    </xf>
    <xf numFmtId="164" fontId="972" fillId="28" borderId="27" xfId="0" applyNumberFormat="true" applyAlignment="true" applyFill="true" applyBorder="true" applyFont="true">
      <alignment horizontal="left" vertical="center" wrapText="false"/>
    </xf>
    <xf numFmtId="49" fontId="978" fillId="34" borderId="27" xfId="0" applyNumberFormat="true" applyAlignment="true" applyFill="true" applyBorder="true" applyFont="true">
      <alignment horizontal="left" vertical="center" wrapText="false"/>
    </xf>
    <xf numFmtId="49" fontId="979" fillId="34" borderId="27" xfId="0" applyNumberFormat="true" applyAlignment="true" applyFill="true" applyBorder="true" applyFont="true">
      <alignment horizontal="left" vertical="center" wrapText="false"/>
    </xf>
    <xf numFmtId="49" fontId="981" fillId="36" borderId="27" xfId="0" applyNumberFormat="true" applyAlignment="true" applyFill="true" applyBorder="true" applyFont="true">
      <alignment horizontal="left" vertical="center" wrapText="false"/>
    </xf>
    <xf numFmtId="49" fontId="983" fillId="38" borderId="27" xfId="0" applyNumberFormat="true" applyAlignment="true" applyFill="true" applyBorder="true" applyFont="true">
      <alignment horizontal="left" vertical="center" wrapText="false"/>
    </xf>
    <xf numFmtId="164" fontId="978" fillId="34" borderId="27" xfId="0" applyNumberFormat="true" applyAlignment="true" applyFill="true" applyBorder="true" applyFont="true">
      <alignment horizontal="left" vertical="center" wrapText="false"/>
    </xf>
    <xf numFmtId="49" fontId="984" fillId="28" borderId="27" xfId="0" applyNumberFormat="true" applyAlignment="true" applyFill="true" applyBorder="true" applyFont="true">
      <alignment horizontal="left" vertical="center" wrapText="false"/>
    </xf>
    <xf numFmtId="49" fontId="985" fillId="28" borderId="27" xfId="0" applyNumberFormat="true" applyAlignment="true" applyFill="true" applyBorder="true" applyFont="true">
      <alignment horizontal="left" vertical="center" wrapText="false"/>
    </xf>
    <xf numFmtId="49" fontId="987" fillId="30" borderId="27" xfId="0" applyNumberFormat="true" applyAlignment="true" applyFill="true" applyBorder="true" applyFont="true">
      <alignment horizontal="left" vertical="center" wrapText="false"/>
    </xf>
    <xf numFmtId="49" fontId="989" fillId="32" borderId="27" xfId="0" applyNumberFormat="true" applyAlignment="true" applyFill="true" applyBorder="true" applyFont="true">
      <alignment horizontal="left" vertical="center" wrapText="false"/>
    </xf>
    <xf numFmtId="164" fontId="984" fillId="28" borderId="27" xfId="0" applyNumberFormat="true" applyAlignment="true" applyFill="true" applyBorder="true" applyFont="true">
      <alignment horizontal="left" vertical="center" wrapText="false"/>
    </xf>
    <xf numFmtId="49" fontId="990" fillId="34" borderId="27" xfId="0" applyNumberFormat="true" applyAlignment="true" applyFill="true" applyBorder="true" applyFont="true">
      <alignment horizontal="left" vertical="center" wrapText="false"/>
    </xf>
    <xf numFmtId="49" fontId="991" fillId="34" borderId="27" xfId="0" applyNumberFormat="true" applyAlignment="true" applyFill="true" applyBorder="true" applyFont="true">
      <alignment horizontal="left" vertical="center" wrapText="false"/>
    </xf>
    <xf numFmtId="49" fontId="993" fillId="36" borderId="27" xfId="0" applyNumberFormat="true" applyAlignment="true" applyFill="true" applyBorder="true" applyFont="true">
      <alignment horizontal="left" vertical="center" wrapText="false"/>
    </xf>
    <xf numFmtId="49" fontId="995" fillId="38" borderId="27" xfId="0" applyNumberFormat="true" applyAlignment="true" applyFill="true" applyBorder="true" applyFont="true">
      <alignment horizontal="left" vertical="center" wrapText="false"/>
    </xf>
    <xf numFmtId="164" fontId="990" fillId="34" borderId="27" xfId="0" applyNumberFormat="true" applyAlignment="true" applyFill="true" applyBorder="true" applyFont="true">
      <alignment horizontal="left" vertical="center" wrapText="false"/>
    </xf>
    <xf numFmtId="49" fontId="996" fillId="28" borderId="27" xfId="0" applyNumberFormat="true" applyAlignment="true" applyFill="true" applyBorder="true" applyFont="true">
      <alignment horizontal="left" vertical="center" wrapText="false"/>
    </xf>
    <xf numFmtId="49" fontId="997" fillId="28" borderId="27" xfId="0" applyNumberFormat="true" applyAlignment="true" applyFill="true" applyBorder="true" applyFont="true">
      <alignment horizontal="left" vertical="center" wrapText="false"/>
    </xf>
    <xf numFmtId="49" fontId="999" fillId="30" borderId="27" xfId="0" applyNumberFormat="true" applyAlignment="true" applyFill="true" applyBorder="true" applyFont="true">
      <alignment horizontal="left" vertical="center" wrapText="false"/>
    </xf>
    <xf numFmtId="49" fontId="1001" fillId="32" borderId="27" xfId="0" applyNumberFormat="true" applyAlignment="true" applyFill="true" applyBorder="true" applyFont="true">
      <alignment horizontal="left" vertical="center" wrapText="false"/>
    </xf>
    <xf numFmtId="164" fontId="996" fillId="28" borderId="27" xfId="0" applyNumberFormat="true" applyAlignment="true" applyFill="true" applyBorder="true" applyFont="true">
      <alignment horizontal="left" vertical="center" wrapText="false"/>
    </xf>
    <xf numFmtId="49" fontId="1002" fillId="34" borderId="27" xfId="0" applyNumberFormat="true" applyAlignment="true" applyFill="true" applyBorder="true" applyFont="true">
      <alignment horizontal="left" vertical="center" wrapText="false"/>
    </xf>
    <xf numFmtId="49" fontId="1003" fillId="34" borderId="27" xfId="0" applyNumberFormat="true" applyAlignment="true" applyFill="true" applyBorder="true" applyFont="true">
      <alignment horizontal="left" vertical="center" wrapText="false"/>
    </xf>
    <xf numFmtId="49" fontId="1005" fillId="36" borderId="27" xfId="0" applyNumberFormat="true" applyAlignment="true" applyFill="true" applyBorder="true" applyFont="true">
      <alignment horizontal="left" vertical="center" wrapText="false"/>
    </xf>
    <xf numFmtId="49" fontId="1007" fillId="38" borderId="27" xfId="0" applyNumberFormat="true" applyAlignment="true" applyFill="true" applyBorder="true" applyFont="true">
      <alignment horizontal="left" vertical="center" wrapText="false"/>
    </xf>
    <xf numFmtId="164" fontId="1002" fillId="34" borderId="27" xfId="0" applyNumberFormat="true" applyAlignment="true" applyFill="true" applyBorder="true" applyFont="true">
      <alignment horizontal="left" vertical="center" wrapText="false"/>
    </xf>
    <xf numFmtId="0" fontId="1008" fillId="58" borderId="0" xfId="0" applyFill="true" applyAlignment="true" applyFont="true">
      <alignment horizontal="center" vertical="center"/>
    </xf>
    <xf numFmtId="0" fontId="1009" fillId="42" borderId="0" xfId="0" applyFill="true" applyAlignment="true" applyFont="true">
      <alignment horizontal="center" vertical="center"/>
    </xf>
    <xf numFmtId="0" fontId="1010" fillId="56" borderId="0" xfId="0" applyFill="true" applyAlignment="true" applyFont="true">
      <alignment horizontal="center" vertical="center" wrapText="true"/>
    </xf>
    <xf numFmtId="0" fontId="1010" fillId="56" borderId="41" xfId="0" applyFill="true" applyAlignment="true" applyFont="true" applyBorder="true">
      <alignment horizontal="center" vertical="center" wrapText="true"/>
    </xf>
    <xf numFmtId="0" fontId="1010" fillId="56" borderId="46" xfId="0" applyFill="true" applyAlignment="true" applyFont="true" applyBorder="true">
      <alignment horizontal="center" vertical="center" wrapText="true"/>
    </xf>
    <xf numFmtId="0" fontId="1010" fillId="56" borderId="51" xfId="0" applyFill="true" applyAlignment="true" applyFont="true" applyBorder="true">
      <alignment horizontal="center" vertical="center" wrapText="true"/>
    </xf>
    <xf numFmtId="0" fontId="1010" fillId="56" borderId="56" xfId="0" applyFill="true" applyAlignment="true" applyFont="true" applyBorder="true">
      <alignment horizontal="center" vertical="center" wrapText="true"/>
    </xf>
    <xf numFmtId="0" fontId="1010" fillId="56" borderId="51" xfId="0" applyFill="true" applyAlignment="true" applyFont="true" applyBorder="true">
      <alignment horizontal="center" vertical="center" wrapText="true"/>
    </xf>
    <xf numFmtId="0" fontId="1010" fillId="56" borderId="56" xfId="0" applyFill="true" applyAlignment="true" applyFont="true" applyBorder="true">
      <alignment horizontal="center" vertical="center" wrapText="true"/>
    </xf>
    <xf numFmtId="0" fontId="1010" fillId="56" borderId="61" xfId="0" applyFill="true" applyAlignment="true" applyFont="true" applyBorder="true">
      <alignment horizontal="center" vertical="center" wrapText="true"/>
    </xf>
    <xf numFmtId="0" fontId="1010" fillId="56" borderId="66" xfId="0" applyFill="true" applyAlignment="true" applyFont="true" applyBorder="true">
      <alignment horizontal="center" vertical="center" wrapText="true"/>
    </xf>
    <xf numFmtId="0" fontId="1011" fillId="42" borderId="0" xfId="0" applyFill="true" applyAlignment="true" applyFont="true">
      <alignment horizontal="center" vertical="center" wrapText="true"/>
    </xf>
    <xf numFmtId="0" fontId="1012" fillId="42" borderId="0" xfId="0" applyFill="true" applyAlignment="true" applyFont="true">
      <alignment horizontal="center" vertical="center" wrapText="true"/>
    </xf>
    <xf numFmtId="0" fontId="1013" fillId="56" borderId="0" xfId="0" applyFill="true" applyAlignment="true" applyFont="true">
      <alignment horizontal="center" vertical="center" wrapText="true"/>
    </xf>
    <xf numFmtId="0" fontId="1013" fillId="56" borderId="71" xfId="0" applyFill="true" applyAlignment="true" applyFont="true" applyBorder="true">
      <alignment horizontal="center" vertical="center" wrapText="true"/>
    </xf>
    <xf numFmtId="0" fontId="1013" fillId="56" borderId="75" xfId="0" applyFill="true" applyAlignment="true" applyFont="true" applyBorder="true">
      <alignment horizontal="center" vertical="center" wrapText="true"/>
    </xf>
    <xf numFmtId="0" fontId="1013" fillId="56" borderId="80" xfId="0" applyFill="true" applyAlignment="true" applyFont="true" applyBorder="true">
      <alignment horizontal="center" vertical="center" wrapText="true"/>
    </xf>
    <xf numFmtId="0" fontId="1013" fillId="56" borderId="85" xfId="0" applyFill="true" applyAlignment="true" applyFont="true" applyBorder="true">
      <alignment horizontal="center" vertical="center" wrapText="true"/>
    </xf>
    <xf numFmtId="0" fontId="1013" fillId="56" borderId="80" xfId="0" applyFill="true" applyAlignment="true" applyFont="true" applyBorder="true">
      <alignment horizontal="center" vertical="center" wrapText="true"/>
    </xf>
    <xf numFmtId="0" fontId="1013" fillId="56" borderId="85" xfId="0" applyFill="true" applyAlignment="true" applyFont="true" applyBorder="true">
      <alignment horizontal="center" vertical="center" wrapText="true"/>
    </xf>
    <xf numFmtId="0" fontId="1013" fillId="56" borderId="90" xfId="0" applyFill="true" applyAlignment="true" applyFont="true" applyBorder="true">
      <alignment horizontal="center" vertical="center" wrapText="true"/>
    </xf>
    <xf numFmtId="0" fontId="1013" fillId="56" borderId="95" xfId="0" applyFill="true" applyAlignment="true" applyFont="true" applyBorder="true">
      <alignment horizontal="center" vertical="center" wrapText="true"/>
    </xf>
    <xf numFmtId="0" fontId="1014" fillId="46" borderId="0" xfId="0" applyFill="true" applyAlignment="true" applyFont="true">
      <alignment horizontal="center" vertical="center" wrapText="true"/>
    </xf>
    <xf numFmtId="0" fontId="1015" fillId="56" borderId="0" xfId="0" applyFill="true" applyAlignment="true" applyFont="true">
      <alignment horizontal="center" vertical="center" wrapText="true"/>
    </xf>
    <xf numFmtId="0" fontId="1016" fillId="44" borderId="0" xfId="0" applyFill="true" applyAlignment="true" applyFont="true">
      <alignment horizontal="center" vertical="center" wrapText="true"/>
    </xf>
    <xf numFmtId="0" fontId="1017" fillId="56" borderId="0" xfId="0" applyFill="true" applyAlignment="true" applyFont="true">
      <alignment horizontal="center" vertical="center" wrapText="true"/>
    </xf>
    <xf numFmtId="0" fontId="1018" fillId="56" borderId="0" xfId="0" applyFill="true" applyAlignment="true" applyFont="true">
      <alignment horizontal="center" vertical="center" wrapText="true"/>
    </xf>
    <xf numFmtId="0" fontId="1019" fillId="56" borderId="0" xfId="0" applyFill="true" applyAlignment="true" applyFont="true">
      <alignment horizontal="center" vertical="center" wrapText="true"/>
    </xf>
    <xf numFmtId="0" fontId="1015" fillId="56" borderId="41" xfId="0" applyFill="true" applyAlignment="true" applyFont="true" applyBorder="true">
      <alignment horizontal="center" vertical="center" wrapText="true"/>
    </xf>
    <xf numFmtId="0" fontId="1017" fillId="56" borderId="99" xfId="0" applyFill="true" applyAlignment="true" applyFont="true" applyBorder="true">
      <alignment horizontal="center" vertical="center" wrapText="true"/>
    </xf>
    <xf numFmtId="0" fontId="1017" fillId="56" borderId="99" xfId="0" applyFill="true" applyAlignment="true" applyFont="true" applyBorder="true">
      <alignment horizontal="center" vertical="center" wrapText="true"/>
    </xf>
    <xf numFmtId="0" fontId="1017" fillId="56" borderId="46" xfId="0" applyFill="true" applyAlignment="true" applyFont="true" applyBorder="true">
      <alignment horizontal="center" vertical="center" wrapText="true"/>
    </xf>
    <xf numFmtId="0" fontId="1016" fillId="44" borderId="51" xfId="0" applyFill="true" applyAlignment="true" applyFont="true" applyBorder="true">
      <alignment horizontal="center" vertical="center" wrapText="true"/>
    </xf>
    <xf numFmtId="0" fontId="1018" fillId="56" borderId="0" xfId="0" applyFill="true" applyAlignment="true" applyFont="true">
      <alignment horizontal="center" vertical="center" wrapText="true"/>
    </xf>
    <xf numFmtId="0" fontId="1018" fillId="56" borderId="0" xfId="0" applyFill="true" applyAlignment="true" applyFont="true">
      <alignment horizontal="center" vertical="center" wrapText="true"/>
    </xf>
    <xf numFmtId="0" fontId="1018" fillId="56" borderId="56" xfId="0" applyFill="true" applyAlignment="true" applyFont="true" applyBorder="true">
      <alignment horizontal="center" vertical="center" wrapText="true"/>
    </xf>
    <xf numFmtId="0" fontId="1016" fillId="44" borderId="51" xfId="0" applyFill="true" applyAlignment="true" applyFont="true" applyBorder="true">
      <alignment horizontal="center" vertical="center" wrapText="true"/>
    </xf>
    <xf numFmtId="0" fontId="1018" fillId="56" borderId="0" xfId="0" applyFill="true" applyAlignment="true" applyFont="true">
      <alignment horizontal="center" vertical="center" wrapText="true"/>
    </xf>
    <xf numFmtId="0" fontId="1018" fillId="56" borderId="0" xfId="0" applyFill="true" applyAlignment="true" applyFont="true">
      <alignment horizontal="center" vertical="center" wrapText="true"/>
    </xf>
    <xf numFmtId="0" fontId="1018" fillId="56" borderId="56" xfId="0" applyFill="true" applyAlignment="true" applyFont="true" applyBorder="true">
      <alignment horizontal="center" vertical="center" wrapText="true"/>
    </xf>
    <xf numFmtId="0" fontId="1016" fillId="44" borderId="51" xfId="0" applyFill="true" applyAlignment="true" applyFont="true" applyBorder="true">
      <alignment horizontal="center" vertical="center" wrapText="true"/>
    </xf>
    <xf numFmtId="0" fontId="1019" fillId="56" borderId="0" xfId="0" applyFill="true" applyAlignment="true" applyFont="true">
      <alignment horizontal="center" vertical="center" wrapText="true"/>
    </xf>
    <xf numFmtId="0" fontId="1019" fillId="56" borderId="0" xfId="0" applyFill="true" applyAlignment="true" applyFont="true">
      <alignment horizontal="center" vertical="center" wrapText="true"/>
    </xf>
    <xf numFmtId="0" fontId="1019" fillId="56" borderId="56" xfId="0" applyFill="true" applyAlignment="true" applyFont="true" applyBorder="true">
      <alignment horizontal="center" vertical="center" wrapText="true"/>
    </xf>
    <xf numFmtId="0" fontId="1015" fillId="56" borderId="61" xfId="0" applyFill="true" applyAlignment="true" applyFont="true" applyBorder="true">
      <alignment horizontal="center" vertical="center" wrapText="true"/>
    </xf>
    <xf numFmtId="0" fontId="1019" fillId="56" borderId="103" xfId="0" applyFill="true" applyAlignment="true" applyFont="true" applyBorder="true">
      <alignment horizontal="center" vertical="center" wrapText="true"/>
    </xf>
    <xf numFmtId="0" fontId="1019" fillId="56" borderId="103" xfId="0" applyFill="true" applyAlignment="true" applyFont="true" applyBorder="true">
      <alignment horizontal="center" vertical="center" wrapText="true"/>
    </xf>
    <xf numFmtId="0" fontId="1019" fillId="56" borderId="66" xfId="0" applyFill="true" applyAlignment="true" applyFont="true" applyBorder="true">
      <alignment horizontal="center" vertical="center" wrapText="true"/>
    </xf>
    <xf numFmtId="0" fontId="1020" fillId="56" borderId="0" xfId="0" applyFill="true" applyAlignment="true" applyFont="true">
      <alignment horizontal="center" vertical="center" wrapText="true"/>
    </xf>
    <xf numFmtId="0" fontId="1021" fillId="44" borderId="0" xfId="0" applyFill="true" applyAlignment="true" applyFont="true">
      <alignment horizontal="center" vertical="center" wrapText="true"/>
    </xf>
    <xf numFmtId="0" fontId="1022" fillId="56" borderId="0" xfId="0" applyFill="true" applyAlignment="true" applyFont="true">
      <alignment horizontal="center" vertical="center" wrapText="true"/>
    </xf>
    <xf numFmtId="0" fontId="1023" fillId="56" borderId="0" xfId="0" applyFill="true" applyAlignment="true" applyFont="true">
      <alignment horizontal="center" vertical="center" wrapText="true"/>
    </xf>
    <xf numFmtId="0" fontId="1024" fillId="56" borderId="0" xfId="0" applyFill="true" applyAlignment="true" applyFont="true">
      <alignment horizontal="center" vertical="center" wrapText="true"/>
    </xf>
    <xf numFmtId="0" fontId="1020" fillId="56" borderId="107" xfId="0" applyFill="true" applyAlignment="true" applyFont="true" applyBorder="true">
      <alignment horizontal="center" vertical="center" wrapText="true"/>
    </xf>
    <xf numFmtId="0" fontId="1022" fillId="56" borderId="111" xfId="0" applyFill="true" applyAlignment="true" applyFont="true" applyBorder="true">
      <alignment horizontal="center" vertical="center" wrapText="true"/>
    </xf>
    <xf numFmtId="0" fontId="1022" fillId="56" borderId="111" xfId="0" applyFill="true" applyAlignment="true" applyFont="true" applyBorder="true">
      <alignment horizontal="center" vertical="center" wrapText="true"/>
    </xf>
    <xf numFmtId="0" fontId="1022" fillId="56" borderId="115" xfId="0" applyFill="true" applyAlignment="true" applyFont="true" applyBorder="true">
      <alignment horizontal="center" vertical="center" wrapText="true"/>
    </xf>
    <xf numFmtId="0" fontId="1021" fillId="44" borderId="119" xfId="0" applyFill="true" applyAlignment="true" applyFont="true" applyBorder="true">
      <alignment horizontal="center" vertical="center" wrapText="true"/>
    </xf>
    <xf numFmtId="0" fontId="1023" fillId="56" borderId="0" xfId="0" applyFill="true" applyAlignment="true" applyFont="true">
      <alignment horizontal="center" vertical="center" wrapText="true"/>
    </xf>
    <xf numFmtId="0" fontId="1023" fillId="56" borderId="0" xfId="0" applyFill="true" applyAlignment="true" applyFont="true">
      <alignment horizontal="center" vertical="center" wrapText="true"/>
    </xf>
    <xf numFmtId="0" fontId="1023" fillId="56" borderId="123" xfId="0" applyFill="true" applyAlignment="true" applyFont="true" applyBorder="true">
      <alignment horizontal="center" vertical="center" wrapText="true"/>
    </xf>
    <xf numFmtId="0" fontId="1021" fillId="44" borderId="119" xfId="0" applyFill="true" applyAlignment="true" applyFont="true" applyBorder="true">
      <alignment horizontal="center" vertical="center" wrapText="true"/>
    </xf>
    <xf numFmtId="0" fontId="1023" fillId="56" borderId="0" xfId="0" applyFill="true" applyAlignment="true" applyFont="true">
      <alignment horizontal="center" vertical="center" wrapText="true"/>
    </xf>
    <xf numFmtId="0" fontId="1023" fillId="56" borderId="0" xfId="0" applyFill="true" applyAlignment="true" applyFont="true">
      <alignment horizontal="center" vertical="center" wrapText="true"/>
    </xf>
    <xf numFmtId="0" fontId="1023" fillId="56" borderId="123" xfId="0" applyFill="true" applyAlignment="true" applyFont="true" applyBorder="true">
      <alignment horizontal="center" vertical="center" wrapText="true"/>
    </xf>
    <xf numFmtId="0" fontId="1021" fillId="44" borderId="119" xfId="0" applyFill="true" applyAlignment="true" applyFont="true" applyBorder="true">
      <alignment horizontal="center" vertical="center" wrapText="true"/>
    </xf>
    <xf numFmtId="0" fontId="1024" fillId="56" borderId="0" xfId="0" applyFill="true" applyAlignment="true" applyFont="true">
      <alignment horizontal="center" vertical="center" wrapText="true"/>
    </xf>
    <xf numFmtId="0" fontId="1024" fillId="56" borderId="0" xfId="0" applyFill="true" applyAlignment="true" applyFont="true">
      <alignment horizontal="center" vertical="center" wrapText="true"/>
    </xf>
    <xf numFmtId="0" fontId="1024" fillId="56" borderId="123" xfId="0" applyFill="true" applyAlignment="true" applyFont="true" applyBorder="true">
      <alignment horizontal="center" vertical="center" wrapText="true"/>
    </xf>
    <xf numFmtId="0" fontId="1020" fillId="56" borderId="127" xfId="0" applyFill="true" applyAlignment="true" applyFont="true" applyBorder="true">
      <alignment horizontal="center" vertical="center" wrapText="true"/>
    </xf>
    <xf numFmtId="0" fontId="1024" fillId="56" borderId="131" xfId="0" applyFill="true" applyAlignment="true" applyFont="true" applyBorder="true">
      <alignment horizontal="center" vertical="center" wrapText="true"/>
    </xf>
    <xf numFmtId="0" fontId="1024" fillId="56" borderId="131" xfId="0" applyFill="true" applyAlignment="true" applyFont="true" applyBorder="true">
      <alignment horizontal="center" vertical="center" wrapText="true"/>
    </xf>
    <xf numFmtId="0" fontId="1024" fillId="56" borderId="135" xfId="0" applyFill="true" applyAlignment="true" applyFont="true" applyBorder="true">
      <alignment horizontal="center" vertical="center" wrapText="true"/>
    </xf>
    <xf numFmtId="0" fontId="1025" fillId="56" borderId="0" xfId="0" applyFill="true" applyAlignment="true" applyFont="true">
      <alignment horizontal="center" vertical="center" wrapText="true"/>
    </xf>
    <xf numFmtId="0" fontId="1026" fillId="44" borderId="0" xfId="0" applyFill="true" applyAlignment="true" applyFont="true">
      <alignment horizontal="center" vertical="center" wrapText="true"/>
    </xf>
    <xf numFmtId="0" fontId="1027" fillId="56" borderId="0" xfId="0" applyFill="true" applyAlignment="true" applyFont="true">
      <alignment horizontal="center" vertical="center" wrapText="true"/>
    </xf>
    <xf numFmtId="0" fontId="1028" fillId="56" borderId="0" xfId="0" applyFill="true" applyAlignment="true" applyFont="true">
      <alignment horizontal="center" vertical="center" wrapText="true"/>
    </xf>
    <xf numFmtId="0" fontId="1029" fillId="56" borderId="0" xfId="0" applyFill="true" applyAlignment="true" applyFont="true">
      <alignment horizontal="center" vertical="center" wrapText="true"/>
    </xf>
    <xf numFmtId="0" fontId="1025" fillId="56" borderId="139" xfId="0" applyFill="true" applyAlignment="true" applyFont="true" applyBorder="true">
      <alignment horizontal="center" vertical="center" wrapText="true"/>
    </xf>
    <xf numFmtId="0" fontId="1027" fillId="56" borderId="143" xfId="0" applyFill="true" applyAlignment="true" applyFont="true" applyBorder="true">
      <alignment horizontal="center" vertical="center" wrapText="true"/>
    </xf>
    <xf numFmtId="0" fontId="1027" fillId="56" borderId="143" xfId="0" applyFill="true" applyAlignment="true" applyFont="true" applyBorder="true">
      <alignment horizontal="center" vertical="center" wrapText="true"/>
    </xf>
    <xf numFmtId="0" fontId="1027" fillId="56" borderId="147" xfId="0" applyFill="true" applyAlignment="true" applyFont="true" applyBorder="true">
      <alignment horizontal="center" vertical="center" wrapText="true"/>
    </xf>
    <xf numFmtId="0" fontId="1026" fillId="44" borderId="151" xfId="0" applyFill="true" applyAlignment="true" applyFont="true" applyBorder="true">
      <alignment horizontal="center" vertical="center" wrapText="true"/>
    </xf>
    <xf numFmtId="0" fontId="1028" fillId="56" borderId="0" xfId="0" applyFill="true" applyAlignment="true" applyFont="true">
      <alignment horizontal="center" vertical="center" wrapText="true"/>
    </xf>
    <xf numFmtId="0" fontId="1028" fillId="56" borderId="0" xfId="0" applyFill="true" applyAlignment="true" applyFont="true">
      <alignment horizontal="center" vertical="center" wrapText="true"/>
    </xf>
    <xf numFmtId="0" fontId="1028" fillId="56" borderId="155" xfId="0" applyFill="true" applyAlignment="true" applyFont="true" applyBorder="true">
      <alignment horizontal="center" vertical="center" wrapText="true"/>
    </xf>
    <xf numFmtId="0" fontId="1026" fillId="44" borderId="151" xfId="0" applyFill="true" applyAlignment="true" applyFont="true" applyBorder="true">
      <alignment horizontal="center" vertical="center" wrapText="true"/>
    </xf>
    <xf numFmtId="0" fontId="1028" fillId="56" borderId="0" xfId="0" applyFill="true" applyAlignment="true" applyFont="true">
      <alignment horizontal="center" vertical="center" wrapText="true"/>
    </xf>
    <xf numFmtId="0" fontId="1028" fillId="56" borderId="0" xfId="0" applyFill="true" applyAlignment="true" applyFont="true">
      <alignment horizontal="center" vertical="center" wrapText="true"/>
    </xf>
    <xf numFmtId="0" fontId="1028" fillId="56" borderId="155" xfId="0" applyFill="true" applyAlignment="true" applyFont="true" applyBorder="true">
      <alignment horizontal="center" vertical="center" wrapText="true"/>
    </xf>
    <xf numFmtId="0" fontId="1026" fillId="44" borderId="151" xfId="0" applyFill="true" applyAlignment="true" applyFont="true" applyBorder="true">
      <alignment horizontal="center" vertical="center" wrapText="true"/>
    </xf>
    <xf numFmtId="0" fontId="1029" fillId="56" borderId="0" xfId="0" applyFill="true" applyAlignment="true" applyFont="true">
      <alignment horizontal="center" vertical="center" wrapText="true"/>
    </xf>
    <xf numFmtId="0" fontId="1029" fillId="56" borderId="0" xfId="0" applyFill="true" applyAlignment="true" applyFont="true">
      <alignment horizontal="center" vertical="center" wrapText="true"/>
    </xf>
    <xf numFmtId="0" fontId="1029" fillId="56" borderId="155" xfId="0" applyFill="true" applyAlignment="true" applyFont="true" applyBorder="true">
      <alignment horizontal="center" vertical="center" wrapText="true"/>
    </xf>
    <xf numFmtId="0" fontId="1025" fillId="56" borderId="159" xfId="0" applyFill="true" applyAlignment="true" applyFont="true" applyBorder="true">
      <alignment horizontal="center" vertical="center" wrapText="true"/>
    </xf>
    <xf numFmtId="0" fontId="1029" fillId="56" borderId="163" xfId="0" applyFill="true" applyAlignment="true" applyFont="true" applyBorder="true">
      <alignment horizontal="center" vertical="center" wrapText="true"/>
    </xf>
    <xf numFmtId="0" fontId="1029" fillId="56" borderId="163" xfId="0" applyFill="true" applyAlignment="true" applyFont="true" applyBorder="true">
      <alignment horizontal="center" vertical="center" wrapText="true"/>
    </xf>
    <xf numFmtId="0" fontId="1029" fillId="56" borderId="167" xfId="0" applyFill="true" applyAlignment="true" applyFont="true" applyBorder="true">
      <alignment horizontal="center" vertical="center" wrapText="true"/>
    </xf>
    <xf numFmtId="0" fontId="1030" fillId="56" borderId="0" xfId="0" applyFill="true" applyAlignment="true" applyFont="true">
      <alignment horizontal="center" vertical="center" wrapText="true"/>
    </xf>
    <xf numFmtId="0" fontId="1031" fillId="44" borderId="0" xfId="0" applyFill="true" applyAlignment="true" applyFont="true">
      <alignment horizontal="center" vertical="center" wrapText="true"/>
    </xf>
    <xf numFmtId="0" fontId="1032" fillId="56" borderId="0" xfId="0" applyFill="true" applyAlignment="true" applyFont="true">
      <alignment horizontal="center" vertical="center" wrapText="true"/>
    </xf>
    <xf numFmtId="0" fontId="1033" fillId="56" borderId="0" xfId="0" applyFill="true" applyAlignment="true" applyFont="true">
      <alignment horizontal="center" vertical="center" wrapText="true"/>
    </xf>
    <xf numFmtId="0" fontId="1034" fillId="56" borderId="0" xfId="0" applyFill="true" applyAlignment="true" applyFont="true">
      <alignment horizontal="center" vertical="center" wrapText="true"/>
    </xf>
    <xf numFmtId="0" fontId="1030" fillId="56" borderId="107" xfId="0" applyFill="true" applyAlignment="true" applyFont="true" applyBorder="true">
      <alignment horizontal="center" vertical="center" wrapText="true"/>
    </xf>
    <xf numFmtId="0" fontId="1032" fillId="56" borderId="111" xfId="0" applyFill="true" applyAlignment="true" applyFont="true" applyBorder="true">
      <alignment horizontal="center" vertical="center" wrapText="true"/>
    </xf>
    <xf numFmtId="0" fontId="1032" fillId="56" borderId="111" xfId="0" applyFill="true" applyAlignment="true" applyFont="true" applyBorder="true">
      <alignment horizontal="center" vertical="center" wrapText="true"/>
    </xf>
    <xf numFmtId="0" fontId="1032" fillId="56" borderId="115" xfId="0" applyFill="true" applyAlignment="true" applyFont="true" applyBorder="true">
      <alignment horizontal="center" vertical="center" wrapText="true"/>
    </xf>
    <xf numFmtId="0" fontId="1031" fillId="44" borderId="119" xfId="0" applyFill="true" applyAlignment="true" applyFont="true" applyBorder="true">
      <alignment horizontal="center" vertical="center" wrapText="true"/>
    </xf>
    <xf numFmtId="0" fontId="1033" fillId="56" borderId="0" xfId="0" applyFill="true" applyAlignment="true" applyFont="true">
      <alignment horizontal="center" vertical="center" wrapText="true"/>
    </xf>
    <xf numFmtId="0" fontId="1033" fillId="56" borderId="0" xfId="0" applyFill="true" applyAlignment="true" applyFont="true">
      <alignment horizontal="center" vertical="center" wrapText="true"/>
    </xf>
    <xf numFmtId="0" fontId="1033" fillId="56" borderId="123" xfId="0" applyFill="true" applyAlignment="true" applyFont="true" applyBorder="true">
      <alignment horizontal="center" vertical="center" wrapText="true"/>
    </xf>
    <xf numFmtId="0" fontId="1031" fillId="44" borderId="119" xfId="0" applyFill="true" applyAlignment="true" applyFont="true" applyBorder="true">
      <alignment horizontal="center" vertical="center" wrapText="true"/>
    </xf>
    <xf numFmtId="0" fontId="1033" fillId="56" borderId="0" xfId="0" applyFill="true" applyAlignment="true" applyFont="true">
      <alignment horizontal="center" vertical="center" wrapText="true"/>
    </xf>
    <xf numFmtId="0" fontId="1033" fillId="56" borderId="0" xfId="0" applyFill="true" applyAlignment="true" applyFont="true">
      <alignment horizontal="center" vertical="center" wrapText="true"/>
    </xf>
    <xf numFmtId="0" fontId="1033" fillId="56" borderId="123" xfId="0" applyFill="true" applyAlignment="true" applyFont="true" applyBorder="true">
      <alignment horizontal="center" vertical="center" wrapText="true"/>
    </xf>
    <xf numFmtId="0" fontId="1031" fillId="44" borderId="119" xfId="0" applyFill="true" applyAlignment="true" applyFont="true" applyBorder="true">
      <alignment horizontal="center" vertical="center" wrapText="true"/>
    </xf>
    <xf numFmtId="0" fontId="1034" fillId="56" borderId="0" xfId="0" applyFill="true" applyAlignment="true" applyFont="true">
      <alignment horizontal="center" vertical="center" wrapText="true"/>
    </xf>
    <xf numFmtId="0" fontId="1034" fillId="56" borderId="0" xfId="0" applyFill="true" applyAlignment="true" applyFont="true">
      <alignment horizontal="center" vertical="center" wrapText="true"/>
    </xf>
    <xf numFmtId="0" fontId="1034" fillId="56" borderId="123" xfId="0" applyFill="true" applyAlignment="true" applyFont="true" applyBorder="true">
      <alignment horizontal="center" vertical="center" wrapText="true"/>
    </xf>
    <xf numFmtId="0" fontId="1030" fillId="56" borderId="127" xfId="0" applyFill="true" applyAlignment="true" applyFont="true" applyBorder="true">
      <alignment horizontal="center" vertical="center" wrapText="true"/>
    </xf>
    <xf numFmtId="0" fontId="1034" fillId="56" borderId="131" xfId="0" applyFill="true" applyAlignment="true" applyFont="true" applyBorder="true">
      <alignment horizontal="center" vertical="center" wrapText="true"/>
    </xf>
    <xf numFmtId="0" fontId="1034" fillId="56" borderId="131" xfId="0" applyFill="true" applyAlignment="true" applyFont="true" applyBorder="true">
      <alignment horizontal="center" vertical="center" wrapText="true"/>
    </xf>
    <xf numFmtId="0" fontId="1034" fillId="56" borderId="135" xfId="0" applyFill="true" applyAlignment="true" applyFont="true" applyBorder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41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99" xfId="0" applyFill="true" applyAlignment="true" applyFont="true" applyBorder="true">
      <alignment horizontal="center" vertical="center" wrapText="true"/>
    </xf>
    <xf numFmtId="0" fontId="1035" fillId="56" borderId="46" xfId="0" applyFill="true" applyAlignment="true" applyFont="true" applyBorder="true">
      <alignment horizontal="center" vertical="center" wrapText="true"/>
    </xf>
    <xf numFmtId="0" fontId="1035" fillId="56" borderId="51" xfId="0" applyFill="true" applyAlignment="true" applyFont="true" applyBorder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56" xfId="0" applyFill="true" applyAlignment="true" applyFont="true" applyBorder="true">
      <alignment horizontal="center" vertical="center" wrapText="true"/>
    </xf>
    <xf numFmtId="0" fontId="1035" fillId="56" borderId="51" xfId="0" applyFill="true" applyAlignment="true" applyFont="true" applyBorder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56" xfId="0" applyFill="true" applyAlignment="true" applyFont="true" applyBorder="true">
      <alignment horizontal="center" vertical="center" wrapText="true"/>
    </xf>
    <xf numFmtId="0" fontId="1035" fillId="56" borderId="51" xfId="0" applyFill="true" applyAlignment="true" applyFont="true" applyBorder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56" xfId="0" applyFill="true" applyAlignment="true" applyFont="true" applyBorder="true">
      <alignment horizontal="center" vertical="center" wrapText="true"/>
    </xf>
    <xf numFmtId="0" fontId="1035" fillId="56" borderId="51" xfId="0" applyFill="true" applyAlignment="true" applyFont="true" applyBorder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56" xfId="0" applyFill="true" applyAlignment="true" applyFont="true" applyBorder="true">
      <alignment horizontal="center" vertical="center" wrapText="true"/>
    </xf>
    <xf numFmtId="0" fontId="1035" fillId="56" borderId="51" xfId="0" applyFill="true" applyAlignment="true" applyFont="true" applyBorder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56" xfId="0" applyFill="true" applyAlignment="true" applyFont="true" applyBorder="true">
      <alignment horizontal="center" vertical="center" wrapText="true"/>
    </xf>
    <xf numFmtId="0" fontId="1035" fillId="56" borderId="51" xfId="0" applyFill="true" applyAlignment="true" applyFont="true" applyBorder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0" xfId="0" applyFill="true" applyAlignment="true" applyFont="true">
      <alignment horizontal="center" vertical="center" wrapText="true"/>
    </xf>
    <xf numFmtId="0" fontId="1035" fillId="56" borderId="56" xfId="0" applyFill="true" applyAlignment="true" applyFont="true" applyBorder="true">
      <alignment horizontal="center" vertical="center" wrapText="true"/>
    </xf>
    <xf numFmtId="0" fontId="1035" fillId="56" borderId="61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103" xfId="0" applyFill="true" applyAlignment="true" applyFont="true" applyBorder="true">
      <alignment horizontal="center" vertical="center" wrapText="true"/>
    </xf>
    <xf numFmtId="0" fontId="1035" fillId="56" borderId="66" xfId="0" applyFill="true" applyAlignment="true" applyFont="true" applyBorder="true">
      <alignment horizontal="center" vertical="center" wrapText="true"/>
    </xf>
    <xf numFmtId="0" fontId="1036" fillId="56" borderId="0" xfId="0" applyFill="true" applyAlignment="true" applyFont="true">
      <alignment horizontal="center" vertical="center" wrapText="true"/>
    </xf>
    <xf numFmtId="0" fontId="1037" fillId="56" borderId="0" xfId="0" applyFill="true" applyAlignment="true" applyFont="true">
      <alignment horizontal="center" vertical="center" wrapText="true"/>
    </xf>
    <xf numFmtId="0" fontId="1038" fillId="46" borderId="0" xfId="0" applyFill="true" applyAlignment="true" applyFont="true">
      <alignment horizontal="center" vertical="center" wrapText="true"/>
    </xf>
    <xf numFmtId="0" fontId="1039" fillId="46" borderId="0" xfId="0" applyFill="true" applyAlignment="true" applyFont="true">
      <alignment horizontal="center" vertical="center" wrapText="true"/>
    </xf>
    <xf numFmtId="0" fontId="1040" fillId="46" borderId="0" xfId="0" applyFill="true" applyAlignment="true" applyFont="true">
      <alignment horizontal="center" vertical="center" wrapText="true"/>
    </xf>
    <xf numFmtId="0" fontId="1041" fillId="46" borderId="0" xfId="0" applyFill="true" applyAlignment="true" applyFont="true">
      <alignment horizontal="center" vertical="center" wrapText="true"/>
    </xf>
    <xf numFmtId="0" fontId="1042" fillId="46" borderId="0" xfId="0" applyFill="true" applyAlignment="true" applyFont="true">
      <alignment horizontal="center" vertical="center" wrapText="true"/>
    </xf>
    <xf numFmtId="0" fontId="1043" fillId="48" borderId="0" xfId="0" applyFill="true" applyAlignment="true" applyFont="true">
      <alignment horizontal="center" vertical="center" wrapText="true"/>
    </xf>
    <xf numFmtId="164" fontId="1043" fillId="48" borderId="0" xfId="0" applyFill="true" applyAlignment="true" applyFont="true" applyNumberForma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41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99" xfId="0" applyFill="true" applyAlignment="true" applyFont="true" applyBorder="true">
      <alignment horizontal="center" vertical="center" wrapText="true"/>
    </xf>
    <xf numFmtId="0" fontId="1044" fillId="56" borderId="46" xfId="0" applyFill="true" applyAlignment="true" applyFont="true" applyBorder="true">
      <alignment horizontal="center" vertical="center" wrapText="true"/>
    </xf>
    <xf numFmtId="0" fontId="1044" fillId="56" borderId="51" xfId="0" applyFill="true" applyAlignment="true" applyFont="true" applyBorder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56" xfId="0" applyFill="true" applyAlignment="true" applyFont="true" applyBorder="true">
      <alignment horizontal="center" vertical="center" wrapText="true"/>
    </xf>
    <xf numFmtId="0" fontId="1044" fillId="56" borderId="51" xfId="0" applyFill="true" applyAlignment="true" applyFont="true" applyBorder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56" xfId="0" applyFill="true" applyAlignment="true" applyFont="true" applyBorder="true">
      <alignment horizontal="center" vertical="center" wrapText="true"/>
    </xf>
    <xf numFmtId="0" fontId="1044" fillId="56" borderId="51" xfId="0" applyFill="true" applyAlignment="true" applyFont="true" applyBorder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56" xfId="0" applyFill="true" applyAlignment="true" applyFont="true" applyBorder="true">
      <alignment horizontal="center" vertical="center" wrapText="true"/>
    </xf>
    <xf numFmtId="0" fontId="1044" fillId="56" borderId="51" xfId="0" applyFill="true" applyAlignment="true" applyFont="true" applyBorder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56" xfId="0" applyFill="true" applyAlignment="true" applyFont="true" applyBorder="true">
      <alignment horizontal="center" vertical="center" wrapText="true"/>
    </xf>
    <xf numFmtId="0" fontId="1044" fillId="56" borderId="51" xfId="0" applyFill="true" applyAlignment="true" applyFont="true" applyBorder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56" xfId="0" applyFill="true" applyAlignment="true" applyFont="true" applyBorder="true">
      <alignment horizontal="center" vertical="center" wrapText="true"/>
    </xf>
    <xf numFmtId="0" fontId="1044" fillId="56" borderId="51" xfId="0" applyFill="true" applyAlignment="true" applyFont="true" applyBorder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56" xfId="0" applyFill="true" applyAlignment="true" applyFont="true" applyBorder="true">
      <alignment horizontal="center" vertical="center" wrapText="true"/>
    </xf>
    <xf numFmtId="0" fontId="1044" fillId="56" borderId="51" xfId="0" applyFill="true" applyAlignment="true" applyFont="true" applyBorder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0" xfId="0" applyFill="true" applyAlignment="true" applyFont="true">
      <alignment horizontal="center" vertical="center" wrapText="true"/>
    </xf>
    <xf numFmtId="0" fontId="1044" fillId="56" borderId="56" xfId="0" applyFill="true" applyAlignment="true" applyFont="true" applyBorder="true">
      <alignment horizontal="center" vertical="center" wrapText="true"/>
    </xf>
    <xf numFmtId="0" fontId="1044" fillId="56" borderId="61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103" xfId="0" applyFill="true" applyAlignment="true" applyFont="true" applyBorder="true">
      <alignment horizontal="center" vertical="center" wrapText="true"/>
    </xf>
    <xf numFmtId="0" fontId="1044" fillId="56" borderId="66" xfId="0" applyFill="true" applyAlignment="true" applyFont="true" applyBorder="true">
      <alignment horizontal="center" vertical="center" wrapText="true"/>
    </xf>
    <xf numFmtId="0" fontId="1045" fillId="56" borderId="0" xfId="0" applyFill="true" applyAlignment="true" applyFont="true">
      <alignment horizontal="center" vertical="center" wrapText="true"/>
    </xf>
    <xf numFmtId="0" fontId="1046" fillId="56" borderId="0" xfId="0" applyFill="true" applyAlignment="true" applyFont="true">
      <alignment horizontal="center" vertical="center" wrapText="true"/>
    </xf>
    <xf numFmtId="0" fontId="1047" fillId="48" borderId="0" xfId="0" applyFill="true" applyAlignment="true" applyFont="true">
      <alignment horizontal="center" vertical="center" wrapText="true"/>
    </xf>
    <xf numFmtId="0" fontId="1048" fillId="46" borderId="0" xfId="0" applyFill="true" applyAlignment="true" applyFont="true">
      <alignment horizontal="center" vertical="center" wrapText="true"/>
    </xf>
    <xf numFmtId="0" fontId="1049" fillId="48" borderId="0" xfId="0" applyFill="true" applyAlignment="true" applyFont="true">
      <alignment horizontal="center" vertical="center" wrapText="true"/>
    </xf>
    <xf numFmtId="0" fontId="1050" fillId="48" borderId="0" xfId="0" applyFill="true" applyAlignment="true" applyFont="true">
      <alignment horizontal="center" vertical="center" wrapText="true"/>
    </xf>
    <xf numFmtId="0" fontId="1051" fillId="56" borderId="0" xfId="0" applyFill="true" applyAlignment="true" applyFont="true">
      <alignment horizontal="center" vertical="center" wrapText="true"/>
    </xf>
    <xf numFmtId="0" fontId="1048" fillId="46" borderId="71" xfId="0" applyFill="true" applyAlignment="true" applyFont="true" applyBorder="true">
      <alignment horizontal="center" vertical="center" wrapText="true"/>
    </xf>
    <xf numFmtId="0" fontId="1048" fillId="46" borderId="203" xfId="0" applyFill="true" applyAlignment="true" applyFont="true" applyBorder="true">
      <alignment horizontal="center" vertical="center" wrapText="true"/>
    </xf>
    <xf numFmtId="0" fontId="1048" fillId="46" borderId="203" xfId="0" applyFill="true" applyAlignment="true" applyFont="true" applyBorder="true">
      <alignment horizontal="center" vertical="center" wrapText="true"/>
    </xf>
    <xf numFmtId="0" fontId="1048" fillId="46" borderId="75" xfId="0" applyFill="true" applyAlignment="true" applyFont="true" applyBorder="true">
      <alignment horizontal="center" vertical="center" wrapText="true"/>
    </xf>
    <xf numFmtId="0" fontId="1049" fillId="48" borderId="80" xfId="0" applyFill="true" applyAlignment="true" applyFont="true" applyBorder="true">
      <alignment horizontal="center" vertical="center" wrapText="true"/>
    </xf>
    <xf numFmtId="0" fontId="1049" fillId="48" borderId="0" xfId="0" applyFill="true" applyAlignment="true" applyFont="true">
      <alignment horizontal="center" vertical="center" wrapText="true"/>
    </xf>
    <xf numFmtId="0" fontId="1049" fillId="48" borderId="0" xfId="0" applyFill="true" applyAlignment="true" applyFont="true">
      <alignment horizontal="center" vertical="center" wrapText="true"/>
    </xf>
    <xf numFmtId="0" fontId="1049" fillId="48" borderId="85" xfId="0" applyFill="true" applyAlignment="true" applyFont="true" applyBorder="true">
      <alignment horizontal="center" vertical="center" wrapText="true"/>
    </xf>
    <xf numFmtId="0" fontId="1049" fillId="48" borderId="80" xfId="0" applyFill="true" applyAlignment="true" applyFont="true" applyBorder="true">
      <alignment horizontal="center" vertical="center" wrapText="true"/>
    </xf>
    <xf numFmtId="0" fontId="1049" fillId="48" borderId="0" xfId="0" applyFill="true" applyAlignment="true" applyFont="true">
      <alignment horizontal="center" vertical="center" wrapText="true"/>
    </xf>
    <xf numFmtId="0" fontId="1049" fillId="48" borderId="0" xfId="0" applyFill="true" applyAlignment="true" applyFont="true">
      <alignment horizontal="center" vertical="center" wrapText="true"/>
    </xf>
    <xf numFmtId="0" fontId="1049" fillId="48" borderId="85" xfId="0" applyFill="true" applyAlignment="true" applyFont="true" applyBorder="true">
      <alignment horizontal="center" vertical="center" wrapText="true"/>
    </xf>
    <xf numFmtId="0" fontId="1050" fillId="48" borderId="80" xfId="0" applyFill="true" applyAlignment="true" applyFont="true" applyBorder="true">
      <alignment horizontal="center" vertical="center" wrapText="true"/>
    </xf>
    <xf numFmtId="0" fontId="1050" fillId="48" borderId="0" xfId="0" applyFill="true" applyAlignment="true" applyFont="true">
      <alignment horizontal="center" vertical="center" wrapText="true"/>
    </xf>
    <xf numFmtId="0" fontId="1050" fillId="48" borderId="0" xfId="0" applyFill="true" applyAlignment="true" applyFont="true">
      <alignment horizontal="center" vertical="center" wrapText="true"/>
    </xf>
    <xf numFmtId="0" fontId="1050" fillId="48" borderId="85" xfId="0" applyFill="true" applyAlignment="true" applyFont="true" applyBorder="true">
      <alignment horizontal="center" vertical="center" wrapText="true"/>
    </xf>
    <xf numFmtId="0" fontId="1051" fillId="56" borderId="80" xfId="0" applyFill="true" applyAlignment="true" applyFont="true" applyBorder="true">
      <alignment horizontal="center" vertical="center" wrapText="true"/>
    </xf>
    <xf numFmtId="0" fontId="1051" fillId="56" borderId="0" xfId="0" applyFill="true" applyAlignment="true" applyFont="true">
      <alignment horizontal="center" vertical="center" wrapText="true"/>
    </xf>
    <xf numFmtId="0" fontId="1051" fillId="56" borderId="0" xfId="0" applyFill="true" applyAlignment="true" applyFont="true">
      <alignment horizontal="center" vertical="center" wrapText="true"/>
    </xf>
    <xf numFmtId="0" fontId="1051" fillId="56" borderId="85" xfId="0" applyFill="true" applyAlignment="true" applyFont="true" applyBorder="true">
      <alignment horizontal="center" vertical="center" wrapText="true"/>
    </xf>
    <xf numFmtId="0" fontId="1051" fillId="56" borderId="90" xfId="0" applyFill="true" applyAlignment="true" applyFont="true" applyBorder="true">
      <alignment horizontal="center" vertical="center" wrapText="true"/>
    </xf>
    <xf numFmtId="0" fontId="1051" fillId="56" borderId="207" xfId="0" applyFill="true" applyAlignment="true" applyFont="true" applyBorder="true">
      <alignment horizontal="center" vertical="center" wrapText="true"/>
    </xf>
    <xf numFmtId="0" fontId="1051" fillId="56" borderId="207" xfId="0" applyFill="true" applyAlignment="true" applyFont="true" applyBorder="true">
      <alignment horizontal="center" vertical="center" wrapText="true"/>
    </xf>
    <xf numFmtId="0" fontId="1051" fillId="56" borderId="95" xfId="0" applyFill="true" applyAlignment="true" applyFont="true" applyBorder="true">
      <alignment horizontal="center" vertical="center" wrapText="true"/>
    </xf>
    <xf numFmtId="0" fontId="1052" fillId="48" borderId="0" xfId="0" applyFill="true" applyAlignment="true" applyFont="true">
      <alignment horizontal="center" vertical="center" wrapText="true"/>
    </xf>
    <xf numFmtId="0" fontId="1053" fillId="46" borderId="0" xfId="0" applyFill="true" applyAlignment="true" applyFont="true">
      <alignment horizontal="center" vertical="center" wrapText="true"/>
    </xf>
    <xf numFmtId="0" fontId="1054" fillId="48" borderId="0" xfId="0" applyFill="true" applyAlignment="true" applyFont="true">
      <alignment horizontal="center" vertical="center" wrapText="true"/>
    </xf>
    <xf numFmtId="0" fontId="1055" fillId="48" borderId="0" xfId="0" applyFill="true" applyAlignment="true" applyFont="true">
      <alignment horizontal="center" vertical="center" wrapText="true"/>
    </xf>
    <xf numFmtId="0" fontId="1056" fillId="56" borderId="0" xfId="0" applyFill="true" applyAlignment="true" applyFont="true">
      <alignment horizontal="center" vertical="center" wrapText="true"/>
    </xf>
    <xf numFmtId="0" fontId="1053" fillId="46" borderId="71" xfId="0" applyFill="true" applyAlignment="true" applyFont="true" applyBorder="true">
      <alignment horizontal="center" vertical="center" wrapText="true"/>
    </xf>
    <xf numFmtId="0" fontId="1053" fillId="46" borderId="203" xfId="0" applyFill="true" applyAlignment="true" applyFont="true" applyBorder="true">
      <alignment horizontal="center" vertical="center" wrapText="true"/>
    </xf>
    <xf numFmtId="0" fontId="1053" fillId="46" borderId="203" xfId="0" applyFill="true" applyAlignment="true" applyFont="true" applyBorder="true">
      <alignment horizontal="center" vertical="center" wrapText="true"/>
    </xf>
    <xf numFmtId="0" fontId="1053" fillId="46" borderId="75" xfId="0" applyFill="true" applyAlignment="true" applyFont="true" applyBorder="true">
      <alignment horizontal="center" vertical="center" wrapText="true"/>
    </xf>
    <xf numFmtId="0" fontId="1054" fillId="48" borderId="80" xfId="0" applyFill="true" applyAlignment="true" applyFont="true" applyBorder="true">
      <alignment horizontal="center" vertical="center" wrapText="true"/>
    </xf>
    <xf numFmtId="0" fontId="1054" fillId="48" borderId="0" xfId="0" applyFill="true" applyAlignment="true" applyFont="true">
      <alignment horizontal="center" vertical="center" wrapText="true"/>
    </xf>
    <xf numFmtId="0" fontId="1054" fillId="48" borderId="0" xfId="0" applyFill="true" applyAlignment="true" applyFont="true">
      <alignment horizontal="center" vertical="center" wrapText="true"/>
    </xf>
    <xf numFmtId="0" fontId="1054" fillId="48" borderId="85" xfId="0" applyFill="true" applyAlignment="true" applyFont="true" applyBorder="true">
      <alignment horizontal="center" vertical="center" wrapText="true"/>
    </xf>
    <xf numFmtId="0" fontId="1054" fillId="48" borderId="80" xfId="0" applyFill="true" applyAlignment="true" applyFont="true" applyBorder="true">
      <alignment horizontal="center" vertical="center" wrapText="true"/>
    </xf>
    <xf numFmtId="0" fontId="1054" fillId="48" borderId="0" xfId="0" applyFill="true" applyAlignment="true" applyFont="true">
      <alignment horizontal="center" vertical="center" wrapText="true"/>
    </xf>
    <xf numFmtId="0" fontId="1054" fillId="48" borderId="0" xfId="0" applyFill="true" applyAlignment="true" applyFont="true">
      <alignment horizontal="center" vertical="center" wrapText="true"/>
    </xf>
    <xf numFmtId="0" fontId="1054" fillId="48" borderId="85" xfId="0" applyFill="true" applyAlignment="true" applyFont="true" applyBorder="true">
      <alignment horizontal="center" vertical="center" wrapText="true"/>
    </xf>
    <xf numFmtId="0" fontId="1055" fillId="48" borderId="80" xfId="0" applyFill="true" applyAlignment="true" applyFont="true" applyBorder="true">
      <alignment horizontal="center" vertical="center" wrapText="true"/>
    </xf>
    <xf numFmtId="0" fontId="1055" fillId="48" borderId="0" xfId="0" applyFill="true" applyAlignment="true" applyFont="true">
      <alignment horizontal="center" vertical="center" wrapText="true"/>
    </xf>
    <xf numFmtId="0" fontId="1055" fillId="48" borderId="0" xfId="0" applyFill="true" applyAlignment="true" applyFont="true">
      <alignment horizontal="center" vertical="center" wrapText="true"/>
    </xf>
    <xf numFmtId="0" fontId="1055" fillId="48" borderId="85" xfId="0" applyFill="true" applyAlignment="true" applyFont="true" applyBorder="true">
      <alignment horizontal="center" vertical="center" wrapText="true"/>
    </xf>
    <xf numFmtId="0" fontId="1056" fillId="56" borderId="80" xfId="0" applyFill="true" applyAlignment="true" applyFont="true" applyBorder="true">
      <alignment horizontal="center" vertical="center" wrapText="true"/>
    </xf>
    <xf numFmtId="0" fontId="1056" fillId="56" borderId="0" xfId="0" applyFill="true" applyAlignment="true" applyFont="true">
      <alignment horizontal="center" vertical="center" wrapText="true"/>
    </xf>
    <xf numFmtId="0" fontId="1056" fillId="56" borderId="0" xfId="0" applyFill="true" applyAlignment="true" applyFont="true">
      <alignment horizontal="center" vertical="center" wrapText="true"/>
    </xf>
    <xf numFmtId="0" fontId="1056" fillId="56" borderId="85" xfId="0" applyFill="true" applyAlignment="true" applyFont="true" applyBorder="true">
      <alignment horizontal="center" vertical="center" wrapText="true"/>
    </xf>
    <xf numFmtId="0" fontId="1056" fillId="56" borderId="90" xfId="0" applyFill="true" applyAlignment="true" applyFont="true" applyBorder="true">
      <alignment horizontal="center" vertical="center" wrapText="true"/>
    </xf>
    <xf numFmtId="0" fontId="1056" fillId="56" borderId="207" xfId="0" applyFill="true" applyAlignment="true" applyFont="true" applyBorder="true">
      <alignment horizontal="center" vertical="center" wrapText="true"/>
    </xf>
    <xf numFmtId="0" fontId="1056" fillId="56" borderId="207" xfId="0" applyFill="true" applyAlignment="true" applyFont="true" applyBorder="true">
      <alignment horizontal="center" vertical="center" wrapText="true"/>
    </xf>
    <xf numFmtId="0" fontId="1056" fillId="56" borderId="95" xfId="0" applyFill="true" applyAlignment="true" applyFont="true" applyBorder="true">
      <alignment horizontal="center" vertical="center" wrapText="true"/>
    </xf>
    <xf numFmtId="0" fontId="1057" fillId="48" borderId="0" xfId="0" applyFill="true" applyAlignment="true" applyFont="true">
      <alignment horizontal="center" vertical="center" wrapText="true"/>
    </xf>
    <xf numFmtId="0" fontId="1058" fillId="46" borderId="0" xfId="0" applyFill="true" applyAlignment="true" applyFont="true">
      <alignment horizontal="center" vertical="center" wrapText="true"/>
    </xf>
    <xf numFmtId="0" fontId="1059" fillId="48" borderId="0" xfId="0" applyFill="true" applyAlignment="true" applyFont="true">
      <alignment horizontal="center" vertical="center" wrapText="true"/>
    </xf>
    <xf numFmtId="0" fontId="1060" fillId="48" borderId="0" xfId="0" applyFill="true" applyAlignment="true" applyFont="true">
      <alignment horizontal="center" vertical="center" wrapText="true"/>
    </xf>
    <xf numFmtId="0" fontId="1061" fillId="56" borderId="0" xfId="0" applyFill="true" applyAlignment="true" applyFont="true">
      <alignment horizontal="center" vertical="center" wrapText="true"/>
    </xf>
    <xf numFmtId="0" fontId="1058" fillId="46" borderId="71" xfId="0" applyFill="true" applyAlignment="true" applyFont="true" applyBorder="true">
      <alignment horizontal="center" vertical="center" wrapText="true"/>
    </xf>
    <xf numFmtId="0" fontId="1058" fillId="46" borderId="203" xfId="0" applyFill="true" applyAlignment="true" applyFont="true" applyBorder="true">
      <alignment horizontal="center" vertical="center" wrapText="true"/>
    </xf>
    <xf numFmtId="0" fontId="1058" fillId="46" borderId="203" xfId="0" applyFill="true" applyAlignment="true" applyFont="true" applyBorder="true">
      <alignment horizontal="center" vertical="center" wrapText="true"/>
    </xf>
    <xf numFmtId="0" fontId="1058" fillId="46" borderId="75" xfId="0" applyFill="true" applyAlignment="true" applyFont="true" applyBorder="true">
      <alignment horizontal="center" vertical="center" wrapText="true"/>
    </xf>
    <xf numFmtId="0" fontId="1059" fillId="48" borderId="80" xfId="0" applyFill="true" applyAlignment="true" applyFont="true" applyBorder="true">
      <alignment horizontal="center" vertical="center" wrapText="true"/>
    </xf>
    <xf numFmtId="0" fontId="1059" fillId="48" borderId="0" xfId="0" applyFill="true" applyAlignment="true" applyFont="true">
      <alignment horizontal="center" vertical="center" wrapText="true"/>
    </xf>
    <xf numFmtId="0" fontId="1059" fillId="48" borderId="0" xfId="0" applyFill="true" applyAlignment="true" applyFont="true">
      <alignment horizontal="center" vertical="center" wrapText="true"/>
    </xf>
    <xf numFmtId="0" fontId="1059" fillId="48" borderId="85" xfId="0" applyFill="true" applyAlignment="true" applyFont="true" applyBorder="true">
      <alignment horizontal="center" vertical="center" wrapText="true"/>
    </xf>
    <xf numFmtId="0" fontId="1059" fillId="48" borderId="80" xfId="0" applyFill="true" applyAlignment="true" applyFont="true" applyBorder="true">
      <alignment horizontal="center" vertical="center" wrapText="true"/>
    </xf>
    <xf numFmtId="0" fontId="1059" fillId="48" borderId="0" xfId="0" applyFill="true" applyAlignment="true" applyFont="true">
      <alignment horizontal="center" vertical="center" wrapText="true"/>
    </xf>
    <xf numFmtId="0" fontId="1059" fillId="48" borderId="0" xfId="0" applyFill="true" applyAlignment="true" applyFont="true">
      <alignment horizontal="center" vertical="center" wrapText="true"/>
    </xf>
    <xf numFmtId="0" fontId="1059" fillId="48" borderId="85" xfId="0" applyFill="true" applyAlignment="true" applyFont="true" applyBorder="true">
      <alignment horizontal="center" vertical="center" wrapText="true"/>
    </xf>
    <xf numFmtId="0" fontId="1060" fillId="48" borderId="80" xfId="0" applyFill="true" applyAlignment="true" applyFont="true" applyBorder="true">
      <alignment horizontal="center" vertical="center" wrapText="true"/>
    </xf>
    <xf numFmtId="0" fontId="1060" fillId="48" borderId="0" xfId="0" applyFill="true" applyAlignment="true" applyFont="true">
      <alignment horizontal="center" vertical="center" wrapText="true"/>
    </xf>
    <xf numFmtId="0" fontId="1060" fillId="48" borderId="0" xfId="0" applyFill="true" applyAlignment="true" applyFont="true">
      <alignment horizontal="center" vertical="center" wrapText="true"/>
    </xf>
    <xf numFmtId="0" fontId="1060" fillId="48" borderId="85" xfId="0" applyFill="true" applyAlignment="true" applyFont="true" applyBorder="true">
      <alignment horizontal="center" vertical="center" wrapText="true"/>
    </xf>
    <xf numFmtId="0" fontId="1061" fillId="56" borderId="80" xfId="0" applyFill="true" applyAlignment="true" applyFont="true" applyBorder="true">
      <alignment horizontal="center" vertical="center" wrapText="true"/>
    </xf>
    <xf numFmtId="0" fontId="1061" fillId="56" borderId="0" xfId="0" applyFill="true" applyAlignment="true" applyFont="true">
      <alignment horizontal="center" vertical="center" wrapText="true"/>
    </xf>
    <xf numFmtId="0" fontId="1061" fillId="56" borderId="0" xfId="0" applyFill="true" applyAlignment="true" applyFont="true">
      <alignment horizontal="center" vertical="center" wrapText="true"/>
    </xf>
    <xf numFmtId="0" fontId="1061" fillId="56" borderId="85" xfId="0" applyFill="true" applyAlignment="true" applyFont="true" applyBorder="true">
      <alignment horizontal="center" vertical="center" wrapText="true"/>
    </xf>
    <xf numFmtId="0" fontId="1061" fillId="56" borderId="90" xfId="0" applyFill="true" applyAlignment="true" applyFont="true" applyBorder="true">
      <alignment horizontal="center" vertical="center" wrapText="true"/>
    </xf>
    <xf numFmtId="0" fontId="1061" fillId="56" borderId="207" xfId="0" applyFill="true" applyAlignment="true" applyFont="true" applyBorder="true">
      <alignment horizontal="center" vertical="center" wrapText="true"/>
    </xf>
    <xf numFmtId="0" fontId="1061" fillId="56" borderId="207" xfId="0" applyFill="true" applyAlignment="true" applyFont="true" applyBorder="true">
      <alignment horizontal="center" vertical="center" wrapText="true"/>
    </xf>
    <xf numFmtId="0" fontId="1061" fillId="56" borderId="95" xfId="0" applyFill="true" applyAlignment="true" applyFont="true" applyBorder="true">
      <alignment horizontal="center" vertical="center" wrapText="true"/>
    </xf>
    <xf numFmtId="0" fontId="1062" fillId="48" borderId="0" xfId="0" applyFill="true" applyAlignment="true" applyFont="true">
      <alignment horizontal="center" vertical="center" wrapText="true"/>
    </xf>
    <xf numFmtId="0" fontId="1063" fillId="46" borderId="0" xfId="0" applyFill="true" applyAlignment="true" applyFont="true">
      <alignment horizontal="center" vertical="center" wrapText="true"/>
    </xf>
    <xf numFmtId="0" fontId="1064" fillId="48" borderId="0" xfId="0" applyFill="true" applyAlignment="true" applyFont="true">
      <alignment horizontal="center" vertical="center" wrapText="true"/>
    </xf>
    <xf numFmtId="0" fontId="1065" fillId="48" borderId="0" xfId="0" applyFill="true" applyAlignment="true" applyFont="true">
      <alignment horizontal="center" vertical="center" wrapText="true"/>
    </xf>
    <xf numFmtId="0" fontId="1066" fillId="56" borderId="0" xfId="0" applyFill="true" applyAlignment="true" applyFont="true">
      <alignment horizontal="center" vertical="center" wrapText="true"/>
    </xf>
    <xf numFmtId="0" fontId="1063" fillId="46" borderId="71" xfId="0" applyFill="true" applyAlignment="true" applyFont="true" applyBorder="true">
      <alignment horizontal="center" vertical="center" wrapText="true"/>
    </xf>
    <xf numFmtId="0" fontId="1063" fillId="46" borderId="203" xfId="0" applyFill="true" applyAlignment="true" applyFont="true" applyBorder="true">
      <alignment horizontal="center" vertical="center" wrapText="true"/>
    </xf>
    <xf numFmtId="0" fontId="1063" fillId="46" borderId="203" xfId="0" applyFill="true" applyAlignment="true" applyFont="true" applyBorder="true">
      <alignment horizontal="center" vertical="center" wrapText="true"/>
    </xf>
    <xf numFmtId="0" fontId="1063" fillId="46" borderId="75" xfId="0" applyFill="true" applyAlignment="true" applyFont="true" applyBorder="true">
      <alignment horizontal="center" vertical="center" wrapText="true"/>
    </xf>
    <xf numFmtId="0" fontId="1064" fillId="48" borderId="80" xfId="0" applyFill="true" applyAlignment="true" applyFont="true" applyBorder="true">
      <alignment horizontal="center" vertical="center" wrapText="true"/>
    </xf>
    <xf numFmtId="0" fontId="1064" fillId="48" borderId="0" xfId="0" applyFill="true" applyAlignment="true" applyFont="true">
      <alignment horizontal="center" vertical="center" wrapText="true"/>
    </xf>
    <xf numFmtId="0" fontId="1064" fillId="48" borderId="0" xfId="0" applyFill="true" applyAlignment="true" applyFont="true">
      <alignment horizontal="center" vertical="center" wrapText="true"/>
    </xf>
    <xf numFmtId="0" fontId="1064" fillId="48" borderId="85" xfId="0" applyFill="true" applyAlignment="true" applyFont="true" applyBorder="true">
      <alignment horizontal="center" vertical="center" wrapText="true"/>
    </xf>
    <xf numFmtId="0" fontId="1064" fillId="48" borderId="80" xfId="0" applyFill="true" applyAlignment="true" applyFont="true" applyBorder="true">
      <alignment horizontal="center" vertical="center" wrapText="true"/>
    </xf>
    <xf numFmtId="0" fontId="1064" fillId="48" borderId="0" xfId="0" applyFill="true" applyAlignment="true" applyFont="true">
      <alignment horizontal="center" vertical="center" wrapText="true"/>
    </xf>
    <xf numFmtId="0" fontId="1064" fillId="48" borderId="0" xfId="0" applyFill="true" applyAlignment="true" applyFont="true">
      <alignment horizontal="center" vertical="center" wrapText="true"/>
    </xf>
    <xf numFmtId="0" fontId="1064" fillId="48" borderId="85" xfId="0" applyFill="true" applyAlignment="true" applyFont="true" applyBorder="true">
      <alignment horizontal="center" vertical="center" wrapText="true"/>
    </xf>
    <xf numFmtId="0" fontId="1065" fillId="48" borderId="80" xfId="0" applyFill="true" applyAlignment="true" applyFont="true" applyBorder="true">
      <alignment horizontal="center" vertical="center" wrapText="true"/>
    </xf>
    <xf numFmtId="0" fontId="1065" fillId="48" borderId="0" xfId="0" applyFill="true" applyAlignment="true" applyFont="true">
      <alignment horizontal="center" vertical="center" wrapText="true"/>
    </xf>
    <xf numFmtId="0" fontId="1065" fillId="48" borderId="0" xfId="0" applyFill="true" applyAlignment="true" applyFont="true">
      <alignment horizontal="center" vertical="center" wrapText="true"/>
    </xf>
    <xf numFmtId="0" fontId="1065" fillId="48" borderId="85" xfId="0" applyFill="true" applyAlignment="true" applyFont="true" applyBorder="true">
      <alignment horizontal="center" vertical="center" wrapText="true"/>
    </xf>
    <xf numFmtId="0" fontId="1066" fillId="56" borderId="80" xfId="0" applyFill="true" applyAlignment="true" applyFont="true" applyBorder="true">
      <alignment horizontal="center" vertical="center" wrapText="true"/>
    </xf>
    <xf numFmtId="0" fontId="1066" fillId="56" borderId="0" xfId="0" applyFill="true" applyAlignment="true" applyFont="true">
      <alignment horizontal="center" vertical="center" wrapText="true"/>
    </xf>
    <xf numFmtId="0" fontId="1066" fillId="56" borderId="0" xfId="0" applyFill="true" applyAlignment="true" applyFont="true">
      <alignment horizontal="center" vertical="center" wrapText="true"/>
    </xf>
    <xf numFmtId="0" fontId="1066" fillId="56" borderId="85" xfId="0" applyFill="true" applyAlignment="true" applyFont="true" applyBorder="true">
      <alignment horizontal="center" vertical="center" wrapText="true"/>
    </xf>
    <xf numFmtId="0" fontId="1066" fillId="56" borderId="90" xfId="0" applyFill="true" applyAlignment="true" applyFont="true" applyBorder="true">
      <alignment horizontal="center" vertical="center" wrapText="true"/>
    </xf>
    <xf numFmtId="0" fontId="1066" fillId="56" borderId="207" xfId="0" applyFill="true" applyAlignment="true" applyFont="true" applyBorder="true">
      <alignment horizontal="center" vertical="center" wrapText="true"/>
    </xf>
    <xf numFmtId="0" fontId="1066" fillId="56" borderId="207" xfId="0" applyFill="true" applyAlignment="true" applyFont="true" applyBorder="true">
      <alignment horizontal="center" vertical="center" wrapText="true"/>
    </xf>
    <xf numFmtId="0" fontId="1066" fillId="56" borderId="95" xfId="0" applyFill="true" applyAlignment="true" applyFont="true" applyBorder="true">
      <alignment horizontal="center" vertical="center" wrapText="true"/>
    </xf>
    <xf numFmtId="0" fontId="1067" fillId="46" borderId="0" xfId="0" applyFill="true" applyAlignment="true" applyFont="true">
      <alignment horizontal="center" vertical="center" wrapText="true"/>
    </xf>
    <xf numFmtId="0" fontId="1068" fillId="42" borderId="0" xfId="0" applyFill="true" applyAlignment="true" applyFont="true">
      <alignment horizontal="center" vertical="center" wrapText="true"/>
    </xf>
    <xf numFmtId="0" fontId="1069" fillId="42" borderId="35" xfId="0" applyFill="true" applyAlignment="true" applyBorder="true" applyFont="true">
      <alignment horizontal="center" vertical="center" wrapText="true"/>
    </xf>
    <xf numFmtId="0" fontId="1070" fillId="46" borderId="35" xfId="0" applyFill="true" applyAlignment="true" applyBorder="true" applyFont="true">
      <alignment horizontal="center" vertical="center" wrapText="true"/>
    </xf>
    <xf numFmtId="0" fontId="1071" fillId="46" borderId="35" xfId="0" applyFill="true" applyAlignment="true" applyBorder="true" applyFont="true">
      <alignment horizontal="center" vertical="center" wrapText="true"/>
    </xf>
    <xf numFmtId="0" fontId="1072" fillId="46" borderId="35" xfId="0" applyFill="true" applyAlignment="true" applyBorder="true" applyFont="true">
      <alignment horizontal="center" vertical="center" wrapText="true"/>
    </xf>
    <xf numFmtId="0" fontId="1073" fillId="46" borderId="35" xfId="0" applyFill="true" applyAlignment="true" applyBorder="true" applyFont="true">
      <alignment horizontal="center" vertical="center" wrapText="true"/>
    </xf>
    <xf numFmtId="0" fontId="1074" fillId="46" borderId="35" xfId="0" applyFill="true" applyAlignment="true" applyBorder="true" applyFont="true">
      <alignment horizontal="center" vertical="center" wrapText="true"/>
    </xf>
    <xf numFmtId="0" fontId="1075" fillId="46" borderId="35" xfId="0" applyFill="true" applyAlignment="true" applyBorder="true" applyFont="true">
      <alignment horizontal="center" vertical="center" wrapText="true"/>
    </xf>
    <xf numFmtId="0" fontId="1076" fillId="28" borderId="35" xfId="0" applyFill="true" applyAlignment="true" applyBorder="true" applyFont="true">
      <alignment horizontal="center" vertical="center" wrapText="true"/>
    </xf>
    <xf numFmtId="0" fontId="1077" fillId="28" borderId="35" xfId="0" applyFill="true" applyAlignment="true" applyBorder="true" applyFont="true">
      <alignment horizontal="center" vertical="center" wrapText="true"/>
    </xf>
    <xf numFmtId="0" fontId="1078" fillId="28" borderId="35" xfId="0" applyFill="true" applyAlignment="true" applyBorder="true" applyFont="true">
      <alignment horizontal="center" vertical="center" wrapText="true"/>
    </xf>
    <xf numFmtId="0" fontId="1079" fillId="28" borderId="35" xfId="0" applyFill="true" applyAlignment="true" applyBorder="true" applyFont="true">
      <alignment horizontal="center" vertical="center" wrapText="true"/>
    </xf>
    <xf numFmtId="0" fontId="1080" fillId="28" borderId="35" xfId="0" applyFill="true" applyAlignment="true" applyBorder="true" applyFont="true">
      <alignment horizontal="center" vertical="center" wrapText="true"/>
    </xf>
    <xf numFmtId="0" fontId="1081" fillId="28" borderId="35" xfId="0" applyFill="true" applyAlignment="true" applyBorder="true" applyFont="true">
      <alignment horizontal="center" vertical="center" wrapText="true"/>
    </xf>
    <xf numFmtId="0" fontId="1082" fillId="28" borderId="35" xfId="0" applyFill="true" applyAlignment="true" applyBorder="true" applyFont="true">
      <alignment horizontal="center" vertical="center" wrapText="true"/>
    </xf>
    <xf numFmtId="0" fontId="1083" fillId="28" borderId="35" xfId="0" applyFill="true" applyAlignment="true" applyBorder="true" applyFont="true">
      <alignment horizontal="center" vertical="center" wrapText="true"/>
    </xf>
    <xf numFmtId="0" fontId="1084" fillId="28" borderId="35" xfId="0" applyFill="true" applyAlignment="true" applyBorder="true" applyFont="true">
      <alignment horizontal="center" vertical="center" wrapText="true"/>
    </xf>
    <xf numFmtId="0" fontId="1085" fillId="28" borderId="35" xfId="0" applyFill="true" applyAlignment="true" applyBorder="true" applyFont="true">
      <alignment horizontal="center" vertical="center" wrapText="true"/>
    </xf>
    <xf numFmtId="0" fontId="1086" fillId="46" borderId="35" xfId="0" applyFill="true" applyAlignment="true" applyBorder="true" applyFont="true">
      <alignment horizontal="center" vertical="center" wrapText="true"/>
    </xf>
    <xf numFmtId="0" fontId="1087" fillId="46" borderId="35" xfId="0" applyFill="true" applyAlignment="true" applyBorder="true" applyFont="true">
      <alignment horizontal="center" vertical="center" wrapText="true"/>
    </xf>
    <xf numFmtId="0" fontId="1088" fillId="46" borderId="35" xfId="0" applyFill="true" applyAlignment="true" applyBorder="true" applyFont="true">
      <alignment horizontal="center" vertical="center" wrapText="true"/>
    </xf>
    <xf numFmtId="0" fontId="1089" fillId="28" borderId="35" xfId="0" applyFill="true" applyAlignment="true" applyBorder="true" applyFont="true">
      <alignment horizontal="center" vertical="center" wrapText="true"/>
    </xf>
    <xf numFmtId="0" fontId="1090" fillId="28" borderId="35" xfId="0" applyFill="true" applyAlignment="true" applyBorder="true" applyFont="true">
      <alignment horizontal="center" vertical="center" wrapText="true"/>
    </xf>
  </cellXfs>
  <cellStyles count="1">
    <cellStyle name="Normal" xfId="0" builtinId="0"/>
  </cellStyles>
  <dxfs count="73"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6.xml" Type="http://schemas.openxmlformats.org/officeDocument/2006/relationships/worksheet"/><Relationship Id="rId11" Target="worksheets/sheet7.xml" Type="http://schemas.openxmlformats.org/officeDocument/2006/relationships/worksheet"/><Relationship Id="rId12" Target="worksheets/sheet8.xml" Type="http://schemas.openxmlformats.org/officeDocument/2006/relationships/worksheet"/><Relationship Id="rId13" Target="worksheets/sheet9.xml" Type="http://schemas.openxmlformats.org/officeDocument/2006/relationships/worksheet"/><Relationship Id="rId14" Target="worksheets/sheet10.xml" Type="http://schemas.openxmlformats.org/officeDocument/2006/relationships/worksheet"/><Relationship Id="rId15" Target="worksheets/sheet11.xml" Type="http://schemas.openxmlformats.org/officeDocument/2006/relationships/worksheet"/><Relationship Id="rId2" Target="theme/theme1.xml" Type="http://schemas.openxmlformats.org/officeDocument/2006/relationships/theme"/><Relationship Id="rId3" Target="styles.xml" Type="http://schemas.openxmlformats.org/officeDocument/2006/relationships/styles"/><Relationship Id="rId4" Target="sharedStrings.xml" Type="http://schemas.openxmlformats.org/officeDocument/2006/relationships/sharedStrings"/><Relationship Id="rId5" Target="vbaProject.bin" Type="http://schemas.microsoft.com/office/2006/relationships/vbaProject"/><Relationship Id="rId6" Target="worksheets/sheet2.xml" Type="http://schemas.openxmlformats.org/officeDocument/2006/relationships/worksheet"/><Relationship Id="rId7" Target="worksheets/sheet3.xml" Type="http://schemas.openxmlformats.org/officeDocument/2006/relationships/worksheet"/><Relationship Id="rId8" Target="worksheets/sheet4.xml" Type="http://schemas.openxmlformats.org/officeDocument/2006/relationships/worksheet"/><Relationship Id="rId9" Target="worksheets/sheet5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/>
</file>

<file path=xl/drawings/drawing2.xml><?xml version="1.0" encoding="utf-8"?>
<xdr:wsDr xmlns:xdr="http://schemas.openxmlformats.org/drawingml/2006/spreadsheetDrawing"/>
</file>

<file path=xl/drawings/drawing3.xml><?xml version="1.0" encoding="utf-8"?>
<xdr:wsDr xmlns:xdr="http://schemas.openxmlformats.org/drawingml/2006/spreadsheetDrawing"/>
</file>

<file path=xl/drawings/drawing4.xml><?xml version="1.0" encoding="utf-8"?>
<xdr:wsDr xmlns:xdr="http://schemas.openxmlformats.org/drawingml/2006/spreadsheetDrawing"/>
</file>

<file path=xl/drawings/drawing5.xml><?xml version="1.0" encoding="utf-8"?>
<xdr:wsDr xmlns:xdr="http://schemas.openxmlformats.org/drawingml/2006/spreadsheetDrawing"/>
</file>

<file path=xl/drawings/drawing6.xml><?xml version="1.0" encoding="utf-8"?>
<xdr:wsDr xmlns:xdr="http://schemas.openxmlformats.org/drawingml/2006/spreadsheetDrawing"/>
</file>

<file path=xl/drawings/drawing7.xml><?xml version="1.0" encoding="utf-8"?>
<xdr:wsDr xmlns:xdr="http://schemas.openxmlformats.org/drawingml/2006/spreadsheetDrawing"/>
</file>

<file path=xl/drawings/drawing8.xml><?xml version="1.0" encoding="utf-8"?>
<xdr:wsDr xmlns:xdr="http://schemas.openxmlformats.org/drawingml/2006/spreadsheetDrawing"/>
</file>

<file path=xl/drawings/drawing9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comments1.xml" Type="http://schemas.openxmlformats.org/officeDocument/2006/relationships/comments"/><Relationship Id="rId4" Target="../drawings/vmlDrawing0.vml" Type="http://schemas.openxmlformats.org/officeDocument/2006/relationships/vml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3" Target="../comments1.xml" Type="http://schemas.openxmlformats.org/officeDocument/2006/relationships/comments"/><Relationship Id="rId4" Target="../drawings/vmlDrawing0.vml" Type="http://schemas.openxmlformats.org/officeDocument/2006/relationships/vmlDrawing"/><Relationship Id="rId5" Target="../drawings/drawing2.xml" Type="http://schemas.openxmlformats.org/officeDocument/2006/relationships/drawing"/><Relationship Id="rId6" Target="../drawings/drawing2.xml" Type="http://schemas.openxmlformats.org/officeDocument/2006/relationships/drawing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3" Target="../comments1.xml" Type="http://schemas.openxmlformats.org/officeDocument/2006/relationships/comments"/><Relationship Id="rId4" Target="../drawings/vmlDrawing0.vml" Type="http://schemas.openxmlformats.org/officeDocument/2006/relationships/vmlDrawing"/><Relationship Id="rId5" Target="../drawings/drawing3.xml" Type="http://schemas.openxmlformats.org/officeDocument/2006/relationships/drawing"/><Relationship Id="rId6" Target="../drawings/drawing3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3" Target="../comments1.xml" Type="http://schemas.openxmlformats.org/officeDocument/2006/relationships/comments"/><Relationship Id="rId4" Target="../drawings/vmlDrawing0.vml" Type="http://schemas.openxmlformats.org/officeDocument/2006/relationships/vmlDrawing"/><Relationship Id="rId5" Target="../drawings/drawing4.xml" Type="http://schemas.openxmlformats.org/officeDocument/2006/relationships/drawing"/><Relationship Id="rId6" Target="../drawings/drawing4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3" Target="../comments1.xml" Type="http://schemas.openxmlformats.org/officeDocument/2006/relationships/comments"/><Relationship Id="rId4" Target="../drawings/vmlDrawing0.vml" Type="http://schemas.openxmlformats.org/officeDocument/2006/relationships/vmlDrawing"/><Relationship Id="rId5" Target="../drawings/drawing5.xml" Type="http://schemas.openxmlformats.org/officeDocument/2006/relationships/drawing"/><Relationship Id="rId6" Target="../drawings/drawing5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3" Target="../comments1.xml" Type="http://schemas.openxmlformats.org/officeDocument/2006/relationships/comments"/><Relationship Id="rId4" Target="../drawings/vmlDrawing0.vml" Type="http://schemas.openxmlformats.org/officeDocument/2006/relationships/vmlDrawing"/><Relationship Id="rId5" Target="../drawings/drawing6.xml" Type="http://schemas.openxmlformats.org/officeDocument/2006/relationships/drawing"/><Relationship Id="rId6" Target="../drawings/drawing6.xml" Type="http://schemas.openxmlformats.org/officeDocument/2006/relationships/drawing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3" Target="../comments1.xml" Type="http://schemas.openxmlformats.org/officeDocument/2006/relationships/comments"/><Relationship Id="rId4" Target="../drawings/vmlDrawing0.vml" Type="http://schemas.openxmlformats.org/officeDocument/2006/relationships/vmlDrawing"/><Relationship Id="rId5" Target="../drawings/drawing7.xml" Type="http://schemas.openxmlformats.org/officeDocument/2006/relationships/drawing"/><Relationship Id="rId6" Target="../drawings/drawing7.xml" Type="http://schemas.openxmlformats.org/officeDocument/2006/relationships/drawing"/></Relationships>
</file>

<file path=xl/worksheets/_rels/sheet8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3" Target="../comments1.xml" Type="http://schemas.openxmlformats.org/officeDocument/2006/relationships/comments"/><Relationship Id="rId4" Target="../drawings/vmlDrawing0.vml" Type="http://schemas.openxmlformats.org/officeDocument/2006/relationships/vmlDrawing"/><Relationship Id="rId5" Target="../drawings/drawing8.xml" Type="http://schemas.openxmlformats.org/officeDocument/2006/relationships/drawing"/><Relationship Id="rId6" Target="../drawings/drawing8.xml" Type="http://schemas.openxmlformats.org/officeDocument/2006/relationships/drawing"/></Relationships>
</file>

<file path=xl/worksheets/_rels/sheet9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3" Target="../comments1.xml" Type="http://schemas.openxmlformats.org/officeDocument/2006/relationships/comments"/><Relationship Id="rId4" Target="../drawings/vmlDrawing0.vml" Type="http://schemas.openxmlformats.org/officeDocument/2006/relationships/vmlDrawing"/><Relationship Id="rId5" Target="../drawings/drawing9.xml" Type="http://schemas.openxmlformats.org/officeDocument/2006/relationships/drawing"/><Relationship Id="rId6" Target="../drawings/drawing9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664CF-DAE5-4396-BA73-B978C471E6A7}">
  <sheetPr codeName="Planilha1" filterMode="1"/>
  <dimension ref="A1:AE164"/>
  <sheetViews>
    <sheetView tabSelected="false" workbookViewId="0" showGridLines="false" zoomScale="90">
      <pane ySplit="2.0" topLeftCell="A3" activePane="bottomLeft" state="frozen"/>
      <selection pane="bottomLeft"/>
    </sheetView>
  </sheetViews>
  <sheetFormatPr defaultRowHeight="15" x14ac:dyDescent="0.25"/>
  <cols>
    <col min="1" max="1" customWidth="true" hidden="false" width="52.0"/>
    <col min="2" max="2" customWidth="true" hidden="false" width="22.0"/>
    <col min="3" max="3" customWidth="true" hidden="false" width="26.0"/>
    <col min="4" max="4" customWidth="true" hidden="false" width="20.0"/>
    <col min="5" max="5" customWidth="true" hidden="false" width="17.7109375"/>
    <col min="6" max="6" customWidth="true" hidden="false" width="18.0"/>
    <col min="7" max="7" customWidth="true" hidden="false" width="20.0"/>
    <col min="8" max="8" customWidth="true" hidden="false" width="8.7109375"/>
    <col min="9" max="9" customWidth="true" hidden="false" width="16.7109375"/>
    <col min="10" max="10" customWidth="true" hidden="false" width="10.85546875"/>
    <col min="11" max="11" customWidth="true" hidden="false" width="16.7109375"/>
    <col min="12" max="12" customWidth="true" hidden="false" width="11.7109375"/>
    <col min="13" max="13" customWidth="true" hidden="false" width="16.7109375"/>
    <col min="14" max="14" customWidth="true" hidden="false" width="10.28515625"/>
    <col min="15" max="15" customWidth="true" hidden="false" width="16.7109375"/>
    <col min="16" max="16" customWidth="true" hidden="false" width="13.7109375"/>
    <col min="17" max="17" customWidth="true" hidden="false" width="44.0"/>
    <col min="18" max="18" customWidth="true" hidden="false" width="62.0"/>
    <col min="19" max="19" customWidth="true" hidden="false" width="42.0"/>
    <col min="20" max="20" customWidth="true" hidden="false" width="48.0"/>
    <col min="21" max="21" customWidth="true" hidden="false" width="18.0"/>
    <col min="22" max="22" customWidth="true" hidden="false" width="24.0"/>
    <col min="23" max="23" customWidth="true" hidden="false" width="18.0"/>
    <col min="24" max="24" customWidth="true" hidden="true" width="22.0"/>
    <col min="25" max="25" customWidth="true" hidden="true" width="22.0"/>
    <col min="26" max="26" customWidth="true" hidden="true" width="22.0"/>
    <col min="27" max="27" customWidth="true" hidden="true" width="22.0"/>
    <col min="28" max="28" customWidth="true" hidden="true" width="22.0"/>
    <col min="29" max="29" customWidth="true" hidden="true" width="22.0"/>
    <col min="30" max="30" customWidth="true" hidden="true" width="22.0"/>
    <col min="31" max="31" customWidth="true" hidden="true" width="22.0"/>
  </cols>
  <sheetData>
    <row r="1" spans="1:19" ht="42.0" customHeight="true" x14ac:dyDescent="0.25">
      <c r="A1" s="3037" t="s">
        <v>407</v>
      </c>
      <c r="B1" s="3037"/>
      <c r="C1" s="3037"/>
      <c r="D1" s="3037"/>
      <c r="E1" s="3037"/>
      <c r="F1" s="3037"/>
      <c r="G1" s="3037"/>
      <c r="H1" s="3037"/>
      <c r="I1" s="3037"/>
      <c r="J1" s="3037"/>
      <c r="K1" s="3037"/>
      <c r="L1" s="3037"/>
      <c r="M1" s="3037"/>
      <c r="N1" s="3037"/>
      <c r="O1" s="3037"/>
      <c r="P1" s="3037"/>
      <c r="Q1" s="3037"/>
      <c r="R1" s="3037"/>
      <c r="S1" s="3037"/>
      <c r="T1" s="3037"/>
      <c r="U1" s="3037"/>
      <c r="V1" s="3037"/>
      <c r="W1" s="3037"/>
      <c r="X1" s="1716"/>
      <c r="AE1" s="0"/>
    </row>
    <row r="2" spans="1:19" ht="32.0" customHeight="true" thickBot="1" x14ac:dyDescent="0.3">
      <c r="A2" s="3038" t="s">
        <v>325</v>
      </c>
      <c r="B2" s="3038" t="s">
        <v>326</v>
      </c>
      <c r="C2" s="3038" t="s">
        <v>408</v>
      </c>
      <c r="D2" s="3038" t="s">
        <v>328</v>
      </c>
      <c r="E2" s="3038" t="s">
        <v>329</v>
      </c>
      <c r="F2" s="3038" t="s">
        <v>330</v>
      </c>
      <c r="G2" s="3038" t="s">
        <v>331</v>
      </c>
      <c r="H2" s="3038" t="s">
        <v>332</v>
      </c>
      <c r="I2" s="3038" t="s">
        <v>333</v>
      </c>
      <c r="J2" s="3038" t="s">
        <v>334</v>
      </c>
      <c r="K2" s="3038" t="s">
        <v>335</v>
      </c>
      <c r="L2" s="3038" t="s">
        <v>336</v>
      </c>
      <c r="M2" s="3038" t="s">
        <v>337</v>
      </c>
      <c r="N2" s="3038" t="s">
        <v>338</v>
      </c>
      <c r="O2" s="3038" t="s">
        <v>339</v>
      </c>
      <c r="P2" s="3038" t="s">
        <v>340</v>
      </c>
      <c r="Q2" s="3039" t="s">
        <v>409</v>
      </c>
      <c r="R2" s="3040" t="s">
        <v>410</v>
      </c>
      <c r="S2" s="3041" t="s">
        <v>523</v>
      </c>
      <c r="T2" s="3042" t="s">
        <v>470</v>
      </c>
      <c r="U2" s="3043" t="s">
        <v>471</v>
      </c>
      <c r="V2" s="3044" t="s">
        <v>472</v>
      </c>
      <c r="W2" s="3045" t="s">
        <v>412</v>
      </c>
      <c r="X2" s="3038" t="s">
        <v>413</v>
      </c>
      <c r="Y2" s="3038" t="s">
        <v>414</v>
      </c>
      <c r="Z2" s="3038" t="s">
        <v>415</v>
      </c>
      <c r="AA2" s="3038" t="s">
        <v>416</v>
      </c>
      <c r="AB2" s="3038" t="s">
        <v>473</v>
      </c>
      <c r="AC2" s="3038" t="s">
        <v>474</v>
      </c>
      <c r="AD2" s="3038" t="s">
        <v>475</v>
      </c>
      <c r="AE2" s="1717"/>
    </row>
    <row r="3" spans="1:19" ht="22.0" hidden="false" customHeight="true" thickTop="1" x14ac:dyDescent="0.25">
      <c r="A3" s="3047" t="s">
        <v>0</v>
      </c>
      <c r="B3" s="3046" t="s">
        <v>1</v>
      </c>
      <c r="C3" s="3046" t="s">
        <v>2</v>
      </c>
      <c r="D3" s="3057">
        <v>35381421000194</v>
      </c>
      <c r="E3" s="3046"/>
      <c r="F3" s="3046" t="s">
        <v>3</v>
      </c>
      <c r="G3" s="3046" t="s">
        <v>4</v>
      </c>
      <c r="H3" s="3046" t="s">
        <v>5</v>
      </c>
      <c r="I3" s="3046" t="s">
        <v>344</v>
      </c>
      <c r="J3" s="3046"/>
      <c r="K3" s="3046"/>
      <c r="L3" s="3046"/>
      <c r="M3" s="3046"/>
      <c r="N3" s="3046"/>
      <c r="O3" s="3046"/>
      <c r="P3" s="3046"/>
      <c r="Q3" s="3049"/>
      <c r="R3" s="3048" t="s">
        <v>400</v>
      </c>
      <c r="S3" s="3049"/>
      <c r="T3" s="3049"/>
      <c r="U3" s="3050"/>
      <c r="V3" s="3046"/>
      <c r="W3" s="3046" t="s">
        <v>417</v>
      </c>
      <c r="X3" s="3056">
        <f>IF(A3="","",IF(LEN(SUBSTITUTE(SUBSTITUTE(SUBSTITUTE(SUBSTITUTE(D3,".",""),"/",""),"-","")," ",""))&lt;&gt;14,"CNPJ INVALIDO","OK"))</f>
      </c>
      <c r="Y3" s="3056">
        <f>IF(A3="","",IF(R3="","REST PENDENTE","REST OK"))</f>
      </c>
      <c r="Z3" s="3056">
        <f>IF(A3="","",IF(AND(R3&lt;&gt;"",COUNTIFS($D$3:$D$164,D3,$R$3:$R$164,"&lt;&gt;")&gt;1),"DUPLICADO","OK"))</f>
      </c>
      <c r="AA3" s="3056">
        <f>IF(A3="","",IF(OR(LEN(Q3)&gt;180,LEN(R3)&gt;180,LEN(S3)&gt;180,LEN(T3)&gt;180),"CAMINHO LONGO","OK"))</f>
      </c>
      <c r="AB3" s="3056">
        <f>IF(A3="","",IF(U3="","",IFERROR(INT(U3-TODAY()),"")))</f>
      </c>
      <c r="AC3" s="3056">
        <f>IF(A3="","",IF(AND(T3="",U3=""),"",IF(T3="","SEM CAMINHO",IF(U3="","SEM DATA",IFERROR(IF(AB3&lt;15,"VERMELHO",IF(AB3&lt;=30,"AMARELO","VERDE")),"DATA INVALIDA")))))</f>
      </c>
      <c r="AD3" s="3056">
        <f>IF(OR(A3="",U3="",NOT(ISNUMBER(AB3))),"",RANK(AB3,$AB$3:$AB$164,1)+COUNTIFS($AB$3:AB3,AB3)-1)</f>
      </c>
      <c r="AE3" s="1736"/>
    </row>
    <row r="4" spans="1:19" ht="22.0" hidden="false" customHeight="true" x14ac:dyDescent="0.25">
      <c r="A4" s="3052" t="s">
        <v>6</v>
      </c>
      <c r="B4" s="3051" t="s">
        <v>1</v>
      </c>
      <c r="C4" s="3051" t="s">
        <v>2</v>
      </c>
      <c r="D4" s="3051" t="s">
        <v>7</v>
      </c>
      <c r="E4" s="3051"/>
      <c r="F4" s="3051" t="s">
        <v>3</v>
      </c>
      <c r="G4" s="3051" t="s">
        <v>4</v>
      </c>
      <c r="H4" s="3051" t="s">
        <v>5</v>
      </c>
      <c r="I4" s="3051" t="s">
        <v>344</v>
      </c>
      <c r="J4" s="3051"/>
      <c r="K4" s="3051"/>
      <c r="L4" s="3051"/>
      <c r="M4" s="3051"/>
      <c r="N4" s="3051"/>
      <c r="O4" s="3051"/>
      <c r="P4" s="3051"/>
      <c r="Q4" s="3054"/>
      <c r="R4" s="3054"/>
      <c r="S4" s="3054"/>
      <c r="T4" s="3054"/>
      <c r="U4" s="3055"/>
      <c r="V4" s="3051"/>
      <c r="W4" s="3051"/>
      <c r="X4" s="3056">
        <f>IF(A4="","",IF(LEN(SUBSTITUTE(SUBSTITUTE(SUBSTITUTE(SUBSTITUTE(D4,".",""),"/",""),"-","")," ",""))&lt;&gt;14,"CNPJ INVALIDO","OK"))</f>
      </c>
      <c r="Y4" s="3056">
        <f>IF(A4="","",IF(R4="","REST PENDENTE","REST OK"))</f>
      </c>
      <c r="Z4" s="3056">
        <f>IF(A4="","",IF(AND(R4&lt;&gt;"",COUNTIFS($D$3:$D$164,D4,$R$3:$R$164,"&lt;&gt;")&gt;1),"DUPLICADO","OK"))</f>
      </c>
      <c r="AA4" s="3056">
        <f>IF(A4="","",IF(OR(LEN(Q4)&gt;180,LEN(R4)&gt;180,LEN(S4)&gt;180,LEN(T4)&gt;180),"CAMINHO LONGO","OK"))</f>
      </c>
      <c r="AB4" s="3056">
        <f>IF(A4="","",IF(U4="","",IFERROR(INT(U4-TODAY()),"")))</f>
      </c>
      <c r="AC4" s="3056">
        <f>IF(A4="","",IF(AND(T4="",U4=""),"",IF(T4="","SEM CAMINHO",IF(U4="","SEM DATA",IFERROR(IF(AB4&lt;15,"VERMELHO",IF(AB4&lt;=30,"AMARELO","VERDE")),"DATA INVALIDA")))))</f>
      </c>
      <c r="AD4" s="3056">
        <f>IF(OR(A4="",U4="",NOT(ISNUMBER(AB4))),"",RANK(AB4,$AB$3:$AB$164,1)+COUNTIFS($AB$3:AB4,AB4)-1)</f>
      </c>
      <c r="AE4" s="1736"/>
    </row>
    <row r="5" spans="1:19" ht="22.0" hidden="false" customHeight="true" x14ac:dyDescent="0.25">
      <c r="A5" s="3047" t="s">
        <v>8</v>
      </c>
      <c r="B5" s="3046" t="s">
        <v>9</v>
      </c>
      <c r="C5" s="3046" t="s">
        <v>10</v>
      </c>
      <c r="D5" s="3046" t="s">
        <v>11</v>
      </c>
      <c r="E5" s="3046"/>
      <c r="F5" s="3046" t="s">
        <v>12</v>
      </c>
      <c r="G5" s="3046" t="s">
        <v>13</v>
      </c>
      <c r="H5" s="3046" t="s">
        <v>14</v>
      </c>
      <c r="I5" s="3046" t="s">
        <v>344</v>
      </c>
      <c r="J5" s="3046"/>
      <c r="K5" s="3046"/>
      <c r="L5" s="3046"/>
      <c r="M5" s="3046"/>
      <c r="N5" s="3046"/>
      <c r="O5" s="3046"/>
      <c r="P5" s="3046"/>
      <c r="Q5" s="3049"/>
      <c r="R5" s="3049"/>
      <c r="S5" s="3049"/>
      <c r="T5" s="3049"/>
      <c r="U5" s="3050"/>
      <c r="V5" s="3046"/>
      <c r="W5" s="3046"/>
      <c r="X5" s="3056">
        <f>IF(A5="","",IF(LEN(SUBSTITUTE(SUBSTITUTE(SUBSTITUTE(SUBSTITUTE(D5,".",""),"/",""),"-","")," ",""))&lt;&gt;14,"CNPJ INVALIDO","OK"))</f>
      </c>
      <c r="Y5" s="3056">
        <f>IF(A5="","",IF(R5="","REST PENDENTE","REST OK"))</f>
      </c>
      <c r="Z5" s="3056">
        <f>IF(A5="","",IF(AND(R5&lt;&gt;"",COUNTIFS($D$3:$D$164,D5,$R$3:$R$164,"&lt;&gt;")&gt;1),"DUPLICADO","OK"))</f>
      </c>
      <c r="AA5" s="3056">
        <f>IF(A5="","",IF(OR(LEN(Q5)&gt;180,LEN(R5)&gt;180,LEN(S5)&gt;180,LEN(T5)&gt;180),"CAMINHO LONGO","OK"))</f>
      </c>
      <c r="AB5" s="3056">
        <f>IF(A5="","",IF(U5="","",IFERROR(INT(U5-TODAY()),"")))</f>
      </c>
      <c r="AC5" s="3056">
        <f>IF(A5="","",IF(AND(T5="",U5=""),"",IF(T5="","SEM CAMINHO",IF(U5="","SEM DATA",IFERROR(IF(AB5&lt;15,"VERMELHO",IF(AB5&lt;=30,"AMARELO","VERDE")),"DATA INVALIDA")))))</f>
      </c>
      <c r="AD5" s="3056">
        <f>IF(OR(A5="",U5="",NOT(ISNUMBER(AB5))),"",RANK(AB5,$AB$3:$AB$164,1)+COUNTIFS($AB$3:AB5,AB5)-1)</f>
      </c>
      <c r="AE5" s="1736"/>
    </row>
    <row r="6" spans="1:19" ht="22.0" hidden="false" customHeight="true" x14ac:dyDescent="0.25">
      <c r="A6" s="3052" t="s">
        <v>15</v>
      </c>
      <c r="B6" s="3051" t="s">
        <v>9</v>
      </c>
      <c r="C6" s="3051" t="s">
        <v>16</v>
      </c>
      <c r="D6" s="3051" t="s">
        <v>17</v>
      </c>
      <c r="E6" s="3051"/>
      <c r="F6" s="3051" t="s">
        <v>12</v>
      </c>
      <c r="G6" s="3051" t="s">
        <v>13</v>
      </c>
      <c r="H6" s="3051" t="s">
        <v>14</v>
      </c>
      <c r="I6" s="3051" t="s">
        <v>344</v>
      </c>
      <c r="J6" s="3051" t="s">
        <v>344</v>
      </c>
      <c r="K6" s="3051" t="s">
        <v>344</v>
      </c>
      <c r="L6" s="3051" t="s">
        <v>344</v>
      </c>
      <c r="M6" s="3051" t="s">
        <v>344</v>
      </c>
      <c r="N6" s="3051" t="s">
        <v>344</v>
      </c>
      <c r="O6" s="3051" t="s">
        <v>344</v>
      </c>
      <c r="P6" s="3051" t="s">
        <v>344</v>
      </c>
      <c r="Q6" s="3054"/>
      <c r="R6" s="3054"/>
      <c r="S6" s="3054"/>
      <c r="T6" s="3054"/>
      <c r="U6" s="3055"/>
      <c r="V6" s="3051"/>
      <c r="W6" s="3051"/>
      <c r="X6" s="3056">
        <f>IF(A6="","",IF(LEN(SUBSTITUTE(SUBSTITUTE(SUBSTITUTE(SUBSTITUTE(D6,".",""),"/",""),"-","")," ",""))&lt;&gt;14,"CNPJ INVALIDO","OK"))</f>
      </c>
      <c r="Y6" s="3056">
        <f>IF(A6="","",IF(R6="","REST PENDENTE","REST OK"))</f>
      </c>
      <c r="Z6" s="3056">
        <f>IF(A6="","",IF(AND(R6&lt;&gt;"",COUNTIFS($D$3:$D$164,D6,$R$3:$R$164,"&lt;&gt;")&gt;1),"DUPLICADO","OK"))</f>
      </c>
      <c r="AA6" s="3056">
        <f>IF(A6="","",IF(OR(LEN(Q6)&gt;180,LEN(R6)&gt;180,LEN(S6)&gt;180,LEN(T6)&gt;180),"CAMINHO LONGO","OK"))</f>
      </c>
      <c r="AB6" s="3056">
        <f>IF(A6="","",IF(U6="","",IFERROR(INT(U6-TODAY()),"")))</f>
      </c>
      <c r="AC6" s="3056">
        <f>IF(A6="","",IF(AND(T6="",U6=""),"",IF(T6="","SEM CAMINHO",IF(U6="","SEM DATA",IFERROR(IF(AB6&lt;15,"VERMELHO",IF(AB6&lt;=30,"AMARELO","VERDE")),"DATA INVALIDA")))))</f>
      </c>
      <c r="AD6" s="3056">
        <f>IF(OR(A6="",U6="",NOT(ISNUMBER(AB6))),"",RANK(AB6,$AB$3:$AB$164,1)+COUNTIFS($AB$3:AB6,AB6)-1)</f>
      </c>
      <c r="AE6" s="1736"/>
    </row>
    <row r="7" spans="1:19" ht="22.0" hidden="false" customHeight="true" x14ac:dyDescent="0.25">
      <c r="A7" s="3047" t="s">
        <v>18</v>
      </c>
      <c r="B7" s="3046" t="s">
        <v>9</v>
      </c>
      <c r="C7" s="3046" t="s">
        <v>19</v>
      </c>
      <c r="D7" s="3046" t="s">
        <v>20</v>
      </c>
      <c r="E7" s="3046"/>
      <c r="F7" s="3046" t="s">
        <v>12</v>
      </c>
      <c r="G7" s="3046" t="s">
        <v>13</v>
      </c>
      <c r="H7" s="3046" t="s">
        <v>14</v>
      </c>
      <c r="I7" s="3046" t="s">
        <v>344</v>
      </c>
      <c r="J7" s="3046" t="s">
        <v>344</v>
      </c>
      <c r="K7" s="3046" t="s">
        <v>344</v>
      </c>
      <c r="L7" s="3046" t="s">
        <v>344</v>
      </c>
      <c r="M7" s="3046" t="s">
        <v>344</v>
      </c>
      <c r="N7" s="3046" t="s">
        <v>344</v>
      </c>
      <c r="O7" s="3046" t="s">
        <v>344</v>
      </c>
      <c r="P7" s="3046" t="s">
        <v>344</v>
      </c>
      <c r="Q7" s="3049"/>
      <c r="R7" s="3049"/>
      <c r="S7" s="3049"/>
      <c r="T7" s="3049"/>
      <c r="U7" s="3050"/>
      <c r="V7" s="3046"/>
      <c r="W7" s="3046"/>
      <c r="X7" s="3056">
        <f>IF(A7="","",IF(LEN(SUBSTITUTE(SUBSTITUTE(SUBSTITUTE(SUBSTITUTE(D7,".",""),"/",""),"-","")," ",""))&lt;&gt;14,"CNPJ INVALIDO","OK"))</f>
      </c>
      <c r="Y7" s="3056">
        <f>IF(A7="","",IF(R7="","REST PENDENTE","REST OK"))</f>
      </c>
      <c r="Z7" s="3056">
        <f>IF(A7="","",IF(AND(R7&lt;&gt;"",COUNTIFS($D$3:$D$164,D7,$R$3:$R$164,"&lt;&gt;")&gt;1),"DUPLICADO","OK"))</f>
      </c>
      <c r="AA7" s="3056">
        <f>IF(A7="","",IF(OR(LEN(Q7)&gt;180,LEN(R7)&gt;180,LEN(S7)&gt;180,LEN(T7)&gt;180),"CAMINHO LONGO","OK"))</f>
      </c>
      <c r="AB7" s="3056">
        <f>IF(A7="","",IF(U7="","",IFERROR(INT(U7-TODAY()),"")))</f>
      </c>
      <c r="AC7" s="3056">
        <f>IF(A7="","",IF(AND(T7="",U7=""),"",IF(T7="","SEM CAMINHO",IF(U7="","SEM DATA",IFERROR(IF(AB7&lt;15,"VERMELHO",IF(AB7&lt;=30,"AMARELO","VERDE")),"DATA INVALIDA")))))</f>
      </c>
      <c r="AD7" s="3056">
        <f>IF(OR(A7="",U7="",NOT(ISNUMBER(AB7))),"",RANK(AB7,$AB$3:$AB$164,1)+COUNTIFS($AB$3:AB7,AB7)-1)</f>
      </c>
      <c r="AE7" s="1736"/>
    </row>
    <row r="8" spans="1:19" ht="22.0" hidden="false" customHeight="true" x14ac:dyDescent="0.25">
      <c r="A8" s="3052" t="s">
        <v>21</v>
      </c>
      <c r="B8" s="3051" t="s">
        <v>9</v>
      </c>
      <c r="C8" s="3051" t="s">
        <v>19</v>
      </c>
      <c r="D8" s="3051" t="s">
        <v>22</v>
      </c>
      <c r="E8" s="3051"/>
      <c r="F8" s="3051" t="s">
        <v>12</v>
      </c>
      <c r="G8" s="3051" t="s">
        <v>13</v>
      </c>
      <c r="H8" s="3051" t="s">
        <v>14</v>
      </c>
      <c r="I8" s="3051" t="s">
        <v>344</v>
      </c>
      <c r="J8" s="3051" t="s">
        <v>344</v>
      </c>
      <c r="K8" s="3051" t="s">
        <v>344</v>
      </c>
      <c r="L8" s="3051" t="s">
        <v>344</v>
      </c>
      <c r="M8" s="3051" t="s">
        <v>344</v>
      </c>
      <c r="N8" s="3051" t="s">
        <v>344</v>
      </c>
      <c r="O8" s="3051" t="s">
        <v>344</v>
      </c>
      <c r="P8" s="3051" t="s">
        <v>344</v>
      </c>
      <c r="Q8" s="3054"/>
      <c r="R8" s="3054"/>
      <c r="S8" s="3054"/>
      <c r="T8" s="3054"/>
      <c r="U8" s="3055"/>
      <c r="V8" s="3051"/>
      <c r="W8" s="3051"/>
      <c r="X8" s="3056">
        <f>IF(A8="","",IF(LEN(SUBSTITUTE(SUBSTITUTE(SUBSTITUTE(SUBSTITUTE(D8,".",""),"/",""),"-","")," ",""))&lt;&gt;14,"CNPJ INVALIDO","OK"))</f>
      </c>
      <c r="Y8" s="3056">
        <f>IF(A8="","",IF(R8="","REST PENDENTE","REST OK"))</f>
      </c>
      <c r="Z8" s="3056">
        <f>IF(A8="","",IF(AND(R8&lt;&gt;"",COUNTIFS($D$3:$D$164,D8,$R$3:$R$164,"&lt;&gt;")&gt;1),"DUPLICADO","OK"))</f>
      </c>
      <c r="AA8" s="3056">
        <f>IF(A8="","",IF(OR(LEN(Q8)&gt;180,LEN(R8)&gt;180,LEN(S8)&gt;180,LEN(T8)&gt;180),"CAMINHO LONGO","OK"))</f>
      </c>
      <c r="AB8" s="3056">
        <f>IF(A8="","",IF(U8="","",IFERROR(INT(U8-TODAY()),"")))</f>
      </c>
      <c r="AC8" s="3056">
        <f>IF(A8="","",IF(AND(T8="",U8=""),"",IF(T8="","SEM CAMINHO",IF(U8="","SEM DATA",IFERROR(IF(AB8&lt;15,"VERMELHO",IF(AB8&lt;=30,"AMARELO","VERDE")),"DATA INVALIDA")))))</f>
      </c>
      <c r="AD8" s="3056">
        <f>IF(OR(A8="",U8="",NOT(ISNUMBER(AB8))),"",RANK(AB8,$AB$3:$AB$164,1)+COUNTIFS($AB$3:AB8,AB8)-1)</f>
      </c>
      <c r="AE8" s="1736"/>
    </row>
    <row r="9" spans="1:19" ht="22.0" hidden="false" customHeight="true" x14ac:dyDescent="0.25">
      <c r="A9" s="3047" t="s">
        <v>23</v>
      </c>
      <c r="B9" s="3046" t="s">
        <v>9</v>
      </c>
      <c r="C9" s="3046" t="s">
        <v>24</v>
      </c>
      <c r="D9" s="3046" t="s">
        <v>25</v>
      </c>
      <c r="E9" s="3046"/>
      <c r="F9" s="3046" t="s">
        <v>12</v>
      </c>
      <c r="G9" s="3046" t="s">
        <v>13</v>
      </c>
      <c r="H9" s="3046" t="s">
        <v>14</v>
      </c>
      <c r="I9" s="3046" t="s">
        <v>344</v>
      </c>
      <c r="J9" s="3046" t="s">
        <v>344</v>
      </c>
      <c r="K9" s="3046" t="s">
        <v>344</v>
      </c>
      <c r="L9" s="3046" t="s">
        <v>344</v>
      </c>
      <c r="M9" s="3046" t="s">
        <v>344</v>
      </c>
      <c r="N9" s="3046" t="s">
        <v>344</v>
      </c>
      <c r="O9" s="3046" t="s">
        <v>344</v>
      </c>
      <c r="P9" s="3046" t="s">
        <v>344</v>
      </c>
      <c r="Q9" s="3049"/>
      <c r="R9" s="3049"/>
      <c r="S9" s="3049"/>
      <c r="T9" s="3049"/>
      <c r="U9" s="3050"/>
      <c r="V9" s="3046"/>
      <c r="W9" s="3046"/>
      <c r="X9" s="3056">
        <f>IF(A9="","",IF(LEN(SUBSTITUTE(SUBSTITUTE(SUBSTITUTE(SUBSTITUTE(D9,".",""),"/",""),"-","")," ",""))&lt;&gt;14,"CNPJ INVALIDO","OK"))</f>
      </c>
      <c r="Y9" s="3056">
        <f>IF(A9="","",IF(R9="","REST PENDENTE","REST OK"))</f>
      </c>
      <c r="Z9" s="3056">
        <f>IF(A9="","",IF(AND(R9&lt;&gt;"",COUNTIFS($D$3:$D$164,D9,$R$3:$R$164,"&lt;&gt;")&gt;1),"DUPLICADO","OK"))</f>
      </c>
      <c r="AA9" s="3056">
        <f>IF(A9="","",IF(OR(LEN(Q9)&gt;180,LEN(R9)&gt;180,LEN(S9)&gt;180,LEN(T9)&gt;180),"CAMINHO LONGO","OK"))</f>
      </c>
      <c r="AB9" s="3056">
        <f>IF(A9="","",IF(U9="","",IFERROR(INT(U9-TODAY()),"")))</f>
      </c>
      <c r="AC9" s="3056">
        <f>IF(A9="","",IF(AND(T9="",U9=""),"",IF(T9="","SEM CAMINHO",IF(U9="","SEM DATA",IFERROR(IF(AB9&lt;15,"VERMELHO",IF(AB9&lt;=30,"AMARELO","VERDE")),"DATA INVALIDA")))))</f>
      </c>
      <c r="AD9" s="3056">
        <f>IF(OR(A9="",U9="",NOT(ISNUMBER(AB9))),"",RANK(AB9,$AB$3:$AB$164,1)+COUNTIFS($AB$3:AB9,AB9)-1)</f>
      </c>
      <c r="AE9" s="1736"/>
    </row>
    <row r="10" spans="1:19" ht="22.0" hidden="false" customHeight="true" x14ac:dyDescent="0.25">
      <c r="A10" s="3052" t="s">
        <v>26</v>
      </c>
      <c r="B10" s="3051" t="s">
        <v>9</v>
      </c>
      <c r="C10" s="3051" t="s">
        <v>27</v>
      </c>
      <c r="D10" s="3051" t="s">
        <v>28</v>
      </c>
      <c r="E10" s="3051"/>
      <c r="F10" s="3051" t="s">
        <v>12</v>
      </c>
      <c r="G10" s="3051" t="s">
        <v>13</v>
      </c>
      <c r="H10" s="3051" t="s">
        <v>14</v>
      </c>
      <c r="I10" s="3051" t="s">
        <v>344</v>
      </c>
      <c r="J10" s="3051" t="s">
        <v>344</v>
      </c>
      <c r="K10" s="3051" t="s">
        <v>344</v>
      </c>
      <c r="L10" s="3051" t="s">
        <v>344</v>
      </c>
      <c r="M10" s="3051" t="s">
        <v>344</v>
      </c>
      <c r="N10" s="3051" t="s">
        <v>344</v>
      </c>
      <c r="O10" s="3051" t="s">
        <v>344</v>
      </c>
      <c r="P10" s="3051" t="s">
        <v>344</v>
      </c>
      <c r="Q10" s="3054"/>
      <c r="R10" s="3054"/>
      <c r="S10" s="3054"/>
      <c r="T10" s="3054"/>
      <c r="U10" s="3055"/>
      <c r="V10" s="3051"/>
      <c r="W10" s="3051"/>
      <c r="X10" s="3056">
        <f>IF(A10="","",IF(LEN(SUBSTITUTE(SUBSTITUTE(SUBSTITUTE(SUBSTITUTE(D10,".",""),"/",""),"-","")," ",""))&lt;&gt;14,"CNPJ INVALIDO","OK"))</f>
      </c>
      <c r="Y10" s="3056">
        <f>IF(A10="","",IF(R10="","REST PENDENTE","REST OK"))</f>
      </c>
      <c r="Z10" s="3056">
        <f>IF(A10="","",IF(AND(R10&lt;&gt;"",COUNTIFS($D$3:$D$164,D10,$R$3:$R$164,"&lt;&gt;")&gt;1),"DUPLICADO","OK"))</f>
      </c>
      <c r="AA10" s="3056">
        <f>IF(A10="","",IF(OR(LEN(Q10)&gt;180,LEN(R10)&gt;180,LEN(S10)&gt;180,LEN(T10)&gt;180),"CAMINHO LONGO","OK"))</f>
      </c>
      <c r="AB10" s="3056">
        <f>IF(A10="","",IF(U10="","",IFERROR(INT(U10-TODAY()),"")))</f>
      </c>
      <c r="AC10" s="3056">
        <f>IF(A10="","",IF(AND(T10="",U10=""),"",IF(T10="","SEM CAMINHO",IF(U10="","SEM DATA",IFERROR(IF(AB10&lt;15,"VERMELHO",IF(AB10&lt;=30,"AMARELO","VERDE")),"DATA INVALIDA")))))</f>
      </c>
      <c r="AD10" s="3056">
        <f>IF(OR(A10="",U10="",NOT(ISNUMBER(AB10))),"",RANK(AB10,$AB$3:$AB$164,1)+COUNTIFS($AB$3:AB10,AB10)-1)</f>
      </c>
      <c r="AE10" s="1736"/>
    </row>
    <row r="11" spans="1:19" ht="22.0" hidden="false" customHeight="true" x14ac:dyDescent="0.25">
      <c r="A11" s="3047" t="s">
        <v>29</v>
      </c>
      <c r="B11" s="3046" t="s">
        <v>9</v>
      </c>
      <c r="C11" s="3046" t="s">
        <v>16</v>
      </c>
      <c r="D11" s="3046" t="s">
        <v>30</v>
      </c>
      <c r="E11" s="3046"/>
      <c r="F11" s="3046" t="s">
        <v>12</v>
      </c>
      <c r="G11" s="3046" t="s">
        <v>13</v>
      </c>
      <c r="H11" s="3046" t="s">
        <v>14</v>
      </c>
      <c r="I11" s="3046" t="s">
        <v>344</v>
      </c>
      <c r="J11" s="3046" t="s">
        <v>344</v>
      </c>
      <c r="K11" s="3046" t="s">
        <v>344</v>
      </c>
      <c r="L11" s="3046" t="s">
        <v>344</v>
      </c>
      <c r="M11" s="3046" t="s">
        <v>344</v>
      </c>
      <c r="N11" s="3046" t="s">
        <v>344</v>
      </c>
      <c r="O11" s="3046" t="s">
        <v>344</v>
      </c>
      <c r="P11" s="3046" t="s">
        <v>344</v>
      </c>
      <c r="Q11" s="3049"/>
      <c r="R11" s="3049"/>
      <c r="S11" s="3049"/>
      <c r="T11" s="3049"/>
      <c r="U11" s="3050"/>
      <c r="V11" s="3046"/>
      <c r="W11" s="3046"/>
      <c r="X11" s="3056">
        <f>IF(A11="","",IF(LEN(SUBSTITUTE(SUBSTITUTE(SUBSTITUTE(SUBSTITUTE(D11,".",""),"/",""),"-","")," ",""))&lt;&gt;14,"CNPJ INVALIDO","OK"))</f>
      </c>
      <c r="Y11" s="3056">
        <f>IF(A11="","",IF(R11="","REST PENDENTE","REST OK"))</f>
      </c>
      <c r="Z11" s="3056">
        <f>IF(A11="","",IF(AND(R11&lt;&gt;"",COUNTIFS($D$3:$D$164,D11,$R$3:$R$164,"&lt;&gt;")&gt;1),"DUPLICADO","OK"))</f>
      </c>
      <c r="AA11" s="3056">
        <f>IF(A11="","",IF(OR(LEN(Q11)&gt;180,LEN(R11)&gt;180,LEN(S11)&gt;180,LEN(T11)&gt;180),"CAMINHO LONGO","OK"))</f>
      </c>
      <c r="AB11" s="3056">
        <f>IF(A11="","",IF(U11="","",IFERROR(INT(U11-TODAY()),"")))</f>
      </c>
      <c r="AC11" s="3056">
        <f>IF(A11="","",IF(AND(T11="",U11=""),"",IF(T11="","SEM CAMINHO",IF(U11="","SEM DATA",IFERROR(IF(AB11&lt;15,"VERMELHO",IF(AB11&lt;=30,"AMARELO","VERDE")),"DATA INVALIDA")))))</f>
      </c>
      <c r="AD11" s="3056">
        <f>IF(OR(A11="",U11="",NOT(ISNUMBER(AB11))),"",RANK(AB11,$AB$3:$AB$164,1)+COUNTIFS($AB$3:AB11,AB11)-1)</f>
      </c>
      <c r="AE11" s="1736"/>
    </row>
    <row r="12" spans="1:19" ht="22.0" hidden="false" customHeight="true" x14ac:dyDescent="0.25">
      <c r="A12" s="3052" t="s">
        <v>31</v>
      </c>
      <c r="B12" s="3051" t="s">
        <v>9</v>
      </c>
      <c r="C12" s="3051" t="s">
        <v>24</v>
      </c>
      <c r="D12" s="3051" t="s">
        <v>32</v>
      </c>
      <c r="E12" s="3051"/>
      <c r="F12" s="3051" t="s">
        <v>12</v>
      </c>
      <c r="G12" s="3051" t="s">
        <v>13</v>
      </c>
      <c r="H12" s="3051" t="s">
        <v>14</v>
      </c>
      <c r="I12" s="3051" t="s">
        <v>344</v>
      </c>
      <c r="J12" s="3051" t="s">
        <v>344</v>
      </c>
      <c r="K12" s="3051" t="s">
        <v>344</v>
      </c>
      <c r="L12" s="3051" t="s">
        <v>344</v>
      </c>
      <c r="M12" s="3051" t="s">
        <v>344</v>
      </c>
      <c r="N12" s="3051" t="s">
        <v>344</v>
      </c>
      <c r="O12" s="3051" t="s">
        <v>344</v>
      </c>
      <c r="P12" s="3051" t="s">
        <v>344</v>
      </c>
      <c r="Q12" s="3054"/>
      <c r="R12" s="3054"/>
      <c r="S12" s="3054"/>
      <c r="T12" s="3054"/>
      <c r="U12" s="3055"/>
      <c r="V12" s="3051"/>
      <c r="W12" s="3051"/>
      <c r="X12" s="3056">
        <f>IF(A12="","",IF(LEN(SUBSTITUTE(SUBSTITUTE(SUBSTITUTE(SUBSTITUTE(D12,".",""),"/",""),"-","")," ",""))&lt;&gt;14,"CNPJ INVALIDO","OK"))</f>
      </c>
      <c r="Y12" s="3056">
        <f>IF(A12="","",IF(R12="","REST PENDENTE","REST OK"))</f>
      </c>
      <c r="Z12" s="3056">
        <f>IF(A12="","",IF(AND(R12&lt;&gt;"",COUNTIFS($D$3:$D$164,D12,$R$3:$R$164,"&lt;&gt;")&gt;1),"DUPLICADO","OK"))</f>
      </c>
      <c r="AA12" s="3056">
        <f>IF(A12="","",IF(OR(LEN(Q12)&gt;180,LEN(R12)&gt;180,LEN(S12)&gt;180,LEN(T12)&gt;180),"CAMINHO LONGO","OK"))</f>
      </c>
      <c r="AB12" s="3056">
        <f>IF(A12="","",IF(U12="","",IFERROR(INT(U12-TODAY()),"")))</f>
      </c>
      <c r="AC12" s="3056">
        <f>IF(A12="","",IF(AND(T12="",U12=""),"",IF(T12="","SEM CAMINHO",IF(U12="","SEM DATA",IFERROR(IF(AB12&lt;15,"VERMELHO",IF(AB12&lt;=30,"AMARELO","VERDE")),"DATA INVALIDA")))))</f>
      </c>
      <c r="AD12" s="3056">
        <f>IF(OR(A12="",U12="",NOT(ISNUMBER(AB12))),"",RANK(AB12,$AB$3:$AB$164,1)+COUNTIFS($AB$3:AB12,AB12)-1)</f>
      </c>
      <c r="AE12" s="1736"/>
    </row>
    <row r="13" spans="1:19" ht="22.0" hidden="false" customHeight="true" x14ac:dyDescent="0.25">
      <c r="A13" s="3047" t="s">
        <v>33</v>
      </c>
      <c r="B13" s="3046" t="s">
        <v>9</v>
      </c>
      <c r="C13" s="3046" t="s">
        <v>24</v>
      </c>
      <c r="D13" s="3046" t="s">
        <v>34</v>
      </c>
      <c r="E13" s="3046"/>
      <c r="F13" s="3046" t="s">
        <v>12</v>
      </c>
      <c r="G13" s="3046" t="s">
        <v>13</v>
      </c>
      <c r="H13" s="3046" t="s">
        <v>14</v>
      </c>
      <c r="I13" s="3046" t="s">
        <v>344</v>
      </c>
      <c r="J13" s="3046" t="s">
        <v>344</v>
      </c>
      <c r="K13" s="3046" t="s">
        <v>344</v>
      </c>
      <c r="L13" s="3046" t="s">
        <v>344</v>
      </c>
      <c r="M13" s="3046" t="s">
        <v>344</v>
      </c>
      <c r="N13" s="3046" t="s">
        <v>344</v>
      </c>
      <c r="O13" s="3046" t="s">
        <v>344</v>
      </c>
      <c r="P13" s="3046" t="s">
        <v>344</v>
      </c>
      <c r="Q13" s="3049"/>
      <c r="R13" s="3049"/>
      <c r="S13" s="3049"/>
      <c r="T13" s="3049"/>
      <c r="U13" s="3050"/>
      <c r="V13" s="3046"/>
      <c r="W13" s="3046"/>
      <c r="X13" s="3056">
        <f>IF(A13="","",IF(LEN(SUBSTITUTE(SUBSTITUTE(SUBSTITUTE(SUBSTITUTE(D13,".",""),"/",""),"-","")," ",""))&lt;&gt;14,"CNPJ INVALIDO","OK"))</f>
      </c>
      <c r="Y13" s="3056">
        <f>IF(A13="","",IF(R13="","REST PENDENTE","REST OK"))</f>
      </c>
      <c r="Z13" s="3056">
        <f>IF(A13="","",IF(AND(R13&lt;&gt;"",COUNTIFS($D$3:$D$164,D13,$R$3:$R$164,"&lt;&gt;")&gt;1),"DUPLICADO","OK"))</f>
      </c>
      <c r="AA13" s="3056">
        <f>IF(A13="","",IF(OR(LEN(Q13)&gt;180,LEN(R13)&gt;180,LEN(S13)&gt;180,LEN(T13)&gt;180),"CAMINHO LONGO","OK"))</f>
      </c>
      <c r="AB13" s="3056">
        <f>IF(A13="","",IF(U13="","",IFERROR(INT(U13-TODAY()),"")))</f>
      </c>
      <c r="AC13" s="3056">
        <f>IF(A13="","",IF(AND(T13="",U13=""),"",IF(T13="","SEM CAMINHO",IF(U13="","SEM DATA",IFERROR(IF(AB13&lt;15,"VERMELHO",IF(AB13&lt;=30,"AMARELO","VERDE")),"DATA INVALIDA")))))</f>
      </c>
      <c r="AD13" s="3056">
        <f>IF(OR(A13="",U13="",NOT(ISNUMBER(AB13))),"",RANK(AB13,$AB$3:$AB$164,1)+COUNTIFS($AB$3:AB13,AB13)-1)</f>
      </c>
      <c r="AE13" s="1736"/>
    </row>
    <row r="14" spans="1:19" ht="22.0" hidden="false" customHeight="true" x14ac:dyDescent="0.25">
      <c r="A14" s="3052" t="s">
        <v>35</v>
      </c>
      <c r="B14" s="3051" t="s">
        <v>9</v>
      </c>
      <c r="C14" s="3051" t="s">
        <v>24</v>
      </c>
      <c r="D14" s="3051" t="s">
        <v>36</v>
      </c>
      <c r="E14" s="3051"/>
      <c r="F14" s="3051" t="s">
        <v>37</v>
      </c>
      <c r="G14" s="3051" t="s">
        <v>13</v>
      </c>
      <c r="H14" s="3051" t="s">
        <v>14</v>
      </c>
      <c r="I14" s="3051" t="s">
        <v>344</v>
      </c>
      <c r="J14" s="3051" t="s">
        <v>344</v>
      </c>
      <c r="K14" s="3051" t="s">
        <v>344</v>
      </c>
      <c r="L14" s="3051" t="s">
        <v>344</v>
      </c>
      <c r="M14" s="3051" t="s">
        <v>344</v>
      </c>
      <c r="N14" s="3051" t="s">
        <v>344</v>
      </c>
      <c r="O14" s="3051" t="s">
        <v>344</v>
      </c>
      <c r="P14" s="3051" t="s">
        <v>344</v>
      </c>
      <c r="Q14" s="3054"/>
      <c r="R14" s="3054"/>
      <c r="S14" s="3054"/>
      <c r="T14" s="3054"/>
      <c r="U14" s="3055"/>
      <c r="V14" s="3051"/>
      <c r="W14" s="3051"/>
      <c r="X14" s="3056">
        <f>IF(A14="","",IF(LEN(SUBSTITUTE(SUBSTITUTE(SUBSTITUTE(SUBSTITUTE(D14,".",""),"/",""),"-","")," ",""))&lt;&gt;14,"CNPJ INVALIDO","OK"))</f>
      </c>
      <c r="Y14" s="3056">
        <f>IF(A14="","",IF(R14="","REST PENDENTE","REST OK"))</f>
      </c>
      <c r="Z14" s="3056">
        <f>IF(A14="","",IF(AND(R14&lt;&gt;"",COUNTIFS($D$3:$D$164,D14,$R$3:$R$164,"&lt;&gt;")&gt;1),"DUPLICADO","OK"))</f>
      </c>
      <c r="AA14" s="3056">
        <f>IF(A14="","",IF(OR(LEN(Q14)&gt;180,LEN(R14)&gt;180,LEN(S14)&gt;180,LEN(T14)&gt;180),"CAMINHO LONGO","OK"))</f>
      </c>
      <c r="AB14" s="3056">
        <f>IF(A14="","",IF(U14="","",IFERROR(INT(U14-TODAY()),"")))</f>
      </c>
      <c r="AC14" s="3056">
        <f>IF(A14="","",IF(AND(T14="",U14=""),"",IF(T14="","SEM CAMINHO",IF(U14="","SEM DATA",IFERROR(IF(AB14&lt;15,"VERMELHO",IF(AB14&lt;=30,"AMARELO","VERDE")),"DATA INVALIDA")))))</f>
      </c>
      <c r="AD14" s="3056">
        <f>IF(OR(A14="",U14="",NOT(ISNUMBER(AB14))),"",RANK(AB14,$AB$3:$AB$164,1)+COUNTIFS($AB$3:AB14,AB14)-1)</f>
      </c>
      <c r="AE14" s="1736"/>
    </row>
    <row r="15" spans="1:19" ht="22.0" hidden="false" customHeight="true" x14ac:dyDescent="0.25">
      <c r="A15" s="3047" t="s">
        <v>38</v>
      </c>
      <c r="B15" s="3046" t="s">
        <v>9</v>
      </c>
      <c r="C15" s="3046" t="s">
        <v>16</v>
      </c>
      <c r="D15" s="3046" t="s">
        <v>39</v>
      </c>
      <c r="E15" s="3046"/>
      <c r="F15" s="3046" t="s">
        <v>37</v>
      </c>
      <c r="G15" s="3046" t="s">
        <v>13</v>
      </c>
      <c r="H15" s="3046" t="s">
        <v>14</v>
      </c>
      <c r="I15" s="3046" t="s">
        <v>344</v>
      </c>
      <c r="J15" s="3046" t="s">
        <v>344</v>
      </c>
      <c r="K15" s="3046" t="s">
        <v>344</v>
      </c>
      <c r="L15" s="3046" t="s">
        <v>344</v>
      </c>
      <c r="M15" s="3046" t="s">
        <v>344</v>
      </c>
      <c r="N15" s="3046" t="s">
        <v>344</v>
      </c>
      <c r="O15" s="3046" t="s">
        <v>344</v>
      </c>
      <c r="P15" s="3046" t="s">
        <v>344</v>
      </c>
      <c r="Q15" s="3049"/>
      <c r="R15" s="3049"/>
      <c r="S15" s="3049"/>
      <c r="T15" s="3049"/>
      <c r="U15" s="3050"/>
      <c r="V15" s="3046"/>
      <c r="W15" s="3046"/>
      <c r="X15" s="3056">
        <f>IF(A15="","",IF(LEN(SUBSTITUTE(SUBSTITUTE(SUBSTITUTE(SUBSTITUTE(D15,".",""),"/",""),"-","")," ",""))&lt;&gt;14,"CNPJ INVALIDO","OK"))</f>
      </c>
      <c r="Y15" s="3056">
        <f>IF(A15="","",IF(R15="","REST PENDENTE","REST OK"))</f>
      </c>
      <c r="Z15" s="3056">
        <f>IF(A15="","",IF(AND(R15&lt;&gt;"",COUNTIFS($D$3:$D$164,D15,$R$3:$R$164,"&lt;&gt;")&gt;1),"DUPLICADO","OK"))</f>
      </c>
      <c r="AA15" s="3056">
        <f>IF(A15="","",IF(OR(LEN(Q15)&gt;180,LEN(R15)&gt;180,LEN(S15)&gt;180,LEN(T15)&gt;180),"CAMINHO LONGO","OK"))</f>
      </c>
      <c r="AB15" s="3056">
        <f>IF(A15="","",IF(U15="","",IFERROR(INT(U15-TODAY()),"")))</f>
      </c>
      <c r="AC15" s="3056">
        <f>IF(A15="","",IF(AND(T15="",U15=""),"",IF(T15="","SEM CAMINHO",IF(U15="","SEM DATA",IFERROR(IF(AB15&lt;15,"VERMELHO",IF(AB15&lt;=30,"AMARELO","VERDE")),"DATA INVALIDA")))))</f>
      </c>
      <c r="AD15" s="3056">
        <f>IF(OR(A15="",U15="",NOT(ISNUMBER(AB15))),"",RANK(AB15,$AB$3:$AB$164,1)+COUNTIFS($AB$3:AB15,AB15)-1)</f>
      </c>
      <c r="AE15" s="1736"/>
    </row>
    <row r="16" spans="1:19" ht="22.0" hidden="false" customHeight="true" x14ac:dyDescent="0.25">
      <c r="A16" s="3052" t="s">
        <v>40</v>
      </c>
      <c r="B16" s="3051" t="s">
        <v>9</v>
      </c>
      <c r="C16" s="3051" t="s">
        <v>24</v>
      </c>
      <c r="D16" s="3057">
        <v>17608570000161</v>
      </c>
      <c r="E16" s="3051"/>
      <c r="F16" s="3051" t="s">
        <v>12</v>
      </c>
      <c r="G16" s="3051" t="s">
        <v>41</v>
      </c>
      <c r="H16" s="3051" t="s">
        <v>5</v>
      </c>
      <c r="I16" s="3051" t="s">
        <v>344</v>
      </c>
      <c r="J16" s="3051" t="s">
        <v>344</v>
      </c>
      <c r="K16" s="3051" t="s">
        <v>344</v>
      </c>
      <c r="L16" s="3051" t="s">
        <v>344</v>
      </c>
      <c r="M16" s="3051" t="s">
        <v>344</v>
      </c>
      <c r="N16" s="3051" t="s">
        <v>344</v>
      </c>
      <c r="O16" s="3051" t="s">
        <v>344</v>
      </c>
      <c r="P16" s="3051" t="s">
        <v>344</v>
      </c>
      <c r="Q16" s="3054"/>
      <c r="R16" s="3054"/>
      <c r="S16" s="3054"/>
      <c r="T16" s="3054"/>
      <c r="U16" s="3055"/>
      <c r="V16" s="3051"/>
      <c r="W16" s="3051"/>
      <c r="X16" s="3056">
        <f>IF(A16="","",IF(LEN(SUBSTITUTE(SUBSTITUTE(SUBSTITUTE(SUBSTITUTE(D16,".",""),"/",""),"-","")," ",""))&lt;&gt;14,"CNPJ INVALIDO","OK"))</f>
      </c>
      <c r="Y16" s="3056">
        <f>IF(A16="","",IF(R16="","REST PENDENTE","REST OK"))</f>
      </c>
      <c r="Z16" s="3056">
        <f>IF(A16="","",IF(AND(R16&lt;&gt;"",COUNTIFS($D$3:$D$164,D16,$R$3:$R$164,"&lt;&gt;")&gt;1),"DUPLICADO","OK"))</f>
      </c>
      <c r="AA16" s="3056">
        <f>IF(A16="","",IF(OR(LEN(Q16)&gt;180,LEN(R16)&gt;180,LEN(S16)&gt;180,LEN(T16)&gt;180),"CAMINHO LONGO","OK"))</f>
      </c>
      <c r="AB16" s="3056">
        <f>IF(A16="","",IF(U16="","",IFERROR(INT(U16-TODAY()),"")))</f>
      </c>
      <c r="AC16" s="3056">
        <f>IF(A16="","",IF(AND(T16="",U16=""),"",IF(T16="","SEM CAMINHO",IF(U16="","SEM DATA",IFERROR(IF(AB16&lt;15,"VERMELHO",IF(AB16&lt;=30,"AMARELO","VERDE")),"DATA INVALIDA")))))</f>
      </c>
      <c r="AD16" s="3056">
        <f>IF(OR(A16="",U16="",NOT(ISNUMBER(AB16))),"",RANK(AB16,$AB$3:$AB$164,1)+COUNTIFS($AB$3:AB16,AB16)-1)</f>
      </c>
      <c r="AE16" s="1736"/>
    </row>
    <row r="17" spans="1:19" ht="22.0" hidden="false" customHeight="true" x14ac:dyDescent="0.25">
      <c r="A17" s="3047" t="s">
        <v>42</v>
      </c>
      <c r="B17" s="3046" t="s">
        <v>9</v>
      </c>
      <c r="C17" s="3046" t="s">
        <v>24</v>
      </c>
      <c r="D17" s="3046" t="s">
        <v>43</v>
      </c>
      <c r="E17" s="3046"/>
      <c r="F17" s="3046" t="s">
        <v>12</v>
      </c>
      <c r="G17" s="3046" t="s">
        <v>41</v>
      </c>
      <c r="H17" s="3046" t="s">
        <v>5</v>
      </c>
      <c r="I17" s="3046"/>
      <c r="J17" s="3046"/>
      <c r="K17" s="3046"/>
      <c r="L17" s="3046"/>
      <c r="M17" s="3046" t="s">
        <v>376</v>
      </c>
      <c r="N17" s="3046"/>
      <c r="O17" s="3046" t="s">
        <v>345</v>
      </c>
      <c r="P17" s="3046" t="s">
        <v>346</v>
      </c>
      <c r="Q17" s="3049"/>
      <c r="R17" s="3049"/>
      <c r="S17" s="3049"/>
      <c r="T17" s="3049"/>
      <c r="U17" s="3050"/>
      <c r="V17" s="3046"/>
      <c r="W17" s="3046"/>
      <c r="X17" s="3056">
        <f>IF(A17="","",IF(LEN(SUBSTITUTE(SUBSTITUTE(SUBSTITUTE(SUBSTITUTE(D17,".",""),"/",""),"-","")," ",""))&lt;&gt;14,"CNPJ INVALIDO","OK"))</f>
      </c>
      <c r="Y17" s="3056">
        <f>IF(A17="","",IF(R17="","REST PENDENTE","REST OK"))</f>
      </c>
      <c r="Z17" s="3056">
        <f>IF(A17="","",IF(AND(R17&lt;&gt;"",COUNTIFS($D$3:$D$164,D17,$R$3:$R$164,"&lt;&gt;")&gt;1),"DUPLICADO","OK"))</f>
      </c>
      <c r="AA17" s="3056">
        <f>IF(A17="","",IF(OR(LEN(Q17)&gt;180,LEN(R17)&gt;180,LEN(S17)&gt;180,LEN(T17)&gt;180),"CAMINHO LONGO","OK"))</f>
      </c>
      <c r="AB17" s="3056">
        <f>IF(A17="","",IF(U17="","",IFERROR(INT(U17-TODAY()),"")))</f>
      </c>
      <c r="AC17" s="3056">
        <f>IF(A17="","",IF(AND(T17="",U17=""),"",IF(T17="","SEM CAMINHO",IF(U17="","SEM DATA",IFERROR(IF(AB17&lt;15,"VERMELHO",IF(AB17&lt;=30,"AMARELO","VERDE")),"DATA INVALIDA")))))</f>
      </c>
      <c r="AD17" s="3056">
        <f>IF(OR(A17="",U17="",NOT(ISNUMBER(AB17))),"",RANK(AB17,$AB$3:$AB$164,1)+COUNTIFS($AB$3:AB17,AB17)-1)</f>
      </c>
      <c r="AE17" s="1736"/>
    </row>
    <row r="18" spans="1:19" ht="22.0" hidden="false" customHeight="true" x14ac:dyDescent="0.25">
      <c r="A18" s="3052" t="s">
        <v>44</v>
      </c>
      <c r="B18" s="3051" t="s">
        <v>45</v>
      </c>
      <c r="C18" s="3051" t="s">
        <v>46</v>
      </c>
      <c r="D18" s="3051" t="s">
        <v>47</v>
      </c>
      <c r="E18" s="3051"/>
      <c r="F18" s="3051" t="s">
        <v>48</v>
      </c>
      <c r="G18" s="3051" t="s">
        <v>13</v>
      </c>
      <c r="H18" s="3051" t="s">
        <v>49</v>
      </c>
      <c r="I18" s="3051"/>
      <c r="J18" s="3051"/>
      <c r="K18" s="3051"/>
      <c r="L18" s="3051"/>
      <c r="M18" s="3051" t="s">
        <v>377</v>
      </c>
      <c r="N18" s="3051"/>
      <c r="O18" s="3051" t="s">
        <v>347</v>
      </c>
      <c r="P18" s="3051"/>
      <c r="Q18" s="3054"/>
      <c r="R18" s="3054"/>
      <c r="S18" s="3054"/>
      <c r="T18" s="3054"/>
      <c r="U18" s="3055"/>
      <c r="V18" s="3051"/>
      <c r="W18" s="3051"/>
      <c r="X18" s="3056">
        <f>IF(A18="","",IF(LEN(SUBSTITUTE(SUBSTITUTE(SUBSTITUTE(SUBSTITUTE(D18,".",""),"/",""),"-","")," ",""))&lt;&gt;14,"CNPJ INVALIDO","OK"))</f>
      </c>
      <c r="Y18" s="3056">
        <f>IF(A18="","",IF(R18="","REST PENDENTE","REST OK"))</f>
      </c>
      <c r="Z18" s="3056">
        <f>IF(A18="","",IF(AND(R18&lt;&gt;"",COUNTIFS($D$3:$D$164,D18,$R$3:$R$164,"&lt;&gt;")&gt;1),"DUPLICADO","OK"))</f>
      </c>
      <c r="AA18" s="3056">
        <f>IF(A18="","",IF(OR(LEN(Q18)&gt;180,LEN(R18)&gt;180,LEN(S18)&gt;180,LEN(T18)&gt;180),"CAMINHO LONGO","OK"))</f>
      </c>
      <c r="AB18" s="3056">
        <f>IF(A18="","",IF(U18="","",IFERROR(INT(U18-TODAY()),"")))</f>
      </c>
      <c r="AC18" s="3056">
        <f>IF(A18="","",IF(AND(T18="",U18=""),"",IF(T18="","SEM CAMINHO",IF(U18="","SEM DATA",IFERROR(IF(AB18&lt;15,"VERMELHO",IF(AB18&lt;=30,"AMARELO","VERDE")),"DATA INVALIDA")))))</f>
      </c>
      <c r="AD18" s="3056">
        <f>IF(OR(A18="",U18="",NOT(ISNUMBER(AB18))),"",RANK(AB18,$AB$3:$AB$164,1)+COUNTIFS($AB$3:AB18,AB18)-1)</f>
      </c>
      <c r="AE18" s="1736"/>
    </row>
    <row r="19" spans="1:19" ht="22.0" hidden="false" customHeight="true" x14ac:dyDescent="0.25">
      <c r="A19" s="3047" t="s">
        <v>50</v>
      </c>
      <c r="B19" s="3046" t="s">
        <v>45</v>
      </c>
      <c r="C19" s="3046" t="s">
        <v>46</v>
      </c>
      <c r="D19" s="3046" t="s">
        <v>51</v>
      </c>
      <c r="E19" s="3046"/>
      <c r="F19" s="3046" t="s">
        <v>48</v>
      </c>
      <c r="G19" s="3046" t="s">
        <v>13</v>
      </c>
      <c r="H19" s="3046" t="s">
        <v>49</v>
      </c>
      <c r="I19" s="3046"/>
      <c r="J19" s="3046"/>
      <c r="K19" s="3046"/>
      <c r="L19" s="3046"/>
      <c r="M19" s="3046" t="s">
        <v>377</v>
      </c>
      <c r="N19" s="3046"/>
      <c r="O19" s="3046" t="s">
        <v>347</v>
      </c>
      <c r="P19" s="3046"/>
      <c r="Q19" s="3049"/>
      <c r="R19" s="3049"/>
      <c r="S19" s="3049"/>
      <c r="T19" s="3049"/>
      <c r="U19" s="3050"/>
      <c r="V19" s="3046"/>
      <c r="W19" s="3046"/>
      <c r="X19" s="3056">
        <f>IF(A19="","",IF(LEN(SUBSTITUTE(SUBSTITUTE(SUBSTITUTE(SUBSTITUTE(D19,".",""),"/",""),"-","")," ",""))&lt;&gt;14,"CNPJ INVALIDO","OK"))</f>
      </c>
      <c r="Y19" s="3056">
        <f>IF(A19="","",IF(R19="","REST PENDENTE","REST OK"))</f>
      </c>
      <c r="Z19" s="3056">
        <f>IF(A19="","",IF(AND(R19&lt;&gt;"",COUNTIFS($D$3:$D$164,D19,$R$3:$R$164,"&lt;&gt;")&gt;1),"DUPLICADO","OK"))</f>
      </c>
      <c r="AA19" s="3056">
        <f>IF(A19="","",IF(OR(LEN(Q19)&gt;180,LEN(R19)&gt;180,LEN(S19)&gt;180,LEN(T19)&gt;180),"CAMINHO LONGO","OK"))</f>
      </c>
      <c r="AB19" s="3056">
        <f>IF(A19="","",IF(U19="","",IFERROR(INT(U19-TODAY()),"")))</f>
      </c>
      <c r="AC19" s="3056">
        <f>IF(A19="","",IF(AND(T19="",U19=""),"",IF(T19="","SEM CAMINHO",IF(U19="","SEM DATA",IFERROR(IF(AB19&lt;15,"VERMELHO",IF(AB19&lt;=30,"AMARELO","VERDE")),"DATA INVALIDA")))))</f>
      </c>
      <c r="AD19" s="3056">
        <f>IF(OR(A19="",U19="",NOT(ISNUMBER(AB19))),"",RANK(AB19,$AB$3:$AB$164,1)+COUNTIFS($AB$3:AB19,AB19)-1)</f>
      </c>
      <c r="AE19" s="1736"/>
    </row>
    <row r="20" spans="1:19" ht="22.0" hidden="false" customHeight="true" x14ac:dyDescent="0.25">
      <c r="A20" s="3052" t="s">
        <v>52</v>
      </c>
      <c r="B20" s="3051" t="s">
        <v>45</v>
      </c>
      <c r="C20" s="3051" t="s">
        <v>46</v>
      </c>
      <c r="D20" s="3051" t="s">
        <v>53</v>
      </c>
      <c r="E20" s="3051"/>
      <c r="F20" s="3051" t="s">
        <v>48</v>
      </c>
      <c r="G20" s="3051" t="s">
        <v>13</v>
      </c>
      <c r="H20" s="3051" t="s">
        <v>14</v>
      </c>
      <c r="I20" s="3051"/>
      <c r="J20" s="3051"/>
      <c r="K20" s="3051"/>
      <c r="L20" s="3051"/>
      <c r="M20" s="3051" t="s">
        <v>377</v>
      </c>
      <c r="N20" s="3051"/>
      <c r="O20" s="3051" t="s">
        <v>347</v>
      </c>
      <c r="P20" s="3051"/>
      <c r="Q20" s="3054"/>
      <c r="R20" s="3054"/>
      <c r="S20" s="3054"/>
      <c r="T20" s="3054"/>
      <c r="U20" s="3055"/>
      <c r="V20" s="3051"/>
      <c r="W20" s="3051"/>
      <c r="X20" s="3056">
        <f>IF(A20="","",IF(LEN(SUBSTITUTE(SUBSTITUTE(SUBSTITUTE(SUBSTITUTE(D20,".",""),"/",""),"-","")," ",""))&lt;&gt;14,"CNPJ INVALIDO","OK"))</f>
      </c>
      <c r="Y20" s="3056">
        <f>IF(A20="","",IF(R20="","REST PENDENTE","REST OK"))</f>
      </c>
      <c r="Z20" s="3056">
        <f>IF(A20="","",IF(AND(R20&lt;&gt;"",COUNTIFS($D$3:$D$164,D20,$R$3:$R$164,"&lt;&gt;")&gt;1),"DUPLICADO","OK"))</f>
      </c>
      <c r="AA20" s="3056">
        <f>IF(A20="","",IF(OR(LEN(Q20)&gt;180,LEN(R20)&gt;180,LEN(S20)&gt;180,LEN(T20)&gt;180),"CAMINHO LONGO","OK"))</f>
      </c>
      <c r="AB20" s="3056">
        <f>IF(A20="","",IF(U20="","",IFERROR(INT(U20-TODAY()),"")))</f>
      </c>
      <c r="AC20" s="3056">
        <f>IF(A20="","",IF(AND(T20="",U20=""),"",IF(T20="","SEM CAMINHO",IF(U20="","SEM DATA",IFERROR(IF(AB20&lt;15,"VERMELHO",IF(AB20&lt;=30,"AMARELO","VERDE")),"DATA INVALIDA")))))</f>
      </c>
      <c r="AD20" s="3056">
        <f>IF(OR(A20="",U20="",NOT(ISNUMBER(AB20))),"",RANK(AB20,$AB$3:$AB$164,1)+COUNTIFS($AB$3:AB20,AB20)-1)</f>
      </c>
      <c r="AE20" s="1736"/>
    </row>
    <row r="21" spans="1:19" ht="22.0" hidden="false" customHeight="true" x14ac:dyDescent="0.25">
      <c r="A21" s="3047" t="s">
        <v>54</v>
      </c>
      <c r="B21" s="3046" t="s">
        <v>55</v>
      </c>
      <c r="C21" s="3046" t="s">
        <v>56</v>
      </c>
      <c r="D21" s="3057">
        <v>57123358000129</v>
      </c>
      <c r="E21" s="3046"/>
      <c r="F21" s="3046" t="s">
        <v>57</v>
      </c>
      <c r="G21" s="3046" t="s">
        <v>4</v>
      </c>
      <c r="H21" s="3046" t="s">
        <v>14</v>
      </c>
      <c r="I21" s="3046"/>
      <c r="J21" s="3046"/>
      <c r="K21" s="3046"/>
      <c r="L21" s="3046"/>
      <c r="M21" s="3046" t="s">
        <v>376</v>
      </c>
      <c r="N21" s="3046"/>
      <c r="O21" s="3046" t="s">
        <v>349</v>
      </c>
      <c r="P21" s="3046"/>
      <c r="Q21" s="3049"/>
      <c r="R21" s="3049"/>
      <c r="S21" s="3049"/>
      <c r="T21" s="3049"/>
      <c r="U21" s="3050"/>
      <c r="V21" s="3046"/>
      <c r="W21" s="3046"/>
      <c r="X21" s="3056">
        <f>IF(A21="","",IF(LEN(SUBSTITUTE(SUBSTITUTE(SUBSTITUTE(SUBSTITUTE(D21,".",""),"/",""),"-","")," ",""))&lt;&gt;14,"CNPJ INVALIDO","OK"))</f>
      </c>
      <c r="Y21" s="3056">
        <f>IF(A21="","",IF(R21="","REST PENDENTE","REST OK"))</f>
      </c>
      <c r="Z21" s="3056">
        <f>IF(A21="","",IF(AND(R21&lt;&gt;"",COUNTIFS($D$3:$D$164,D21,$R$3:$R$164,"&lt;&gt;")&gt;1),"DUPLICADO","OK"))</f>
      </c>
      <c r="AA21" s="3056">
        <f>IF(A21="","",IF(OR(LEN(Q21)&gt;180,LEN(R21)&gt;180,LEN(S21)&gt;180,LEN(T21)&gt;180),"CAMINHO LONGO","OK"))</f>
      </c>
      <c r="AB21" s="3056">
        <f>IF(A21="","",IF(U21="","",IFERROR(INT(U21-TODAY()),"")))</f>
      </c>
      <c r="AC21" s="3056">
        <f>IF(A21="","",IF(AND(T21="",U21=""),"",IF(T21="","SEM CAMINHO",IF(U21="","SEM DATA",IFERROR(IF(AB21&lt;15,"VERMELHO",IF(AB21&lt;=30,"AMARELO","VERDE")),"DATA INVALIDA")))))</f>
      </c>
      <c r="AD21" s="3056">
        <f>IF(OR(A21="",U21="",NOT(ISNUMBER(AB21))),"",RANK(AB21,$AB$3:$AB$164,1)+COUNTIFS($AB$3:AB21,AB21)-1)</f>
      </c>
      <c r="AE21" s="1736"/>
    </row>
    <row r="22" spans="1:19" ht="22.0" hidden="false" customHeight="true" x14ac:dyDescent="0.25">
      <c r="A22" s="3052" t="s">
        <v>58</v>
      </c>
      <c r="B22" s="3051" t="s">
        <v>45</v>
      </c>
      <c r="C22" s="3051" t="s">
        <v>59</v>
      </c>
      <c r="D22" s="3057">
        <v>40870380000130</v>
      </c>
      <c r="E22" s="3051"/>
      <c r="F22" s="3051" t="s">
        <v>48</v>
      </c>
      <c r="G22" s="3051" t="s">
        <v>4</v>
      </c>
      <c r="H22" s="3051" t="s">
        <v>14</v>
      </c>
      <c r="I22" s="3051"/>
      <c r="J22" s="3051"/>
      <c r="K22" s="3051"/>
      <c r="L22" s="3051"/>
      <c r="M22" s="3051" t="s">
        <v>378</v>
      </c>
      <c r="N22" s="3051"/>
      <c r="O22" s="3051" t="s">
        <v>348</v>
      </c>
      <c r="P22" s="3051"/>
      <c r="Q22" s="3054"/>
      <c r="R22" s="3054"/>
      <c r="S22" s="3054"/>
      <c r="T22" s="3054"/>
      <c r="U22" s="3055"/>
      <c r="V22" s="3051"/>
      <c r="W22" s="3051"/>
      <c r="X22" s="3056">
        <f>IF(A22="","",IF(LEN(SUBSTITUTE(SUBSTITUTE(SUBSTITUTE(SUBSTITUTE(D22,".",""),"/",""),"-","")," ",""))&lt;&gt;14,"CNPJ INVALIDO","OK"))</f>
      </c>
      <c r="Y22" s="3056">
        <f>IF(A22="","",IF(R22="","REST PENDENTE","REST OK"))</f>
      </c>
      <c r="Z22" s="3056">
        <f>IF(A22="","",IF(AND(R22&lt;&gt;"",COUNTIFS($D$3:$D$164,D22,$R$3:$R$164,"&lt;&gt;")&gt;1),"DUPLICADO","OK"))</f>
      </c>
      <c r="AA22" s="3056">
        <f>IF(A22="","",IF(OR(LEN(Q22)&gt;180,LEN(R22)&gt;180,LEN(S22)&gt;180,LEN(T22)&gt;180),"CAMINHO LONGO","OK"))</f>
      </c>
      <c r="AB22" s="3056">
        <f>IF(A22="","",IF(U22="","",IFERROR(INT(U22-TODAY()),"")))</f>
      </c>
      <c r="AC22" s="3056">
        <f>IF(A22="","",IF(AND(T22="",U22=""),"",IF(T22="","SEM CAMINHO",IF(U22="","SEM DATA",IFERROR(IF(AB22&lt;15,"VERMELHO",IF(AB22&lt;=30,"AMARELO","VERDE")),"DATA INVALIDA")))))</f>
      </c>
      <c r="AD22" s="3056">
        <f>IF(OR(A22="",U22="",NOT(ISNUMBER(AB22))),"",RANK(AB22,$AB$3:$AB$164,1)+COUNTIFS($AB$3:AB22,AB22)-1)</f>
      </c>
      <c r="AE22" s="1736"/>
    </row>
    <row r="23" spans="1:19" ht="22.0" hidden="false" customHeight="true" x14ac:dyDescent="0.25">
      <c r="A23" s="3047" t="s">
        <v>60</v>
      </c>
      <c r="B23" s="3046" t="s">
        <v>61</v>
      </c>
      <c r="C23" s="3046" t="s">
        <v>62</v>
      </c>
      <c r="D23" s="3057">
        <v>26837949000134</v>
      </c>
      <c r="E23" s="3046"/>
      <c r="F23" s="3046" t="s">
        <v>63</v>
      </c>
      <c r="G23" s="3046" t="s">
        <v>41</v>
      </c>
      <c r="H23" s="3046" t="s">
        <v>5</v>
      </c>
      <c r="I23" s="3046"/>
      <c r="J23" s="3046"/>
      <c r="K23" s="3046"/>
      <c r="L23" s="3046"/>
      <c r="M23" s="3046" t="s">
        <v>379</v>
      </c>
      <c r="N23" s="3046"/>
      <c r="O23" s="3046"/>
      <c r="P23" s="3046"/>
      <c r="Q23" s="3049"/>
      <c r="R23" s="3049"/>
      <c r="S23" s="3049"/>
      <c r="T23" s="3049"/>
      <c r="U23" s="3050"/>
      <c r="V23" s="3046"/>
      <c r="W23" s="3046"/>
      <c r="X23" s="3056">
        <f>IF(A23="","",IF(LEN(SUBSTITUTE(SUBSTITUTE(SUBSTITUTE(SUBSTITUTE(D23,".",""),"/",""),"-","")," ",""))&lt;&gt;14,"CNPJ INVALIDO","OK"))</f>
      </c>
      <c r="Y23" s="3056">
        <f>IF(A23="","",IF(R23="","REST PENDENTE","REST OK"))</f>
      </c>
      <c r="Z23" s="3056">
        <f>IF(A23="","",IF(AND(R23&lt;&gt;"",COUNTIFS($D$3:$D$164,D23,$R$3:$R$164,"&lt;&gt;")&gt;1),"DUPLICADO","OK"))</f>
      </c>
      <c r="AA23" s="3056">
        <f>IF(A23="","",IF(OR(LEN(Q23)&gt;180,LEN(R23)&gt;180,LEN(S23)&gt;180,LEN(T23)&gt;180),"CAMINHO LONGO","OK"))</f>
      </c>
      <c r="AB23" s="3056">
        <f>IF(A23="","",IF(U23="","",IFERROR(INT(U23-TODAY()),"")))</f>
      </c>
      <c r="AC23" s="3056">
        <f>IF(A23="","",IF(AND(T23="",U23=""),"",IF(T23="","SEM CAMINHO",IF(U23="","SEM DATA",IFERROR(IF(AB23&lt;15,"VERMELHO",IF(AB23&lt;=30,"AMARELO","VERDE")),"DATA INVALIDA")))))</f>
      </c>
      <c r="AD23" s="3056">
        <f>IF(OR(A23="",U23="",NOT(ISNUMBER(AB23))),"",RANK(AB23,$AB$3:$AB$164,1)+COUNTIFS($AB$3:AB23,AB23)-1)</f>
      </c>
      <c r="AE23" s="1736"/>
    </row>
    <row r="24" spans="1:19" ht="22.0" hidden="false" customHeight="true" x14ac:dyDescent="0.25">
      <c r="A24" s="3052" t="s">
        <v>64</v>
      </c>
      <c r="B24" s="3051" t="s">
        <v>65</v>
      </c>
      <c r="C24" s="3051" t="s">
        <v>62</v>
      </c>
      <c r="D24" s="3057">
        <v>12923820000134</v>
      </c>
      <c r="E24" s="3051"/>
      <c r="F24" s="3051" t="s">
        <v>66</v>
      </c>
      <c r="G24" s="3051" t="s">
        <v>13</v>
      </c>
      <c r="H24" s="3051" t="s">
        <v>49</v>
      </c>
      <c r="I24" s="3051"/>
      <c r="J24" s="3051"/>
      <c r="K24" s="3051"/>
      <c r="L24" s="3051"/>
      <c r="M24" s="3051" t="s">
        <v>377</v>
      </c>
      <c r="N24" s="3051"/>
      <c r="O24" s="3051" t="s">
        <v>347</v>
      </c>
      <c r="P24" s="3051"/>
      <c r="Q24" s="3054"/>
      <c r="R24" s="3054"/>
      <c r="S24" s="3054"/>
      <c r="T24" s="3054"/>
      <c r="U24" s="3055"/>
      <c r="V24" s="3051"/>
      <c r="W24" s="3051"/>
      <c r="X24" s="3056">
        <f>IF(A24="","",IF(LEN(SUBSTITUTE(SUBSTITUTE(SUBSTITUTE(SUBSTITUTE(D24,".",""),"/",""),"-","")," ",""))&lt;&gt;14,"CNPJ INVALIDO","OK"))</f>
      </c>
      <c r="Y24" s="3056">
        <f>IF(A24="","",IF(R24="","REST PENDENTE","REST OK"))</f>
      </c>
      <c r="Z24" s="3056">
        <f>IF(A24="","",IF(AND(R24&lt;&gt;"",COUNTIFS($D$3:$D$164,D24,$R$3:$R$164,"&lt;&gt;")&gt;1),"DUPLICADO","OK"))</f>
      </c>
      <c r="AA24" s="3056">
        <f>IF(A24="","",IF(OR(LEN(Q24)&gt;180,LEN(R24)&gt;180,LEN(S24)&gt;180,LEN(T24)&gt;180),"CAMINHO LONGO","OK"))</f>
      </c>
      <c r="AB24" s="3056">
        <f>IF(A24="","",IF(U24="","",IFERROR(INT(U24-TODAY()),"")))</f>
      </c>
      <c r="AC24" s="3056">
        <f>IF(A24="","",IF(AND(T24="",U24=""),"",IF(T24="","SEM CAMINHO",IF(U24="","SEM DATA",IFERROR(IF(AB24&lt;15,"VERMELHO",IF(AB24&lt;=30,"AMARELO","VERDE")),"DATA INVALIDA")))))</f>
      </c>
      <c r="AD24" s="3056">
        <f>IF(OR(A24="",U24="",NOT(ISNUMBER(AB24))),"",RANK(AB24,$AB$3:$AB$164,1)+COUNTIFS($AB$3:AB24,AB24)-1)</f>
      </c>
      <c r="AE24" s="1736"/>
    </row>
    <row r="25" spans="1:19" ht="22.0" hidden="false" customHeight="true" x14ac:dyDescent="0.25">
      <c r="A25" s="3047" t="s">
        <v>67</v>
      </c>
      <c r="B25" s="3046" t="s">
        <v>68</v>
      </c>
      <c r="C25" s="3046" t="s">
        <v>69</v>
      </c>
      <c r="D25" s="3046" t="s">
        <v>70</v>
      </c>
      <c r="E25" s="3046"/>
      <c r="F25" s="3046" t="s">
        <v>71</v>
      </c>
      <c r="G25" s="3046" t="s">
        <v>4</v>
      </c>
      <c r="H25" s="3046" t="s">
        <v>49</v>
      </c>
      <c r="I25" s="3046"/>
      <c r="J25" s="3046"/>
      <c r="K25" s="3046"/>
      <c r="L25" s="3046"/>
      <c r="M25" s="3046" t="s">
        <v>379</v>
      </c>
      <c r="N25" s="3046"/>
      <c r="O25" s="3046" t="s">
        <v>349</v>
      </c>
      <c r="P25" s="3046"/>
      <c r="Q25" s="3049"/>
      <c r="R25" s="3048" t="s">
        <v>401</v>
      </c>
      <c r="S25" s="3049"/>
      <c r="T25" s="3049"/>
      <c r="U25" s="3050"/>
      <c r="V25" s="3046"/>
      <c r="W25" s="3046"/>
      <c r="X25" s="3056">
        <f>IF(A25="","",IF(LEN(SUBSTITUTE(SUBSTITUTE(SUBSTITUTE(SUBSTITUTE(D25,".",""),"/",""),"-","")," ",""))&lt;&gt;14,"CNPJ INVALIDO","OK"))</f>
      </c>
      <c r="Y25" s="3056">
        <f>IF(A25="","",IF(R25="","REST PENDENTE","REST OK"))</f>
      </c>
      <c r="Z25" s="3056">
        <f>IF(A25="","",IF(AND(R25&lt;&gt;"",COUNTIFS($D$3:$D$164,D25,$R$3:$R$164,"&lt;&gt;")&gt;1),"DUPLICADO","OK"))</f>
      </c>
      <c r="AA25" s="3056">
        <f>IF(A25="","",IF(OR(LEN(Q25)&gt;180,LEN(R25)&gt;180,LEN(S25)&gt;180,LEN(T25)&gt;180),"CAMINHO LONGO","OK"))</f>
      </c>
      <c r="AB25" s="3056">
        <f>IF(A25="","",IF(U25="","",IFERROR(INT(U25-TODAY()),"")))</f>
      </c>
      <c r="AC25" s="3056">
        <f>IF(A25="","",IF(AND(T25="",U25=""),"",IF(T25="","SEM CAMINHO",IF(U25="","SEM DATA",IFERROR(IF(AB25&lt;15,"VERMELHO",IF(AB25&lt;=30,"AMARELO","VERDE")),"DATA INVALIDA")))))</f>
      </c>
      <c r="AD25" s="3056">
        <f>IF(OR(A25="",U25="",NOT(ISNUMBER(AB25))),"",RANK(AB25,$AB$3:$AB$164,1)+COUNTIFS($AB$3:AB25,AB25)-1)</f>
      </c>
      <c r="AE25" s="1736"/>
    </row>
    <row r="26" spans="1:19" ht="22.0" hidden="false" customHeight="true" x14ac:dyDescent="0.25">
      <c r="A26" s="3052" t="s">
        <v>72</v>
      </c>
      <c r="B26" s="3051" t="s">
        <v>9</v>
      </c>
      <c r="C26" s="3051" t="s">
        <v>24</v>
      </c>
      <c r="D26" s="3057">
        <v>41597807000130</v>
      </c>
      <c r="E26" s="3051"/>
      <c r="F26" s="3051" t="s">
        <v>73</v>
      </c>
      <c r="G26" s="3051" t="s">
        <v>4</v>
      </c>
      <c r="H26" s="3051" t="s">
        <v>5</v>
      </c>
      <c r="I26" s="3051"/>
      <c r="J26" s="3051"/>
      <c r="K26" s="3051"/>
      <c r="L26" s="3051"/>
      <c r="M26" s="3051" t="s">
        <v>379</v>
      </c>
      <c r="N26" s="3051"/>
      <c r="O26" s="3051" t="s">
        <v>347</v>
      </c>
      <c r="P26" s="3051"/>
      <c r="Q26" s="3054"/>
      <c r="R26" s="3054"/>
      <c r="S26" s="3054"/>
      <c r="T26" s="3054"/>
      <c r="U26" s="3055"/>
      <c r="V26" s="3051"/>
      <c r="W26" s="3051"/>
      <c r="X26" s="3056">
        <f>IF(A26="","",IF(LEN(SUBSTITUTE(SUBSTITUTE(SUBSTITUTE(SUBSTITUTE(D26,".",""),"/",""),"-","")," ",""))&lt;&gt;14,"CNPJ INVALIDO","OK"))</f>
      </c>
      <c r="Y26" s="3056">
        <f>IF(A26="","",IF(R26="","REST PENDENTE","REST OK"))</f>
      </c>
      <c r="Z26" s="3056">
        <f>IF(A26="","",IF(AND(R26&lt;&gt;"",COUNTIFS($D$3:$D$164,D26,$R$3:$R$164,"&lt;&gt;")&gt;1),"DUPLICADO","OK"))</f>
      </c>
      <c r="AA26" s="3056">
        <f>IF(A26="","",IF(OR(LEN(Q26)&gt;180,LEN(R26)&gt;180,LEN(S26)&gt;180,LEN(T26)&gt;180),"CAMINHO LONGO","OK"))</f>
      </c>
      <c r="AB26" s="3056">
        <f>IF(A26="","",IF(U26="","",IFERROR(INT(U26-TODAY()),"")))</f>
      </c>
      <c r="AC26" s="3056">
        <f>IF(A26="","",IF(AND(T26="",U26=""),"",IF(T26="","SEM CAMINHO",IF(U26="","SEM DATA",IFERROR(IF(AB26&lt;15,"VERMELHO",IF(AB26&lt;=30,"AMARELO","VERDE")),"DATA INVALIDA")))))</f>
      </c>
      <c r="AD26" s="3056">
        <f>IF(OR(A26="",U26="",NOT(ISNUMBER(AB26))),"",RANK(AB26,$AB$3:$AB$164,1)+COUNTIFS($AB$3:AB26,AB26)-1)</f>
      </c>
      <c r="AE26" s="1736"/>
    </row>
    <row r="27" spans="1:19" ht="22.0" hidden="false" customHeight="true" x14ac:dyDescent="0.25">
      <c r="A27" s="3047" t="s">
        <v>74</v>
      </c>
      <c r="B27" s="3046" t="s">
        <v>75</v>
      </c>
      <c r="C27" s="3046" t="s">
        <v>62</v>
      </c>
      <c r="D27" s="3057">
        <v>21430001000146</v>
      </c>
      <c r="E27" s="3046"/>
      <c r="F27" s="3046" t="s">
        <v>76</v>
      </c>
      <c r="G27" s="3046" t="s">
        <v>4</v>
      </c>
      <c r="H27" s="3046" t="s">
        <v>5</v>
      </c>
      <c r="I27" s="3046"/>
      <c r="J27" s="3046"/>
      <c r="K27" s="3046"/>
      <c r="L27" s="3046"/>
      <c r="M27" s="3046" t="s">
        <v>377</v>
      </c>
      <c r="N27" s="3046"/>
      <c r="O27" s="3046" t="s">
        <v>347</v>
      </c>
      <c r="P27" s="3046"/>
      <c r="Q27" s="3049"/>
      <c r="R27" s="3049"/>
      <c r="S27" s="3049"/>
      <c r="T27" s="3049"/>
      <c r="U27" s="3050"/>
      <c r="V27" s="3046"/>
      <c r="W27" s="3046"/>
      <c r="X27" s="3056">
        <f>IF(A27="","",IF(LEN(SUBSTITUTE(SUBSTITUTE(SUBSTITUTE(SUBSTITUTE(D27,".",""),"/",""),"-","")," ",""))&lt;&gt;14,"CNPJ INVALIDO","OK"))</f>
      </c>
      <c r="Y27" s="3056">
        <f>IF(A27="","",IF(R27="","REST PENDENTE","REST OK"))</f>
      </c>
      <c r="Z27" s="3056">
        <f>IF(A27="","",IF(AND(R27&lt;&gt;"",COUNTIFS($D$3:$D$164,D27,$R$3:$R$164,"&lt;&gt;")&gt;1),"DUPLICADO","OK"))</f>
      </c>
      <c r="AA27" s="3056">
        <f>IF(A27="","",IF(OR(LEN(Q27)&gt;180,LEN(R27)&gt;180,LEN(S27)&gt;180,LEN(T27)&gt;180),"CAMINHO LONGO","OK"))</f>
      </c>
      <c r="AB27" s="3056">
        <f>IF(A27="","",IF(U27="","",IFERROR(INT(U27-TODAY()),"")))</f>
      </c>
      <c r="AC27" s="3056">
        <f>IF(A27="","",IF(AND(T27="",U27=""),"",IF(T27="","SEM CAMINHO",IF(U27="","SEM DATA",IFERROR(IF(AB27&lt;15,"VERMELHO",IF(AB27&lt;=30,"AMARELO","VERDE")),"DATA INVALIDA")))))</f>
      </c>
      <c r="AD27" s="3056">
        <f>IF(OR(A27="",U27="",NOT(ISNUMBER(AB27))),"",RANK(AB27,$AB$3:$AB$164,1)+COUNTIFS($AB$3:AB27,AB27)-1)</f>
      </c>
      <c r="AE27" s="1736"/>
    </row>
    <row r="28" spans="1:19" ht="22.0" hidden="false" customHeight="true" x14ac:dyDescent="0.25">
      <c r="A28" s="3052" t="s">
        <v>77</v>
      </c>
      <c r="B28" s="3051" t="s">
        <v>78</v>
      </c>
      <c r="C28" s="3051" t="s">
        <v>79</v>
      </c>
      <c r="D28" s="3051" t="s">
        <v>80</v>
      </c>
      <c r="E28" s="3051"/>
      <c r="F28" s="3051" t="s">
        <v>81</v>
      </c>
      <c r="G28" s="3051" t="s">
        <v>13</v>
      </c>
      <c r="H28" s="3051" t="s">
        <v>49</v>
      </c>
      <c r="I28" s="3051"/>
      <c r="J28" s="3051"/>
      <c r="K28" s="3051"/>
      <c r="L28" s="3051"/>
      <c r="M28" s="3051" t="s">
        <v>377</v>
      </c>
      <c r="N28" s="3051"/>
      <c r="O28" s="3051" t="s">
        <v>347</v>
      </c>
      <c r="P28" s="3051"/>
      <c r="Q28" s="3054"/>
      <c r="R28" s="3054"/>
      <c r="S28" s="3054"/>
      <c r="T28" s="3054"/>
      <c r="U28" s="3055"/>
      <c r="V28" s="3051"/>
      <c r="W28" s="3051"/>
      <c r="X28" s="3056">
        <f>IF(A28="","",IF(LEN(SUBSTITUTE(SUBSTITUTE(SUBSTITUTE(SUBSTITUTE(D28,".",""),"/",""),"-","")," ",""))&lt;&gt;14,"CNPJ INVALIDO","OK"))</f>
      </c>
      <c r="Y28" s="3056">
        <f>IF(A28="","",IF(R28="","REST PENDENTE","REST OK"))</f>
      </c>
      <c r="Z28" s="3056">
        <f>IF(A28="","",IF(AND(R28&lt;&gt;"",COUNTIFS($D$3:$D$164,D28,$R$3:$R$164,"&lt;&gt;")&gt;1),"DUPLICADO","OK"))</f>
      </c>
      <c r="AA28" s="3056">
        <f>IF(A28="","",IF(OR(LEN(Q28)&gt;180,LEN(R28)&gt;180,LEN(S28)&gt;180,LEN(T28)&gt;180),"CAMINHO LONGO","OK"))</f>
      </c>
      <c r="AB28" s="3056">
        <f>IF(A28="","",IF(U28="","",IFERROR(INT(U28-TODAY()),"")))</f>
      </c>
      <c r="AC28" s="3056">
        <f>IF(A28="","",IF(AND(T28="",U28=""),"",IF(T28="","SEM CAMINHO",IF(U28="","SEM DATA",IFERROR(IF(AB28&lt;15,"VERMELHO",IF(AB28&lt;=30,"AMARELO","VERDE")),"DATA INVALIDA")))))</f>
      </c>
      <c r="AD28" s="3056">
        <f>IF(OR(A28="",U28="",NOT(ISNUMBER(AB28))),"",RANK(AB28,$AB$3:$AB$164,1)+COUNTIFS($AB$3:AB28,AB28)-1)</f>
      </c>
      <c r="AE28" s="1736"/>
    </row>
    <row r="29" spans="1:19" ht="22.0" hidden="false" customHeight="true" x14ac:dyDescent="0.25">
      <c r="A29" s="3047" t="s">
        <v>82</v>
      </c>
      <c r="B29" s="3046" t="s">
        <v>78</v>
      </c>
      <c r="C29" s="3046" t="s">
        <v>83</v>
      </c>
      <c r="D29" s="3057">
        <v>62220305000166</v>
      </c>
      <c r="E29" s="3046"/>
      <c r="F29" s="3046" t="s">
        <v>81</v>
      </c>
      <c r="G29" s="3046" t="s">
        <v>4</v>
      </c>
      <c r="H29" s="3046" t="s">
        <v>5</v>
      </c>
      <c r="I29" s="3046"/>
      <c r="J29" s="3046"/>
      <c r="K29" s="3046"/>
      <c r="L29" s="3046"/>
      <c r="M29" s="3046" t="s">
        <v>378</v>
      </c>
      <c r="N29" s="3046"/>
      <c r="O29" s="3046" t="s">
        <v>349</v>
      </c>
      <c r="P29" s="3046"/>
      <c r="Q29" s="3049"/>
      <c r="R29" s="3049"/>
      <c r="S29" s="3049"/>
      <c r="T29" s="3049"/>
      <c r="U29" s="3050"/>
      <c r="V29" s="3046"/>
      <c r="W29" s="3046"/>
      <c r="X29" s="3056">
        <f>IF(A29="","",IF(LEN(SUBSTITUTE(SUBSTITUTE(SUBSTITUTE(SUBSTITUTE(D29,".",""),"/",""),"-","")," ",""))&lt;&gt;14,"CNPJ INVALIDO","OK"))</f>
      </c>
      <c r="Y29" s="3056">
        <f>IF(A29="","",IF(R29="","REST PENDENTE","REST OK"))</f>
      </c>
      <c r="Z29" s="3056">
        <f>IF(A29="","",IF(AND(R29&lt;&gt;"",COUNTIFS($D$3:$D$164,D29,$R$3:$R$164,"&lt;&gt;")&gt;1),"DUPLICADO","OK"))</f>
      </c>
      <c r="AA29" s="3056">
        <f>IF(A29="","",IF(OR(LEN(Q29)&gt;180,LEN(R29)&gt;180,LEN(S29)&gt;180,LEN(T29)&gt;180),"CAMINHO LONGO","OK"))</f>
      </c>
      <c r="AB29" s="3056">
        <f>IF(A29="","",IF(U29="","",IFERROR(INT(U29-TODAY()),"")))</f>
      </c>
      <c r="AC29" s="3056">
        <f>IF(A29="","",IF(AND(T29="",U29=""),"",IF(T29="","SEM CAMINHO",IF(U29="","SEM DATA",IFERROR(IF(AB29&lt;15,"VERMELHO",IF(AB29&lt;=30,"AMARELO","VERDE")),"DATA INVALIDA")))))</f>
      </c>
      <c r="AD29" s="3056">
        <f>IF(OR(A29="",U29="",NOT(ISNUMBER(AB29))),"",RANK(AB29,$AB$3:$AB$164,1)+COUNTIFS($AB$3:AB29,AB29)-1)</f>
      </c>
      <c r="AE29" s="1736"/>
    </row>
    <row r="30" spans="1:19" ht="22.0" hidden="false" customHeight="true" x14ac:dyDescent="0.25">
      <c r="A30" s="3052" t="s">
        <v>84</v>
      </c>
      <c r="B30" s="3051" t="s">
        <v>85</v>
      </c>
      <c r="C30" s="3051" t="s">
        <v>46</v>
      </c>
      <c r="D30" s="3057">
        <v>10712858000132</v>
      </c>
      <c r="E30" s="3051"/>
      <c r="F30" s="3051" t="s">
        <v>86</v>
      </c>
      <c r="G30" s="3051" t="s">
        <v>13</v>
      </c>
      <c r="H30" s="3051" t="s">
        <v>5</v>
      </c>
      <c r="I30" s="3051"/>
      <c r="J30" s="3051"/>
      <c r="K30" s="3051"/>
      <c r="L30" s="3051"/>
      <c r="M30" s="3051" t="s">
        <v>377</v>
      </c>
      <c r="N30" s="3051"/>
      <c r="O30" s="3051" t="s">
        <v>349</v>
      </c>
      <c r="P30" s="3051"/>
      <c r="Q30" s="3054"/>
      <c r="R30" s="3054"/>
      <c r="S30" s="3054"/>
      <c r="T30" s="3054"/>
      <c r="U30" s="3055"/>
      <c r="V30" s="3051"/>
      <c r="W30" s="3051"/>
      <c r="X30" s="3056">
        <f>IF(A30="","",IF(LEN(SUBSTITUTE(SUBSTITUTE(SUBSTITUTE(SUBSTITUTE(D30,".",""),"/",""),"-","")," ",""))&lt;&gt;14,"CNPJ INVALIDO","OK"))</f>
      </c>
      <c r="Y30" s="3056">
        <f>IF(A30="","",IF(R30="","REST PENDENTE","REST OK"))</f>
      </c>
      <c r="Z30" s="3056">
        <f>IF(A30="","",IF(AND(R30&lt;&gt;"",COUNTIFS($D$3:$D$164,D30,$R$3:$R$164,"&lt;&gt;")&gt;1),"DUPLICADO","OK"))</f>
      </c>
      <c r="AA30" s="3056">
        <f>IF(A30="","",IF(OR(LEN(Q30)&gt;180,LEN(R30)&gt;180,LEN(S30)&gt;180,LEN(T30)&gt;180),"CAMINHO LONGO","OK"))</f>
      </c>
      <c r="AB30" s="3056">
        <f>IF(A30="","",IF(U30="","",IFERROR(INT(U30-TODAY()),"")))</f>
      </c>
      <c r="AC30" s="3056">
        <f>IF(A30="","",IF(AND(T30="",U30=""),"",IF(T30="","SEM CAMINHO",IF(U30="","SEM DATA",IFERROR(IF(AB30&lt;15,"VERMELHO",IF(AB30&lt;=30,"AMARELO","VERDE")),"DATA INVALIDA")))))</f>
      </c>
      <c r="AD30" s="3056">
        <f>IF(OR(A30="",U30="",NOT(ISNUMBER(AB30))),"",RANK(AB30,$AB$3:$AB$164,1)+COUNTIFS($AB$3:AB30,AB30)-1)</f>
      </c>
      <c r="AE30" s="1736"/>
    </row>
    <row r="31" spans="1:19" ht="22.0" hidden="false" customHeight="true" x14ac:dyDescent="0.25">
      <c r="A31" s="3047" t="s">
        <v>87</v>
      </c>
      <c r="B31" s="3046" t="s">
        <v>61</v>
      </c>
      <c r="C31" s="3046" t="s">
        <v>62</v>
      </c>
      <c r="D31" s="3057">
        <v>53665434000177</v>
      </c>
      <c r="E31" s="3046"/>
      <c r="F31" s="3046" t="s">
        <v>63</v>
      </c>
      <c r="G31" s="3046" t="s">
        <v>4</v>
      </c>
      <c r="H31" s="3046" t="s">
        <v>5</v>
      </c>
      <c r="I31" s="3046"/>
      <c r="J31" s="3046"/>
      <c r="K31" s="3046"/>
      <c r="L31" s="3046"/>
      <c r="M31" s="3046" t="s">
        <v>379</v>
      </c>
      <c r="N31" s="3046"/>
      <c r="O31" s="3046" t="s">
        <v>349</v>
      </c>
      <c r="P31" s="3046"/>
      <c r="Q31" s="3049"/>
      <c r="R31" s="3049"/>
      <c r="S31" s="3049"/>
      <c r="T31" s="3049"/>
      <c r="U31" s="3050"/>
      <c r="V31" s="3046"/>
      <c r="W31" s="3046"/>
      <c r="X31" s="3056">
        <f>IF(A31="","",IF(LEN(SUBSTITUTE(SUBSTITUTE(SUBSTITUTE(SUBSTITUTE(D31,".",""),"/",""),"-","")," ",""))&lt;&gt;14,"CNPJ INVALIDO","OK"))</f>
      </c>
      <c r="Y31" s="3056">
        <f>IF(A31="","",IF(R31="","REST PENDENTE","REST OK"))</f>
      </c>
      <c r="Z31" s="3056">
        <f>IF(A31="","",IF(AND(R31&lt;&gt;"",COUNTIFS($D$3:$D$164,D31,$R$3:$R$164,"&lt;&gt;")&gt;1),"DUPLICADO","OK"))</f>
      </c>
      <c r="AA31" s="3056">
        <f>IF(A31="","",IF(OR(LEN(Q31)&gt;180,LEN(R31)&gt;180,LEN(S31)&gt;180,LEN(T31)&gt;180),"CAMINHO LONGO","OK"))</f>
      </c>
      <c r="AB31" s="3056">
        <f>IF(A31="","",IF(U31="","",IFERROR(INT(U31-TODAY()),"")))</f>
      </c>
      <c r="AC31" s="3056">
        <f>IF(A31="","",IF(AND(T31="",U31=""),"",IF(T31="","SEM CAMINHO",IF(U31="","SEM DATA",IFERROR(IF(AB31&lt;15,"VERMELHO",IF(AB31&lt;=30,"AMARELO","VERDE")),"DATA INVALIDA")))))</f>
      </c>
      <c r="AD31" s="3056">
        <f>IF(OR(A31="",U31="",NOT(ISNUMBER(AB31))),"",RANK(AB31,$AB$3:$AB$164,1)+COUNTIFS($AB$3:AB31,AB31)-1)</f>
      </c>
      <c r="AE31" s="1736"/>
    </row>
    <row r="32" spans="1:19" ht="22.0" hidden="false" customHeight="true" x14ac:dyDescent="0.25">
      <c r="A32" s="3052" t="s">
        <v>88</v>
      </c>
      <c r="B32" s="3051" t="s">
        <v>61</v>
      </c>
      <c r="C32" s="3051" t="s">
        <v>62</v>
      </c>
      <c r="D32" s="3057">
        <v>53665515000177</v>
      </c>
      <c r="E32" s="3051"/>
      <c r="F32" s="3051" t="s">
        <v>63</v>
      </c>
      <c r="G32" s="3051" t="s">
        <v>4</v>
      </c>
      <c r="H32" s="3051" t="s">
        <v>5</v>
      </c>
      <c r="I32" s="3051"/>
      <c r="J32" s="3051"/>
      <c r="K32" s="3051"/>
      <c r="L32" s="3051"/>
      <c r="M32" s="3051" t="s">
        <v>379</v>
      </c>
      <c r="N32" s="3051"/>
      <c r="O32" s="3051" t="s">
        <v>349</v>
      </c>
      <c r="P32" s="3051"/>
      <c r="Q32" s="3054"/>
      <c r="R32" s="3054"/>
      <c r="S32" s="3054"/>
      <c r="T32" s="3054"/>
      <c r="U32" s="3055"/>
      <c r="V32" s="3051"/>
      <c r="W32" s="3051"/>
      <c r="X32" s="3056">
        <f>IF(A32="","",IF(LEN(SUBSTITUTE(SUBSTITUTE(SUBSTITUTE(SUBSTITUTE(D32,".",""),"/",""),"-","")," ",""))&lt;&gt;14,"CNPJ INVALIDO","OK"))</f>
      </c>
      <c r="Y32" s="3056">
        <f>IF(A32="","",IF(R32="","REST PENDENTE","REST OK"))</f>
      </c>
      <c r="Z32" s="3056">
        <f>IF(A32="","",IF(AND(R32&lt;&gt;"",COUNTIFS($D$3:$D$164,D32,$R$3:$R$164,"&lt;&gt;")&gt;1),"DUPLICADO","OK"))</f>
      </c>
      <c r="AA32" s="3056">
        <f>IF(A32="","",IF(OR(LEN(Q32)&gt;180,LEN(R32)&gt;180,LEN(S32)&gt;180,LEN(T32)&gt;180),"CAMINHO LONGO","OK"))</f>
      </c>
      <c r="AB32" s="3056">
        <f>IF(A32="","",IF(U32="","",IFERROR(INT(U32-TODAY()),"")))</f>
      </c>
      <c r="AC32" s="3056">
        <f>IF(A32="","",IF(AND(T32="",U32=""),"",IF(T32="","SEM CAMINHO",IF(U32="","SEM DATA",IFERROR(IF(AB32&lt;15,"VERMELHO",IF(AB32&lt;=30,"AMARELO","VERDE")),"DATA INVALIDA")))))</f>
      </c>
      <c r="AD32" s="3056">
        <f>IF(OR(A32="",U32="",NOT(ISNUMBER(AB32))),"",RANK(AB32,$AB$3:$AB$164,1)+COUNTIFS($AB$3:AB32,AB32)-1)</f>
      </c>
      <c r="AE32" s="1736"/>
    </row>
    <row r="33" spans="1:19" ht="22.0" hidden="false" customHeight="true" x14ac:dyDescent="0.25">
      <c r="A33" s="3047" t="s">
        <v>89</v>
      </c>
      <c r="B33" s="3046" t="s">
        <v>61</v>
      </c>
      <c r="C33" s="3046" t="s">
        <v>62</v>
      </c>
      <c r="D33" s="3057">
        <v>53666225000148</v>
      </c>
      <c r="E33" s="3046"/>
      <c r="F33" s="3046" t="s">
        <v>63</v>
      </c>
      <c r="G33" s="3046" t="s">
        <v>4</v>
      </c>
      <c r="H33" s="3046" t="s">
        <v>5</v>
      </c>
      <c r="I33" s="3046"/>
      <c r="J33" s="3046"/>
      <c r="K33" s="3046"/>
      <c r="L33" s="3046"/>
      <c r="M33" s="3046" t="s">
        <v>379</v>
      </c>
      <c r="N33" s="3046"/>
      <c r="O33" s="3046" t="s">
        <v>349</v>
      </c>
      <c r="P33" s="3046"/>
      <c r="Q33" s="3049"/>
      <c r="R33" s="3049"/>
      <c r="S33" s="3049"/>
      <c r="T33" s="3049"/>
      <c r="U33" s="3050"/>
      <c r="V33" s="3046"/>
      <c r="W33" s="3046"/>
      <c r="X33" s="3056">
        <f>IF(A33="","",IF(LEN(SUBSTITUTE(SUBSTITUTE(SUBSTITUTE(SUBSTITUTE(D33,".",""),"/",""),"-","")," ",""))&lt;&gt;14,"CNPJ INVALIDO","OK"))</f>
      </c>
      <c r="Y33" s="3056">
        <f>IF(A33="","",IF(R33="","REST PENDENTE","REST OK"))</f>
      </c>
      <c r="Z33" s="3056">
        <f>IF(A33="","",IF(AND(R33&lt;&gt;"",COUNTIFS($D$3:$D$164,D33,$R$3:$R$164,"&lt;&gt;")&gt;1),"DUPLICADO","OK"))</f>
      </c>
      <c r="AA33" s="3056">
        <f>IF(A33="","",IF(OR(LEN(Q33)&gt;180,LEN(R33)&gt;180,LEN(S33)&gt;180,LEN(T33)&gt;180),"CAMINHO LONGO","OK"))</f>
      </c>
      <c r="AB33" s="3056">
        <f>IF(A33="","",IF(U33="","",IFERROR(INT(U33-TODAY()),"")))</f>
      </c>
      <c r="AC33" s="3056">
        <f>IF(A33="","",IF(AND(T33="",U33=""),"",IF(T33="","SEM CAMINHO",IF(U33="","SEM DATA",IFERROR(IF(AB33&lt;15,"VERMELHO",IF(AB33&lt;=30,"AMARELO","VERDE")),"DATA INVALIDA")))))</f>
      </c>
      <c r="AD33" s="3056">
        <f>IF(OR(A33="",U33="",NOT(ISNUMBER(AB33))),"",RANK(AB33,$AB$3:$AB$164,1)+COUNTIFS($AB$3:AB33,AB33)-1)</f>
      </c>
      <c r="AE33" s="1736"/>
    </row>
    <row r="34" spans="1:19" ht="22.0" hidden="false" customHeight="true" x14ac:dyDescent="0.25">
      <c r="A34" s="3052" t="s">
        <v>90</v>
      </c>
      <c r="B34" s="3051" t="s">
        <v>61</v>
      </c>
      <c r="C34" s="3051" t="s">
        <v>62</v>
      </c>
      <c r="D34" s="3057">
        <v>17845752000156</v>
      </c>
      <c r="E34" s="3051"/>
      <c r="F34" s="3051" t="s">
        <v>63</v>
      </c>
      <c r="G34" s="3051" t="s">
        <v>41</v>
      </c>
      <c r="H34" s="3051" t="s">
        <v>5</v>
      </c>
      <c r="I34" s="3051"/>
      <c r="J34" s="3051"/>
      <c r="K34" s="3051"/>
      <c r="L34" s="3051"/>
      <c r="M34" s="3051" t="s">
        <v>380</v>
      </c>
      <c r="N34" s="3051"/>
      <c r="O34" s="3051" t="s">
        <v>349</v>
      </c>
      <c r="P34" s="3051"/>
      <c r="Q34" s="3054"/>
      <c r="R34" s="3054"/>
      <c r="S34" s="3054"/>
      <c r="T34" s="3054"/>
      <c r="U34" s="3055"/>
      <c r="V34" s="3051"/>
      <c r="W34" s="3051"/>
      <c r="X34" s="3056">
        <f>IF(A34="","",IF(LEN(SUBSTITUTE(SUBSTITUTE(SUBSTITUTE(SUBSTITUTE(D34,".",""),"/",""),"-","")," ",""))&lt;&gt;14,"CNPJ INVALIDO","OK"))</f>
      </c>
      <c r="Y34" s="3056">
        <f>IF(A34="","",IF(R34="","REST PENDENTE","REST OK"))</f>
      </c>
      <c r="Z34" s="3056">
        <f>IF(A34="","",IF(AND(R34&lt;&gt;"",COUNTIFS($D$3:$D$164,D34,$R$3:$R$164,"&lt;&gt;")&gt;1),"DUPLICADO","OK"))</f>
      </c>
      <c r="AA34" s="3056">
        <f>IF(A34="","",IF(OR(LEN(Q34)&gt;180,LEN(R34)&gt;180,LEN(S34)&gt;180,LEN(T34)&gt;180),"CAMINHO LONGO","OK"))</f>
      </c>
      <c r="AB34" s="3056">
        <f>IF(A34="","",IF(U34="","",IFERROR(INT(U34-TODAY()),"")))</f>
      </c>
      <c r="AC34" s="3056">
        <f>IF(A34="","",IF(AND(T34="",U34=""),"",IF(T34="","SEM CAMINHO",IF(U34="","SEM DATA",IFERROR(IF(AB34&lt;15,"VERMELHO",IF(AB34&lt;=30,"AMARELO","VERDE")),"DATA INVALIDA")))))</f>
      </c>
      <c r="AD34" s="3056">
        <f>IF(OR(A34="",U34="",NOT(ISNUMBER(AB34))),"",RANK(AB34,$AB$3:$AB$164,1)+COUNTIFS($AB$3:AB34,AB34)-1)</f>
      </c>
      <c r="AE34" s="1736"/>
    </row>
    <row r="35" spans="1:19" ht="22.0" hidden="false" customHeight="true" x14ac:dyDescent="0.25">
      <c r="A35" s="3047" t="s">
        <v>91</v>
      </c>
      <c r="B35" s="3046" t="s">
        <v>61</v>
      </c>
      <c r="C35" s="3046" t="s">
        <v>62</v>
      </c>
      <c r="D35" s="3057">
        <v>17813257000165</v>
      </c>
      <c r="E35" s="3046"/>
      <c r="F35" s="3046" t="s">
        <v>63</v>
      </c>
      <c r="G35" s="3046" t="s">
        <v>13</v>
      </c>
      <c r="H35" s="3046" t="s">
        <v>5</v>
      </c>
      <c r="I35" s="3046"/>
      <c r="J35" s="3046"/>
      <c r="K35" s="3046"/>
      <c r="L35" s="3046"/>
      <c r="M35" s="3046" t="s">
        <v>381</v>
      </c>
      <c r="N35" s="3046"/>
      <c r="O35" s="3046" t="s">
        <v>349</v>
      </c>
      <c r="P35" s="3046"/>
      <c r="Q35" s="3049"/>
      <c r="R35" s="3049"/>
      <c r="S35" s="3049"/>
      <c r="T35" s="3049"/>
      <c r="U35" s="3050"/>
      <c r="V35" s="3046"/>
      <c r="W35" s="3046"/>
      <c r="X35" s="3056">
        <f>IF(A35="","",IF(LEN(SUBSTITUTE(SUBSTITUTE(SUBSTITUTE(SUBSTITUTE(D35,".",""),"/",""),"-","")," ",""))&lt;&gt;14,"CNPJ INVALIDO","OK"))</f>
      </c>
      <c r="Y35" s="3056">
        <f>IF(A35="","",IF(R35="","REST PENDENTE","REST OK"))</f>
      </c>
      <c r="Z35" s="3056">
        <f>IF(A35="","",IF(AND(R35&lt;&gt;"",COUNTIFS($D$3:$D$164,D35,$R$3:$R$164,"&lt;&gt;")&gt;1),"DUPLICADO","OK"))</f>
      </c>
      <c r="AA35" s="3056">
        <f>IF(A35="","",IF(OR(LEN(Q35)&gt;180,LEN(R35)&gt;180,LEN(S35)&gt;180,LEN(T35)&gt;180),"CAMINHO LONGO","OK"))</f>
      </c>
      <c r="AB35" s="3056">
        <f>IF(A35="","",IF(U35="","",IFERROR(INT(U35-TODAY()),"")))</f>
      </c>
      <c r="AC35" s="3056">
        <f>IF(A35="","",IF(AND(T35="",U35=""),"",IF(T35="","SEM CAMINHO",IF(U35="","SEM DATA",IFERROR(IF(AB35&lt;15,"VERMELHO",IF(AB35&lt;=30,"AMARELO","VERDE")),"DATA INVALIDA")))))</f>
      </c>
      <c r="AD35" s="3056">
        <f>IF(OR(A35="",U35="",NOT(ISNUMBER(AB35))),"",RANK(AB35,$AB$3:$AB$164,1)+COUNTIFS($AB$3:AB35,AB35)-1)</f>
      </c>
      <c r="AE35" s="1736"/>
    </row>
    <row r="36" spans="1:19" ht="22.0" hidden="false" customHeight="true" x14ac:dyDescent="0.25">
      <c r="A36" s="3052" t="s">
        <v>92</v>
      </c>
      <c r="B36" s="3051" t="s">
        <v>1</v>
      </c>
      <c r="C36" s="3051" t="s">
        <v>93</v>
      </c>
      <c r="D36" s="3051" t="s">
        <v>94</v>
      </c>
      <c r="E36" s="3051"/>
      <c r="F36" s="3051" t="s">
        <v>3</v>
      </c>
      <c r="G36" s="3051" t="s">
        <v>4</v>
      </c>
      <c r="H36" s="3051" t="s">
        <v>5</v>
      </c>
      <c r="I36" s="3051"/>
      <c r="J36" s="3051"/>
      <c r="K36" s="3051"/>
      <c r="L36" s="3051"/>
      <c r="M36" s="3051" t="s">
        <v>377</v>
      </c>
      <c r="N36" s="3051"/>
      <c r="O36" s="3051" t="s">
        <v>349</v>
      </c>
      <c r="P36" s="3051"/>
      <c r="Q36" s="3054"/>
      <c r="R36" s="3053" t="s">
        <v>402</v>
      </c>
      <c r="S36" s="3054"/>
      <c r="T36" s="3054"/>
      <c r="U36" s="3055"/>
      <c r="V36" s="3051"/>
      <c r="W36" s="3051"/>
      <c r="X36" s="3056">
        <f>IF(A36="","",IF(LEN(SUBSTITUTE(SUBSTITUTE(SUBSTITUTE(SUBSTITUTE(D36,".",""),"/",""),"-","")," ",""))&lt;&gt;14,"CNPJ INVALIDO","OK"))</f>
      </c>
      <c r="Y36" s="3056">
        <f>IF(A36="","",IF(R36="","REST PENDENTE","REST OK"))</f>
      </c>
      <c r="Z36" s="3056">
        <f>IF(A36="","",IF(AND(R36&lt;&gt;"",COUNTIFS($D$3:$D$164,D36,$R$3:$R$164,"&lt;&gt;")&gt;1),"DUPLICADO","OK"))</f>
      </c>
      <c r="AA36" s="3056">
        <f>IF(A36="","",IF(OR(LEN(Q36)&gt;180,LEN(R36)&gt;180,LEN(S36)&gt;180,LEN(T36)&gt;180),"CAMINHO LONGO","OK"))</f>
      </c>
      <c r="AB36" s="3056">
        <f>IF(A36="","",IF(U36="","",IFERROR(INT(U36-TODAY()),"")))</f>
      </c>
      <c r="AC36" s="3056">
        <f>IF(A36="","",IF(AND(T36="",U36=""),"",IF(T36="","SEM CAMINHO",IF(U36="","SEM DATA",IFERROR(IF(AB36&lt;15,"VERMELHO",IF(AB36&lt;=30,"AMARELO","VERDE")),"DATA INVALIDA")))))</f>
      </c>
      <c r="AD36" s="3056">
        <f>IF(OR(A36="",U36="",NOT(ISNUMBER(AB36))),"",RANK(AB36,$AB$3:$AB$164,1)+COUNTIFS($AB$3:AB36,AB36)-1)</f>
      </c>
      <c r="AE36" s="1736"/>
    </row>
    <row r="37" spans="1:19" ht="22.0" hidden="false" customHeight="true" x14ac:dyDescent="0.25">
      <c r="A37" s="3047" t="s">
        <v>95</v>
      </c>
      <c r="B37" s="3046" t="s">
        <v>96</v>
      </c>
      <c r="C37" s="3046" t="s">
        <v>97</v>
      </c>
      <c r="D37" s="3046" t="s">
        <v>98</v>
      </c>
      <c r="E37" s="3046"/>
      <c r="F37" s="3046" t="s">
        <v>99</v>
      </c>
      <c r="G37" s="3046" t="s">
        <v>41</v>
      </c>
      <c r="H37" s="3046" t="s">
        <v>14</v>
      </c>
      <c r="I37" s="3046"/>
      <c r="J37" s="3046"/>
      <c r="K37" s="3046"/>
      <c r="L37" s="3046"/>
      <c r="M37" s="3046" t="s">
        <v>383</v>
      </c>
      <c r="N37" s="3046" t="s">
        <v>362</v>
      </c>
      <c r="O37" s="3046" t="s">
        <v>349</v>
      </c>
      <c r="P37" s="3046"/>
      <c r="Q37" s="3049"/>
      <c r="R37" s="3049"/>
      <c r="S37" s="3049"/>
      <c r="T37" s="3049"/>
      <c r="U37" s="3050"/>
      <c r="V37" s="3046"/>
      <c r="W37" s="3046"/>
      <c r="X37" s="3056">
        <f>IF(A37="","",IF(LEN(SUBSTITUTE(SUBSTITUTE(SUBSTITUTE(SUBSTITUTE(D37,".",""),"/",""),"-","")," ",""))&lt;&gt;14,"CNPJ INVALIDO","OK"))</f>
      </c>
      <c r="Y37" s="3056">
        <f>IF(A37="","",IF(R37="","REST PENDENTE","REST OK"))</f>
      </c>
      <c r="Z37" s="3056">
        <f>IF(A37="","",IF(AND(R37&lt;&gt;"",COUNTIFS($D$3:$D$164,D37,$R$3:$R$164,"&lt;&gt;")&gt;1),"DUPLICADO","OK"))</f>
      </c>
      <c r="AA37" s="3056">
        <f>IF(A37="","",IF(OR(LEN(Q37)&gt;180,LEN(R37)&gt;180,LEN(S37)&gt;180,LEN(T37)&gt;180),"CAMINHO LONGO","OK"))</f>
      </c>
      <c r="AB37" s="3056">
        <f>IF(A37="","",IF(U37="","",IFERROR(INT(U37-TODAY()),"")))</f>
      </c>
      <c r="AC37" s="3056">
        <f>IF(A37="","",IF(AND(T37="",U37=""),"",IF(T37="","SEM CAMINHO",IF(U37="","SEM DATA",IFERROR(IF(AB37&lt;15,"VERMELHO",IF(AB37&lt;=30,"AMARELO","VERDE")),"DATA INVALIDA")))))</f>
      </c>
      <c r="AD37" s="3056">
        <f>IF(OR(A37="",U37="",NOT(ISNUMBER(AB37))),"",RANK(AB37,$AB$3:$AB$164,1)+COUNTIFS($AB$3:AB37,AB37)-1)</f>
      </c>
      <c r="AE37" s="1736"/>
    </row>
    <row r="38" spans="1:19" ht="22.0" hidden="false" customHeight="true" x14ac:dyDescent="0.25">
      <c r="A38" s="3052" t="s">
        <v>95</v>
      </c>
      <c r="B38" s="3051" t="s">
        <v>96</v>
      </c>
      <c r="C38" s="3051" t="s">
        <v>97</v>
      </c>
      <c r="D38" s="3051" t="s">
        <v>100</v>
      </c>
      <c r="E38" s="3051"/>
      <c r="F38" s="3051" t="s">
        <v>99</v>
      </c>
      <c r="G38" s="3051" t="s">
        <v>13</v>
      </c>
      <c r="H38" s="3051" t="s">
        <v>14</v>
      </c>
      <c r="I38" s="3051"/>
      <c r="J38" s="3051"/>
      <c r="K38" s="3051"/>
      <c r="L38" s="3051"/>
      <c r="M38" s="3051" t="s">
        <v>382</v>
      </c>
      <c r="N38" s="3051" t="s">
        <v>362</v>
      </c>
      <c r="O38" s="3051" t="s">
        <v>349</v>
      </c>
      <c r="P38" s="3051"/>
      <c r="Q38" s="3054"/>
      <c r="R38" s="3054"/>
      <c r="S38" s="3054"/>
      <c r="T38" s="3054"/>
      <c r="U38" s="3055"/>
      <c r="V38" s="3051"/>
      <c r="W38" s="3051"/>
      <c r="X38" s="3056">
        <f>IF(A38="","",IF(LEN(SUBSTITUTE(SUBSTITUTE(SUBSTITUTE(SUBSTITUTE(D38,".",""),"/",""),"-","")," ",""))&lt;&gt;14,"CNPJ INVALIDO","OK"))</f>
      </c>
      <c r="Y38" s="3056">
        <f>IF(A38="","",IF(R38="","REST PENDENTE","REST OK"))</f>
      </c>
      <c r="Z38" s="3056">
        <f>IF(A38="","",IF(AND(R38&lt;&gt;"",COUNTIFS($D$3:$D$164,D38,$R$3:$R$164,"&lt;&gt;")&gt;1),"DUPLICADO","OK"))</f>
      </c>
      <c r="AA38" s="3056">
        <f>IF(A38="","",IF(OR(LEN(Q38)&gt;180,LEN(R38)&gt;180,LEN(S38)&gt;180,LEN(T38)&gt;180),"CAMINHO LONGO","OK"))</f>
      </c>
      <c r="AB38" s="3056">
        <f>IF(A38="","",IF(U38="","",IFERROR(INT(U38-TODAY()),"")))</f>
      </c>
      <c r="AC38" s="3056">
        <f>IF(A38="","",IF(AND(T38="",U38=""),"",IF(T38="","SEM CAMINHO",IF(U38="","SEM DATA",IFERROR(IF(AB38&lt;15,"VERMELHO",IF(AB38&lt;=30,"AMARELO","VERDE")),"DATA INVALIDA")))))</f>
      </c>
      <c r="AD38" s="3056">
        <f>IF(OR(A38="",U38="",NOT(ISNUMBER(AB38))),"",RANK(AB38,$AB$3:$AB$164,1)+COUNTIFS($AB$3:AB38,AB38)-1)</f>
      </c>
      <c r="AE38" s="1736"/>
    </row>
    <row r="39" spans="1:19" ht="22.0" hidden="false" customHeight="true" x14ac:dyDescent="0.25">
      <c r="A39" s="3047" t="s">
        <v>95</v>
      </c>
      <c r="B39" s="3046" t="s">
        <v>96</v>
      </c>
      <c r="C39" s="3046" t="s">
        <v>97</v>
      </c>
      <c r="D39" s="3046" t="s">
        <v>101</v>
      </c>
      <c r="E39" s="3046"/>
      <c r="F39" s="3046" t="s">
        <v>99</v>
      </c>
      <c r="G39" s="3046" t="s">
        <v>13</v>
      </c>
      <c r="H39" s="3046" t="s">
        <v>14</v>
      </c>
      <c r="I39" s="3046"/>
      <c r="J39" s="3046"/>
      <c r="K39" s="3046"/>
      <c r="L39" s="3046"/>
      <c r="M39" s="3046" t="s">
        <v>382</v>
      </c>
      <c r="N39" s="3046" t="s">
        <v>362</v>
      </c>
      <c r="O39" s="3046" t="s">
        <v>349</v>
      </c>
      <c r="P39" s="3046"/>
      <c r="Q39" s="3049"/>
      <c r="R39" s="3049"/>
      <c r="S39" s="3049"/>
      <c r="T39" s="3049"/>
      <c r="U39" s="3050"/>
      <c r="V39" s="3046"/>
      <c r="W39" s="3046"/>
      <c r="X39" s="3056">
        <f>IF(A39="","",IF(LEN(SUBSTITUTE(SUBSTITUTE(SUBSTITUTE(SUBSTITUTE(D39,".",""),"/",""),"-","")," ",""))&lt;&gt;14,"CNPJ INVALIDO","OK"))</f>
      </c>
      <c r="Y39" s="3056">
        <f>IF(A39="","",IF(R39="","REST PENDENTE","REST OK"))</f>
      </c>
      <c r="Z39" s="3056">
        <f>IF(A39="","",IF(AND(R39&lt;&gt;"",COUNTIFS($D$3:$D$164,D39,$R$3:$R$164,"&lt;&gt;")&gt;1),"DUPLICADO","OK"))</f>
      </c>
      <c r="AA39" s="3056">
        <f>IF(A39="","",IF(OR(LEN(Q39)&gt;180,LEN(R39)&gt;180,LEN(S39)&gt;180,LEN(T39)&gt;180),"CAMINHO LONGO","OK"))</f>
      </c>
      <c r="AB39" s="3056">
        <f>IF(A39="","",IF(U39="","",IFERROR(INT(U39-TODAY()),"")))</f>
      </c>
      <c r="AC39" s="3056">
        <f>IF(A39="","",IF(AND(T39="",U39=""),"",IF(T39="","SEM CAMINHO",IF(U39="","SEM DATA",IFERROR(IF(AB39&lt;15,"VERMELHO",IF(AB39&lt;=30,"AMARELO","VERDE")),"DATA INVALIDA")))))</f>
      </c>
      <c r="AD39" s="3056">
        <f>IF(OR(A39="",U39="",NOT(ISNUMBER(AB39))),"",RANK(AB39,$AB$3:$AB$164,1)+COUNTIFS($AB$3:AB39,AB39)-1)</f>
      </c>
      <c r="AE39" s="1736"/>
    </row>
    <row r="40" spans="1:19" ht="22.0" hidden="false" customHeight="true" x14ac:dyDescent="0.25">
      <c r="A40" s="3052" t="s">
        <v>95</v>
      </c>
      <c r="B40" s="3051" t="s">
        <v>96</v>
      </c>
      <c r="C40" s="3051" t="s">
        <v>97</v>
      </c>
      <c r="D40" s="3051" t="s">
        <v>102</v>
      </c>
      <c r="E40" s="3051"/>
      <c r="F40" s="3051" t="s">
        <v>99</v>
      </c>
      <c r="G40" s="3051" t="s">
        <v>13</v>
      </c>
      <c r="H40" s="3051" t="s">
        <v>14</v>
      </c>
      <c r="I40" s="3051"/>
      <c r="J40" s="3051"/>
      <c r="K40" s="3051"/>
      <c r="L40" s="3051"/>
      <c r="M40" s="3051" t="s">
        <v>382</v>
      </c>
      <c r="N40" s="3051" t="s">
        <v>362</v>
      </c>
      <c r="O40" s="3051" t="s">
        <v>349</v>
      </c>
      <c r="P40" s="3051"/>
      <c r="Q40" s="3054"/>
      <c r="R40" s="3054"/>
      <c r="S40" s="3054"/>
      <c r="T40" s="3054"/>
      <c r="U40" s="3055"/>
      <c r="V40" s="3051"/>
      <c r="W40" s="3051"/>
      <c r="X40" s="3056">
        <f>IF(A40="","",IF(LEN(SUBSTITUTE(SUBSTITUTE(SUBSTITUTE(SUBSTITUTE(D40,".",""),"/",""),"-","")," ",""))&lt;&gt;14,"CNPJ INVALIDO","OK"))</f>
      </c>
      <c r="Y40" s="3056">
        <f>IF(A40="","",IF(R40="","REST PENDENTE","REST OK"))</f>
      </c>
      <c r="Z40" s="3056">
        <f>IF(A40="","",IF(AND(R40&lt;&gt;"",COUNTIFS($D$3:$D$164,D40,$R$3:$R$164,"&lt;&gt;")&gt;1),"DUPLICADO","OK"))</f>
      </c>
      <c r="AA40" s="3056">
        <f>IF(A40="","",IF(OR(LEN(Q40)&gt;180,LEN(R40)&gt;180,LEN(S40)&gt;180,LEN(T40)&gt;180),"CAMINHO LONGO","OK"))</f>
      </c>
      <c r="AB40" s="3056">
        <f>IF(A40="","",IF(U40="","",IFERROR(INT(U40-TODAY()),"")))</f>
      </c>
      <c r="AC40" s="3056">
        <f>IF(A40="","",IF(AND(T40="",U40=""),"",IF(T40="","SEM CAMINHO",IF(U40="","SEM DATA",IFERROR(IF(AB40&lt;15,"VERMELHO",IF(AB40&lt;=30,"AMARELO","VERDE")),"DATA INVALIDA")))))</f>
      </c>
      <c r="AD40" s="3056">
        <f>IF(OR(A40="",U40="",NOT(ISNUMBER(AB40))),"",RANK(AB40,$AB$3:$AB$164,1)+COUNTIFS($AB$3:AB40,AB40)-1)</f>
      </c>
      <c r="AE40" s="1736"/>
    </row>
    <row r="41" spans="1:19" ht="22.0" hidden="false" customHeight="true" x14ac:dyDescent="0.25">
      <c r="A41" s="3047" t="s">
        <v>95</v>
      </c>
      <c r="B41" s="3046" t="s">
        <v>96</v>
      </c>
      <c r="C41" s="3046" t="s">
        <v>97</v>
      </c>
      <c r="D41" s="3046" t="s">
        <v>103</v>
      </c>
      <c r="E41" s="3046"/>
      <c r="F41" s="3046" t="s">
        <v>99</v>
      </c>
      <c r="G41" s="3046" t="s">
        <v>13</v>
      </c>
      <c r="H41" s="3046" t="s">
        <v>14</v>
      </c>
      <c r="I41" s="3046"/>
      <c r="J41" s="3046"/>
      <c r="K41" s="3046"/>
      <c r="L41" s="3046"/>
      <c r="M41" s="3046" t="s">
        <v>382</v>
      </c>
      <c r="N41" s="3046" t="s">
        <v>362</v>
      </c>
      <c r="O41" s="3046" t="s">
        <v>349</v>
      </c>
      <c r="P41" s="3046"/>
      <c r="Q41" s="3049"/>
      <c r="R41" s="3049"/>
      <c r="S41" s="3049"/>
      <c r="T41" s="3049"/>
      <c r="U41" s="3050"/>
      <c r="V41" s="3046"/>
      <c r="W41" s="3046"/>
      <c r="X41" s="3056">
        <f>IF(A41="","",IF(LEN(SUBSTITUTE(SUBSTITUTE(SUBSTITUTE(SUBSTITUTE(D41,".",""),"/",""),"-","")," ",""))&lt;&gt;14,"CNPJ INVALIDO","OK"))</f>
      </c>
      <c r="Y41" s="3056">
        <f>IF(A41="","",IF(R41="","REST PENDENTE","REST OK"))</f>
      </c>
      <c r="Z41" s="3056">
        <f>IF(A41="","",IF(AND(R41&lt;&gt;"",COUNTIFS($D$3:$D$164,D41,$R$3:$R$164,"&lt;&gt;")&gt;1),"DUPLICADO","OK"))</f>
      </c>
      <c r="AA41" s="3056">
        <f>IF(A41="","",IF(OR(LEN(Q41)&gt;180,LEN(R41)&gt;180,LEN(S41)&gt;180,LEN(T41)&gt;180),"CAMINHO LONGO","OK"))</f>
      </c>
      <c r="AB41" s="3056">
        <f>IF(A41="","",IF(U41="","",IFERROR(INT(U41-TODAY()),"")))</f>
      </c>
      <c r="AC41" s="3056">
        <f>IF(A41="","",IF(AND(T41="",U41=""),"",IF(T41="","SEM CAMINHO",IF(U41="","SEM DATA",IFERROR(IF(AB41&lt;15,"VERMELHO",IF(AB41&lt;=30,"AMARELO","VERDE")),"DATA INVALIDA")))))</f>
      </c>
      <c r="AD41" s="3056">
        <f>IF(OR(A41="",U41="",NOT(ISNUMBER(AB41))),"",RANK(AB41,$AB$3:$AB$164,1)+COUNTIFS($AB$3:AB41,AB41)-1)</f>
      </c>
      <c r="AE41" s="1736"/>
    </row>
    <row r="42" spans="1:19" ht="22.0" hidden="false" customHeight="true" x14ac:dyDescent="0.25">
      <c r="A42" s="3052" t="s">
        <v>95</v>
      </c>
      <c r="B42" s="3051" t="s">
        <v>96</v>
      </c>
      <c r="C42" s="3051" t="s">
        <v>104</v>
      </c>
      <c r="D42" s="3051" t="s">
        <v>105</v>
      </c>
      <c r="E42" s="3051"/>
      <c r="F42" s="3051" t="s">
        <v>99</v>
      </c>
      <c r="G42" s="3051" t="s">
        <v>13</v>
      </c>
      <c r="H42" s="3051" t="s">
        <v>14</v>
      </c>
      <c r="I42" s="3051"/>
      <c r="J42" s="3051"/>
      <c r="K42" s="3051"/>
      <c r="L42" s="3051"/>
      <c r="M42" s="3051" t="s">
        <v>382</v>
      </c>
      <c r="N42" s="3051" t="s">
        <v>362</v>
      </c>
      <c r="O42" s="3051" t="s">
        <v>349</v>
      </c>
      <c r="P42" s="3051"/>
      <c r="Q42" s="3054"/>
      <c r="R42" s="3054"/>
      <c r="S42" s="3054"/>
      <c r="T42" s="3054"/>
      <c r="U42" s="3055"/>
      <c r="V42" s="3051"/>
      <c r="W42" s="3051"/>
      <c r="X42" s="3056">
        <f>IF(A42="","",IF(LEN(SUBSTITUTE(SUBSTITUTE(SUBSTITUTE(SUBSTITUTE(D42,".",""),"/",""),"-","")," ",""))&lt;&gt;14,"CNPJ INVALIDO","OK"))</f>
      </c>
      <c r="Y42" s="3056">
        <f>IF(A42="","",IF(R42="","REST PENDENTE","REST OK"))</f>
      </c>
      <c r="Z42" s="3056">
        <f>IF(A42="","",IF(AND(R42&lt;&gt;"",COUNTIFS($D$3:$D$164,D42,$R$3:$R$164,"&lt;&gt;")&gt;1),"DUPLICADO","OK"))</f>
      </c>
      <c r="AA42" s="3056">
        <f>IF(A42="","",IF(OR(LEN(Q42)&gt;180,LEN(R42)&gt;180,LEN(S42)&gt;180,LEN(T42)&gt;180),"CAMINHO LONGO","OK"))</f>
      </c>
      <c r="AB42" s="3056">
        <f>IF(A42="","",IF(U42="","",IFERROR(INT(U42-TODAY()),"")))</f>
      </c>
      <c r="AC42" s="3056">
        <f>IF(A42="","",IF(AND(T42="",U42=""),"",IF(T42="","SEM CAMINHO",IF(U42="","SEM DATA",IFERROR(IF(AB42&lt;15,"VERMELHO",IF(AB42&lt;=30,"AMARELO","VERDE")),"DATA INVALIDA")))))</f>
      </c>
      <c r="AD42" s="3056">
        <f>IF(OR(A42="",U42="",NOT(ISNUMBER(AB42))),"",RANK(AB42,$AB$3:$AB$164,1)+COUNTIFS($AB$3:AB42,AB42)-1)</f>
      </c>
      <c r="AE42" s="1736"/>
    </row>
    <row r="43" spans="1:19" ht="22.0" hidden="false" customHeight="true" x14ac:dyDescent="0.25">
      <c r="A43" s="3047" t="s">
        <v>95</v>
      </c>
      <c r="B43" s="3046" t="s">
        <v>96</v>
      </c>
      <c r="C43" s="3046" t="s">
        <v>104</v>
      </c>
      <c r="D43" s="3046" t="s">
        <v>106</v>
      </c>
      <c r="E43" s="3046"/>
      <c r="F43" s="3046" t="s">
        <v>99</v>
      </c>
      <c r="G43" s="3046" t="s">
        <v>13</v>
      </c>
      <c r="H43" s="3046" t="s">
        <v>14</v>
      </c>
      <c r="I43" s="3046"/>
      <c r="J43" s="3046"/>
      <c r="K43" s="3046"/>
      <c r="L43" s="3046"/>
      <c r="M43" s="3046" t="s">
        <v>382</v>
      </c>
      <c r="N43" s="3046" t="s">
        <v>362</v>
      </c>
      <c r="O43" s="3046" t="s">
        <v>349</v>
      </c>
      <c r="P43" s="3046"/>
      <c r="Q43" s="3049"/>
      <c r="R43" s="3049"/>
      <c r="S43" s="3049"/>
      <c r="T43" s="3049"/>
      <c r="U43" s="3050"/>
      <c r="V43" s="3046"/>
      <c r="W43" s="3046"/>
      <c r="X43" s="3056">
        <f>IF(A43="","",IF(LEN(SUBSTITUTE(SUBSTITUTE(SUBSTITUTE(SUBSTITUTE(D43,".",""),"/",""),"-","")," ",""))&lt;&gt;14,"CNPJ INVALIDO","OK"))</f>
      </c>
      <c r="Y43" s="3056">
        <f>IF(A43="","",IF(R43="","REST PENDENTE","REST OK"))</f>
      </c>
      <c r="Z43" s="3056">
        <f>IF(A43="","",IF(AND(R43&lt;&gt;"",COUNTIFS($D$3:$D$164,D43,$R$3:$R$164,"&lt;&gt;")&gt;1),"DUPLICADO","OK"))</f>
      </c>
      <c r="AA43" s="3056">
        <f>IF(A43="","",IF(OR(LEN(Q43)&gt;180,LEN(R43)&gt;180,LEN(S43)&gt;180,LEN(T43)&gt;180),"CAMINHO LONGO","OK"))</f>
      </c>
      <c r="AB43" s="3056">
        <f>IF(A43="","",IF(U43="","",IFERROR(INT(U43-TODAY()),"")))</f>
      </c>
      <c r="AC43" s="3056">
        <f>IF(A43="","",IF(AND(T43="",U43=""),"",IF(T43="","SEM CAMINHO",IF(U43="","SEM DATA",IFERROR(IF(AB43&lt;15,"VERMELHO",IF(AB43&lt;=30,"AMARELO","VERDE")),"DATA INVALIDA")))))</f>
      </c>
      <c r="AD43" s="3056">
        <f>IF(OR(A43="",U43="",NOT(ISNUMBER(AB43))),"",RANK(AB43,$AB$3:$AB$164,1)+COUNTIFS($AB$3:AB43,AB43)-1)</f>
      </c>
      <c r="AE43" s="1736"/>
    </row>
    <row r="44" spans="1:19" ht="22.0" hidden="false" customHeight="true" x14ac:dyDescent="0.25">
      <c r="A44" s="3052" t="s">
        <v>107</v>
      </c>
      <c r="B44" s="3051" t="s">
        <v>108</v>
      </c>
      <c r="C44" s="3051" t="s">
        <v>62</v>
      </c>
      <c r="D44" s="3057">
        <v>50056304000149</v>
      </c>
      <c r="E44" s="3051"/>
      <c r="F44" s="3051" t="s">
        <v>109</v>
      </c>
      <c r="G44" s="3051" t="s">
        <v>4</v>
      </c>
      <c r="H44" s="3051" t="s">
        <v>49</v>
      </c>
      <c r="I44" s="3051"/>
      <c r="J44" s="3051"/>
      <c r="K44" s="3051"/>
      <c r="L44" s="3051"/>
      <c r="M44" s="3051" t="s">
        <v>379</v>
      </c>
      <c r="N44" s="3051"/>
      <c r="O44" s="3051" t="s">
        <v>349</v>
      </c>
      <c r="P44" s="3051"/>
      <c r="Q44" s="3054"/>
      <c r="R44" s="3054"/>
      <c r="S44" s="3054"/>
      <c r="T44" s="3054"/>
      <c r="U44" s="3055"/>
      <c r="V44" s="3051"/>
      <c r="W44" s="3051"/>
      <c r="X44" s="3056">
        <f>IF(A44="","",IF(LEN(SUBSTITUTE(SUBSTITUTE(SUBSTITUTE(SUBSTITUTE(D44,".",""),"/",""),"-","")," ",""))&lt;&gt;14,"CNPJ INVALIDO","OK"))</f>
      </c>
      <c r="Y44" s="3056">
        <f>IF(A44="","",IF(R44="","REST PENDENTE","REST OK"))</f>
      </c>
      <c r="Z44" s="3056">
        <f>IF(A44="","",IF(AND(R44&lt;&gt;"",COUNTIFS($D$3:$D$164,D44,$R$3:$R$164,"&lt;&gt;")&gt;1),"DUPLICADO","OK"))</f>
      </c>
      <c r="AA44" s="3056">
        <f>IF(A44="","",IF(OR(LEN(Q44)&gt;180,LEN(R44)&gt;180,LEN(S44)&gt;180,LEN(T44)&gt;180),"CAMINHO LONGO","OK"))</f>
      </c>
      <c r="AB44" s="3056">
        <f>IF(A44="","",IF(U44="","",IFERROR(INT(U44-TODAY()),"")))</f>
      </c>
      <c r="AC44" s="3056">
        <f>IF(A44="","",IF(AND(T44="",U44=""),"",IF(T44="","SEM CAMINHO",IF(U44="","SEM DATA",IFERROR(IF(AB44&lt;15,"VERMELHO",IF(AB44&lt;=30,"AMARELO","VERDE")),"DATA INVALIDA")))))</f>
      </c>
      <c r="AD44" s="3056">
        <f>IF(OR(A44="",U44="",NOT(ISNUMBER(AB44))),"",RANK(AB44,$AB$3:$AB$164,1)+COUNTIFS($AB$3:AB44,AB44)-1)</f>
      </c>
      <c r="AE44" s="1736"/>
    </row>
    <row r="45" spans="1:19" ht="22.0" hidden="false" customHeight="true" x14ac:dyDescent="0.25">
      <c r="A45" s="3047" t="s">
        <v>110</v>
      </c>
      <c r="B45" s="3046" t="s">
        <v>108</v>
      </c>
      <c r="C45" s="3046" t="s">
        <v>62</v>
      </c>
      <c r="D45" s="3057">
        <v>59971731000127</v>
      </c>
      <c r="E45" s="3046"/>
      <c r="F45" s="3046" t="s">
        <v>109</v>
      </c>
      <c r="G45" s="3046" t="s">
        <v>4</v>
      </c>
      <c r="H45" s="3046" t="s">
        <v>49</v>
      </c>
      <c r="I45" s="3046"/>
      <c r="J45" s="3046"/>
      <c r="K45" s="3046"/>
      <c r="L45" s="3046"/>
      <c r="M45" s="3046" t="s">
        <v>379</v>
      </c>
      <c r="N45" s="3046"/>
      <c r="O45" s="3046" t="s">
        <v>349</v>
      </c>
      <c r="P45" s="3046"/>
      <c r="Q45" s="3049"/>
      <c r="R45" s="3049"/>
      <c r="S45" s="3049"/>
      <c r="T45" s="3049"/>
      <c r="U45" s="3050"/>
      <c r="V45" s="3046"/>
      <c r="W45" s="3046"/>
      <c r="X45" s="3056">
        <f>IF(A45="","",IF(LEN(SUBSTITUTE(SUBSTITUTE(SUBSTITUTE(SUBSTITUTE(D45,".",""),"/",""),"-","")," ",""))&lt;&gt;14,"CNPJ INVALIDO","OK"))</f>
      </c>
      <c r="Y45" s="3056">
        <f>IF(A45="","",IF(R45="","REST PENDENTE","REST OK"))</f>
      </c>
      <c r="Z45" s="3056">
        <f>IF(A45="","",IF(AND(R45&lt;&gt;"",COUNTIFS($D$3:$D$164,D45,$R$3:$R$164,"&lt;&gt;")&gt;1),"DUPLICADO","OK"))</f>
      </c>
      <c r="AA45" s="3056">
        <f>IF(A45="","",IF(OR(LEN(Q45)&gt;180,LEN(R45)&gt;180,LEN(S45)&gt;180,LEN(T45)&gt;180),"CAMINHO LONGO","OK"))</f>
      </c>
      <c r="AB45" s="3056">
        <f>IF(A45="","",IF(U45="","",IFERROR(INT(U45-TODAY()),"")))</f>
      </c>
      <c r="AC45" s="3056">
        <f>IF(A45="","",IF(AND(T45="",U45=""),"",IF(T45="","SEM CAMINHO",IF(U45="","SEM DATA",IFERROR(IF(AB45&lt;15,"VERMELHO",IF(AB45&lt;=30,"AMARELO","VERDE")),"DATA INVALIDA")))))</f>
      </c>
      <c r="AD45" s="3056">
        <f>IF(OR(A45="",U45="",NOT(ISNUMBER(AB45))),"",RANK(AB45,$AB$3:$AB$164,1)+COUNTIFS($AB$3:AB45,AB45)-1)</f>
      </c>
      <c r="AE45" s="1736"/>
    </row>
    <row r="46" spans="1:19" ht="22.0" hidden="false" customHeight="true" x14ac:dyDescent="0.25">
      <c r="A46" s="3052" t="s">
        <v>111</v>
      </c>
      <c r="B46" s="3051" t="s">
        <v>108</v>
      </c>
      <c r="C46" s="3051" t="s">
        <v>69</v>
      </c>
      <c r="D46" s="3051" t="s">
        <v>112</v>
      </c>
      <c r="E46" s="3051"/>
      <c r="F46" s="3051" t="s">
        <v>113</v>
      </c>
      <c r="G46" s="3051" t="s">
        <v>13</v>
      </c>
      <c r="H46" s="3051" t="s">
        <v>49</v>
      </c>
      <c r="I46" s="3051"/>
      <c r="J46" s="3051"/>
      <c r="K46" s="3051"/>
      <c r="L46" s="3051"/>
      <c r="M46" s="3051" t="s">
        <v>377</v>
      </c>
      <c r="N46" s="3051"/>
      <c r="O46" s="3051" t="s">
        <v>347</v>
      </c>
      <c r="P46" s="3051"/>
      <c r="Q46" s="3054"/>
      <c r="R46" s="3054"/>
      <c r="S46" s="3054"/>
      <c r="T46" s="3054"/>
      <c r="U46" s="3055"/>
      <c r="V46" s="3051"/>
      <c r="W46" s="3051"/>
      <c r="X46" s="3056">
        <f>IF(A46="","",IF(LEN(SUBSTITUTE(SUBSTITUTE(SUBSTITUTE(SUBSTITUTE(D46,".",""),"/",""),"-","")," ",""))&lt;&gt;14,"CNPJ INVALIDO","OK"))</f>
      </c>
      <c r="Y46" s="3056">
        <f>IF(A46="","",IF(R46="","REST PENDENTE","REST OK"))</f>
      </c>
      <c r="Z46" s="3056">
        <f>IF(A46="","",IF(AND(R46&lt;&gt;"",COUNTIFS($D$3:$D$164,D46,$R$3:$R$164,"&lt;&gt;")&gt;1),"DUPLICADO","OK"))</f>
      </c>
      <c r="AA46" s="3056">
        <f>IF(A46="","",IF(OR(LEN(Q46)&gt;180,LEN(R46)&gt;180,LEN(S46)&gt;180,LEN(T46)&gt;180),"CAMINHO LONGO","OK"))</f>
      </c>
      <c r="AB46" s="3056">
        <f>IF(A46="","",IF(U46="","",IFERROR(INT(U46-TODAY()),"")))</f>
      </c>
      <c r="AC46" s="3056">
        <f>IF(A46="","",IF(AND(T46="",U46=""),"",IF(T46="","SEM CAMINHO",IF(U46="","SEM DATA",IFERROR(IF(AB46&lt;15,"VERMELHO",IF(AB46&lt;=30,"AMARELO","VERDE")),"DATA INVALIDA")))))</f>
      </c>
      <c r="AD46" s="3056">
        <f>IF(OR(A46="",U46="",NOT(ISNUMBER(AB46))),"",RANK(AB46,$AB$3:$AB$164,1)+COUNTIFS($AB$3:AB46,AB46)-1)</f>
      </c>
      <c r="AE46" s="1736"/>
    </row>
    <row r="47" spans="1:19" ht="22.0" hidden="false" customHeight="true" x14ac:dyDescent="0.25">
      <c r="A47" s="3047" t="s">
        <v>114</v>
      </c>
      <c r="B47" s="3046" t="s">
        <v>115</v>
      </c>
      <c r="C47" s="3046" t="s">
        <v>116</v>
      </c>
      <c r="D47" s="3046" t="s">
        <v>117</v>
      </c>
      <c r="E47" s="3046"/>
      <c r="F47" s="3046" t="s">
        <v>118</v>
      </c>
      <c r="G47" s="3046" t="s">
        <v>13</v>
      </c>
      <c r="H47" s="3046" t="s">
        <v>14</v>
      </c>
      <c r="I47" s="3046"/>
      <c r="J47" s="3046"/>
      <c r="K47" s="3046"/>
      <c r="L47" s="3046"/>
      <c r="M47" s="3046" t="s">
        <v>377</v>
      </c>
      <c r="N47" s="3046"/>
      <c r="O47" s="3046" t="s">
        <v>350</v>
      </c>
      <c r="P47" s="3046"/>
      <c r="Q47" s="3049"/>
      <c r="R47" s="3049"/>
      <c r="S47" s="3049"/>
      <c r="T47" s="3049"/>
      <c r="U47" s="3050"/>
      <c r="V47" s="3046"/>
      <c r="W47" s="3046"/>
      <c r="X47" s="3056">
        <f>IF(A47="","",IF(LEN(SUBSTITUTE(SUBSTITUTE(SUBSTITUTE(SUBSTITUTE(D47,".",""),"/",""),"-","")," ",""))&lt;&gt;14,"CNPJ INVALIDO","OK"))</f>
      </c>
      <c r="Y47" s="3056">
        <f>IF(A47="","",IF(R47="","REST PENDENTE","REST OK"))</f>
      </c>
      <c r="Z47" s="3056">
        <f>IF(A47="","",IF(AND(R47&lt;&gt;"",COUNTIFS($D$3:$D$164,D47,$R$3:$R$164,"&lt;&gt;")&gt;1),"DUPLICADO","OK"))</f>
      </c>
      <c r="AA47" s="3056">
        <f>IF(A47="","",IF(OR(LEN(Q47)&gt;180,LEN(R47)&gt;180,LEN(S47)&gt;180,LEN(T47)&gt;180),"CAMINHO LONGO","OK"))</f>
      </c>
      <c r="AB47" s="3056">
        <f>IF(A47="","",IF(U47="","",IFERROR(INT(U47-TODAY()),"")))</f>
      </c>
      <c r="AC47" s="3056">
        <f>IF(A47="","",IF(AND(T47="",U47=""),"",IF(T47="","SEM CAMINHO",IF(U47="","SEM DATA",IFERROR(IF(AB47&lt;15,"VERMELHO",IF(AB47&lt;=30,"AMARELO","VERDE")),"DATA INVALIDA")))))</f>
      </c>
      <c r="AD47" s="3056">
        <f>IF(OR(A47="",U47="",NOT(ISNUMBER(AB47))),"",RANK(AB47,$AB$3:$AB$164,1)+COUNTIFS($AB$3:AB47,AB47)-1)</f>
      </c>
      <c r="AE47" s="1736"/>
    </row>
    <row r="48" spans="1:19" ht="22.0" hidden="false" customHeight="true" x14ac:dyDescent="0.25">
      <c r="A48" s="3052" t="s">
        <v>119</v>
      </c>
      <c r="B48" s="3051" t="s">
        <v>115</v>
      </c>
      <c r="C48" s="3051" t="s">
        <v>116</v>
      </c>
      <c r="D48" s="3051" t="s">
        <v>120</v>
      </c>
      <c r="E48" s="3051"/>
      <c r="F48" s="3051" t="s">
        <v>118</v>
      </c>
      <c r="G48" s="3051" t="s">
        <v>13</v>
      </c>
      <c r="H48" s="3051" t="s">
        <v>14</v>
      </c>
      <c r="I48" s="3051"/>
      <c r="J48" s="3051"/>
      <c r="K48" s="3051"/>
      <c r="L48" s="3051"/>
      <c r="M48" s="3051" t="s">
        <v>376</v>
      </c>
      <c r="N48" s="3051"/>
      <c r="O48" s="3051" t="s">
        <v>347</v>
      </c>
      <c r="P48" s="3051"/>
      <c r="Q48" s="3054"/>
      <c r="R48" s="3054"/>
      <c r="S48" s="3054"/>
      <c r="T48" s="3054"/>
      <c r="U48" s="3055"/>
      <c r="V48" s="3051"/>
      <c r="W48" s="3051"/>
      <c r="X48" s="3056">
        <f>IF(A48="","",IF(LEN(SUBSTITUTE(SUBSTITUTE(SUBSTITUTE(SUBSTITUTE(D48,".",""),"/",""),"-","")," ",""))&lt;&gt;14,"CNPJ INVALIDO","OK"))</f>
      </c>
      <c r="Y48" s="3056">
        <f>IF(A48="","",IF(R48="","REST PENDENTE","REST OK"))</f>
      </c>
      <c r="Z48" s="3056">
        <f>IF(A48="","",IF(AND(R48&lt;&gt;"",COUNTIFS($D$3:$D$164,D48,$R$3:$R$164,"&lt;&gt;")&gt;1),"DUPLICADO","OK"))</f>
      </c>
      <c r="AA48" s="3056">
        <f>IF(A48="","",IF(OR(LEN(Q48)&gt;180,LEN(R48)&gt;180,LEN(S48)&gt;180,LEN(T48)&gt;180),"CAMINHO LONGO","OK"))</f>
      </c>
      <c r="AB48" s="3056">
        <f>IF(A48="","",IF(U48="","",IFERROR(INT(U48-TODAY()),"")))</f>
      </c>
      <c r="AC48" s="3056">
        <f>IF(A48="","",IF(AND(T48="",U48=""),"",IF(T48="","SEM CAMINHO",IF(U48="","SEM DATA",IFERROR(IF(AB48&lt;15,"VERMELHO",IF(AB48&lt;=30,"AMARELO","VERDE")),"DATA INVALIDA")))))</f>
      </c>
      <c r="AD48" s="3056">
        <f>IF(OR(A48="",U48="",NOT(ISNUMBER(AB48))),"",RANK(AB48,$AB$3:$AB$164,1)+COUNTIFS($AB$3:AB48,AB48)-1)</f>
      </c>
      <c r="AE48" s="1736"/>
    </row>
    <row r="49" spans="1:19" ht="22.0" hidden="false" customHeight="true" x14ac:dyDescent="0.25">
      <c r="A49" s="3047" t="s">
        <v>121</v>
      </c>
      <c r="B49" s="3046" t="s">
        <v>115</v>
      </c>
      <c r="C49" s="3046" t="s">
        <v>122</v>
      </c>
      <c r="D49" s="3057">
        <v>44742752000101</v>
      </c>
      <c r="E49" s="3046"/>
      <c r="F49" s="3046" t="s">
        <v>118</v>
      </c>
      <c r="G49" s="3046" t="s">
        <v>4</v>
      </c>
      <c r="H49" s="3046" t="s">
        <v>5</v>
      </c>
      <c r="I49" s="3046"/>
      <c r="J49" s="3046"/>
      <c r="K49" s="3046"/>
      <c r="L49" s="3046"/>
      <c r="M49" s="3046" t="s">
        <v>376</v>
      </c>
      <c r="N49" s="3046"/>
      <c r="O49" s="3046" t="s">
        <v>349</v>
      </c>
      <c r="P49" s="3046"/>
      <c r="Q49" s="3049"/>
      <c r="R49" s="3049"/>
      <c r="S49" s="3049"/>
      <c r="T49" s="3049"/>
      <c r="U49" s="3050"/>
      <c r="V49" s="3046"/>
      <c r="W49" s="3046"/>
      <c r="X49" s="3056">
        <f>IF(A49="","",IF(LEN(SUBSTITUTE(SUBSTITUTE(SUBSTITUTE(SUBSTITUTE(D49,".",""),"/",""),"-","")," ",""))&lt;&gt;14,"CNPJ INVALIDO","OK"))</f>
      </c>
      <c r="Y49" s="3056">
        <f>IF(A49="","",IF(R49="","REST PENDENTE","REST OK"))</f>
      </c>
      <c r="Z49" s="3056">
        <f>IF(A49="","",IF(AND(R49&lt;&gt;"",COUNTIFS($D$3:$D$164,D49,$R$3:$R$164,"&lt;&gt;")&gt;1),"DUPLICADO","OK"))</f>
      </c>
      <c r="AA49" s="3056">
        <f>IF(A49="","",IF(OR(LEN(Q49)&gt;180,LEN(R49)&gt;180,LEN(S49)&gt;180,LEN(T49)&gt;180),"CAMINHO LONGO","OK"))</f>
      </c>
      <c r="AB49" s="3056">
        <f>IF(A49="","",IF(U49="","",IFERROR(INT(U49-TODAY()),"")))</f>
      </c>
      <c r="AC49" s="3056">
        <f>IF(A49="","",IF(AND(T49="",U49=""),"",IF(T49="","SEM CAMINHO",IF(U49="","SEM DATA",IFERROR(IF(AB49&lt;15,"VERMELHO",IF(AB49&lt;=30,"AMARELO","VERDE")),"DATA INVALIDA")))))</f>
      </c>
      <c r="AD49" s="3056">
        <f>IF(OR(A49="",U49="",NOT(ISNUMBER(AB49))),"",RANK(AB49,$AB$3:$AB$164,1)+COUNTIFS($AB$3:AB49,AB49)-1)</f>
      </c>
      <c r="AE49" s="1736"/>
    </row>
    <row r="50" spans="1:19" ht="22.0" hidden="false" customHeight="true" x14ac:dyDescent="0.25">
      <c r="A50" s="3052" t="s">
        <v>123</v>
      </c>
      <c r="B50" s="3051" t="s">
        <v>115</v>
      </c>
      <c r="C50" s="3051" t="s">
        <v>116</v>
      </c>
      <c r="D50" s="3051" t="s">
        <v>124</v>
      </c>
      <c r="E50" s="3051"/>
      <c r="F50" s="3051" t="s">
        <v>125</v>
      </c>
      <c r="G50" s="3051" t="s">
        <v>13</v>
      </c>
      <c r="H50" s="3051" t="s">
        <v>14</v>
      </c>
      <c r="I50" s="3051"/>
      <c r="J50" s="3051"/>
      <c r="K50" s="3051"/>
      <c r="L50" s="3051"/>
      <c r="M50" s="3051" t="s">
        <v>379</v>
      </c>
      <c r="N50" s="3051"/>
      <c r="O50" s="3051" t="s">
        <v>349</v>
      </c>
      <c r="P50" s="3051"/>
      <c r="Q50" s="3054"/>
      <c r="R50" s="3054"/>
      <c r="S50" s="3054"/>
      <c r="T50" s="3054"/>
      <c r="U50" s="3055"/>
      <c r="V50" s="3051"/>
      <c r="W50" s="3051"/>
      <c r="X50" s="3056">
        <f>IF(A50="","",IF(LEN(SUBSTITUTE(SUBSTITUTE(SUBSTITUTE(SUBSTITUTE(D50,".",""),"/",""),"-","")," ",""))&lt;&gt;14,"CNPJ INVALIDO","OK"))</f>
      </c>
      <c r="Y50" s="3056">
        <f>IF(A50="","",IF(R50="","REST PENDENTE","REST OK"))</f>
      </c>
      <c r="Z50" s="3056">
        <f>IF(A50="","",IF(AND(R50&lt;&gt;"",COUNTIFS($D$3:$D$164,D50,$R$3:$R$164,"&lt;&gt;")&gt;1),"DUPLICADO","OK"))</f>
      </c>
      <c r="AA50" s="3056">
        <f>IF(A50="","",IF(OR(LEN(Q50)&gt;180,LEN(R50)&gt;180,LEN(S50)&gt;180,LEN(T50)&gt;180),"CAMINHO LONGO","OK"))</f>
      </c>
      <c r="AB50" s="3056">
        <f>IF(A50="","",IF(U50="","",IFERROR(INT(U50-TODAY()),"")))</f>
      </c>
      <c r="AC50" s="3056">
        <f>IF(A50="","",IF(AND(T50="",U50=""),"",IF(T50="","SEM CAMINHO",IF(U50="","SEM DATA",IFERROR(IF(AB50&lt;15,"VERMELHO",IF(AB50&lt;=30,"AMARELO","VERDE")),"DATA INVALIDA")))))</f>
      </c>
      <c r="AD50" s="3056">
        <f>IF(OR(A50="",U50="",NOT(ISNUMBER(AB50))),"",RANK(AB50,$AB$3:$AB$164,1)+COUNTIFS($AB$3:AB50,AB50)-1)</f>
      </c>
      <c r="AE50" s="1736"/>
    </row>
    <row r="51" spans="1:19" ht="22.0" hidden="false" customHeight="true" x14ac:dyDescent="0.25">
      <c r="A51" s="3047" t="s">
        <v>126</v>
      </c>
      <c r="B51" s="3046" t="s">
        <v>115</v>
      </c>
      <c r="C51" s="3046" t="s">
        <v>122</v>
      </c>
      <c r="D51" s="3057">
        <v>44777527000100</v>
      </c>
      <c r="E51" s="3046"/>
      <c r="F51" s="3046" t="s">
        <v>125</v>
      </c>
      <c r="G51" s="3046" t="s">
        <v>4</v>
      </c>
      <c r="H51" s="3046" t="s">
        <v>5</v>
      </c>
      <c r="I51" s="3046"/>
      <c r="J51" s="3046"/>
      <c r="K51" s="3046"/>
      <c r="L51" s="3046"/>
      <c r="M51" s="3046" t="s">
        <v>379</v>
      </c>
      <c r="N51" s="3046"/>
      <c r="O51" s="3046" t="s">
        <v>349</v>
      </c>
      <c r="P51" s="3046"/>
      <c r="Q51" s="3049"/>
      <c r="R51" s="3049"/>
      <c r="S51" s="3049"/>
      <c r="T51" s="3049"/>
      <c r="U51" s="3050"/>
      <c r="V51" s="3046"/>
      <c r="W51" s="3046"/>
      <c r="X51" s="3056">
        <f>IF(A51="","",IF(LEN(SUBSTITUTE(SUBSTITUTE(SUBSTITUTE(SUBSTITUTE(D51,".",""),"/",""),"-","")," ",""))&lt;&gt;14,"CNPJ INVALIDO","OK"))</f>
      </c>
      <c r="Y51" s="3056">
        <f>IF(A51="","",IF(R51="","REST PENDENTE","REST OK"))</f>
      </c>
      <c r="Z51" s="3056">
        <f>IF(A51="","",IF(AND(R51&lt;&gt;"",COUNTIFS($D$3:$D$164,D51,$R$3:$R$164,"&lt;&gt;")&gt;1),"DUPLICADO","OK"))</f>
      </c>
      <c r="AA51" s="3056">
        <f>IF(A51="","",IF(OR(LEN(Q51)&gt;180,LEN(R51)&gt;180,LEN(S51)&gt;180,LEN(T51)&gt;180),"CAMINHO LONGO","OK"))</f>
      </c>
      <c r="AB51" s="3056">
        <f>IF(A51="","",IF(U51="","",IFERROR(INT(U51-TODAY()),"")))</f>
      </c>
      <c r="AC51" s="3056">
        <f>IF(A51="","",IF(AND(T51="",U51=""),"",IF(T51="","SEM CAMINHO",IF(U51="","SEM DATA",IFERROR(IF(AB51&lt;15,"VERMELHO",IF(AB51&lt;=30,"AMARELO","VERDE")),"DATA INVALIDA")))))</f>
      </c>
      <c r="AD51" s="3056">
        <f>IF(OR(A51="",U51="",NOT(ISNUMBER(AB51))),"",RANK(AB51,$AB$3:$AB$164,1)+COUNTIFS($AB$3:AB51,AB51)-1)</f>
      </c>
      <c r="AE51" s="1736"/>
    </row>
    <row r="52" spans="1:19" ht="22.0" hidden="false" customHeight="true" x14ac:dyDescent="0.25">
      <c r="A52" s="3052" t="s">
        <v>127</v>
      </c>
      <c r="B52" s="3051" t="s">
        <v>115</v>
      </c>
      <c r="C52" s="3051" t="s">
        <v>122</v>
      </c>
      <c r="D52" s="3057">
        <v>44796284000140</v>
      </c>
      <c r="E52" s="3051"/>
      <c r="F52" s="3051" t="s">
        <v>125</v>
      </c>
      <c r="G52" s="3051" t="s">
        <v>4</v>
      </c>
      <c r="H52" s="3051" t="s">
        <v>5</v>
      </c>
      <c r="I52" s="3051"/>
      <c r="J52" s="3051"/>
      <c r="K52" s="3051"/>
      <c r="L52" s="3051"/>
      <c r="M52" s="3051" t="s">
        <v>379</v>
      </c>
      <c r="N52" s="3051"/>
      <c r="O52" s="3051" t="s">
        <v>349</v>
      </c>
      <c r="P52" s="3051"/>
      <c r="Q52" s="3054"/>
      <c r="R52" s="3054"/>
      <c r="S52" s="3054"/>
      <c r="T52" s="3054"/>
      <c r="U52" s="3055"/>
      <c r="V52" s="3051"/>
      <c r="W52" s="3051"/>
      <c r="X52" s="3056">
        <f>IF(A52="","",IF(LEN(SUBSTITUTE(SUBSTITUTE(SUBSTITUTE(SUBSTITUTE(D52,".",""),"/",""),"-","")," ",""))&lt;&gt;14,"CNPJ INVALIDO","OK"))</f>
      </c>
      <c r="Y52" s="3056">
        <f>IF(A52="","",IF(R52="","REST PENDENTE","REST OK"))</f>
      </c>
      <c r="Z52" s="3056">
        <f>IF(A52="","",IF(AND(R52&lt;&gt;"",COUNTIFS($D$3:$D$164,D52,$R$3:$R$164,"&lt;&gt;")&gt;1),"DUPLICADO","OK"))</f>
      </c>
      <c r="AA52" s="3056">
        <f>IF(A52="","",IF(OR(LEN(Q52)&gt;180,LEN(R52)&gt;180,LEN(S52)&gt;180,LEN(T52)&gt;180),"CAMINHO LONGO","OK"))</f>
      </c>
      <c r="AB52" s="3056">
        <f>IF(A52="","",IF(U52="","",IFERROR(INT(U52-TODAY()),"")))</f>
      </c>
      <c r="AC52" s="3056">
        <f>IF(A52="","",IF(AND(T52="",U52=""),"",IF(T52="","SEM CAMINHO",IF(U52="","SEM DATA",IFERROR(IF(AB52&lt;15,"VERMELHO",IF(AB52&lt;=30,"AMARELO","VERDE")),"DATA INVALIDA")))))</f>
      </c>
      <c r="AD52" s="3056">
        <f>IF(OR(A52="",U52="",NOT(ISNUMBER(AB52))),"",RANK(AB52,$AB$3:$AB$164,1)+COUNTIFS($AB$3:AB52,AB52)-1)</f>
      </c>
      <c r="AE52" s="1736"/>
    </row>
    <row r="53" spans="1:19" ht="22.0" customHeight="true" thickTop="1" x14ac:dyDescent="0.25" hidden="false">
      <c r="A53" s="3047" t="s">
        <v>128</v>
      </c>
      <c r="B53" s="3046" t="s">
        <v>129</v>
      </c>
      <c r="C53" s="3046" t="s">
        <v>16</v>
      </c>
      <c r="D53" s="3046" t="s">
        <v>130</v>
      </c>
      <c r="E53" s="3046"/>
      <c r="F53" s="3046" t="s">
        <v>109</v>
      </c>
      <c r="G53" s="3046" t="s">
        <v>13</v>
      </c>
      <c r="H53" s="3046" t="s">
        <v>14</v>
      </c>
      <c r="I53" s="3046"/>
      <c r="J53" s="3046"/>
      <c r="K53" s="3046"/>
      <c r="L53" s="3046"/>
      <c r="M53" s="3046" t="s">
        <v>384</v>
      </c>
      <c r="N53" s="3046"/>
      <c r="O53" s="3046"/>
      <c r="P53" s="3046"/>
      <c r="Q53" s="3049"/>
      <c r="R53" s="3048" t="s">
        <v>406</v>
      </c>
      <c r="S53" s="3049"/>
      <c r="T53" s="3049"/>
      <c r="U53" s="3050"/>
      <c r="V53" s="3046"/>
      <c r="W53" s="3046"/>
      <c r="X53" s="3056">
        <f>IF(A53="","",IF(LEN(SUBSTITUTE(SUBSTITUTE(SUBSTITUTE(SUBSTITUTE(D53,".",""),"/",""),"-","")," ",""))&lt;&gt;14,"CNPJ INVALIDO","OK"))</f>
      </c>
      <c r="Y53" s="3056">
        <f>IF(A53="","",IF(R53="","REST PENDENTE","REST OK"))</f>
      </c>
      <c r="Z53" s="3056">
        <f>IF(A53="","",IF(AND(R53&lt;&gt;"",COUNTIFS($D$3:$D$164,D53,$R$3:$R$164,"&lt;&gt;")&gt;1),"DUPLICADO","OK"))</f>
      </c>
      <c r="AA53" s="3056">
        <f>IF(A53="","",IF(OR(LEN(Q53)&gt;180,LEN(R53)&gt;180,LEN(S53)&gt;180,LEN(T53)&gt;180),"CAMINHO LONGO","OK"))</f>
      </c>
      <c r="AB53" s="3056">
        <f>IF(A53="","",IF(U53="","",IFERROR(INT(U53-TODAY()),"")))</f>
      </c>
      <c r="AC53" s="3056">
        <f>IF(A53="","",IF(AND(T53="",U53=""),"",IF(T53="","SEM CAMINHO",IF(U53="","SEM DATA",IFERROR(IF(AB53&lt;15,"VERMELHO",IF(AB53&lt;=30,"AMARELO","VERDE")),"DATA INVALIDA")))))</f>
      </c>
      <c r="AD53" s="3056">
        <f>IF(OR(A53="",U53="",NOT(ISNUMBER(AB53))),"",RANK(AB53,$AB$3:$AB$164,1)+COUNTIFS($AB$3:AB53,AB53)-1)</f>
      </c>
      <c r="AE53" s="1736"/>
    </row>
    <row r="54" spans="1:19" ht="22.0" hidden="false" customHeight="true" x14ac:dyDescent="0.25">
      <c r="A54" s="3052" t="s">
        <v>131</v>
      </c>
      <c r="B54" s="3051" t="s">
        <v>132</v>
      </c>
      <c r="C54" s="3051" t="s">
        <v>62</v>
      </c>
      <c r="D54" s="3057">
        <v>19318532000108</v>
      </c>
      <c r="E54" s="3051"/>
      <c r="F54" s="3051" t="s">
        <v>66</v>
      </c>
      <c r="G54" s="3051" t="s">
        <v>4</v>
      </c>
      <c r="H54" s="3051" t="s">
        <v>5</v>
      </c>
      <c r="I54" s="3051"/>
      <c r="J54" s="3051"/>
      <c r="K54" s="3051"/>
      <c r="L54" s="3051"/>
      <c r="M54" s="3051" t="s">
        <v>377</v>
      </c>
      <c r="N54" s="3051"/>
      <c r="O54" s="3051" t="s">
        <v>347</v>
      </c>
      <c r="P54" s="3051"/>
      <c r="Q54" s="3054"/>
      <c r="R54" s="3054"/>
      <c r="S54" s="3054"/>
      <c r="T54" s="3054"/>
      <c r="U54" s="3055"/>
      <c r="V54" s="3051"/>
      <c r="W54" s="3051"/>
      <c r="X54" s="3056">
        <f>IF(A54="","",IF(LEN(SUBSTITUTE(SUBSTITUTE(SUBSTITUTE(SUBSTITUTE(D54,".",""),"/",""),"-","")," ",""))&lt;&gt;14,"CNPJ INVALIDO","OK"))</f>
      </c>
      <c r="Y54" s="3056">
        <f>IF(A54="","",IF(R54="","REST PENDENTE","REST OK"))</f>
      </c>
      <c r="Z54" s="3056">
        <f>IF(A54="","",IF(AND(R54&lt;&gt;"",COUNTIFS($D$3:$D$164,D54,$R$3:$R$164,"&lt;&gt;")&gt;1),"DUPLICADO","OK"))</f>
      </c>
      <c r="AA54" s="3056">
        <f>IF(A54="","",IF(OR(LEN(Q54)&gt;180,LEN(R54)&gt;180,LEN(S54)&gt;180,LEN(T54)&gt;180),"CAMINHO LONGO","OK"))</f>
      </c>
      <c r="AB54" s="3056">
        <f>IF(A54="","",IF(U54="","",IFERROR(INT(U54-TODAY()),"")))</f>
      </c>
      <c r="AC54" s="3056">
        <f>IF(A54="","",IF(AND(T54="",U54=""),"",IF(T54="","SEM CAMINHO",IF(U54="","SEM DATA",IFERROR(IF(AB54&lt;15,"VERMELHO",IF(AB54&lt;=30,"AMARELO","VERDE")),"DATA INVALIDA")))))</f>
      </c>
      <c r="AD54" s="3056">
        <f>IF(OR(A54="",U54="",NOT(ISNUMBER(AB54))),"",RANK(AB54,$AB$3:$AB$164,1)+COUNTIFS($AB$3:AB54,AB54)-1)</f>
      </c>
      <c r="AE54" s="1736"/>
    </row>
    <row r="55" spans="1:19" ht="22.0" hidden="false" customHeight="true" x14ac:dyDescent="0.25">
      <c r="A55" s="3047" t="s">
        <v>133</v>
      </c>
      <c r="B55" s="3046" t="s">
        <v>134</v>
      </c>
      <c r="C55" s="3046" t="s">
        <v>116</v>
      </c>
      <c r="D55" s="3046" t="s">
        <v>135</v>
      </c>
      <c r="E55" s="3046"/>
      <c r="F55" s="3046" t="s">
        <v>136</v>
      </c>
      <c r="G55" s="3046" t="s">
        <v>41</v>
      </c>
      <c r="H55" s="3046" t="s">
        <v>5</v>
      </c>
      <c r="I55" s="3046"/>
      <c r="J55" s="3046"/>
      <c r="K55" s="3046"/>
      <c r="L55" s="3046"/>
      <c r="M55" s="3046" t="s">
        <v>379</v>
      </c>
      <c r="N55" s="3046"/>
      <c r="O55" s="3046" t="s">
        <v>351</v>
      </c>
      <c r="P55" s="3046"/>
      <c r="Q55" s="3049"/>
      <c r="R55" s="3049"/>
      <c r="S55" s="3049"/>
      <c r="T55" s="3049"/>
      <c r="U55" s="3050"/>
      <c r="V55" s="3046"/>
      <c r="W55" s="3046"/>
      <c r="X55" s="3056">
        <f>IF(A55="","",IF(LEN(SUBSTITUTE(SUBSTITUTE(SUBSTITUTE(SUBSTITUTE(D55,".",""),"/",""),"-","")," ",""))&lt;&gt;14,"CNPJ INVALIDO","OK"))</f>
      </c>
      <c r="Y55" s="3056">
        <f>IF(A55="","",IF(R55="","REST PENDENTE","REST OK"))</f>
      </c>
      <c r="Z55" s="3056">
        <f>IF(A55="","",IF(AND(R55&lt;&gt;"",COUNTIFS($D$3:$D$164,D55,$R$3:$R$164,"&lt;&gt;")&gt;1),"DUPLICADO","OK"))</f>
      </c>
      <c r="AA55" s="3056">
        <f>IF(A55="","",IF(OR(LEN(Q55)&gt;180,LEN(R55)&gt;180,LEN(S55)&gt;180,LEN(T55)&gt;180),"CAMINHO LONGO","OK"))</f>
      </c>
      <c r="AB55" s="3056">
        <f>IF(A55="","",IF(U55="","",IFERROR(INT(U55-TODAY()),"")))</f>
      </c>
      <c r="AC55" s="3056">
        <f>IF(A55="","",IF(AND(T55="",U55=""),"",IF(T55="","SEM CAMINHO",IF(U55="","SEM DATA",IFERROR(IF(AB55&lt;15,"VERMELHO",IF(AB55&lt;=30,"AMARELO","VERDE")),"DATA INVALIDA")))))</f>
      </c>
      <c r="AD55" s="3056">
        <f>IF(OR(A55="",U55="",NOT(ISNUMBER(AB55))),"",RANK(AB55,$AB$3:$AB$164,1)+COUNTIFS($AB$3:AB55,AB55)-1)</f>
      </c>
      <c r="AE55" s="1736"/>
    </row>
    <row r="56" spans="1:19" ht="22.0" hidden="false" customHeight="true" x14ac:dyDescent="0.25">
      <c r="A56" s="3052" t="s">
        <v>137</v>
      </c>
      <c r="B56" s="3051" t="s">
        <v>134</v>
      </c>
      <c r="C56" s="3051" t="s">
        <v>122</v>
      </c>
      <c r="D56" s="3057">
        <v>34046667000147</v>
      </c>
      <c r="E56" s="3051"/>
      <c r="F56" s="3051" t="s">
        <v>138</v>
      </c>
      <c r="G56" s="3051" t="s">
        <v>4</v>
      </c>
      <c r="H56" s="3051" t="s">
        <v>5</v>
      </c>
      <c r="I56" s="3051"/>
      <c r="J56" s="3051"/>
      <c r="K56" s="3051"/>
      <c r="L56" s="3051"/>
      <c r="M56" s="3051" t="s">
        <v>385</v>
      </c>
      <c r="N56" s="3051"/>
      <c r="O56" s="3051" t="s">
        <v>351</v>
      </c>
      <c r="P56" s="3051"/>
      <c r="Q56" s="3054"/>
      <c r="R56" s="3054"/>
      <c r="S56" s="3054"/>
      <c r="T56" s="3054"/>
      <c r="U56" s="3055"/>
      <c r="V56" s="3051"/>
      <c r="W56" s="3051"/>
      <c r="X56" s="3056">
        <f>IF(A56="","",IF(LEN(SUBSTITUTE(SUBSTITUTE(SUBSTITUTE(SUBSTITUTE(D56,".",""),"/",""),"-","")," ",""))&lt;&gt;14,"CNPJ INVALIDO","OK"))</f>
      </c>
      <c r="Y56" s="3056">
        <f>IF(A56="","",IF(R56="","REST PENDENTE","REST OK"))</f>
      </c>
      <c r="Z56" s="3056">
        <f>IF(A56="","",IF(AND(R56&lt;&gt;"",COUNTIFS($D$3:$D$164,D56,$R$3:$R$164,"&lt;&gt;")&gt;1),"DUPLICADO","OK"))</f>
      </c>
      <c r="AA56" s="3056">
        <f>IF(A56="","",IF(OR(LEN(Q56)&gt;180,LEN(R56)&gt;180,LEN(S56)&gt;180,LEN(T56)&gt;180),"CAMINHO LONGO","OK"))</f>
      </c>
      <c r="AB56" s="3056">
        <f>IF(A56="","",IF(U56="","",IFERROR(INT(U56-TODAY()),"")))</f>
      </c>
      <c r="AC56" s="3056">
        <f>IF(A56="","",IF(AND(T56="",U56=""),"",IF(T56="","SEM CAMINHO",IF(U56="","SEM DATA",IFERROR(IF(AB56&lt;15,"VERMELHO",IF(AB56&lt;=30,"AMARELO","VERDE")),"DATA INVALIDA")))))</f>
      </c>
      <c r="AD56" s="3056">
        <f>IF(OR(A56="",U56="",NOT(ISNUMBER(AB56))),"",RANK(AB56,$AB$3:$AB$164,1)+COUNTIFS($AB$3:AB56,AB56)-1)</f>
      </c>
      <c r="AE56" s="1736"/>
    </row>
    <row r="57" spans="1:19" ht="22.0" hidden="false" customHeight="true" x14ac:dyDescent="0.25">
      <c r="A57" s="3047" t="s">
        <v>139</v>
      </c>
      <c r="B57" s="3046" t="s">
        <v>134</v>
      </c>
      <c r="C57" s="3046" t="s">
        <v>122</v>
      </c>
      <c r="D57" s="3057">
        <v>40932575000167</v>
      </c>
      <c r="E57" s="3046"/>
      <c r="F57" s="3046" t="s">
        <v>140</v>
      </c>
      <c r="G57" s="3046" t="s">
        <v>4</v>
      </c>
      <c r="H57" s="3046" t="s">
        <v>5</v>
      </c>
      <c r="I57" s="3046"/>
      <c r="J57" s="3046"/>
      <c r="K57" s="3046"/>
      <c r="L57" s="3046"/>
      <c r="M57" s="3046" t="s">
        <v>379</v>
      </c>
      <c r="N57" s="3046"/>
      <c r="O57" s="3046" t="s">
        <v>351</v>
      </c>
      <c r="P57" s="3046"/>
      <c r="Q57" s="3049"/>
      <c r="R57" s="3049"/>
      <c r="S57" s="3049"/>
      <c r="T57" s="3049"/>
      <c r="U57" s="3050"/>
      <c r="V57" s="3046"/>
      <c r="W57" s="3046"/>
      <c r="X57" s="3056">
        <f>IF(A57="","",IF(LEN(SUBSTITUTE(SUBSTITUTE(SUBSTITUTE(SUBSTITUTE(D57,".",""),"/",""),"-","")," ",""))&lt;&gt;14,"CNPJ INVALIDO","OK"))</f>
      </c>
      <c r="Y57" s="3056">
        <f>IF(A57="","",IF(R57="","REST PENDENTE","REST OK"))</f>
      </c>
      <c r="Z57" s="3056">
        <f>IF(A57="","",IF(AND(R57&lt;&gt;"",COUNTIFS($D$3:$D$164,D57,$R$3:$R$164,"&lt;&gt;")&gt;1),"DUPLICADO","OK"))</f>
      </c>
      <c r="AA57" s="3056">
        <f>IF(A57="","",IF(OR(LEN(Q57)&gt;180,LEN(R57)&gt;180,LEN(S57)&gt;180,LEN(T57)&gt;180),"CAMINHO LONGO","OK"))</f>
      </c>
      <c r="AB57" s="3056">
        <f>IF(A57="","",IF(U57="","",IFERROR(INT(U57-TODAY()),"")))</f>
      </c>
      <c r="AC57" s="3056">
        <f>IF(A57="","",IF(AND(T57="",U57=""),"",IF(T57="","SEM CAMINHO",IF(U57="","SEM DATA",IFERROR(IF(AB57&lt;15,"VERMELHO",IF(AB57&lt;=30,"AMARELO","VERDE")),"DATA INVALIDA")))))</f>
      </c>
      <c r="AD57" s="3056">
        <f>IF(OR(A57="",U57="",NOT(ISNUMBER(AB57))),"",RANK(AB57,$AB$3:$AB$164,1)+COUNTIFS($AB$3:AB57,AB57)-1)</f>
      </c>
      <c r="AE57" s="1736"/>
    </row>
    <row r="58" spans="1:19" ht="22.0" hidden="false" customHeight="true" x14ac:dyDescent="0.25">
      <c r="A58" s="3052" t="s">
        <v>141</v>
      </c>
      <c r="B58" s="3051" t="s">
        <v>142</v>
      </c>
      <c r="C58" s="3051" t="s">
        <v>62</v>
      </c>
      <c r="D58" s="3051" t="s">
        <v>143</v>
      </c>
      <c r="E58" s="3051"/>
      <c r="F58" s="3051" t="s">
        <v>144</v>
      </c>
      <c r="G58" s="3051" t="s">
        <v>13</v>
      </c>
      <c r="H58" s="3051" t="s">
        <v>49</v>
      </c>
      <c r="I58" s="3051"/>
      <c r="J58" s="3051"/>
      <c r="K58" s="3051"/>
      <c r="L58" s="3051"/>
      <c r="M58" s="3051" t="s">
        <v>385</v>
      </c>
      <c r="N58" s="3051"/>
      <c r="O58" s="3051" t="s">
        <v>347</v>
      </c>
      <c r="P58" s="3051"/>
      <c r="Q58" s="3054"/>
      <c r="R58" s="3054"/>
      <c r="S58" s="3054"/>
      <c r="T58" s="3054"/>
      <c r="U58" s="3055"/>
      <c r="V58" s="3051"/>
      <c r="W58" s="3051"/>
      <c r="X58" s="3056">
        <f>IF(A58="","",IF(LEN(SUBSTITUTE(SUBSTITUTE(SUBSTITUTE(SUBSTITUTE(D58,".",""),"/",""),"-","")," ",""))&lt;&gt;14,"CNPJ INVALIDO","OK"))</f>
      </c>
      <c r="Y58" s="3056">
        <f>IF(A58="","",IF(R58="","REST PENDENTE","REST OK"))</f>
      </c>
      <c r="Z58" s="3056">
        <f>IF(A58="","",IF(AND(R58&lt;&gt;"",COUNTIFS($D$3:$D$164,D58,$R$3:$R$164,"&lt;&gt;")&gt;1),"DUPLICADO","OK"))</f>
      </c>
      <c r="AA58" s="3056">
        <f>IF(A58="","",IF(OR(LEN(Q58)&gt;180,LEN(R58)&gt;180,LEN(S58)&gt;180,LEN(T58)&gt;180),"CAMINHO LONGO","OK"))</f>
      </c>
      <c r="AB58" s="3056">
        <f>IF(A58="","",IF(U58="","",IFERROR(INT(U58-TODAY()),"")))</f>
      </c>
      <c r="AC58" s="3056">
        <f>IF(A58="","",IF(AND(T58="",U58=""),"",IF(T58="","SEM CAMINHO",IF(U58="","SEM DATA",IFERROR(IF(AB58&lt;15,"VERMELHO",IF(AB58&lt;=30,"AMARELO","VERDE")),"DATA INVALIDA")))))</f>
      </c>
      <c r="AD58" s="3056">
        <f>IF(OR(A58="",U58="",NOT(ISNUMBER(AB58))),"",RANK(AB58,$AB$3:$AB$164,1)+COUNTIFS($AB$3:AB58,AB58)-1)</f>
      </c>
      <c r="AE58" s="1736"/>
    </row>
    <row r="59" spans="1:19" ht="22.0" hidden="false" customHeight="true" x14ac:dyDescent="0.25">
      <c r="A59" s="3047" t="s">
        <v>145</v>
      </c>
      <c r="B59" s="3046" t="s">
        <v>142</v>
      </c>
      <c r="C59" s="3046" t="s">
        <v>62</v>
      </c>
      <c r="D59" s="3057">
        <v>60906391000130</v>
      </c>
      <c r="E59" s="3046"/>
      <c r="F59" s="3046" t="s">
        <v>144</v>
      </c>
      <c r="G59" s="3046" t="s">
        <v>4</v>
      </c>
      <c r="H59" s="3046" t="s">
        <v>49</v>
      </c>
      <c r="I59" s="3046"/>
      <c r="J59" s="3046"/>
      <c r="K59" s="3046"/>
      <c r="L59" s="3046"/>
      <c r="M59" s="3046" t="s">
        <v>385</v>
      </c>
      <c r="N59" s="3046"/>
      <c r="O59" s="3046" t="s">
        <v>351</v>
      </c>
      <c r="P59" s="3046"/>
      <c r="Q59" s="3049"/>
      <c r="R59" s="3049"/>
      <c r="S59" s="3049"/>
      <c r="T59" s="3049"/>
      <c r="U59" s="3050"/>
      <c r="V59" s="3046"/>
      <c r="W59" s="3046"/>
      <c r="X59" s="3056">
        <f>IF(A59="","",IF(LEN(SUBSTITUTE(SUBSTITUTE(SUBSTITUTE(SUBSTITUTE(D59,".",""),"/",""),"-","")," ",""))&lt;&gt;14,"CNPJ INVALIDO","OK"))</f>
      </c>
      <c r="Y59" s="3056">
        <f>IF(A59="","",IF(R59="","REST PENDENTE","REST OK"))</f>
      </c>
      <c r="Z59" s="3056">
        <f>IF(A59="","",IF(AND(R59&lt;&gt;"",COUNTIFS($D$3:$D$164,D59,$R$3:$R$164,"&lt;&gt;")&gt;1),"DUPLICADO","OK"))</f>
      </c>
      <c r="AA59" s="3056">
        <f>IF(A59="","",IF(OR(LEN(Q59)&gt;180,LEN(R59)&gt;180,LEN(S59)&gt;180,LEN(T59)&gt;180),"CAMINHO LONGO","OK"))</f>
      </c>
      <c r="AB59" s="3056">
        <f>IF(A59="","",IF(U59="","",IFERROR(INT(U59-TODAY()),"")))</f>
      </c>
      <c r="AC59" s="3056">
        <f>IF(A59="","",IF(AND(T59="",U59=""),"",IF(T59="","SEM CAMINHO",IF(U59="","SEM DATA",IFERROR(IF(AB59&lt;15,"VERMELHO",IF(AB59&lt;=30,"AMARELO","VERDE")),"DATA INVALIDA")))))</f>
      </c>
      <c r="AD59" s="3056">
        <f>IF(OR(A59="",U59="",NOT(ISNUMBER(AB59))),"",RANK(AB59,$AB$3:$AB$164,1)+COUNTIFS($AB$3:AB59,AB59)-1)</f>
      </c>
      <c r="AE59" s="1736"/>
    </row>
    <row r="60" spans="1:19" ht="22.0" hidden="false" customHeight="true" x14ac:dyDescent="0.25">
      <c r="A60" s="3052" t="s">
        <v>146</v>
      </c>
      <c r="B60" s="3051" t="s">
        <v>75</v>
      </c>
      <c r="C60" s="3051" t="s">
        <v>62</v>
      </c>
      <c r="D60" s="3057">
        <v>41762299000107</v>
      </c>
      <c r="E60" s="3051"/>
      <c r="F60" s="3051" t="s">
        <v>147</v>
      </c>
      <c r="G60" s="3051" t="s">
        <v>4</v>
      </c>
      <c r="H60" s="3051" t="s">
        <v>5</v>
      </c>
      <c r="I60" s="3051"/>
      <c r="J60" s="3051"/>
      <c r="K60" s="3051"/>
      <c r="L60" s="3051"/>
      <c r="M60" s="3051" t="s">
        <v>379</v>
      </c>
      <c r="N60" s="3051"/>
      <c r="O60" s="3051" t="s">
        <v>352</v>
      </c>
      <c r="P60" s="3051"/>
      <c r="Q60" s="3054"/>
      <c r="R60" s="3054"/>
      <c r="S60" s="3054"/>
      <c r="T60" s="3054"/>
      <c r="U60" s="3055"/>
      <c r="V60" s="3051"/>
      <c r="W60" s="3051"/>
      <c r="X60" s="3056">
        <f>IF(A60="","",IF(LEN(SUBSTITUTE(SUBSTITUTE(SUBSTITUTE(SUBSTITUTE(D60,".",""),"/",""),"-","")," ",""))&lt;&gt;14,"CNPJ INVALIDO","OK"))</f>
      </c>
      <c r="Y60" s="3056">
        <f>IF(A60="","",IF(R60="","REST PENDENTE","REST OK"))</f>
      </c>
      <c r="Z60" s="3056">
        <f>IF(A60="","",IF(AND(R60&lt;&gt;"",COUNTIFS($D$3:$D$164,D60,$R$3:$R$164,"&lt;&gt;")&gt;1),"DUPLICADO","OK"))</f>
      </c>
      <c r="AA60" s="3056">
        <f>IF(A60="","",IF(OR(LEN(Q60)&gt;180,LEN(R60)&gt;180,LEN(S60)&gt;180,LEN(T60)&gt;180),"CAMINHO LONGO","OK"))</f>
      </c>
      <c r="AB60" s="3056">
        <f>IF(A60="","",IF(U60="","",IFERROR(INT(U60-TODAY()),"")))</f>
      </c>
      <c r="AC60" s="3056">
        <f>IF(A60="","",IF(AND(T60="",U60=""),"",IF(T60="","SEM CAMINHO",IF(U60="","SEM DATA",IFERROR(IF(AB60&lt;15,"VERMELHO",IF(AB60&lt;=30,"AMARELO","VERDE")),"DATA INVALIDA")))))</f>
      </c>
      <c r="AD60" s="3056">
        <f>IF(OR(A60="",U60="",NOT(ISNUMBER(AB60))),"",RANK(AB60,$AB$3:$AB$164,1)+COUNTIFS($AB$3:AB60,AB60)-1)</f>
      </c>
      <c r="AE60" s="1736"/>
    </row>
    <row r="61" spans="1:19" ht="22.0" hidden="false" customHeight="true" x14ac:dyDescent="0.25">
      <c r="A61" s="3047" t="s">
        <v>148</v>
      </c>
      <c r="B61" s="3046" t="s">
        <v>149</v>
      </c>
      <c r="C61" s="3046" t="s">
        <v>59</v>
      </c>
      <c r="D61" s="3057">
        <v>52090662000101</v>
      </c>
      <c r="E61" s="3046"/>
      <c r="F61" s="3046" t="s">
        <v>150</v>
      </c>
      <c r="G61" s="3046" t="s">
        <v>4</v>
      </c>
      <c r="H61" s="3046" t="s">
        <v>5</v>
      </c>
      <c r="I61" s="3046"/>
      <c r="J61" s="3046"/>
      <c r="K61" s="3046"/>
      <c r="L61" s="3046"/>
      <c r="M61" s="3046" t="s">
        <v>379</v>
      </c>
      <c r="N61" s="3046"/>
      <c r="O61" s="3046" t="s">
        <v>351</v>
      </c>
      <c r="P61" s="3046"/>
      <c r="Q61" s="3049"/>
      <c r="R61" s="3049"/>
      <c r="S61" s="3049"/>
      <c r="T61" s="3049"/>
      <c r="U61" s="3050"/>
      <c r="V61" s="3046"/>
      <c r="W61" s="3046"/>
      <c r="X61" s="3056">
        <f>IF(A61="","",IF(LEN(SUBSTITUTE(SUBSTITUTE(SUBSTITUTE(SUBSTITUTE(D61,".",""),"/",""),"-","")," ",""))&lt;&gt;14,"CNPJ INVALIDO","OK"))</f>
      </c>
      <c r="Y61" s="3056">
        <f>IF(A61="","",IF(R61="","REST PENDENTE","REST OK"))</f>
      </c>
      <c r="Z61" s="3056">
        <f>IF(A61="","",IF(AND(R61&lt;&gt;"",COUNTIFS($D$3:$D$164,D61,$R$3:$R$164,"&lt;&gt;")&gt;1),"DUPLICADO","OK"))</f>
      </c>
      <c r="AA61" s="3056">
        <f>IF(A61="","",IF(OR(LEN(Q61)&gt;180,LEN(R61)&gt;180,LEN(S61)&gt;180,LEN(T61)&gt;180),"CAMINHO LONGO","OK"))</f>
      </c>
      <c r="AB61" s="3056">
        <f>IF(A61="","",IF(U61="","",IFERROR(INT(U61-TODAY()),"")))</f>
      </c>
      <c r="AC61" s="3056">
        <f>IF(A61="","",IF(AND(T61="",U61=""),"",IF(T61="","SEM CAMINHO",IF(U61="","SEM DATA",IFERROR(IF(AB61&lt;15,"VERMELHO",IF(AB61&lt;=30,"AMARELO","VERDE")),"DATA INVALIDA")))))</f>
      </c>
      <c r="AD61" s="3056">
        <f>IF(OR(A61="",U61="",NOT(ISNUMBER(AB61))),"",RANK(AB61,$AB$3:$AB$164,1)+COUNTIFS($AB$3:AB61,AB61)-1)</f>
      </c>
      <c r="AE61" s="1736"/>
    </row>
    <row r="62" spans="1:19" ht="22.0" hidden="false" customHeight="true" x14ac:dyDescent="0.25">
      <c r="A62" s="3052" t="s">
        <v>151</v>
      </c>
      <c r="B62" s="3051" t="s">
        <v>149</v>
      </c>
      <c r="C62" s="3051" t="s">
        <v>46</v>
      </c>
      <c r="D62" s="3051" t="s">
        <v>152</v>
      </c>
      <c r="E62" s="3051"/>
      <c r="F62" s="3051" t="s">
        <v>150</v>
      </c>
      <c r="G62" s="3051" t="s">
        <v>13</v>
      </c>
      <c r="H62" s="3051" t="s">
        <v>49</v>
      </c>
      <c r="I62" s="3051"/>
      <c r="J62" s="3051"/>
      <c r="K62" s="3051"/>
      <c r="L62" s="3051"/>
      <c r="M62" s="3051" t="s">
        <v>377</v>
      </c>
      <c r="N62" s="3051"/>
      <c r="O62" s="3051" t="s">
        <v>347</v>
      </c>
      <c r="P62" s="3051"/>
      <c r="Q62" s="3054"/>
      <c r="R62" s="3054"/>
      <c r="S62" s="3054"/>
      <c r="T62" s="3054"/>
      <c r="U62" s="3055"/>
      <c r="V62" s="3051"/>
      <c r="W62" s="3051"/>
      <c r="X62" s="3056">
        <f>IF(A62="","",IF(LEN(SUBSTITUTE(SUBSTITUTE(SUBSTITUTE(SUBSTITUTE(D62,".",""),"/",""),"-","")," ",""))&lt;&gt;14,"CNPJ INVALIDO","OK"))</f>
      </c>
      <c r="Y62" s="3056">
        <f>IF(A62="","",IF(R62="","REST PENDENTE","REST OK"))</f>
      </c>
      <c r="Z62" s="3056">
        <f>IF(A62="","",IF(AND(R62&lt;&gt;"",COUNTIFS($D$3:$D$164,D62,$R$3:$R$164,"&lt;&gt;")&gt;1),"DUPLICADO","OK"))</f>
      </c>
      <c r="AA62" s="3056">
        <f>IF(A62="","",IF(OR(LEN(Q62)&gt;180,LEN(R62)&gt;180,LEN(S62)&gt;180,LEN(T62)&gt;180),"CAMINHO LONGO","OK"))</f>
      </c>
      <c r="AB62" s="3056">
        <f>IF(A62="","",IF(U62="","",IFERROR(INT(U62-TODAY()),"")))</f>
      </c>
      <c r="AC62" s="3056">
        <f>IF(A62="","",IF(AND(T62="",U62=""),"",IF(T62="","SEM CAMINHO",IF(U62="","SEM DATA",IFERROR(IF(AB62&lt;15,"VERMELHO",IF(AB62&lt;=30,"AMARELO","VERDE")),"DATA INVALIDA")))))</f>
      </c>
      <c r="AD62" s="3056">
        <f>IF(OR(A62="",U62="",NOT(ISNUMBER(AB62))),"",RANK(AB62,$AB$3:$AB$164,1)+COUNTIFS($AB$3:AB62,AB62)-1)</f>
      </c>
      <c r="AE62" s="1736"/>
    </row>
    <row r="63" spans="1:19" ht="22.0" hidden="false" customHeight="true" x14ac:dyDescent="0.25">
      <c r="A63" s="3047" t="s">
        <v>153</v>
      </c>
      <c r="B63" s="3046" t="s">
        <v>149</v>
      </c>
      <c r="C63" s="3046" t="s">
        <v>46</v>
      </c>
      <c r="D63" s="3046" t="s">
        <v>154</v>
      </c>
      <c r="E63" s="3046"/>
      <c r="F63" s="3046" t="s">
        <v>150</v>
      </c>
      <c r="G63" s="3046" t="s">
        <v>13</v>
      </c>
      <c r="H63" s="3046" t="s">
        <v>49</v>
      </c>
      <c r="I63" s="3046"/>
      <c r="J63" s="3046"/>
      <c r="K63" s="3046"/>
      <c r="L63" s="3046"/>
      <c r="M63" s="3046" t="s">
        <v>377</v>
      </c>
      <c r="N63" s="3046"/>
      <c r="O63" s="3046" t="s">
        <v>347</v>
      </c>
      <c r="P63" s="3046"/>
      <c r="Q63" s="3049"/>
      <c r="R63" s="3049"/>
      <c r="S63" s="3049"/>
      <c r="T63" s="3049"/>
      <c r="U63" s="3050"/>
      <c r="V63" s="3046"/>
      <c r="W63" s="3046"/>
      <c r="X63" s="3056">
        <f>IF(A63="","",IF(LEN(SUBSTITUTE(SUBSTITUTE(SUBSTITUTE(SUBSTITUTE(D63,".",""),"/",""),"-","")," ",""))&lt;&gt;14,"CNPJ INVALIDO","OK"))</f>
      </c>
      <c r="Y63" s="3056">
        <f>IF(A63="","",IF(R63="","REST PENDENTE","REST OK"))</f>
      </c>
      <c r="Z63" s="3056">
        <f>IF(A63="","",IF(AND(R63&lt;&gt;"",COUNTIFS($D$3:$D$164,D63,$R$3:$R$164,"&lt;&gt;")&gt;1),"DUPLICADO","OK"))</f>
      </c>
      <c r="AA63" s="3056">
        <f>IF(A63="","",IF(OR(LEN(Q63)&gt;180,LEN(R63)&gt;180,LEN(S63)&gt;180,LEN(T63)&gt;180),"CAMINHO LONGO","OK"))</f>
      </c>
      <c r="AB63" s="3056">
        <f>IF(A63="","",IF(U63="","",IFERROR(INT(U63-TODAY()),"")))</f>
      </c>
      <c r="AC63" s="3056">
        <f>IF(A63="","",IF(AND(T63="",U63=""),"",IF(T63="","SEM CAMINHO",IF(U63="","SEM DATA",IFERROR(IF(AB63&lt;15,"VERMELHO",IF(AB63&lt;=30,"AMARELO","VERDE")),"DATA INVALIDA")))))</f>
      </c>
      <c r="AD63" s="3056">
        <f>IF(OR(A63="",U63="",NOT(ISNUMBER(AB63))),"",RANK(AB63,$AB$3:$AB$164,1)+COUNTIFS($AB$3:AB63,AB63)-1)</f>
      </c>
      <c r="AE63" s="1736"/>
    </row>
    <row r="64" spans="1:19" ht="22.0" hidden="false" customHeight="true" x14ac:dyDescent="0.25">
      <c r="A64" s="3052" t="s">
        <v>155</v>
      </c>
      <c r="B64" s="3051" t="s">
        <v>61</v>
      </c>
      <c r="C64" s="3051" t="s">
        <v>62</v>
      </c>
      <c r="D64" s="3057">
        <v>8587897000103</v>
      </c>
      <c r="E64" s="3051"/>
      <c r="F64" s="3051" t="s">
        <v>63</v>
      </c>
      <c r="G64" s="3051" t="s">
        <v>41</v>
      </c>
      <c r="H64" s="3051" t="s">
        <v>5</v>
      </c>
      <c r="I64" s="3051"/>
      <c r="J64" s="3051"/>
      <c r="K64" s="3051"/>
      <c r="L64" s="3051"/>
      <c r="M64" s="3051" t="s">
        <v>379</v>
      </c>
      <c r="N64" s="3051"/>
      <c r="O64" s="3051" t="s">
        <v>351</v>
      </c>
      <c r="P64" s="3051"/>
      <c r="Q64" s="3054"/>
      <c r="R64" s="3054"/>
      <c r="S64" s="3054"/>
      <c r="T64" s="3054"/>
      <c r="U64" s="3055"/>
      <c r="V64" s="3051"/>
      <c r="W64" s="3051"/>
      <c r="X64" s="3056">
        <f>IF(A64="","",IF(LEN(SUBSTITUTE(SUBSTITUTE(SUBSTITUTE(SUBSTITUTE(D64,".",""),"/",""),"-","")," ",""))&lt;&gt;14,"CNPJ INVALIDO","OK"))</f>
      </c>
      <c r="Y64" s="3056">
        <f>IF(A64="","",IF(R64="","REST PENDENTE","REST OK"))</f>
      </c>
      <c r="Z64" s="3056">
        <f>IF(A64="","",IF(AND(R64&lt;&gt;"",COUNTIFS($D$3:$D$164,D64,$R$3:$R$164,"&lt;&gt;")&gt;1),"DUPLICADO","OK"))</f>
      </c>
      <c r="AA64" s="3056">
        <f>IF(A64="","",IF(OR(LEN(Q64)&gt;180,LEN(R64)&gt;180,LEN(S64)&gt;180,LEN(T64)&gt;180),"CAMINHO LONGO","OK"))</f>
      </c>
      <c r="AB64" s="3056">
        <f>IF(A64="","",IF(U64="","",IFERROR(INT(U64-TODAY()),"")))</f>
      </c>
      <c r="AC64" s="3056">
        <f>IF(A64="","",IF(AND(T64="",U64=""),"",IF(T64="","SEM CAMINHO",IF(U64="","SEM DATA",IFERROR(IF(AB64&lt;15,"VERMELHO",IF(AB64&lt;=30,"AMARELO","VERDE")),"DATA INVALIDA")))))</f>
      </c>
      <c r="AD64" s="3056">
        <f>IF(OR(A64="",U64="",NOT(ISNUMBER(AB64))),"",RANK(AB64,$AB$3:$AB$164,1)+COUNTIFS($AB$3:AB64,AB64)-1)</f>
      </c>
      <c r="AE64" s="1736"/>
    </row>
    <row r="65" spans="1:19" ht="22.0" hidden="false" customHeight="true" x14ac:dyDescent="0.25">
      <c r="A65" s="3047" t="s">
        <v>156</v>
      </c>
      <c r="B65" s="3046" t="s">
        <v>61</v>
      </c>
      <c r="C65" s="3046" t="s">
        <v>62</v>
      </c>
      <c r="D65" s="3057">
        <v>17845713000159</v>
      </c>
      <c r="E65" s="3046"/>
      <c r="F65" s="3046" t="s">
        <v>63</v>
      </c>
      <c r="G65" s="3046" t="s">
        <v>41</v>
      </c>
      <c r="H65" s="3046" t="s">
        <v>5</v>
      </c>
      <c r="I65" s="3046"/>
      <c r="J65" s="3046"/>
      <c r="K65" s="3046"/>
      <c r="L65" s="3046"/>
      <c r="M65" s="3046" t="s">
        <v>379</v>
      </c>
      <c r="N65" s="3046"/>
      <c r="O65" s="3046" t="s">
        <v>351</v>
      </c>
      <c r="P65" s="3046"/>
      <c r="Q65" s="3049"/>
      <c r="R65" s="3049"/>
      <c r="S65" s="3049"/>
      <c r="T65" s="3049"/>
      <c r="U65" s="3050"/>
      <c r="V65" s="3046"/>
      <c r="W65" s="3046"/>
      <c r="X65" s="3056">
        <f>IF(A65="","",IF(LEN(SUBSTITUTE(SUBSTITUTE(SUBSTITUTE(SUBSTITUTE(D65,".",""),"/",""),"-","")," ",""))&lt;&gt;14,"CNPJ INVALIDO","OK"))</f>
      </c>
      <c r="Y65" s="3056">
        <f>IF(A65="","",IF(R65="","REST PENDENTE","REST OK"))</f>
      </c>
      <c r="Z65" s="3056">
        <f>IF(A65="","",IF(AND(R65&lt;&gt;"",COUNTIFS($D$3:$D$164,D65,$R$3:$R$164,"&lt;&gt;")&gt;1),"DUPLICADO","OK"))</f>
      </c>
      <c r="AA65" s="3056">
        <f>IF(A65="","",IF(OR(LEN(Q65)&gt;180,LEN(R65)&gt;180,LEN(S65)&gt;180,LEN(T65)&gt;180),"CAMINHO LONGO","OK"))</f>
      </c>
      <c r="AB65" s="3056">
        <f>IF(A65="","",IF(U65="","",IFERROR(INT(U65-TODAY()),"")))</f>
      </c>
      <c r="AC65" s="3056">
        <f>IF(A65="","",IF(AND(T65="",U65=""),"",IF(T65="","SEM CAMINHO",IF(U65="","SEM DATA",IFERROR(IF(AB65&lt;15,"VERMELHO",IF(AB65&lt;=30,"AMARELO","VERDE")),"DATA INVALIDA")))))</f>
      </c>
      <c r="AD65" s="3056">
        <f>IF(OR(A65="",U65="",NOT(ISNUMBER(AB65))),"",RANK(AB65,$AB$3:$AB$164,1)+COUNTIFS($AB$3:AB65,AB65)-1)</f>
      </c>
      <c r="AE65" s="1736"/>
    </row>
    <row r="66" spans="1:19" ht="22.0" hidden="false" customHeight="true" x14ac:dyDescent="0.25">
      <c r="A66" s="3052" t="s">
        <v>157</v>
      </c>
      <c r="B66" s="3051" t="s">
        <v>61</v>
      </c>
      <c r="C66" s="3051" t="s">
        <v>62</v>
      </c>
      <c r="D66" s="3057">
        <v>37646098000169</v>
      </c>
      <c r="E66" s="3051"/>
      <c r="F66" s="3051" t="s">
        <v>63</v>
      </c>
      <c r="G66" s="3051" t="s">
        <v>41</v>
      </c>
      <c r="H66" s="3051" t="s">
        <v>5</v>
      </c>
      <c r="I66" s="3051"/>
      <c r="J66" s="3051"/>
      <c r="K66" s="3051"/>
      <c r="L66" s="3051"/>
      <c r="M66" s="3051" t="s">
        <v>379</v>
      </c>
      <c r="N66" s="3051"/>
      <c r="O66" s="3051" t="s">
        <v>353</v>
      </c>
      <c r="P66" s="3051"/>
      <c r="Q66" s="3054"/>
      <c r="R66" s="3054"/>
      <c r="S66" s="3054"/>
      <c r="T66" s="3054"/>
      <c r="U66" s="3055"/>
      <c r="V66" s="3051"/>
      <c r="W66" s="3051"/>
      <c r="X66" s="3056">
        <f>IF(A66="","",IF(LEN(SUBSTITUTE(SUBSTITUTE(SUBSTITUTE(SUBSTITUTE(D66,".",""),"/",""),"-","")," ",""))&lt;&gt;14,"CNPJ INVALIDO","OK"))</f>
      </c>
      <c r="Y66" s="3056">
        <f>IF(A66="","",IF(R66="","REST PENDENTE","REST OK"))</f>
      </c>
      <c r="Z66" s="3056">
        <f>IF(A66="","",IF(AND(R66&lt;&gt;"",COUNTIFS($D$3:$D$164,D66,$R$3:$R$164,"&lt;&gt;")&gt;1),"DUPLICADO","OK"))</f>
      </c>
      <c r="AA66" s="3056">
        <f>IF(A66="","",IF(OR(LEN(Q66)&gt;180,LEN(R66)&gt;180,LEN(S66)&gt;180,LEN(T66)&gt;180),"CAMINHO LONGO","OK"))</f>
      </c>
      <c r="AB66" s="3056">
        <f>IF(A66="","",IF(U66="","",IFERROR(INT(U66-TODAY()),"")))</f>
      </c>
      <c r="AC66" s="3056">
        <f>IF(A66="","",IF(AND(T66="",U66=""),"",IF(T66="","SEM CAMINHO",IF(U66="","SEM DATA",IFERROR(IF(AB66&lt;15,"VERMELHO",IF(AB66&lt;=30,"AMARELO","VERDE")),"DATA INVALIDA")))))</f>
      </c>
      <c r="AD66" s="3056">
        <f>IF(OR(A66="",U66="",NOT(ISNUMBER(AB66))),"",RANK(AB66,$AB$3:$AB$164,1)+COUNTIFS($AB$3:AB66,AB66)-1)</f>
      </c>
      <c r="AE66" s="1736"/>
    </row>
    <row r="67" spans="1:19" ht="22.0" hidden="false" customHeight="true" x14ac:dyDescent="0.25">
      <c r="A67" s="3047" t="s">
        <v>158</v>
      </c>
      <c r="B67" s="3046" t="s">
        <v>159</v>
      </c>
      <c r="C67" s="3046" t="s">
        <v>62</v>
      </c>
      <c r="D67" s="3057">
        <v>44470328000147</v>
      </c>
      <c r="E67" s="3046"/>
      <c r="F67" s="3046" t="s">
        <v>160</v>
      </c>
      <c r="G67" s="3046" t="s">
        <v>4</v>
      </c>
      <c r="H67" s="3046" t="s">
        <v>5</v>
      </c>
      <c r="I67" s="3046"/>
      <c r="J67" s="3046"/>
      <c r="K67" s="3046"/>
      <c r="L67" s="3046"/>
      <c r="M67" s="3046" t="s">
        <v>377</v>
      </c>
      <c r="N67" s="3046"/>
      <c r="O67" s="3046" t="s">
        <v>347</v>
      </c>
      <c r="P67" s="3046"/>
      <c r="Q67" s="3049"/>
      <c r="R67" s="3049"/>
      <c r="S67" s="3049"/>
      <c r="T67" s="3049"/>
      <c r="U67" s="3050"/>
      <c r="V67" s="3046"/>
      <c r="W67" s="3046"/>
      <c r="X67" s="3056">
        <f>IF(A67="","",IF(LEN(SUBSTITUTE(SUBSTITUTE(SUBSTITUTE(SUBSTITUTE(D67,".",""),"/",""),"-","")," ",""))&lt;&gt;14,"CNPJ INVALIDO","OK"))</f>
      </c>
      <c r="Y67" s="3056">
        <f>IF(A67="","",IF(R67="","REST PENDENTE","REST OK"))</f>
      </c>
      <c r="Z67" s="3056">
        <f>IF(A67="","",IF(AND(R67&lt;&gt;"",COUNTIFS($D$3:$D$164,D67,$R$3:$R$164,"&lt;&gt;")&gt;1),"DUPLICADO","OK"))</f>
      </c>
      <c r="AA67" s="3056">
        <f>IF(A67="","",IF(OR(LEN(Q67)&gt;180,LEN(R67)&gt;180,LEN(S67)&gt;180,LEN(T67)&gt;180),"CAMINHO LONGO","OK"))</f>
      </c>
      <c r="AB67" s="3056">
        <f>IF(A67="","",IF(U67="","",IFERROR(INT(U67-TODAY()),"")))</f>
      </c>
      <c r="AC67" s="3056">
        <f>IF(A67="","",IF(AND(T67="",U67=""),"",IF(T67="","SEM CAMINHO",IF(U67="","SEM DATA",IFERROR(IF(AB67&lt;15,"VERMELHO",IF(AB67&lt;=30,"AMARELO","VERDE")),"DATA INVALIDA")))))</f>
      </c>
      <c r="AD67" s="3056">
        <f>IF(OR(A67="",U67="",NOT(ISNUMBER(AB67))),"",RANK(AB67,$AB$3:$AB$164,1)+COUNTIFS($AB$3:AB67,AB67)-1)</f>
      </c>
      <c r="AE67" s="1736"/>
    </row>
    <row r="68" spans="1:19" ht="22.0" hidden="false" customHeight="true" x14ac:dyDescent="0.25">
      <c r="A68" s="3052" t="s">
        <v>161</v>
      </c>
      <c r="B68" s="3051" t="s">
        <v>162</v>
      </c>
      <c r="C68" s="3051" t="s">
        <v>163</v>
      </c>
      <c r="D68" s="3051" t="s">
        <v>164</v>
      </c>
      <c r="E68" s="3051"/>
      <c r="F68" s="3051"/>
      <c r="G68" s="3051" t="s">
        <v>41</v>
      </c>
      <c r="H68" s="3051" t="s">
        <v>14</v>
      </c>
      <c r="I68" s="3051"/>
      <c r="J68" s="3051"/>
      <c r="K68" s="3051"/>
      <c r="L68" s="3051"/>
      <c r="M68" s="3051" t="s">
        <v>385</v>
      </c>
      <c r="N68" s="3051" t="s">
        <v>362</v>
      </c>
      <c r="O68" s="3051" t="s">
        <v>362</v>
      </c>
      <c r="P68" s="3051"/>
      <c r="Q68" s="3054"/>
      <c r="R68" s="3054"/>
      <c r="S68" s="3054"/>
      <c r="T68" s="3054"/>
      <c r="U68" s="3055"/>
      <c r="V68" s="3051"/>
      <c r="W68" s="3051"/>
      <c r="X68" s="3056">
        <f>IF(A68="","",IF(LEN(SUBSTITUTE(SUBSTITUTE(SUBSTITUTE(SUBSTITUTE(D68,".",""),"/",""),"-","")," ",""))&lt;&gt;14,"CNPJ INVALIDO","OK"))</f>
      </c>
      <c r="Y68" s="3056">
        <f>IF(A68="","",IF(R68="","REST PENDENTE","REST OK"))</f>
      </c>
      <c r="Z68" s="3056">
        <f>IF(A68="","",IF(AND(R68&lt;&gt;"",COUNTIFS($D$3:$D$164,D68,$R$3:$R$164,"&lt;&gt;")&gt;1),"DUPLICADO","OK"))</f>
      </c>
      <c r="AA68" s="3056">
        <f>IF(A68="","",IF(OR(LEN(Q68)&gt;180,LEN(R68)&gt;180,LEN(S68)&gt;180,LEN(T68)&gt;180),"CAMINHO LONGO","OK"))</f>
      </c>
      <c r="AB68" s="3056">
        <f>IF(A68="","",IF(U68="","",IFERROR(INT(U68-TODAY()),"")))</f>
      </c>
      <c r="AC68" s="3056">
        <f>IF(A68="","",IF(AND(T68="",U68=""),"",IF(T68="","SEM CAMINHO",IF(U68="","SEM DATA",IFERROR(IF(AB68&lt;15,"VERMELHO",IF(AB68&lt;=30,"AMARELO","VERDE")),"DATA INVALIDA")))))</f>
      </c>
      <c r="AD68" s="3056">
        <f>IF(OR(A68="",U68="",NOT(ISNUMBER(AB68))),"",RANK(AB68,$AB$3:$AB$164,1)+COUNTIFS($AB$3:AB68,AB68)-1)</f>
      </c>
      <c r="AE68" s="1736"/>
    </row>
    <row r="69" spans="1:19" ht="22.0" hidden="false" customHeight="true" x14ac:dyDescent="0.25">
      <c r="A69" s="3047" t="s">
        <v>165</v>
      </c>
      <c r="B69" s="3046" t="s">
        <v>162</v>
      </c>
      <c r="C69" s="3046" t="s">
        <v>163</v>
      </c>
      <c r="D69" s="3046" t="s">
        <v>166</v>
      </c>
      <c r="E69" s="3046"/>
      <c r="F69" s="3046" t="s">
        <v>167</v>
      </c>
      <c r="G69" s="3046" t="s">
        <v>13</v>
      </c>
      <c r="H69" s="3046" t="s">
        <v>14</v>
      </c>
      <c r="I69" s="3046"/>
      <c r="J69" s="3046"/>
      <c r="K69" s="3046"/>
      <c r="L69" s="3046"/>
      <c r="M69" s="3046" t="s">
        <v>385</v>
      </c>
      <c r="N69" s="3046" t="s">
        <v>362</v>
      </c>
      <c r="O69" s="3046" t="s">
        <v>362</v>
      </c>
      <c r="P69" s="3046"/>
      <c r="Q69" s="3049"/>
      <c r="R69" s="3049"/>
      <c r="S69" s="3049"/>
      <c r="T69" s="3049"/>
      <c r="U69" s="3050"/>
      <c r="V69" s="3046"/>
      <c r="W69" s="3046"/>
      <c r="X69" s="3056">
        <f>IF(A69="","",IF(LEN(SUBSTITUTE(SUBSTITUTE(SUBSTITUTE(SUBSTITUTE(D69,".",""),"/",""),"-","")," ",""))&lt;&gt;14,"CNPJ INVALIDO","OK"))</f>
      </c>
      <c r="Y69" s="3056">
        <f>IF(A69="","",IF(R69="","REST PENDENTE","REST OK"))</f>
      </c>
      <c r="Z69" s="3056">
        <f>IF(A69="","",IF(AND(R69&lt;&gt;"",COUNTIFS($D$3:$D$164,D69,$R$3:$R$164,"&lt;&gt;")&gt;1),"DUPLICADO","OK"))</f>
      </c>
      <c r="AA69" s="3056">
        <f>IF(A69="","",IF(OR(LEN(Q69)&gt;180,LEN(R69)&gt;180,LEN(S69)&gt;180,LEN(T69)&gt;180),"CAMINHO LONGO","OK"))</f>
      </c>
      <c r="AB69" s="3056">
        <f>IF(A69="","",IF(U69="","",IFERROR(INT(U69-TODAY()),"")))</f>
      </c>
      <c r="AC69" s="3056">
        <f>IF(A69="","",IF(AND(T69="",U69=""),"",IF(T69="","SEM CAMINHO",IF(U69="","SEM DATA",IFERROR(IF(AB69&lt;15,"VERMELHO",IF(AB69&lt;=30,"AMARELO","VERDE")),"DATA INVALIDA")))))</f>
      </c>
      <c r="AD69" s="3056">
        <f>IF(OR(A69="",U69="",NOT(ISNUMBER(AB69))),"",RANK(AB69,$AB$3:$AB$164,1)+COUNTIFS($AB$3:AB69,AB69)-1)</f>
      </c>
      <c r="AE69" s="1736"/>
    </row>
    <row r="70" spans="1:19" ht="22.0" hidden="false" customHeight="true" x14ac:dyDescent="0.25">
      <c r="A70" s="3052" t="s">
        <v>168</v>
      </c>
      <c r="B70" s="3051" t="s">
        <v>162</v>
      </c>
      <c r="C70" s="3051" t="s">
        <v>163</v>
      </c>
      <c r="D70" s="3051" t="s">
        <v>169</v>
      </c>
      <c r="E70" s="3051"/>
      <c r="F70" s="3051" t="s">
        <v>167</v>
      </c>
      <c r="G70" s="3051" t="s">
        <v>13</v>
      </c>
      <c r="H70" s="3051" t="s">
        <v>14</v>
      </c>
      <c r="I70" s="3051"/>
      <c r="J70" s="3051"/>
      <c r="K70" s="3051"/>
      <c r="L70" s="3051"/>
      <c r="M70" s="3051" t="s">
        <v>385</v>
      </c>
      <c r="N70" s="3051" t="s">
        <v>362</v>
      </c>
      <c r="O70" s="3051" t="s">
        <v>362</v>
      </c>
      <c r="P70" s="3051"/>
      <c r="Q70" s="3054"/>
      <c r="R70" s="3054"/>
      <c r="S70" s="3054"/>
      <c r="T70" s="3054"/>
      <c r="U70" s="3055"/>
      <c r="V70" s="3051"/>
      <c r="W70" s="3051"/>
      <c r="X70" s="3056">
        <f>IF(A70="","",IF(LEN(SUBSTITUTE(SUBSTITUTE(SUBSTITUTE(SUBSTITUTE(D70,".",""),"/",""),"-","")," ",""))&lt;&gt;14,"CNPJ INVALIDO","OK"))</f>
      </c>
      <c r="Y70" s="3056">
        <f>IF(A70="","",IF(R70="","REST PENDENTE","REST OK"))</f>
      </c>
      <c r="Z70" s="3056">
        <f>IF(A70="","",IF(AND(R70&lt;&gt;"",COUNTIFS($D$3:$D$164,D70,$R$3:$R$164,"&lt;&gt;")&gt;1),"DUPLICADO","OK"))</f>
      </c>
      <c r="AA70" s="3056">
        <f>IF(A70="","",IF(OR(LEN(Q70)&gt;180,LEN(R70)&gt;180,LEN(S70)&gt;180,LEN(T70)&gt;180),"CAMINHO LONGO","OK"))</f>
      </c>
      <c r="AB70" s="3056">
        <f>IF(A70="","",IF(U70="","",IFERROR(INT(U70-TODAY()),"")))</f>
      </c>
      <c r="AC70" s="3056">
        <f>IF(A70="","",IF(AND(T70="",U70=""),"",IF(T70="","SEM CAMINHO",IF(U70="","SEM DATA",IFERROR(IF(AB70&lt;15,"VERMELHO",IF(AB70&lt;=30,"AMARELO","VERDE")),"DATA INVALIDA")))))</f>
      </c>
      <c r="AD70" s="3056">
        <f>IF(OR(A70="",U70="",NOT(ISNUMBER(AB70))),"",RANK(AB70,$AB$3:$AB$164,1)+COUNTIFS($AB$3:AB70,AB70)-1)</f>
      </c>
      <c r="AE70" s="1736"/>
    </row>
    <row r="71" spans="1:19" ht="22.0" hidden="false" customHeight="true" x14ac:dyDescent="0.25">
      <c r="A71" s="3047" t="s">
        <v>170</v>
      </c>
      <c r="B71" s="3046" t="s">
        <v>162</v>
      </c>
      <c r="C71" s="3046" t="s">
        <v>163</v>
      </c>
      <c r="D71" s="3046" t="s">
        <v>171</v>
      </c>
      <c r="E71" s="3046"/>
      <c r="F71" s="3046" t="s">
        <v>167</v>
      </c>
      <c r="G71" s="3046" t="s">
        <v>13</v>
      </c>
      <c r="H71" s="3046" t="s">
        <v>14</v>
      </c>
      <c r="I71" s="3046"/>
      <c r="J71" s="3046"/>
      <c r="K71" s="3046"/>
      <c r="L71" s="3046"/>
      <c r="M71" s="3046" t="s">
        <v>385</v>
      </c>
      <c r="N71" s="3046" t="s">
        <v>362</v>
      </c>
      <c r="O71" s="3046" t="s">
        <v>362</v>
      </c>
      <c r="P71" s="3046"/>
      <c r="Q71" s="3049"/>
      <c r="R71" s="3049"/>
      <c r="S71" s="3049"/>
      <c r="T71" s="3049"/>
      <c r="U71" s="3050"/>
      <c r="V71" s="3046"/>
      <c r="W71" s="3046"/>
      <c r="X71" s="3056">
        <f>IF(A71="","",IF(LEN(SUBSTITUTE(SUBSTITUTE(SUBSTITUTE(SUBSTITUTE(D71,".",""),"/",""),"-","")," ",""))&lt;&gt;14,"CNPJ INVALIDO","OK"))</f>
      </c>
      <c r="Y71" s="3056">
        <f>IF(A71="","",IF(R71="","REST PENDENTE","REST OK"))</f>
      </c>
      <c r="Z71" s="3056">
        <f>IF(A71="","",IF(AND(R71&lt;&gt;"",COUNTIFS($D$3:$D$164,D71,$R$3:$R$164,"&lt;&gt;")&gt;1),"DUPLICADO","OK"))</f>
      </c>
      <c r="AA71" s="3056">
        <f>IF(A71="","",IF(OR(LEN(Q71)&gt;180,LEN(R71)&gt;180,LEN(S71)&gt;180,LEN(T71)&gt;180),"CAMINHO LONGO","OK"))</f>
      </c>
      <c r="AB71" s="3056">
        <f>IF(A71="","",IF(U71="","",IFERROR(INT(U71-TODAY()),"")))</f>
      </c>
      <c r="AC71" s="3056">
        <f>IF(A71="","",IF(AND(T71="",U71=""),"",IF(T71="","SEM CAMINHO",IF(U71="","SEM DATA",IFERROR(IF(AB71&lt;15,"VERMELHO",IF(AB71&lt;=30,"AMARELO","VERDE")),"DATA INVALIDA")))))</f>
      </c>
      <c r="AD71" s="3056">
        <f>IF(OR(A71="",U71="",NOT(ISNUMBER(AB71))),"",RANK(AB71,$AB$3:$AB$164,1)+COUNTIFS($AB$3:AB71,AB71)-1)</f>
      </c>
      <c r="AE71" s="1736"/>
    </row>
    <row r="72" spans="1:19" ht="22.0" hidden="false" customHeight="true" x14ac:dyDescent="0.25">
      <c r="A72" s="3052" t="s">
        <v>172</v>
      </c>
      <c r="B72" s="3051" t="s">
        <v>162</v>
      </c>
      <c r="C72" s="3051" t="s">
        <v>163</v>
      </c>
      <c r="D72" s="3051" t="s">
        <v>173</v>
      </c>
      <c r="E72" s="3051"/>
      <c r="F72" s="3051" t="s">
        <v>167</v>
      </c>
      <c r="G72" s="3051" t="s">
        <v>13</v>
      </c>
      <c r="H72" s="3051" t="s">
        <v>14</v>
      </c>
      <c r="I72" s="3051"/>
      <c r="J72" s="3051"/>
      <c r="K72" s="3051"/>
      <c r="L72" s="3051"/>
      <c r="M72" s="3051" t="s">
        <v>385</v>
      </c>
      <c r="N72" s="3051" t="s">
        <v>362</v>
      </c>
      <c r="O72" s="3051" t="s">
        <v>362</v>
      </c>
      <c r="P72" s="3051"/>
      <c r="Q72" s="3054"/>
      <c r="R72" s="3054"/>
      <c r="S72" s="3054"/>
      <c r="T72" s="3054"/>
      <c r="U72" s="3055"/>
      <c r="V72" s="3051"/>
      <c r="W72" s="3051"/>
      <c r="X72" s="3056">
        <f>IF(A72="","",IF(LEN(SUBSTITUTE(SUBSTITUTE(SUBSTITUTE(SUBSTITUTE(D72,".",""),"/",""),"-","")," ",""))&lt;&gt;14,"CNPJ INVALIDO","OK"))</f>
      </c>
      <c r="Y72" s="3056">
        <f>IF(A72="","",IF(R72="","REST PENDENTE","REST OK"))</f>
      </c>
      <c r="Z72" s="3056">
        <f>IF(A72="","",IF(AND(R72&lt;&gt;"",COUNTIFS($D$3:$D$164,D72,$R$3:$R$164,"&lt;&gt;")&gt;1),"DUPLICADO","OK"))</f>
      </c>
      <c r="AA72" s="3056">
        <f>IF(A72="","",IF(OR(LEN(Q72)&gt;180,LEN(R72)&gt;180,LEN(S72)&gt;180,LEN(T72)&gt;180),"CAMINHO LONGO","OK"))</f>
      </c>
      <c r="AB72" s="3056">
        <f>IF(A72="","",IF(U72="","",IFERROR(INT(U72-TODAY()),"")))</f>
      </c>
      <c r="AC72" s="3056">
        <f>IF(A72="","",IF(AND(T72="",U72=""),"",IF(T72="","SEM CAMINHO",IF(U72="","SEM DATA",IFERROR(IF(AB72&lt;15,"VERMELHO",IF(AB72&lt;=30,"AMARELO","VERDE")),"DATA INVALIDA")))))</f>
      </c>
      <c r="AD72" s="3056">
        <f>IF(OR(A72="",U72="",NOT(ISNUMBER(AB72))),"",RANK(AB72,$AB$3:$AB$164,1)+COUNTIFS($AB$3:AB72,AB72)-1)</f>
      </c>
      <c r="AE72" s="1736"/>
    </row>
    <row r="73" spans="1:19" ht="22.0" hidden="false" customHeight="true" x14ac:dyDescent="0.25">
      <c r="A73" s="3047" t="s">
        <v>174</v>
      </c>
      <c r="B73" s="3046" t="s">
        <v>162</v>
      </c>
      <c r="C73" s="3046" t="s">
        <v>163</v>
      </c>
      <c r="D73" s="3046" t="s">
        <v>175</v>
      </c>
      <c r="E73" s="3046"/>
      <c r="F73" s="3046" t="s">
        <v>167</v>
      </c>
      <c r="G73" s="3046" t="s">
        <v>13</v>
      </c>
      <c r="H73" s="3046" t="s">
        <v>14</v>
      </c>
      <c r="I73" s="3046"/>
      <c r="J73" s="3046"/>
      <c r="K73" s="3046"/>
      <c r="L73" s="3046"/>
      <c r="M73" s="3046" t="s">
        <v>385</v>
      </c>
      <c r="N73" s="3046" t="s">
        <v>362</v>
      </c>
      <c r="O73" s="3046" t="s">
        <v>362</v>
      </c>
      <c r="P73" s="3046"/>
      <c r="Q73" s="3049"/>
      <c r="R73" s="3049"/>
      <c r="S73" s="3049"/>
      <c r="T73" s="3049"/>
      <c r="U73" s="3050"/>
      <c r="V73" s="3046"/>
      <c r="W73" s="3046"/>
      <c r="X73" s="3056">
        <f>IF(A73="","",IF(LEN(SUBSTITUTE(SUBSTITUTE(SUBSTITUTE(SUBSTITUTE(D73,".",""),"/",""),"-","")," ",""))&lt;&gt;14,"CNPJ INVALIDO","OK"))</f>
      </c>
      <c r="Y73" s="3056">
        <f>IF(A73="","",IF(R73="","REST PENDENTE","REST OK"))</f>
      </c>
      <c r="Z73" s="3056">
        <f>IF(A73="","",IF(AND(R73&lt;&gt;"",COUNTIFS($D$3:$D$164,D73,$R$3:$R$164,"&lt;&gt;")&gt;1),"DUPLICADO","OK"))</f>
      </c>
      <c r="AA73" s="3056">
        <f>IF(A73="","",IF(OR(LEN(Q73)&gt;180,LEN(R73)&gt;180,LEN(S73)&gt;180,LEN(T73)&gt;180),"CAMINHO LONGO","OK"))</f>
      </c>
      <c r="AB73" s="3056">
        <f>IF(A73="","",IF(U73="","",IFERROR(INT(U73-TODAY()),"")))</f>
      </c>
      <c r="AC73" s="3056">
        <f>IF(A73="","",IF(AND(T73="",U73=""),"",IF(T73="","SEM CAMINHO",IF(U73="","SEM DATA",IFERROR(IF(AB73&lt;15,"VERMELHO",IF(AB73&lt;=30,"AMARELO","VERDE")),"DATA INVALIDA")))))</f>
      </c>
      <c r="AD73" s="3056">
        <f>IF(OR(A73="",U73="",NOT(ISNUMBER(AB73))),"",RANK(AB73,$AB$3:$AB$164,1)+COUNTIFS($AB$3:AB73,AB73)-1)</f>
      </c>
      <c r="AE73" s="1736"/>
    </row>
    <row r="74" spans="1:19" ht="22.0" hidden="false" customHeight="true" x14ac:dyDescent="0.25">
      <c r="A74" s="3052" t="s">
        <v>176</v>
      </c>
      <c r="B74" s="3051" t="s">
        <v>162</v>
      </c>
      <c r="C74" s="3051" t="s">
        <v>163</v>
      </c>
      <c r="D74" s="3051" t="s">
        <v>177</v>
      </c>
      <c r="E74" s="3051"/>
      <c r="F74" s="3051"/>
      <c r="G74" s="3051" t="s">
        <v>4</v>
      </c>
      <c r="H74" s="3051" t="s">
        <v>14</v>
      </c>
      <c r="I74" s="3051"/>
      <c r="J74" s="3051"/>
      <c r="K74" s="3051"/>
      <c r="L74" s="3051"/>
      <c r="M74" s="3051" t="s">
        <v>385</v>
      </c>
      <c r="N74" s="3051" t="s">
        <v>362</v>
      </c>
      <c r="O74" s="3051" t="s">
        <v>350</v>
      </c>
      <c r="P74" s="3051"/>
      <c r="Q74" s="3054"/>
      <c r="R74" s="3054"/>
      <c r="S74" s="3054"/>
      <c r="T74" s="3054"/>
      <c r="U74" s="3055"/>
      <c r="V74" s="3051"/>
      <c r="W74" s="3051"/>
      <c r="X74" s="3056">
        <f>IF(A74="","",IF(LEN(SUBSTITUTE(SUBSTITUTE(SUBSTITUTE(SUBSTITUTE(D74,".",""),"/",""),"-","")," ",""))&lt;&gt;14,"CNPJ INVALIDO","OK"))</f>
      </c>
      <c r="Y74" s="3056">
        <f>IF(A74="","",IF(R74="","REST PENDENTE","REST OK"))</f>
      </c>
      <c r="Z74" s="3056">
        <f>IF(A74="","",IF(AND(R74&lt;&gt;"",COUNTIFS($D$3:$D$164,D74,$R$3:$R$164,"&lt;&gt;")&gt;1),"DUPLICADO","OK"))</f>
      </c>
      <c r="AA74" s="3056">
        <f>IF(A74="","",IF(OR(LEN(Q74)&gt;180,LEN(R74)&gt;180,LEN(S74)&gt;180,LEN(T74)&gt;180),"CAMINHO LONGO","OK"))</f>
      </c>
      <c r="AB74" s="3056">
        <f>IF(A74="","",IF(U74="","",IFERROR(INT(U74-TODAY()),"")))</f>
      </c>
      <c r="AC74" s="3056">
        <f>IF(A74="","",IF(AND(T74="",U74=""),"",IF(T74="","SEM CAMINHO",IF(U74="","SEM DATA",IFERROR(IF(AB74&lt;15,"VERMELHO",IF(AB74&lt;=30,"AMARELO","VERDE")),"DATA INVALIDA")))))</f>
      </c>
      <c r="AD74" s="3056">
        <f>IF(OR(A74="",U74="",NOT(ISNUMBER(AB74))),"",RANK(AB74,$AB$3:$AB$164,1)+COUNTIFS($AB$3:AB74,AB74)-1)</f>
      </c>
      <c r="AE74" s="1736"/>
    </row>
    <row r="75" spans="1:19" ht="22.0" hidden="false" customHeight="true" x14ac:dyDescent="0.25">
      <c r="A75" s="3047" t="s">
        <v>178</v>
      </c>
      <c r="B75" s="3046" t="s">
        <v>162</v>
      </c>
      <c r="C75" s="3046" t="s">
        <v>163</v>
      </c>
      <c r="D75" s="3046" t="s">
        <v>179</v>
      </c>
      <c r="E75" s="3046"/>
      <c r="F75" s="3046"/>
      <c r="G75" s="3046" t="s">
        <v>4</v>
      </c>
      <c r="H75" s="3046" t="s">
        <v>14</v>
      </c>
      <c r="I75" s="3046"/>
      <c r="J75" s="3046"/>
      <c r="K75" s="3046"/>
      <c r="L75" s="3046"/>
      <c r="M75" s="3046" t="s">
        <v>385</v>
      </c>
      <c r="N75" s="3046" t="s">
        <v>362</v>
      </c>
      <c r="O75" s="3046" t="s">
        <v>350</v>
      </c>
      <c r="P75" s="3046"/>
      <c r="Q75" s="3049"/>
      <c r="R75" s="3049"/>
      <c r="S75" s="3049"/>
      <c r="T75" s="3049"/>
      <c r="U75" s="3050"/>
      <c r="V75" s="3046"/>
      <c r="W75" s="3046"/>
      <c r="X75" s="3056">
        <f>IF(A75="","",IF(LEN(SUBSTITUTE(SUBSTITUTE(SUBSTITUTE(SUBSTITUTE(D75,".",""),"/",""),"-","")," ",""))&lt;&gt;14,"CNPJ INVALIDO","OK"))</f>
      </c>
      <c r="Y75" s="3056">
        <f>IF(A75="","",IF(R75="","REST PENDENTE","REST OK"))</f>
      </c>
      <c r="Z75" s="3056">
        <f>IF(A75="","",IF(AND(R75&lt;&gt;"",COUNTIFS($D$3:$D$164,D75,$R$3:$R$164,"&lt;&gt;")&gt;1),"DUPLICADO","OK"))</f>
      </c>
      <c r="AA75" s="3056">
        <f>IF(A75="","",IF(OR(LEN(Q75)&gt;180,LEN(R75)&gt;180,LEN(S75)&gt;180,LEN(T75)&gt;180),"CAMINHO LONGO","OK"))</f>
      </c>
      <c r="AB75" s="3056">
        <f>IF(A75="","",IF(U75="","",IFERROR(INT(U75-TODAY()),"")))</f>
      </c>
      <c r="AC75" s="3056">
        <f>IF(A75="","",IF(AND(T75="",U75=""),"",IF(T75="","SEM CAMINHO",IF(U75="","SEM DATA",IFERROR(IF(AB75&lt;15,"VERMELHO",IF(AB75&lt;=30,"AMARELO","VERDE")),"DATA INVALIDA")))))</f>
      </c>
      <c r="AD75" s="3056">
        <f>IF(OR(A75="",U75="",NOT(ISNUMBER(AB75))),"",RANK(AB75,$AB$3:$AB$164,1)+COUNTIFS($AB$3:AB75,AB75)-1)</f>
      </c>
      <c r="AE75" s="1736"/>
    </row>
    <row r="76" spans="1:19" ht="22.0" hidden="false" customHeight="true" x14ac:dyDescent="0.25">
      <c r="A76" s="3052" t="s">
        <v>180</v>
      </c>
      <c r="B76" s="3051" t="s">
        <v>9</v>
      </c>
      <c r="C76" s="3051" t="s">
        <v>24</v>
      </c>
      <c r="D76" s="3057">
        <v>10977876000146</v>
      </c>
      <c r="E76" s="3051"/>
      <c r="F76" s="3051" t="s">
        <v>12</v>
      </c>
      <c r="G76" s="3051" t="s">
        <v>4</v>
      </c>
      <c r="H76" s="3051" t="s">
        <v>5</v>
      </c>
      <c r="I76" s="3051"/>
      <c r="J76" s="3051"/>
      <c r="K76" s="3051"/>
      <c r="L76" s="3051"/>
      <c r="M76" s="3051" t="s">
        <v>385</v>
      </c>
      <c r="N76" s="3051"/>
      <c r="O76" s="3051" t="s">
        <v>351</v>
      </c>
      <c r="P76" s="3051"/>
      <c r="Q76" s="3054"/>
      <c r="R76" s="3054"/>
      <c r="S76" s="3054"/>
      <c r="T76" s="3054"/>
      <c r="U76" s="3055"/>
      <c r="V76" s="3051"/>
      <c r="W76" s="3051"/>
      <c r="X76" s="3056">
        <f>IF(A76="","",IF(LEN(SUBSTITUTE(SUBSTITUTE(SUBSTITUTE(SUBSTITUTE(D76,".",""),"/",""),"-","")," ",""))&lt;&gt;14,"CNPJ INVALIDO","OK"))</f>
      </c>
      <c r="Y76" s="3056">
        <f>IF(A76="","",IF(R76="","REST PENDENTE","REST OK"))</f>
      </c>
      <c r="Z76" s="3056">
        <f>IF(A76="","",IF(AND(R76&lt;&gt;"",COUNTIFS($D$3:$D$164,D76,$R$3:$R$164,"&lt;&gt;")&gt;1),"DUPLICADO","OK"))</f>
      </c>
      <c r="AA76" s="3056">
        <f>IF(A76="","",IF(OR(LEN(Q76)&gt;180,LEN(R76)&gt;180,LEN(S76)&gt;180,LEN(T76)&gt;180),"CAMINHO LONGO","OK"))</f>
      </c>
      <c r="AB76" s="3056">
        <f>IF(A76="","",IF(U76="","",IFERROR(INT(U76-TODAY()),"")))</f>
      </c>
      <c r="AC76" s="3056">
        <f>IF(A76="","",IF(AND(T76="",U76=""),"",IF(T76="","SEM CAMINHO",IF(U76="","SEM DATA",IFERROR(IF(AB76&lt;15,"VERMELHO",IF(AB76&lt;=30,"AMARELO","VERDE")),"DATA INVALIDA")))))</f>
      </c>
      <c r="AD76" s="3056">
        <f>IF(OR(A76="",U76="",NOT(ISNUMBER(AB76))),"",RANK(AB76,$AB$3:$AB$164,1)+COUNTIFS($AB$3:AB76,AB76)-1)</f>
      </c>
      <c r="AE76" s="1736"/>
    </row>
    <row r="77" spans="1:19" ht="22.0" hidden="false" customHeight="true" x14ac:dyDescent="0.25">
      <c r="A77" s="3047" t="s">
        <v>181</v>
      </c>
      <c r="B77" s="3046" t="s">
        <v>182</v>
      </c>
      <c r="C77" s="3046" t="s">
        <v>79</v>
      </c>
      <c r="D77" s="3046" t="s">
        <v>183</v>
      </c>
      <c r="E77" s="3046"/>
      <c r="F77" s="3046" t="s">
        <v>184</v>
      </c>
      <c r="G77" s="3046" t="s">
        <v>13</v>
      </c>
      <c r="H77" s="3046" t="s">
        <v>5</v>
      </c>
      <c r="I77" s="3046"/>
      <c r="J77" s="3046"/>
      <c r="K77" s="3046"/>
      <c r="L77" s="3046"/>
      <c r="M77" s="3046" t="s">
        <v>375</v>
      </c>
      <c r="N77" s="3046"/>
      <c r="O77" s="3046" t="s">
        <v>351</v>
      </c>
      <c r="P77" s="3046"/>
      <c r="Q77" s="3049"/>
      <c r="R77" s="3049"/>
      <c r="S77" s="3049"/>
      <c r="T77" s="3049"/>
      <c r="U77" s="3050"/>
      <c r="V77" s="3046"/>
      <c r="W77" s="3046"/>
      <c r="X77" s="3056">
        <f>IF(A77="","",IF(LEN(SUBSTITUTE(SUBSTITUTE(SUBSTITUTE(SUBSTITUTE(D77,".",""),"/",""),"-","")," ",""))&lt;&gt;14,"CNPJ INVALIDO","OK"))</f>
      </c>
      <c r="Y77" s="3056">
        <f>IF(A77="","",IF(R77="","REST PENDENTE","REST OK"))</f>
      </c>
      <c r="Z77" s="3056">
        <f>IF(A77="","",IF(AND(R77&lt;&gt;"",COUNTIFS($D$3:$D$164,D77,$R$3:$R$164,"&lt;&gt;")&gt;1),"DUPLICADO","OK"))</f>
      </c>
      <c r="AA77" s="3056">
        <f>IF(A77="","",IF(OR(LEN(Q77)&gt;180,LEN(R77)&gt;180,LEN(S77)&gt;180,LEN(T77)&gt;180),"CAMINHO LONGO","OK"))</f>
      </c>
      <c r="AB77" s="3056">
        <f>IF(A77="","",IF(U77="","",IFERROR(INT(U77-TODAY()),"")))</f>
      </c>
      <c r="AC77" s="3056">
        <f>IF(A77="","",IF(AND(T77="",U77=""),"",IF(T77="","SEM CAMINHO",IF(U77="","SEM DATA",IFERROR(IF(AB77&lt;15,"VERMELHO",IF(AB77&lt;=30,"AMARELO","VERDE")),"DATA INVALIDA")))))</f>
      </c>
      <c r="AD77" s="3056">
        <f>IF(OR(A77="",U77="",NOT(ISNUMBER(AB77))),"",RANK(AB77,$AB$3:$AB$164,1)+COUNTIFS($AB$3:AB77,AB77)-1)</f>
      </c>
      <c r="AE77" s="1736"/>
    </row>
    <row r="78" spans="1:19" ht="22.0" hidden="false" customHeight="true" x14ac:dyDescent="0.25">
      <c r="A78" s="3052" t="s">
        <v>185</v>
      </c>
      <c r="B78" s="3051" t="s">
        <v>182</v>
      </c>
      <c r="C78" s="3051" t="s">
        <v>79</v>
      </c>
      <c r="D78" s="3051" t="s">
        <v>186</v>
      </c>
      <c r="E78" s="3051"/>
      <c r="F78" s="3051" t="s">
        <v>184</v>
      </c>
      <c r="G78" s="3051" t="s">
        <v>13</v>
      </c>
      <c r="H78" s="3051" t="s">
        <v>14</v>
      </c>
      <c r="I78" s="3051"/>
      <c r="J78" s="3051"/>
      <c r="K78" s="3051"/>
      <c r="L78" s="3051"/>
      <c r="M78" s="3051" t="s">
        <v>355</v>
      </c>
      <c r="N78" s="3051"/>
      <c r="O78" s="3051" t="s">
        <v>354</v>
      </c>
      <c r="P78" s="3051"/>
      <c r="Q78" s="3054"/>
      <c r="R78" s="3053" t="s">
        <v>404</v>
      </c>
      <c r="S78" s="3054"/>
      <c r="T78" s="3054"/>
      <c r="U78" s="3055"/>
      <c r="V78" s="3051"/>
      <c r="W78" s="3051"/>
      <c r="X78" s="3056">
        <f>IF(A78="","",IF(LEN(SUBSTITUTE(SUBSTITUTE(SUBSTITUTE(SUBSTITUTE(D78,".",""),"/",""),"-","")," ",""))&lt;&gt;14,"CNPJ INVALIDO","OK"))</f>
      </c>
      <c r="Y78" s="3056">
        <f>IF(A78="","",IF(R78="","REST PENDENTE","REST OK"))</f>
      </c>
      <c r="Z78" s="3056">
        <f>IF(A78="","",IF(AND(R78&lt;&gt;"",COUNTIFS($D$3:$D$164,D78,$R$3:$R$164,"&lt;&gt;")&gt;1),"DUPLICADO","OK"))</f>
      </c>
      <c r="AA78" s="3056">
        <f>IF(A78="","",IF(OR(LEN(Q78)&gt;180,LEN(R78)&gt;180,LEN(S78)&gt;180,LEN(T78)&gt;180),"CAMINHO LONGO","OK"))</f>
      </c>
      <c r="AB78" s="3056">
        <f>IF(A78="","",IF(U78="","",IFERROR(INT(U78-TODAY()),"")))</f>
      </c>
      <c r="AC78" s="3056">
        <f>IF(A78="","",IF(AND(T78="",U78=""),"",IF(T78="","SEM CAMINHO",IF(U78="","SEM DATA",IFERROR(IF(AB78&lt;15,"VERMELHO",IF(AB78&lt;=30,"AMARELO","VERDE")),"DATA INVALIDA")))))</f>
      </c>
      <c r="AD78" s="3056">
        <f>IF(OR(A78="",U78="",NOT(ISNUMBER(AB78))),"",RANK(AB78,$AB$3:$AB$164,1)+COUNTIFS($AB$3:AB78,AB78)-1)</f>
      </c>
      <c r="AE78" s="1736"/>
    </row>
    <row r="79" spans="1:19" ht="22.0" hidden="false" customHeight="true" x14ac:dyDescent="0.25">
      <c r="A79" s="3047" t="s">
        <v>187</v>
      </c>
      <c r="B79" s="3046" t="s">
        <v>188</v>
      </c>
      <c r="C79" s="3046" t="s">
        <v>62</v>
      </c>
      <c r="D79" s="3057">
        <v>40920539000183</v>
      </c>
      <c r="E79" s="3046"/>
      <c r="F79" s="3046" t="s">
        <v>189</v>
      </c>
      <c r="G79" s="3046" t="s">
        <v>4</v>
      </c>
      <c r="H79" s="3046" t="s">
        <v>5</v>
      </c>
      <c r="I79" s="3046"/>
      <c r="J79" s="3046"/>
      <c r="K79" s="3046"/>
      <c r="L79" s="3046"/>
      <c r="M79" s="3046" t="s">
        <v>385</v>
      </c>
      <c r="N79" s="3046"/>
      <c r="O79" s="3046"/>
      <c r="P79" s="3046"/>
      <c r="Q79" s="3049"/>
      <c r="R79" s="3049"/>
      <c r="S79" s="3049"/>
      <c r="T79" s="3049"/>
      <c r="U79" s="3050"/>
      <c r="V79" s="3046"/>
      <c r="W79" s="3046"/>
      <c r="X79" s="3056">
        <f>IF(A79="","",IF(LEN(SUBSTITUTE(SUBSTITUTE(SUBSTITUTE(SUBSTITUTE(D79,".",""),"/",""),"-","")," ",""))&lt;&gt;14,"CNPJ INVALIDO","OK"))</f>
      </c>
      <c r="Y79" s="3056">
        <f>IF(A79="","",IF(R79="","REST PENDENTE","REST OK"))</f>
      </c>
      <c r="Z79" s="3056">
        <f>IF(A79="","",IF(AND(R79&lt;&gt;"",COUNTIFS($D$3:$D$164,D79,$R$3:$R$164,"&lt;&gt;")&gt;1),"DUPLICADO","OK"))</f>
      </c>
      <c r="AA79" s="3056">
        <f>IF(A79="","",IF(OR(LEN(Q79)&gt;180,LEN(R79)&gt;180,LEN(S79)&gt;180,LEN(T79)&gt;180),"CAMINHO LONGO","OK"))</f>
      </c>
      <c r="AB79" s="3056">
        <f>IF(A79="","",IF(U79="","",IFERROR(INT(U79-TODAY()),"")))</f>
      </c>
      <c r="AC79" s="3056">
        <f>IF(A79="","",IF(AND(T79="",U79=""),"",IF(T79="","SEM CAMINHO",IF(U79="","SEM DATA",IFERROR(IF(AB79&lt;15,"VERMELHO",IF(AB79&lt;=30,"AMARELO","VERDE")),"DATA INVALIDA")))))</f>
      </c>
      <c r="AD79" s="3056">
        <f>IF(OR(A79="",U79="",NOT(ISNUMBER(AB79))),"",RANK(AB79,$AB$3:$AB$164,1)+COUNTIFS($AB$3:AB79,AB79)-1)</f>
      </c>
      <c r="AE79" s="1736"/>
    </row>
    <row r="80" spans="1:19" ht="22.0" hidden="false" customHeight="true" x14ac:dyDescent="0.25">
      <c r="A80" s="3052" t="s">
        <v>190</v>
      </c>
      <c r="B80" s="3051" t="s">
        <v>188</v>
      </c>
      <c r="C80" s="3051" t="s">
        <v>69</v>
      </c>
      <c r="D80" s="3051" t="s">
        <v>191</v>
      </c>
      <c r="E80" s="3051"/>
      <c r="F80" s="3051" t="s">
        <v>189</v>
      </c>
      <c r="G80" s="3051" t="s">
        <v>41</v>
      </c>
      <c r="H80" s="3051" t="s">
        <v>5</v>
      </c>
      <c r="I80" s="3051"/>
      <c r="J80" s="3051"/>
      <c r="K80" s="3051"/>
      <c r="L80" s="3051"/>
      <c r="M80" s="3051" t="s">
        <v>379</v>
      </c>
      <c r="N80" s="3051"/>
      <c r="O80" s="3051" t="s">
        <v>350</v>
      </c>
      <c r="P80" s="3051"/>
      <c r="Q80" s="3054"/>
      <c r="R80" s="3054"/>
      <c r="S80" s="3054"/>
      <c r="T80" s="3054"/>
      <c r="U80" s="3055"/>
      <c r="V80" s="3051"/>
      <c r="W80" s="3051"/>
      <c r="X80" s="3056">
        <f>IF(A80="","",IF(LEN(SUBSTITUTE(SUBSTITUTE(SUBSTITUTE(SUBSTITUTE(D80,".",""),"/",""),"-","")," ",""))&lt;&gt;14,"CNPJ INVALIDO","OK"))</f>
      </c>
      <c r="Y80" s="3056">
        <f>IF(A80="","",IF(R80="","REST PENDENTE","REST OK"))</f>
      </c>
      <c r="Z80" s="3056">
        <f>IF(A80="","",IF(AND(R80&lt;&gt;"",COUNTIFS($D$3:$D$164,D80,$R$3:$R$164,"&lt;&gt;")&gt;1),"DUPLICADO","OK"))</f>
      </c>
      <c r="AA80" s="3056">
        <f>IF(A80="","",IF(OR(LEN(Q80)&gt;180,LEN(R80)&gt;180,LEN(S80)&gt;180,LEN(T80)&gt;180),"CAMINHO LONGO","OK"))</f>
      </c>
      <c r="AB80" s="3056">
        <f>IF(A80="","",IF(U80="","",IFERROR(INT(U80-TODAY()),"")))</f>
      </c>
      <c r="AC80" s="3056">
        <f>IF(A80="","",IF(AND(T80="",U80=""),"",IF(T80="","SEM CAMINHO",IF(U80="","SEM DATA",IFERROR(IF(AB80&lt;15,"VERMELHO",IF(AB80&lt;=30,"AMARELO","VERDE")),"DATA INVALIDA")))))</f>
      </c>
      <c r="AD80" s="3056">
        <f>IF(OR(A80="",U80="",NOT(ISNUMBER(AB80))),"",RANK(AB80,$AB$3:$AB$164,1)+COUNTIFS($AB$3:AB80,AB80)-1)</f>
      </c>
      <c r="AE80" s="1736"/>
    </row>
    <row r="81" spans="1:19" ht="22.0" hidden="false" customHeight="true" x14ac:dyDescent="0.25">
      <c r="A81" s="3047" t="s">
        <v>192</v>
      </c>
      <c r="B81" s="3046" t="s">
        <v>188</v>
      </c>
      <c r="C81" s="3046" t="s">
        <v>69</v>
      </c>
      <c r="D81" s="3046" t="s">
        <v>193</v>
      </c>
      <c r="E81" s="3046"/>
      <c r="F81" s="3046" t="s">
        <v>189</v>
      </c>
      <c r="G81" s="3046" t="s">
        <v>13</v>
      </c>
      <c r="H81" s="3046" t="s">
        <v>14</v>
      </c>
      <c r="I81" s="3046"/>
      <c r="J81" s="3046"/>
      <c r="K81" s="3046"/>
      <c r="L81" s="3046"/>
      <c r="M81" s="3046" t="s">
        <v>386</v>
      </c>
      <c r="N81" s="3046"/>
      <c r="O81" s="3046" t="s">
        <v>347</v>
      </c>
      <c r="P81" s="3046"/>
      <c r="Q81" s="3049"/>
      <c r="R81" s="3049"/>
      <c r="S81" s="3049"/>
      <c r="T81" s="3049"/>
      <c r="U81" s="3050"/>
      <c r="V81" s="3046"/>
      <c r="W81" s="3046"/>
      <c r="X81" s="3056">
        <f>IF(A81="","",IF(LEN(SUBSTITUTE(SUBSTITUTE(SUBSTITUTE(SUBSTITUTE(D81,".",""),"/",""),"-","")," ",""))&lt;&gt;14,"CNPJ INVALIDO","OK"))</f>
      </c>
      <c r="Y81" s="3056">
        <f>IF(A81="","",IF(R81="","REST PENDENTE","REST OK"))</f>
      </c>
      <c r="Z81" s="3056">
        <f>IF(A81="","",IF(AND(R81&lt;&gt;"",COUNTIFS($D$3:$D$164,D81,$R$3:$R$164,"&lt;&gt;")&gt;1),"DUPLICADO","OK"))</f>
      </c>
      <c r="AA81" s="3056">
        <f>IF(A81="","",IF(OR(LEN(Q81)&gt;180,LEN(R81)&gt;180,LEN(S81)&gt;180,LEN(T81)&gt;180),"CAMINHO LONGO","OK"))</f>
      </c>
      <c r="AB81" s="3056">
        <f>IF(A81="","",IF(U81="","",IFERROR(INT(U81-TODAY()),"")))</f>
      </c>
      <c r="AC81" s="3056">
        <f>IF(A81="","",IF(AND(T81="",U81=""),"",IF(T81="","SEM CAMINHO",IF(U81="","SEM DATA",IFERROR(IF(AB81&lt;15,"VERMELHO",IF(AB81&lt;=30,"AMARELO","VERDE")),"DATA INVALIDA")))))</f>
      </c>
      <c r="AD81" s="3056">
        <f>IF(OR(A81="",U81="",NOT(ISNUMBER(AB81))),"",RANK(AB81,$AB$3:$AB$164,1)+COUNTIFS($AB$3:AB81,AB81)-1)</f>
      </c>
      <c r="AE81" s="1736"/>
    </row>
    <row r="82" spans="1:19" ht="22.0" hidden="false" customHeight="true" x14ac:dyDescent="0.25">
      <c r="A82" s="3052" t="s">
        <v>194</v>
      </c>
      <c r="B82" s="3051" t="s">
        <v>1</v>
      </c>
      <c r="C82" s="3051" t="s">
        <v>195</v>
      </c>
      <c r="D82" s="3051" t="s">
        <v>196</v>
      </c>
      <c r="E82" s="3051"/>
      <c r="F82" s="3051" t="s">
        <v>3</v>
      </c>
      <c r="G82" s="3051" t="s">
        <v>197</v>
      </c>
      <c r="H82" s="3051" t="s">
        <v>49</v>
      </c>
      <c r="I82" s="3051"/>
      <c r="J82" s="3051"/>
      <c r="K82" s="3051"/>
      <c r="L82" s="3051"/>
      <c r="M82" s="3051" t="s">
        <v>376</v>
      </c>
      <c r="N82" s="3051" t="s">
        <v>361</v>
      </c>
      <c r="O82" s="3051" t="s">
        <v>351</v>
      </c>
      <c r="P82" s="3051"/>
      <c r="Q82" s="3054"/>
      <c r="R82" s="3054"/>
      <c r="S82" s="3054"/>
      <c r="T82" s="3054"/>
      <c r="U82" s="3055"/>
      <c r="V82" s="3051"/>
      <c r="W82" s="3051"/>
      <c r="X82" s="3056">
        <f>IF(A82="","",IF(LEN(SUBSTITUTE(SUBSTITUTE(SUBSTITUTE(SUBSTITUTE(D82,".",""),"/",""),"-","")," ",""))&lt;&gt;14,"CNPJ INVALIDO","OK"))</f>
      </c>
      <c r="Y82" s="3056">
        <f>IF(A82="","",IF(R82="","REST PENDENTE","REST OK"))</f>
      </c>
      <c r="Z82" s="3056">
        <f>IF(A82="","",IF(AND(R82&lt;&gt;"",COUNTIFS($D$3:$D$164,D82,$R$3:$R$164,"&lt;&gt;")&gt;1),"DUPLICADO","OK"))</f>
      </c>
      <c r="AA82" s="3056">
        <f>IF(A82="","",IF(OR(LEN(Q82)&gt;180,LEN(R82)&gt;180,LEN(S82)&gt;180,LEN(T82)&gt;180),"CAMINHO LONGO","OK"))</f>
      </c>
      <c r="AB82" s="3056">
        <f>IF(A82="","",IF(U82="","",IFERROR(INT(U82-TODAY()),"")))</f>
      </c>
      <c r="AC82" s="3056">
        <f>IF(A82="","",IF(AND(T82="",U82=""),"",IF(T82="","SEM CAMINHO",IF(U82="","SEM DATA",IFERROR(IF(AB82&lt;15,"VERMELHO",IF(AB82&lt;=30,"AMARELO","VERDE")),"DATA INVALIDA")))))</f>
      </c>
      <c r="AD82" s="3056">
        <f>IF(OR(A82="",U82="",NOT(ISNUMBER(AB82))),"",RANK(AB82,$AB$3:$AB$164,1)+COUNTIFS($AB$3:AB82,AB82)-1)</f>
      </c>
      <c r="AE82" s="1736"/>
    </row>
    <row r="83" spans="1:19" ht="22.0" hidden="false" customHeight="true" x14ac:dyDescent="0.25">
      <c r="A83" s="3047" t="s">
        <v>198</v>
      </c>
      <c r="B83" s="3046" t="s">
        <v>1</v>
      </c>
      <c r="C83" s="3046" t="s">
        <v>195</v>
      </c>
      <c r="D83" s="3046" t="s">
        <v>199</v>
      </c>
      <c r="E83" s="3046"/>
      <c r="F83" s="3046" t="s">
        <v>3</v>
      </c>
      <c r="G83" s="3046" t="s">
        <v>4</v>
      </c>
      <c r="H83" s="3046" t="s">
        <v>49</v>
      </c>
      <c r="I83" s="3046"/>
      <c r="J83" s="3046"/>
      <c r="K83" s="3046"/>
      <c r="L83" s="3046"/>
      <c r="M83" s="3046" t="s">
        <v>376</v>
      </c>
      <c r="N83" s="3046" t="s">
        <v>361</v>
      </c>
      <c r="O83" s="3046" t="s">
        <v>351</v>
      </c>
      <c r="P83" s="3046"/>
      <c r="Q83" s="3049"/>
      <c r="R83" s="3049"/>
      <c r="S83" s="3049"/>
      <c r="T83" s="3049"/>
      <c r="U83" s="3050"/>
      <c r="V83" s="3046"/>
      <c r="W83" s="3046"/>
      <c r="X83" s="3056">
        <f>IF(A83="","",IF(LEN(SUBSTITUTE(SUBSTITUTE(SUBSTITUTE(SUBSTITUTE(D83,".",""),"/",""),"-","")," ",""))&lt;&gt;14,"CNPJ INVALIDO","OK"))</f>
      </c>
      <c r="Y83" s="3056">
        <f>IF(A83="","",IF(R83="","REST PENDENTE","REST OK"))</f>
      </c>
      <c r="Z83" s="3056">
        <f>IF(A83="","",IF(AND(R83&lt;&gt;"",COUNTIFS($D$3:$D$164,D83,$R$3:$R$164,"&lt;&gt;")&gt;1),"DUPLICADO","OK"))</f>
      </c>
      <c r="AA83" s="3056">
        <f>IF(A83="","",IF(OR(LEN(Q83)&gt;180,LEN(R83)&gt;180,LEN(S83)&gt;180,LEN(T83)&gt;180),"CAMINHO LONGO","OK"))</f>
      </c>
      <c r="AB83" s="3056">
        <f>IF(A83="","",IF(U83="","",IFERROR(INT(U83-TODAY()),"")))</f>
      </c>
      <c r="AC83" s="3056">
        <f>IF(A83="","",IF(AND(T83="",U83=""),"",IF(T83="","SEM CAMINHO",IF(U83="","SEM DATA",IFERROR(IF(AB83&lt;15,"VERMELHO",IF(AB83&lt;=30,"AMARELO","VERDE")),"DATA INVALIDA")))))</f>
      </c>
      <c r="AD83" s="3056">
        <f>IF(OR(A83="",U83="",NOT(ISNUMBER(AB83))),"",RANK(AB83,$AB$3:$AB$164,1)+COUNTIFS($AB$3:AB83,AB83)-1)</f>
      </c>
      <c r="AE83" s="1736"/>
    </row>
    <row r="84" spans="1:19" ht="22.0" hidden="false" customHeight="true" x14ac:dyDescent="0.25">
      <c r="A84" s="3052" t="s">
        <v>200</v>
      </c>
      <c r="B84" s="3051" t="s">
        <v>1</v>
      </c>
      <c r="C84" s="3051" t="s">
        <v>195</v>
      </c>
      <c r="D84" s="3051" t="s">
        <v>201</v>
      </c>
      <c r="E84" s="3051"/>
      <c r="F84" s="3051" t="s">
        <v>3</v>
      </c>
      <c r="G84" s="3051" t="s">
        <v>4</v>
      </c>
      <c r="H84" s="3051" t="s">
        <v>49</v>
      </c>
      <c r="I84" s="3051"/>
      <c r="J84" s="3051"/>
      <c r="K84" s="3051"/>
      <c r="L84" s="3051"/>
      <c r="M84" s="3051" t="s">
        <v>376</v>
      </c>
      <c r="N84" s="3051" t="s">
        <v>361</v>
      </c>
      <c r="O84" s="3051" t="s">
        <v>351</v>
      </c>
      <c r="P84" s="3051"/>
      <c r="Q84" s="3054"/>
      <c r="R84" s="3054"/>
      <c r="S84" s="3054"/>
      <c r="T84" s="3054"/>
      <c r="U84" s="3055"/>
      <c r="V84" s="3051"/>
      <c r="W84" s="3051"/>
      <c r="X84" s="3056">
        <f>IF(A84="","",IF(LEN(SUBSTITUTE(SUBSTITUTE(SUBSTITUTE(SUBSTITUTE(D84,".",""),"/",""),"-","")," ",""))&lt;&gt;14,"CNPJ INVALIDO","OK"))</f>
      </c>
      <c r="Y84" s="3056">
        <f>IF(A84="","",IF(R84="","REST PENDENTE","REST OK"))</f>
      </c>
      <c r="Z84" s="3056">
        <f>IF(A84="","",IF(AND(R84&lt;&gt;"",COUNTIFS($D$3:$D$164,D84,$R$3:$R$164,"&lt;&gt;")&gt;1),"DUPLICADO","OK"))</f>
      </c>
      <c r="AA84" s="3056">
        <f>IF(A84="","",IF(OR(LEN(Q84)&gt;180,LEN(R84)&gt;180,LEN(S84)&gt;180,LEN(T84)&gt;180),"CAMINHO LONGO","OK"))</f>
      </c>
      <c r="AB84" s="3056">
        <f>IF(A84="","",IF(U84="","",IFERROR(INT(U84-TODAY()),"")))</f>
      </c>
      <c r="AC84" s="3056">
        <f>IF(A84="","",IF(AND(T84="",U84=""),"",IF(T84="","SEM CAMINHO",IF(U84="","SEM DATA",IFERROR(IF(AB84&lt;15,"VERMELHO",IF(AB84&lt;=30,"AMARELO","VERDE")),"DATA INVALIDA")))))</f>
      </c>
      <c r="AD84" s="3056">
        <f>IF(OR(A84="",U84="",NOT(ISNUMBER(AB84))),"",RANK(AB84,$AB$3:$AB$164,1)+COUNTIFS($AB$3:AB84,AB84)-1)</f>
      </c>
      <c r="AE84" s="1736"/>
    </row>
    <row r="85" spans="1:19" ht="22.0" hidden="false" customHeight="true" x14ac:dyDescent="0.25">
      <c r="A85" s="3047" t="s">
        <v>202</v>
      </c>
      <c r="B85" s="3046" t="s">
        <v>203</v>
      </c>
      <c r="C85" s="3046" t="s">
        <v>204</v>
      </c>
      <c r="D85" s="3057">
        <v>48579725000102</v>
      </c>
      <c r="E85" s="3046"/>
      <c r="F85" s="3046" t="s">
        <v>205</v>
      </c>
      <c r="G85" s="3046" t="s">
        <v>13</v>
      </c>
      <c r="H85" s="3046" t="s">
        <v>5</v>
      </c>
      <c r="I85" s="3046"/>
      <c r="J85" s="3046"/>
      <c r="K85" s="3046"/>
      <c r="L85" s="3046"/>
      <c r="M85" s="3046" t="s">
        <v>379</v>
      </c>
      <c r="N85" s="3046"/>
      <c r="O85" s="3046" t="s">
        <v>356</v>
      </c>
      <c r="P85" s="3046"/>
      <c r="Q85" s="3049"/>
      <c r="R85" s="3049"/>
      <c r="S85" s="3049"/>
      <c r="T85" s="3049"/>
      <c r="U85" s="3050"/>
      <c r="V85" s="3046"/>
      <c r="W85" s="3046"/>
      <c r="X85" s="3056">
        <f>IF(A85="","",IF(LEN(SUBSTITUTE(SUBSTITUTE(SUBSTITUTE(SUBSTITUTE(D85,".",""),"/",""),"-","")," ",""))&lt;&gt;14,"CNPJ INVALIDO","OK"))</f>
      </c>
      <c r="Y85" s="3056">
        <f>IF(A85="","",IF(R85="","REST PENDENTE","REST OK"))</f>
      </c>
      <c r="Z85" s="3056">
        <f>IF(A85="","",IF(AND(R85&lt;&gt;"",COUNTIFS($D$3:$D$164,D85,$R$3:$R$164,"&lt;&gt;")&gt;1),"DUPLICADO","OK"))</f>
      </c>
      <c r="AA85" s="3056">
        <f>IF(A85="","",IF(OR(LEN(Q85)&gt;180,LEN(R85)&gt;180,LEN(S85)&gt;180,LEN(T85)&gt;180),"CAMINHO LONGO","OK"))</f>
      </c>
      <c r="AB85" s="3056">
        <f>IF(A85="","",IF(U85="","",IFERROR(INT(U85-TODAY()),"")))</f>
      </c>
      <c r="AC85" s="3056">
        <f>IF(A85="","",IF(AND(T85="",U85=""),"",IF(T85="","SEM CAMINHO",IF(U85="","SEM DATA",IFERROR(IF(AB85&lt;15,"VERMELHO",IF(AB85&lt;=30,"AMARELO","VERDE")),"DATA INVALIDA")))))</f>
      </c>
      <c r="AD85" s="3056">
        <f>IF(OR(A85="",U85="",NOT(ISNUMBER(AB85))),"",RANK(AB85,$AB$3:$AB$164,1)+COUNTIFS($AB$3:AB85,AB85)-1)</f>
      </c>
      <c r="AE85" s="1736"/>
    </row>
    <row r="86" spans="1:19" ht="22.0" hidden="false" customHeight="true" x14ac:dyDescent="0.25">
      <c r="A86" s="3052" t="s">
        <v>206</v>
      </c>
      <c r="B86" s="3051" t="s">
        <v>207</v>
      </c>
      <c r="C86" s="3051" t="s">
        <v>62</v>
      </c>
      <c r="D86" s="3057">
        <v>21879417000146</v>
      </c>
      <c r="E86" s="3051"/>
      <c r="F86" s="3051" t="s">
        <v>208</v>
      </c>
      <c r="G86" s="3051" t="s">
        <v>41</v>
      </c>
      <c r="H86" s="3051" t="s">
        <v>5</v>
      </c>
      <c r="I86" s="3051"/>
      <c r="J86" s="3051"/>
      <c r="K86" s="3051"/>
      <c r="L86" s="3051"/>
      <c r="M86" s="3051" t="s">
        <v>379</v>
      </c>
      <c r="N86" s="3051"/>
      <c r="O86" s="3051" t="s">
        <v>349</v>
      </c>
      <c r="P86" s="3051"/>
      <c r="Q86" s="3054"/>
      <c r="R86" s="3054"/>
      <c r="S86" s="3054"/>
      <c r="T86" s="3054"/>
      <c r="U86" s="3055"/>
      <c r="V86" s="3051"/>
      <c r="W86" s="3051"/>
      <c r="X86" s="3056">
        <f>IF(A86="","",IF(LEN(SUBSTITUTE(SUBSTITUTE(SUBSTITUTE(SUBSTITUTE(D86,".",""),"/",""),"-","")," ",""))&lt;&gt;14,"CNPJ INVALIDO","OK"))</f>
      </c>
      <c r="Y86" s="3056">
        <f>IF(A86="","",IF(R86="","REST PENDENTE","REST OK"))</f>
      </c>
      <c r="Z86" s="3056">
        <f>IF(A86="","",IF(AND(R86&lt;&gt;"",COUNTIFS($D$3:$D$164,D86,$R$3:$R$164,"&lt;&gt;")&gt;1),"DUPLICADO","OK"))</f>
      </c>
      <c r="AA86" s="3056">
        <f>IF(A86="","",IF(OR(LEN(Q86)&gt;180,LEN(R86)&gt;180,LEN(S86)&gt;180,LEN(T86)&gt;180),"CAMINHO LONGO","OK"))</f>
      </c>
      <c r="AB86" s="3056">
        <f>IF(A86="","",IF(U86="","",IFERROR(INT(U86-TODAY()),"")))</f>
      </c>
      <c r="AC86" s="3056">
        <f>IF(A86="","",IF(AND(T86="",U86=""),"",IF(T86="","SEM CAMINHO",IF(U86="","SEM DATA",IFERROR(IF(AB86&lt;15,"VERMELHO",IF(AB86&lt;=30,"AMARELO","VERDE")),"DATA INVALIDA")))))</f>
      </c>
      <c r="AD86" s="3056">
        <f>IF(OR(A86="",U86="",NOT(ISNUMBER(AB86))),"",RANK(AB86,$AB$3:$AB$164,1)+COUNTIFS($AB$3:AB86,AB86)-1)</f>
      </c>
      <c r="AE86" s="1736"/>
    </row>
    <row r="87" spans="1:19" ht="22.0" hidden="false" customHeight="true" x14ac:dyDescent="0.25">
      <c r="A87" s="3047" t="s">
        <v>209</v>
      </c>
      <c r="B87" s="3046" t="s">
        <v>207</v>
      </c>
      <c r="C87" s="3046" t="s">
        <v>62</v>
      </c>
      <c r="D87" s="3046" t="s">
        <v>388</v>
      </c>
      <c r="E87" s="3046"/>
      <c r="F87" s="3046" t="s">
        <v>208</v>
      </c>
      <c r="G87" s="3046" t="s">
        <v>4</v>
      </c>
      <c r="H87" s="3046" t="s">
        <v>5</v>
      </c>
      <c r="I87" s="3046"/>
      <c r="J87" s="3046"/>
      <c r="K87" s="3046"/>
      <c r="L87" s="3046"/>
      <c r="M87" s="3046" t="s">
        <v>379</v>
      </c>
      <c r="N87" s="3046"/>
      <c r="O87" s="3046" t="s">
        <v>349</v>
      </c>
      <c r="P87" s="3046"/>
      <c r="Q87" s="3049"/>
      <c r="R87" s="3049"/>
      <c r="S87" s="3049"/>
      <c r="T87" s="3049"/>
      <c r="U87" s="3050"/>
      <c r="V87" s="3046"/>
      <c r="W87" s="3046"/>
      <c r="X87" s="3056">
        <f>IF(A87="","",IF(LEN(SUBSTITUTE(SUBSTITUTE(SUBSTITUTE(SUBSTITUTE(D87,".",""),"/",""),"-","")," ",""))&lt;&gt;14,"CNPJ INVALIDO","OK"))</f>
      </c>
      <c r="Y87" s="3056">
        <f>IF(A87="","",IF(R87="","REST PENDENTE","REST OK"))</f>
      </c>
      <c r="Z87" s="3056">
        <f>IF(A87="","",IF(AND(R87&lt;&gt;"",COUNTIFS($D$3:$D$164,D87,$R$3:$R$164,"&lt;&gt;")&gt;1),"DUPLICADO","OK"))</f>
      </c>
      <c r="AA87" s="3056">
        <f>IF(A87="","",IF(OR(LEN(Q87)&gt;180,LEN(R87)&gt;180,LEN(S87)&gt;180,LEN(T87)&gt;180),"CAMINHO LONGO","OK"))</f>
      </c>
      <c r="AB87" s="3056">
        <f>IF(A87="","",IF(U87="","",IFERROR(INT(U87-TODAY()),"")))</f>
      </c>
      <c r="AC87" s="3056">
        <f>IF(A87="","",IF(AND(T87="",U87=""),"",IF(T87="","SEM CAMINHO",IF(U87="","SEM DATA",IFERROR(IF(AB87&lt;15,"VERMELHO",IF(AB87&lt;=30,"AMARELO","VERDE")),"DATA INVALIDA")))))</f>
      </c>
      <c r="AD87" s="3056">
        <f>IF(OR(A87="",U87="",NOT(ISNUMBER(AB87))),"",RANK(AB87,$AB$3:$AB$164,1)+COUNTIFS($AB$3:AB87,AB87)-1)</f>
      </c>
      <c r="AE87" s="1736"/>
    </row>
    <row r="88" spans="1:19" ht="22.0" hidden="false" customHeight="true" x14ac:dyDescent="0.25">
      <c r="A88" s="3052" t="s">
        <v>210</v>
      </c>
      <c r="B88" s="3051" t="s">
        <v>211</v>
      </c>
      <c r="C88" s="3051" t="s">
        <v>69</v>
      </c>
      <c r="D88" s="3051" t="s">
        <v>387</v>
      </c>
      <c r="E88" s="3051"/>
      <c r="F88" s="3051"/>
      <c r="G88" s="3051" t="s">
        <v>4</v>
      </c>
      <c r="H88" s="3051" t="s">
        <v>49</v>
      </c>
      <c r="I88" s="3051"/>
      <c r="J88" s="3051"/>
      <c r="K88" s="3051"/>
      <c r="L88" s="3051"/>
      <c r="M88" s="3051" t="s">
        <v>379</v>
      </c>
      <c r="N88" s="3051"/>
      <c r="O88" s="3051" t="s">
        <v>349</v>
      </c>
      <c r="P88" s="3051"/>
      <c r="Q88" s="3054"/>
      <c r="R88" s="3054"/>
      <c r="S88" s="3054"/>
      <c r="T88" s="3054"/>
      <c r="U88" s="3055"/>
      <c r="V88" s="3051"/>
      <c r="W88" s="3051"/>
      <c r="X88" s="3056">
        <f>IF(A88="","",IF(LEN(SUBSTITUTE(SUBSTITUTE(SUBSTITUTE(SUBSTITUTE(D88,".",""),"/",""),"-","")," ",""))&lt;&gt;14,"CNPJ INVALIDO","OK"))</f>
      </c>
      <c r="Y88" s="3056">
        <f>IF(A88="","",IF(R88="","REST PENDENTE","REST OK"))</f>
      </c>
      <c r="Z88" s="3056">
        <f>IF(A88="","",IF(AND(R88&lt;&gt;"",COUNTIFS($D$3:$D$164,D88,$R$3:$R$164,"&lt;&gt;")&gt;1),"DUPLICADO","OK"))</f>
      </c>
      <c r="AA88" s="3056">
        <f>IF(A88="","",IF(OR(LEN(Q88)&gt;180,LEN(R88)&gt;180,LEN(S88)&gt;180,LEN(T88)&gt;180),"CAMINHO LONGO","OK"))</f>
      </c>
      <c r="AB88" s="3056">
        <f>IF(A88="","",IF(U88="","",IFERROR(INT(U88-TODAY()),"")))</f>
      </c>
      <c r="AC88" s="3056">
        <f>IF(A88="","",IF(AND(T88="",U88=""),"",IF(T88="","SEM CAMINHO",IF(U88="","SEM DATA",IFERROR(IF(AB88&lt;15,"VERMELHO",IF(AB88&lt;=30,"AMARELO","VERDE")),"DATA INVALIDA")))))</f>
      </c>
      <c r="AD88" s="3056">
        <f>IF(OR(A88="",U88="",NOT(ISNUMBER(AB88))),"",RANK(AB88,$AB$3:$AB$164,1)+COUNTIFS($AB$3:AB88,AB88)-1)</f>
      </c>
      <c r="AE88" s="1736"/>
    </row>
    <row r="89" spans="1:19" ht="22.0" hidden="false" customHeight="true" x14ac:dyDescent="0.25">
      <c r="A89" s="3047" t="s">
        <v>212</v>
      </c>
      <c r="B89" s="3046" t="s">
        <v>211</v>
      </c>
      <c r="C89" s="3046" t="s">
        <v>69</v>
      </c>
      <c r="D89" s="3057"/>
      <c r="E89" s="3046"/>
      <c r="F89" s="3046"/>
      <c r="G89" s="3046" t="s">
        <v>4</v>
      </c>
      <c r="H89" s="3046" t="s">
        <v>49</v>
      </c>
      <c r="I89" s="3046"/>
      <c r="J89" s="3046"/>
      <c r="K89" s="3046"/>
      <c r="L89" s="3046"/>
      <c r="M89" s="3046" t="s">
        <v>379</v>
      </c>
      <c r="N89" s="3046"/>
      <c r="O89" s="3046" t="s">
        <v>349</v>
      </c>
      <c r="P89" s="3046"/>
      <c r="Q89" s="3049"/>
      <c r="R89" s="3049"/>
      <c r="S89" s="3049"/>
      <c r="T89" s="3049"/>
      <c r="U89" s="3050"/>
      <c r="V89" s="3046"/>
      <c r="W89" s="3046"/>
      <c r="X89" s="3056">
        <f>IF(A89="","",IF(LEN(SUBSTITUTE(SUBSTITUTE(SUBSTITUTE(SUBSTITUTE(D89,".",""),"/",""),"-","")," ",""))&lt;&gt;14,"CNPJ INVALIDO","OK"))</f>
      </c>
      <c r="Y89" s="3056">
        <f>IF(A89="","",IF(R89="","REST PENDENTE","REST OK"))</f>
      </c>
      <c r="Z89" s="3056">
        <f>IF(A89="","",IF(AND(R89&lt;&gt;"",COUNTIFS($D$3:$D$164,D89,$R$3:$R$164,"&lt;&gt;")&gt;1),"DUPLICADO","OK"))</f>
      </c>
      <c r="AA89" s="3056">
        <f>IF(A89="","",IF(OR(LEN(Q89)&gt;180,LEN(R89)&gt;180,LEN(S89)&gt;180,LEN(T89)&gt;180),"CAMINHO LONGO","OK"))</f>
      </c>
      <c r="AB89" s="3056">
        <f>IF(A89="","",IF(U89="","",IFERROR(INT(U89-TODAY()),"")))</f>
      </c>
      <c r="AC89" s="3056">
        <f>IF(A89="","",IF(AND(T89="",U89=""),"",IF(T89="","SEM CAMINHO",IF(U89="","SEM DATA",IFERROR(IF(AB89&lt;15,"VERMELHO",IF(AB89&lt;=30,"AMARELO","VERDE")),"DATA INVALIDA")))))</f>
      </c>
      <c r="AD89" s="3056">
        <f>IF(OR(A89="",U89="",NOT(ISNUMBER(AB89))),"",RANK(AB89,$AB$3:$AB$164,1)+COUNTIFS($AB$3:AB89,AB89)-1)</f>
      </c>
      <c r="AE89" s="1736"/>
    </row>
    <row r="90" spans="1:19" ht="22.0" hidden="false" customHeight="true" x14ac:dyDescent="0.25">
      <c r="A90" s="3052" t="s">
        <v>213</v>
      </c>
      <c r="B90" s="3051" t="s">
        <v>214</v>
      </c>
      <c r="C90" s="3051" t="s">
        <v>62</v>
      </c>
      <c r="D90" s="3057">
        <v>44868733000118</v>
      </c>
      <c r="E90" s="3051"/>
      <c r="F90" s="3051" t="s">
        <v>215</v>
      </c>
      <c r="G90" s="3051" t="s">
        <v>4</v>
      </c>
      <c r="H90" s="3051" t="s">
        <v>5</v>
      </c>
      <c r="I90" s="3051"/>
      <c r="J90" s="3051"/>
      <c r="K90" s="3051"/>
      <c r="L90" s="3051"/>
      <c r="M90" s="3051" t="s">
        <v>379</v>
      </c>
      <c r="N90" s="3051"/>
      <c r="O90" s="3051" t="s">
        <v>350</v>
      </c>
      <c r="P90" s="3051"/>
      <c r="Q90" s="3054"/>
      <c r="R90" s="3054"/>
      <c r="S90" s="3054"/>
      <c r="T90" s="3054"/>
      <c r="U90" s="3055"/>
      <c r="V90" s="3051"/>
      <c r="W90" s="3051"/>
      <c r="X90" s="3056">
        <f>IF(A90="","",IF(LEN(SUBSTITUTE(SUBSTITUTE(SUBSTITUTE(SUBSTITUTE(D90,".",""),"/",""),"-","")," ",""))&lt;&gt;14,"CNPJ INVALIDO","OK"))</f>
      </c>
      <c r="Y90" s="3056">
        <f>IF(A90="","",IF(R90="","REST PENDENTE","REST OK"))</f>
      </c>
      <c r="Z90" s="3056">
        <f>IF(A90="","",IF(AND(R90&lt;&gt;"",COUNTIFS($D$3:$D$164,D90,$R$3:$R$164,"&lt;&gt;")&gt;1),"DUPLICADO","OK"))</f>
      </c>
      <c r="AA90" s="3056">
        <f>IF(A90="","",IF(OR(LEN(Q90)&gt;180,LEN(R90)&gt;180,LEN(S90)&gt;180,LEN(T90)&gt;180),"CAMINHO LONGO","OK"))</f>
      </c>
      <c r="AB90" s="3056">
        <f>IF(A90="","",IF(U90="","",IFERROR(INT(U90-TODAY()),"")))</f>
      </c>
      <c r="AC90" s="3056">
        <f>IF(A90="","",IF(AND(T90="",U90=""),"",IF(T90="","SEM CAMINHO",IF(U90="","SEM DATA",IFERROR(IF(AB90&lt;15,"VERMELHO",IF(AB90&lt;=30,"AMARELO","VERDE")),"DATA INVALIDA")))))</f>
      </c>
      <c r="AD90" s="3056">
        <f>IF(OR(A90="",U90="",NOT(ISNUMBER(AB90))),"",RANK(AB90,$AB$3:$AB$164,1)+COUNTIFS($AB$3:AB90,AB90)-1)</f>
      </c>
      <c r="AE90" s="1736"/>
    </row>
    <row r="91" spans="1:19" ht="22.0" hidden="false" customHeight="true" x14ac:dyDescent="0.25">
      <c r="A91" s="3047" t="s">
        <v>216</v>
      </c>
      <c r="B91" s="3046" t="s">
        <v>9</v>
      </c>
      <c r="C91" s="3046" t="s">
        <v>69</v>
      </c>
      <c r="D91" s="3046" t="s">
        <v>217</v>
      </c>
      <c r="E91" s="3046"/>
      <c r="F91" s="3046" t="s">
        <v>12</v>
      </c>
      <c r="G91" s="3046" t="s">
        <v>13</v>
      </c>
      <c r="H91" s="3046" t="s">
        <v>49</v>
      </c>
      <c r="I91" s="3046"/>
      <c r="J91" s="3046"/>
      <c r="K91" s="3046"/>
      <c r="L91" s="3046"/>
      <c r="M91" s="3046" t="s">
        <v>379</v>
      </c>
      <c r="N91" s="3046"/>
      <c r="O91" s="3046" t="s">
        <v>349</v>
      </c>
      <c r="P91" s="3046"/>
      <c r="Q91" s="3049"/>
      <c r="R91" s="3049"/>
      <c r="S91" s="3049"/>
      <c r="T91" s="3049"/>
      <c r="U91" s="3050"/>
      <c r="V91" s="3046"/>
      <c r="W91" s="3046"/>
      <c r="X91" s="3056">
        <f>IF(A91="","",IF(LEN(SUBSTITUTE(SUBSTITUTE(SUBSTITUTE(SUBSTITUTE(D91,".",""),"/",""),"-","")," ",""))&lt;&gt;14,"CNPJ INVALIDO","OK"))</f>
      </c>
      <c r="Y91" s="3056">
        <f>IF(A91="","",IF(R91="","REST PENDENTE","REST OK"))</f>
      </c>
      <c r="Z91" s="3056">
        <f>IF(A91="","",IF(AND(R91&lt;&gt;"",COUNTIFS($D$3:$D$164,D91,$R$3:$R$164,"&lt;&gt;")&gt;1),"DUPLICADO","OK"))</f>
      </c>
      <c r="AA91" s="3056">
        <f>IF(A91="","",IF(OR(LEN(Q91)&gt;180,LEN(R91)&gt;180,LEN(S91)&gt;180,LEN(T91)&gt;180),"CAMINHO LONGO","OK"))</f>
      </c>
      <c r="AB91" s="3056">
        <f>IF(A91="","",IF(U91="","",IFERROR(INT(U91-TODAY()),"")))</f>
      </c>
      <c r="AC91" s="3056">
        <f>IF(A91="","",IF(AND(T91="",U91=""),"",IF(T91="","SEM CAMINHO",IF(U91="","SEM DATA",IFERROR(IF(AB91&lt;15,"VERMELHO",IF(AB91&lt;=30,"AMARELO","VERDE")),"DATA INVALIDA")))))</f>
      </c>
      <c r="AD91" s="3056">
        <f>IF(OR(A91="",U91="",NOT(ISNUMBER(AB91))),"",RANK(AB91,$AB$3:$AB$164,1)+COUNTIFS($AB$3:AB91,AB91)-1)</f>
      </c>
      <c r="AE91" s="1736"/>
    </row>
    <row r="92" spans="1:19" ht="22.0" hidden="false" customHeight="true" x14ac:dyDescent="0.25">
      <c r="A92" s="3052" t="s">
        <v>218</v>
      </c>
      <c r="B92" s="3051" t="s">
        <v>219</v>
      </c>
      <c r="C92" s="3051" t="s">
        <v>62</v>
      </c>
      <c r="D92" s="3057">
        <v>51987426000111</v>
      </c>
      <c r="E92" s="3051"/>
      <c r="F92" s="3051" t="s">
        <v>220</v>
      </c>
      <c r="G92" s="3051" t="s">
        <v>4</v>
      </c>
      <c r="H92" s="3051" t="s">
        <v>5</v>
      </c>
      <c r="I92" s="3051"/>
      <c r="J92" s="3051"/>
      <c r="K92" s="3051"/>
      <c r="L92" s="3051"/>
      <c r="M92" s="3051" t="s">
        <v>389</v>
      </c>
      <c r="N92" s="3051"/>
      <c r="O92" s="3051" t="s">
        <v>350</v>
      </c>
      <c r="P92" s="3051"/>
      <c r="Q92" s="3054"/>
      <c r="R92" s="3054"/>
      <c r="S92" s="3054"/>
      <c r="T92" s="3054"/>
      <c r="U92" s="3055"/>
      <c r="V92" s="3051"/>
      <c r="W92" s="3051"/>
      <c r="X92" s="3056">
        <f>IF(A92="","",IF(LEN(SUBSTITUTE(SUBSTITUTE(SUBSTITUTE(SUBSTITUTE(D92,".",""),"/",""),"-","")," ",""))&lt;&gt;14,"CNPJ INVALIDO","OK"))</f>
      </c>
      <c r="Y92" s="3056">
        <f>IF(A92="","",IF(R92="","REST PENDENTE","REST OK"))</f>
      </c>
      <c r="Z92" s="3056">
        <f>IF(A92="","",IF(AND(R92&lt;&gt;"",COUNTIFS($D$3:$D$164,D92,$R$3:$R$164,"&lt;&gt;")&gt;1),"DUPLICADO","OK"))</f>
      </c>
      <c r="AA92" s="3056">
        <f>IF(A92="","",IF(OR(LEN(Q92)&gt;180,LEN(R92)&gt;180,LEN(S92)&gt;180,LEN(T92)&gt;180),"CAMINHO LONGO","OK"))</f>
      </c>
      <c r="AB92" s="3056">
        <f>IF(A92="","",IF(U92="","",IFERROR(INT(U92-TODAY()),"")))</f>
      </c>
      <c r="AC92" s="3056">
        <f>IF(A92="","",IF(AND(T92="",U92=""),"",IF(T92="","SEM CAMINHO",IF(U92="","SEM DATA",IFERROR(IF(AB92&lt;15,"VERMELHO",IF(AB92&lt;=30,"AMARELO","VERDE")),"DATA INVALIDA")))))</f>
      </c>
      <c r="AD92" s="3056">
        <f>IF(OR(A92="",U92="",NOT(ISNUMBER(AB92))),"",RANK(AB92,$AB$3:$AB$164,1)+COUNTIFS($AB$3:AB92,AB92)-1)</f>
      </c>
      <c r="AE92" s="1736"/>
    </row>
    <row r="93" spans="1:19" ht="22.0" hidden="false" customHeight="true" x14ac:dyDescent="0.25">
      <c r="A93" s="3047" t="s">
        <v>221</v>
      </c>
      <c r="B93" s="3046" t="s">
        <v>222</v>
      </c>
      <c r="C93" s="3046" t="s">
        <v>62</v>
      </c>
      <c r="D93" s="3046" t="s">
        <v>390</v>
      </c>
      <c r="E93" s="3046"/>
      <c r="F93" s="3046" t="s">
        <v>223</v>
      </c>
      <c r="G93" s="3046" t="s">
        <v>13</v>
      </c>
      <c r="H93" s="3046" t="s">
        <v>49</v>
      </c>
      <c r="I93" s="3046"/>
      <c r="J93" s="3046"/>
      <c r="K93" s="3046"/>
      <c r="L93" s="3046"/>
      <c r="M93" s="3046" t="s">
        <v>389</v>
      </c>
      <c r="N93" s="3046"/>
      <c r="O93" s="3046" t="s">
        <v>350</v>
      </c>
      <c r="P93" s="3046"/>
      <c r="Q93" s="3049"/>
      <c r="R93" s="3049"/>
      <c r="S93" s="3049"/>
      <c r="T93" s="3049"/>
      <c r="U93" s="3050"/>
      <c r="V93" s="3046"/>
      <c r="W93" s="3046"/>
      <c r="X93" s="3056">
        <f>IF(A93="","",IF(LEN(SUBSTITUTE(SUBSTITUTE(SUBSTITUTE(SUBSTITUTE(D93,".",""),"/",""),"-","")," ",""))&lt;&gt;14,"CNPJ INVALIDO","OK"))</f>
      </c>
      <c r="Y93" s="3056">
        <f>IF(A93="","",IF(R93="","REST PENDENTE","REST OK"))</f>
      </c>
      <c r="Z93" s="3056">
        <f>IF(A93="","",IF(AND(R93&lt;&gt;"",COUNTIFS($D$3:$D$164,D93,$R$3:$R$164,"&lt;&gt;")&gt;1),"DUPLICADO","OK"))</f>
      </c>
      <c r="AA93" s="3056">
        <f>IF(A93="","",IF(OR(LEN(Q93)&gt;180,LEN(R93)&gt;180,LEN(S93)&gt;180,LEN(T93)&gt;180),"CAMINHO LONGO","OK"))</f>
      </c>
      <c r="AB93" s="3056">
        <f>IF(A93="","",IF(U93="","",IFERROR(INT(U93-TODAY()),"")))</f>
      </c>
      <c r="AC93" s="3056">
        <f>IF(A93="","",IF(AND(T93="",U93=""),"",IF(T93="","SEM CAMINHO",IF(U93="","SEM DATA",IFERROR(IF(AB93&lt;15,"VERMELHO",IF(AB93&lt;=30,"AMARELO","VERDE")),"DATA INVALIDA")))))</f>
      </c>
      <c r="AD93" s="3056">
        <f>IF(OR(A93="",U93="",NOT(ISNUMBER(AB93))),"",RANK(AB93,$AB$3:$AB$164,1)+COUNTIFS($AB$3:AB93,AB93)-1)</f>
      </c>
      <c r="AE93" s="1736"/>
    </row>
    <row r="94" spans="1:19" ht="22.0" hidden="false" customHeight="true" x14ac:dyDescent="0.25">
      <c r="A94" s="3052" t="s">
        <v>224</v>
      </c>
      <c r="B94" s="3051" t="s">
        <v>182</v>
      </c>
      <c r="C94" s="3051" t="s">
        <v>83</v>
      </c>
      <c r="D94" s="3057">
        <v>21371431000134</v>
      </c>
      <c r="E94" s="3051"/>
      <c r="F94" s="3051" t="s">
        <v>225</v>
      </c>
      <c r="G94" s="3051" t="s">
        <v>4</v>
      </c>
      <c r="H94" s="3051" t="s">
        <v>5</v>
      </c>
      <c r="I94" s="3051"/>
      <c r="J94" s="3051"/>
      <c r="K94" s="3051"/>
      <c r="L94" s="3051"/>
      <c r="M94" s="3051" t="s">
        <v>375</v>
      </c>
      <c r="N94" s="3051"/>
      <c r="O94" s="3051" t="s">
        <v>357</v>
      </c>
      <c r="P94" s="3051"/>
      <c r="Q94" s="3054"/>
      <c r="R94" s="3054"/>
      <c r="S94" s="3054"/>
      <c r="T94" s="3054"/>
      <c r="U94" s="3055"/>
      <c r="V94" s="3051"/>
      <c r="W94" s="3051"/>
      <c r="X94" s="3056">
        <f>IF(A94="","",IF(LEN(SUBSTITUTE(SUBSTITUTE(SUBSTITUTE(SUBSTITUTE(D94,".",""),"/",""),"-","")," ",""))&lt;&gt;14,"CNPJ INVALIDO","OK"))</f>
      </c>
      <c r="Y94" s="3056">
        <f>IF(A94="","",IF(R94="","REST PENDENTE","REST OK"))</f>
      </c>
      <c r="Z94" s="3056">
        <f>IF(A94="","",IF(AND(R94&lt;&gt;"",COUNTIFS($D$3:$D$164,D94,$R$3:$R$164,"&lt;&gt;")&gt;1),"DUPLICADO","OK"))</f>
      </c>
      <c r="AA94" s="3056">
        <f>IF(A94="","",IF(OR(LEN(Q94)&gt;180,LEN(R94)&gt;180,LEN(S94)&gt;180,LEN(T94)&gt;180),"CAMINHO LONGO","OK"))</f>
      </c>
      <c r="AB94" s="3056">
        <f>IF(A94="","",IF(U94="","",IFERROR(INT(U94-TODAY()),"")))</f>
      </c>
      <c r="AC94" s="3056">
        <f>IF(A94="","",IF(AND(T94="",U94=""),"",IF(T94="","SEM CAMINHO",IF(U94="","SEM DATA",IFERROR(IF(AB94&lt;15,"VERMELHO",IF(AB94&lt;=30,"AMARELO","VERDE")),"DATA INVALIDA")))))</f>
      </c>
      <c r="AD94" s="3056">
        <f>IF(OR(A94="",U94="",NOT(ISNUMBER(AB94))),"",RANK(AB94,$AB$3:$AB$164,1)+COUNTIFS($AB$3:AB94,AB94)-1)</f>
      </c>
      <c r="AE94" s="1736"/>
    </row>
    <row r="95" spans="1:19" ht="22.0" hidden="false" customHeight="true" x14ac:dyDescent="0.25">
      <c r="A95" s="3047" t="s">
        <v>226</v>
      </c>
      <c r="B95" s="3046" t="s">
        <v>227</v>
      </c>
      <c r="C95" s="3046" t="s">
        <v>122</v>
      </c>
      <c r="D95" s="3057">
        <v>9421791000106</v>
      </c>
      <c r="E95" s="3046"/>
      <c r="F95" s="3046" t="s">
        <v>228</v>
      </c>
      <c r="G95" s="3046" t="s">
        <v>4</v>
      </c>
      <c r="H95" s="3046" t="s">
        <v>5</v>
      </c>
      <c r="I95" s="3046"/>
      <c r="J95" s="3046"/>
      <c r="K95" s="3046"/>
      <c r="L95" s="3046"/>
      <c r="M95" s="3046" t="s">
        <v>379</v>
      </c>
      <c r="N95" s="3046"/>
      <c r="O95" s="3046" t="s">
        <v>349</v>
      </c>
      <c r="P95" s="3046"/>
      <c r="Q95" s="3049"/>
      <c r="R95" s="3049"/>
      <c r="S95" s="3049"/>
      <c r="T95" s="3049"/>
      <c r="U95" s="3050"/>
      <c r="V95" s="3046"/>
      <c r="W95" s="3046"/>
      <c r="X95" s="3056">
        <f>IF(A95="","",IF(LEN(SUBSTITUTE(SUBSTITUTE(SUBSTITUTE(SUBSTITUTE(D95,".",""),"/",""),"-","")," ",""))&lt;&gt;14,"CNPJ INVALIDO","OK"))</f>
      </c>
      <c r="Y95" s="3056">
        <f>IF(A95="","",IF(R95="","REST PENDENTE","REST OK"))</f>
      </c>
      <c r="Z95" s="3056">
        <f>IF(A95="","",IF(AND(R95&lt;&gt;"",COUNTIFS($D$3:$D$164,D95,$R$3:$R$164,"&lt;&gt;")&gt;1),"DUPLICADO","OK"))</f>
      </c>
      <c r="AA95" s="3056">
        <f>IF(A95="","",IF(OR(LEN(Q95)&gt;180,LEN(R95)&gt;180,LEN(S95)&gt;180,LEN(T95)&gt;180),"CAMINHO LONGO","OK"))</f>
      </c>
      <c r="AB95" s="3056">
        <f>IF(A95="","",IF(U95="","",IFERROR(INT(U95-TODAY()),"")))</f>
      </c>
      <c r="AC95" s="3056">
        <f>IF(A95="","",IF(AND(T95="",U95=""),"",IF(T95="","SEM CAMINHO",IF(U95="","SEM DATA",IFERROR(IF(AB95&lt;15,"VERMELHO",IF(AB95&lt;=30,"AMARELO","VERDE")),"DATA INVALIDA")))))</f>
      </c>
      <c r="AD95" s="3056">
        <f>IF(OR(A95="",U95="",NOT(ISNUMBER(AB95))),"",RANK(AB95,$AB$3:$AB$164,1)+COUNTIFS($AB$3:AB95,AB95)-1)</f>
      </c>
      <c r="AE95" s="1736"/>
    </row>
    <row r="96" spans="1:19" ht="22.0" hidden="false" customHeight="true" x14ac:dyDescent="0.25">
      <c r="A96" s="3052" t="s">
        <v>229</v>
      </c>
      <c r="B96" s="3051" t="s">
        <v>96</v>
      </c>
      <c r="C96" s="3051" t="s">
        <v>230</v>
      </c>
      <c r="D96" s="3051" t="s">
        <v>391</v>
      </c>
      <c r="E96" s="3051"/>
      <c r="F96" s="3051" t="s">
        <v>99</v>
      </c>
      <c r="G96" s="3051" t="s">
        <v>4</v>
      </c>
      <c r="H96" s="3051" t="s">
        <v>14</v>
      </c>
      <c r="I96" s="3051"/>
      <c r="J96" s="3051"/>
      <c r="K96" s="3051"/>
      <c r="L96" s="3051"/>
      <c r="M96" s="3051" t="s">
        <v>376</v>
      </c>
      <c r="N96" s="3051"/>
      <c r="O96" s="3051" t="s">
        <v>349</v>
      </c>
      <c r="P96" s="3051"/>
      <c r="Q96" s="3054"/>
      <c r="R96" s="3054"/>
      <c r="S96" s="3054"/>
      <c r="T96" s="3054"/>
      <c r="U96" s="3055"/>
      <c r="V96" s="3051"/>
      <c r="W96" s="3051"/>
      <c r="X96" s="3056">
        <f>IF(A96="","",IF(LEN(SUBSTITUTE(SUBSTITUTE(SUBSTITUTE(SUBSTITUTE(D96,".",""),"/",""),"-","")," ",""))&lt;&gt;14,"CNPJ INVALIDO","OK"))</f>
      </c>
      <c r="Y96" s="3056">
        <f>IF(A96="","",IF(R96="","REST PENDENTE","REST OK"))</f>
      </c>
      <c r="Z96" s="3056">
        <f>IF(A96="","",IF(AND(R96&lt;&gt;"",COUNTIFS($D$3:$D$164,D96,$R$3:$R$164,"&lt;&gt;")&gt;1),"DUPLICADO","OK"))</f>
      </c>
      <c r="AA96" s="3056">
        <f>IF(A96="","",IF(OR(LEN(Q96)&gt;180,LEN(R96)&gt;180,LEN(S96)&gt;180,LEN(T96)&gt;180),"CAMINHO LONGO","OK"))</f>
      </c>
      <c r="AB96" s="3056">
        <f>IF(A96="","",IF(U96="","",IFERROR(INT(U96-TODAY()),"")))</f>
      </c>
      <c r="AC96" s="3056">
        <f>IF(A96="","",IF(AND(T96="",U96=""),"",IF(T96="","SEM CAMINHO",IF(U96="","SEM DATA",IFERROR(IF(AB96&lt;15,"VERMELHO",IF(AB96&lt;=30,"AMARELO","VERDE")),"DATA INVALIDA")))))</f>
      </c>
      <c r="AD96" s="3056">
        <f>IF(OR(A96="",U96="",NOT(ISNUMBER(AB96))),"",RANK(AB96,$AB$3:$AB$164,1)+COUNTIFS($AB$3:AB96,AB96)-1)</f>
      </c>
      <c r="AE96" s="1736"/>
    </row>
    <row r="97" spans="1:19" ht="22.0" hidden="false" customHeight="true" x14ac:dyDescent="0.25">
      <c r="A97" s="3047" t="s">
        <v>231</v>
      </c>
      <c r="B97" s="3046" t="s">
        <v>211</v>
      </c>
      <c r="C97" s="3046" t="s">
        <v>69</v>
      </c>
      <c r="D97" s="3046" t="s">
        <v>232</v>
      </c>
      <c r="E97" s="3046"/>
      <c r="F97" s="3046"/>
      <c r="G97" s="3046" t="s">
        <v>4</v>
      </c>
      <c r="H97" s="3046" t="s">
        <v>49</v>
      </c>
      <c r="I97" s="3046"/>
      <c r="J97" s="3046"/>
      <c r="K97" s="3046"/>
      <c r="L97" s="3046"/>
      <c r="M97" s="3046" t="s">
        <v>379</v>
      </c>
      <c r="N97" s="3046"/>
      <c r="O97" s="3046" t="s">
        <v>349</v>
      </c>
      <c r="P97" s="3046"/>
      <c r="Q97" s="3049"/>
      <c r="R97" s="3049"/>
      <c r="S97" s="3049"/>
      <c r="T97" s="3049"/>
      <c r="U97" s="3050"/>
      <c r="V97" s="3046"/>
      <c r="W97" s="3046"/>
      <c r="X97" s="3056">
        <f>IF(A97="","",IF(LEN(SUBSTITUTE(SUBSTITUTE(SUBSTITUTE(SUBSTITUTE(D97,".",""),"/",""),"-","")," ",""))&lt;&gt;14,"CNPJ INVALIDO","OK"))</f>
      </c>
      <c r="Y97" s="3056">
        <f>IF(A97="","",IF(R97="","REST PENDENTE","REST OK"))</f>
      </c>
      <c r="Z97" s="3056">
        <f>IF(A97="","",IF(AND(R97&lt;&gt;"",COUNTIFS($D$3:$D$164,D97,$R$3:$R$164,"&lt;&gt;")&gt;1),"DUPLICADO","OK"))</f>
      </c>
      <c r="AA97" s="3056">
        <f>IF(A97="","",IF(OR(LEN(Q97)&gt;180,LEN(R97)&gt;180,LEN(S97)&gt;180,LEN(T97)&gt;180),"CAMINHO LONGO","OK"))</f>
      </c>
      <c r="AB97" s="3056">
        <f>IF(A97="","",IF(U97="","",IFERROR(INT(U97-TODAY()),"")))</f>
      </c>
      <c r="AC97" s="3056">
        <f>IF(A97="","",IF(AND(T97="",U97=""),"",IF(T97="","SEM CAMINHO",IF(U97="","SEM DATA",IFERROR(IF(AB97&lt;15,"VERMELHO",IF(AB97&lt;=30,"AMARELO","VERDE")),"DATA INVALIDA")))))</f>
      </c>
      <c r="AD97" s="3056">
        <f>IF(OR(A97="",U97="",NOT(ISNUMBER(AB97))),"",RANK(AB97,$AB$3:$AB$164,1)+COUNTIFS($AB$3:AB97,AB97)-1)</f>
      </c>
      <c r="AE97" s="1736"/>
    </row>
    <row r="98" spans="1:19" ht="22.0" hidden="false" customHeight="true" x14ac:dyDescent="0.25">
      <c r="A98" s="3052" t="s">
        <v>233</v>
      </c>
      <c r="B98" s="3051" t="s">
        <v>134</v>
      </c>
      <c r="C98" s="3051" t="s">
        <v>116</v>
      </c>
      <c r="D98" s="3051" t="s">
        <v>234</v>
      </c>
      <c r="E98" s="3051"/>
      <c r="F98" s="3051" t="s">
        <v>138</v>
      </c>
      <c r="G98" s="3051" t="s">
        <v>13</v>
      </c>
      <c r="H98" s="3051" t="s">
        <v>14</v>
      </c>
      <c r="I98" s="3051"/>
      <c r="J98" s="3051"/>
      <c r="K98" s="3051"/>
      <c r="L98" s="3051"/>
      <c r="M98" s="3051" t="s">
        <v>359</v>
      </c>
      <c r="N98" s="3051"/>
      <c r="O98" s="3051" t="s">
        <v>358</v>
      </c>
      <c r="P98" s="3051"/>
      <c r="Q98" s="3054"/>
      <c r="R98" s="3054"/>
      <c r="S98" s="3054"/>
      <c r="T98" s="3054"/>
      <c r="U98" s="3055"/>
      <c r="V98" s="3051"/>
      <c r="W98" s="3051"/>
      <c r="X98" s="3056">
        <f>IF(A98="","",IF(LEN(SUBSTITUTE(SUBSTITUTE(SUBSTITUTE(SUBSTITUTE(D98,".",""),"/",""),"-","")," ",""))&lt;&gt;14,"CNPJ INVALIDO","OK"))</f>
      </c>
      <c r="Y98" s="3056">
        <f>IF(A98="","",IF(R98="","REST PENDENTE","REST OK"))</f>
      </c>
      <c r="Z98" s="3056">
        <f>IF(A98="","",IF(AND(R98&lt;&gt;"",COUNTIFS($D$3:$D$164,D98,$R$3:$R$164,"&lt;&gt;")&gt;1),"DUPLICADO","OK"))</f>
      </c>
      <c r="AA98" s="3056">
        <f>IF(A98="","",IF(OR(LEN(Q98)&gt;180,LEN(R98)&gt;180,LEN(S98)&gt;180,LEN(T98)&gt;180),"CAMINHO LONGO","OK"))</f>
      </c>
      <c r="AB98" s="3056">
        <f>IF(A98="","",IF(U98="","",IFERROR(INT(U98-TODAY()),"")))</f>
      </c>
      <c r="AC98" s="3056">
        <f>IF(A98="","",IF(AND(T98="",U98=""),"",IF(T98="","SEM CAMINHO",IF(U98="","SEM DATA",IFERROR(IF(AB98&lt;15,"VERMELHO",IF(AB98&lt;=30,"AMARELO","VERDE")),"DATA INVALIDA")))))</f>
      </c>
      <c r="AD98" s="3056">
        <f>IF(OR(A98="",U98="",NOT(ISNUMBER(AB98))),"",RANK(AB98,$AB$3:$AB$164,1)+COUNTIFS($AB$3:AB98,AB98)-1)</f>
      </c>
      <c r="AE98" s="1736"/>
    </row>
    <row r="99" spans="1:19" ht="22.0" hidden="false" customHeight="true" x14ac:dyDescent="0.25">
      <c r="A99" s="3047" t="s">
        <v>235</v>
      </c>
      <c r="B99" s="3046" t="s">
        <v>134</v>
      </c>
      <c r="C99" s="3046" t="s">
        <v>116</v>
      </c>
      <c r="D99" s="3046" t="s">
        <v>236</v>
      </c>
      <c r="E99" s="3046"/>
      <c r="F99" s="3046" t="s">
        <v>138</v>
      </c>
      <c r="G99" s="3046" t="s">
        <v>13</v>
      </c>
      <c r="H99" s="3046" t="s">
        <v>14</v>
      </c>
      <c r="I99" s="3046"/>
      <c r="J99" s="3046"/>
      <c r="K99" s="3046"/>
      <c r="L99" s="3046"/>
      <c r="M99" s="3046" t="s">
        <v>359</v>
      </c>
      <c r="N99" s="3046"/>
      <c r="O99" s="3046" t="s">
        <v>358</v>
      </c>
      <c r="P99" s="3046"/>
      <c r="Q99" s="3049"/>
      <c r="R99" s="3049"/>
      <c r="S99" s="3049"/>
      <c r="T99" s="3049"/>
      <c r="U99" s="3050"/>
      <c r="V99" s="3046"/>
      <c r="W99" s="3046"/>
      <c r="X99" s="3056">
        <f>IF(A99="","",IF(LEN(SUBSTITUTE(SUBSTITUTE(SUBSTITUTE(SUBSTITUTE(D99,".",""),"/",""),"-","")," ",""))&lt;&gt;14,"CNPJ INVALIDO","OK"))</f>
      </c>
      <c r="Y99" s="3056">
        <f>IF(A99="","",IF(R99="","REST PENDENTE","REST OK"))</f>
      </c>
      <c r="Z99" s="3056">
        <f>IF(A99="","",IF(AND(R99&lt;&gt;"",COUNTIFS($D$3:$D$164,D99,$R$3:$R$164,"&lt;&gt;")&gt;1),"DUPLICADO","OK"))</f>
      </c>
      <c r="AA99" s="3056">
        <f>IF(A99="","",IF(OR(LEN(Q99)&gt;180,LEN(R99)&gt;180,LEN(S99)&gt;180,LEN(T99)&gt;180),"CAMINHO LONGO","OK"))</f>
      </c>
      <c r="AB99" s="3056">
        <f>IF(A99="","",IF(U99="","",IFERROR(INT(U99-TODAY()),"")))</f>
      </c>
      <c r="AC99" s="3056">
        <f>IF(A99="","",IF(AND(T99="",U99=""),"",IF(T99="","SEM CAMINHO",IF(U99="","SEM DATA",IFERROR(IF(AB99&lt;15,"VERMELHO",IF(AB99&lt;=30,"AMARELO","VERDE")),"DATA INVALIDA")))))</f>
      </c>
      <c r="AD99" s="3056">
        <f>IF(OR(A99="",U99="",NOT(ISNUMBER(AB99))),"",RANK(AB99,$AB$3:$AB$164,1)+COUNTIFS($AB$3:AB99,AB99)-1)</f>
      </c>
      <c r="AE99" s="1736"/>
    </row>
    <row r="100" spans="1:19" ht="22.0" hidden="false" customHeight="true" x14ac:dyDescent="0.25">
      <c r="A100" s="3052" t="s">
        <v>237</v>
      </c>
      <c r="B100" s="3051" t="s">
        <v>134</v>
      </c>
      <c r="C100" s="3051" t="s">
        <v>116</v>
      </c>
      <c r="D100" s="3051" t="s">
        <v>238</v>
      </c>
      <c r="E100" s="3051"/>
      <c r="F100" s="3051" t="s">
        <v>138</v>
      </c>
      <c r="G100" s="3051" t="s">
        <v>13</v>
      </c>
      <c r="H100" s="3051" t="s">
        <v>14</v>
      </c>
      <c r="I100" s="3051"/>
      <c r="J100" s="3051"/>
      <c r="K100" s="3051"/>
      <c r="L100" s="3051"/>
      <c r="M100" s="3051" t="s">
        <v>359</v>
      </c>
      <c r="N100" s="3051"/>
      <c r="O100" s="3051" t="s">
        <v>358</v>
      </c>
      <c r="P100" s="3051"/>
      <c r="Q100" s="3054"/>
      <c r="R100" s="3054"/>
      <c r="S100" s="3054"/>
      <c r="T100" s="3054"/>
      <c r="U100" s="3055"/>
      <c r="V100" s="3051"/>
      <c r="W100" s="3051"/>
      <c r="X100" s="3056">
        <f>IF(A100="","",IF(LEN(SUBSTITUTE(SUBSTITUTE(SUBSTITUTE(SUBSTITUTE(D100,".",""),"/",""),"-","")," ",""))&lt;&gt;14,"CNPJ INVALIDO","OK"))</f>
      </c>
      <c r="Y100" s="3056">
        <f>IF(A100="","",IF(R100="","REST PENDENTE","REST OK"))</f>
      </c>
      <c r="Z100" s="3056">
        <f>IF(A100="","",IF(AND(R100&lt;&gt;"",COUNTIFS($D$3:$D$164,D100,$R$3:$R$164,"&lt;&gt;")&gt;1),"DUPLICADO","OK"))</f>
      </c>
      <c r="AA100" s="3056">
        <f>IF(A100="","",IF(OR(LEN(Q100)&gt;180,LEN(R100)&gt;180,LEN(S100)&gt;180,LEN(T100)&gt;180),"CAMINHO LONGO","OK"))</f>
      </c>
      <c r="AB100" s="3056">
        <f>IF(A100="","",IF(U100="","",IFERROR(INT(U100-TODAY()),"")))</f>
      </c>
      <c r="AC100" s="3056">
        <f>IF(A100="","",IF(AND(T100="",U100=""),"",IF(T100="","SEM CAMINHO",IF(U100="","SEM DATA",IFERROR(IF(AB100&lt;15,"VERMELHO",IF(AB100&lt;=30,"AMARELO","VERDE")),"DATA INVALIDA")))))</f>
      </c>
      <c r="AD100" s="3056">
        <f>IF(OR(A100="",U100="",NOT(ISNUMBER(AB100))),"",RANK(AB100,$AB$3:$AB$164,1)+COUNTIFS($AB$3:AB100,AB100)-1)</f>
      </c>
      <c r="AE100" s="1736"/>
    </row>
    <row r="101" spans="1:19" ht="22.0" hidden="false" customHeight="true" x14ac:dyDescent="0.25">
      <c r="A101" s="3047" t="s">
        <v>239</v>
      </c>
      <c r="B101" s="3046" t="s">
        <v>55</v>
      </c>
      <c r="C101" s="3046" t="s">
        <v>56</v>
      </c>
      <c r="D101" s="3046" t="s">
        <v>240</v>
      </c>
      <c r="E101" s="3046"/>
      <c r="F101" s="3046" t="s">
        <v>57</v>
      </c>
      <c r="G101" s="3046" t="s">
        <v>13</v>
      </c>
      <c r="H101" s="3046" t="s">
        <v>5</v>
      </c>
      <c r="I101" s="3046"/>
      <c r="J101" s="3046"/>
      <c r="K101" s="3046"/>
      <c r="L101" s="3046"/>
      <c r="M101" s="3046" t="s">
        <v>376</v>
      </c>
      <c r="N101" s="3046" t="s">
        <v>361</v>
      </c>
      <c r="O101" s="3046" t="s">
        <v>349</v>
      </c>
      <c r="P101" s="3046"/>
      <c r="Q101" s="3049"/>
      <c r="R101" s="3049"/>
      <c r="S101" s="3049"/>
      <c r="T101" s="3049"/>
      <c r="U101" s="3050"/>
      <c r="V101" s="3046"/>
      <c r="W101" s="3046"/>
      <c r="X101" s="3056">
        <f>IF(A101="","",IF(LEN(SUBSTITUTE(SUBSTITUTE(SUBSTITUTE(SUBSTITUTE(D101,".",""),"/",""),"-","")," ",""))&lt;&gt;14,"CNPJ INVALIDO","OK"))</f>
      </c>
      <c r="Y101" s="3056">
        <f>IF(A101="","",IF(R101="","REST PENDENTE","REST OK"))</f>
      </c>
      <c r="Z101" s="3056">
        <f>IF(A101="","",IF(AND(R101&lt;&gt;"",COUNTIFS($D$3:$D$164,D101,$R$3:$R$164,"&lt;&gt;")&gt;1),"DUPLICADO","OK"))</f>
      </c>
      <c r="AA101" s="3056">
        <f>IF(A101="","",IF(OR(LEN(Q101)&gt;180,LEN(R101)&gt;180,LEN(S101)&gt;180,LEN(T101)&gt;180),"CAMINHO LONGO","OK"))</f>
      </c>
      <c r="AB101" s="3056">
        <f>IF(A101="","",IF(U101="","",IFERROR(INT(U101-TODAY()),"")))</f>
      </c>
      <c r="AC101" s="3056">
        <f>IF(A101="","",IF(AND(T101="",U101=""),"",IF(T101="","SEM CAMINHO",IF(U101="","SEM DATA",IFERROR(IF(AB101&lt;15,"VERMELHO",IF(AB101&lt;=30,"AMARELO","VERDE")),"DATA INVALIDA")))))</f>
      </c>
      <c r="AD101" s="3056">
        <f>IF(OR(A101="",U101="",NOT(ISNUMBER(AB101))),"",RANK(AB101,$AB$3:$AB$164,1)+COUNTIFS($AB$3:AB101,AB101)-1)</f>
      </c>
      <c r="AE101" s="1736"/>
    </row>
    <row r="102" spans="1:19" ht="22.0" hidden="false" customHeight="true" x14ac:dyDescent="0.25">
      <c r="A102" s="3052" t="s">
        <v>241</v>
      </c>
      <c r="B102" s="3051" t="s">
        <v>55</v>
      </c>
      <c r="C102" s="3051" t="s">
        <v>242</v>
      </c>
      <c r="D102" s="3051" t="s">
        <v>243</v>
      </c>
      <c r="E102" s="3051"/>
      <c r="F102" s="3051" t="s">
        <v>57</v>
      </c>
      <c r="G102" s="3051" t="s">
        <v>13</v>
      </c>
      <c r="H102" s="3051" t="s">
        <v>5</v>
      </c>
      <c r="I102" s="3051"/>
      <c r="J102" s="3051"/>
      <c r="K102" s="3051"/>
      <c r="L102" s="3051"/>
      <c r="M102" s="3051" t="s">
        <v>376</v>
      </c>
      <c r="N102" s="3051" t="s">
        <v>372</v>
      </c>
      <c r="O102" s="3051" t="s">
        <v>349</v>
      </c>
      <c r="P102" s="3051"/>
      <c r="Q102" s="3054"/>
      <c r="R102" s="3054"/>
      <c r="S102" s="3054"/>
      <c r="T102" s="3054"/>
      <c r="U102" s="3055"/>
      <c r="V102" s="3051"/>
      <c r="W102" s="3051"/>
      <c r="X102" s="3056">
        <f>IF(A102="","",IF(LEN(SUBSTITUTE(SUBSTITUTE(SUBSTITUTE(SUBSTITUTE(D102,".",""),"/",""),"-","")," ",""))&lt;&gt;14,"CNPJ INVALIDO","OK"))</f>
      </c>
      <c r="Y102" s="3056">
        <f>IF(A102="","",IF(R102="","REST PENDENTE","REST OK"))</f>
      </c>
      <c r="Z102" s="3056">
        <f>IF(A102="","",IF(AND(R102&lt;&gt;"",COUNTIFS($D$3:$D$164,D102,$R$3:$R$164,"&lt;&gt;")&gt;1),"DUPLICADO","OK"))</f>
      </c>
      <c r="AA102" s="3056">
        <f>IF(A102="","",IF(OR(LEN(Q102)&gt;180,LEN(R102)&gt;180,LEN(S102)&gt;180,LEN(T102)&gt;180),"CAMINHO LONGO","OK"))</f>
      </c>
      <c r="AB102" s="3056">
        <f>IF(A102="","",IF(U102="","",IFERROR(INT(U102-TODAY()),"")))</f>
      </c>
      <c r="AC102" s="3056">
        <f>IF(A102="","",IF(AND(T102="",U102=""),"",IF(T102="","SEM CAMINHO",IF(U102="","SEM DATA",IFERROR(IF(AB102&lt;15,"VERMELHO",IF(AB102&lt;=30,"AMARELO","VERDE")),"DATA INVALIDA")))))</f>
      </c>
      <c r="AD102" s="3056">
        <f>IF(OR(A102="",U102="",NOT(ISNUMBER(AB102))),"",RANK(AB102,$AB$3:$AB$164,1)+COUNTIFS($AB$3:AB102,AB102)-1)</f>
      </c>
      <c r="AE102" s="1736"/>
    </row>
    <row r="103" spans="1:19" ht="22.0" hidden="false" customHeight="true" x14ac:dyDescent="0.25">
      <c r="A103" s="3047" t="s">
        <v>244</v>
      </c>
      <c r="B103" s="3046" t="s">
        <v>55</v>
      </c>
      <c r="C103" s="3046" t="s">
        <v>245</v>
      </c>
      <c r="D103" s="3046" t="s">
        <v>246</v>
      </c>
      <c r="E103" s="3046"/>
      <c r="F103" s="3046" t="s">
        <v>57</v>
      </c>
      <c r="G103" s="3046" t="s">
        <v>13</v>
      </c>
      <c r="H103" s="3046" t="s">
        <v>5</v>
      </c>
      <c r="I103" s="3046"/>
      <c r="J103" s="3046"/>
      <c r="K103" s="3046"/>
      <c r="L103" s="3046"/>
      <c r="M103" s="3046" t="s">
        <v>376</v>
      </c>
      <c r="N103" s="3046" t="s">
        <v>361</v>
      </c>
      <c r="O103" s="3046" t="s">
        <v>349</v>
      </c>
      <c r="P103" s="3046"/>
      <c r="Q103" s="3049"/>
      <c r="R103" s="3049"/>
      <c r="S103" s="3049"/>
      <c r="T103" s="3049"/>
      <c r="U103" s="3050"/>
      <c r="V103" s="3046"/>
      <c r="W103" s="3046"/>
      <c r="X103" s="3056">
        <f>IF(A103="","",IF(LEN(SUBSTITUTE(SUBSTITUTE(SUBSTITUTE(SUBSTITUTE(D103,".",""),"/",""),"-","")," ",""))&lt;&gt;14,"CNPJ INVALIDO","OK"))</f>
      </c>
      <c r="Y103" s="3056">
        <f>IF(A103="","",IF(R103="","REST PENDENTE","REST OK"))</f>
      </c>
      <c r="Z103" s="3056">
        <f>IF(A103="","",IF(AND(R103&lt;&gt;"",COUNTIFS($D$3:$D$164,D103,$R$3:$R$164,"&lt;&gt;")&gt;1),"DUPLICADO","OK"))</f>
      </c>
      <c r="AA103" s="3056">
        <f>IF(A103="","",IF(OR(LEN(Q103)&gt;180,LEN(R103)&gt;180,LEN(S103)&gt;180,LEN(T103)&gt;180),"CAMINHO LONGO","OK"))</f>
      </c>
      <c r="AB103" s="3056">
        <f>IF(A103="","",IF(U103="","",IFERROR(INT(U103-TODAY()),"")))</f>
      </c>
      <c r="AC103" s="3056">
        <f>IF(A103="","",IF(AND(T103="",U103=""),"",IF(T103="","SEM CAMINHO",IF(U103="","SEM DATA",IFERROR(IF(AB103&lt;15,"VERMELHO",IF(AB103&lt;=30,"AMARELO","VERDE")),"DATA INVALIDA")))))</f>
      </c>
      <c r="AD103" s="3056">
        <f>IF(OR(A103="",U103="",NOT(ISNUMBER(AB103))),"",RANK(AB103,$AB$3:$AB$164,1)+COUNTIFS($AB$3:AB103,AB103)-1)</f>
      </c>
      <c r="AE103" s="1736"/>
    </row>
    <row r="104" spans="1:19" ht="22.0" hidden="false" customHeight="true" x14ac:dyDescent="0.25">
      <c r="A104" s="3052" t="s">
        <v>247</v>
      </c>
      <c r="B104" s="3051" t="s">
        <v>55</v>
      </c>
      <c r="C104" s="3051" t="s">
        <v>248</v>
      </c>
      <c r="D104" s="3051" t="s">
        <v>249</v>
      </c>
      <c r="E104" s="3051"/>
      <c r="F104" s="3051" t="s">
        <v>57</v>
      </c>
      <c r="G104" s="3051" t="s">
        <v>13</v>
      </c>
      <c r="H104" s="3051" t="s">
        <v>49</v>
      </c>
      <c r="I104" s="3051"/>
      <c r="J104" s="3051"/>
      <c r="K104" s="3051"/>
      <c r="L104" s="3051"/>
      <c r="M104" s="3051" t="s">
        <v>376</v>
      </c>
      <c r="N104" s="3051" t="s">
        <v>373</v>
      </c>
      <c r="O104" s="3051" t="s">
        <v>349</v>
      </c>
      <c r="P104" s="3051"/>
      <c r="Q104" s="3054"/>
      <c r="R104" s="3053" t="s">
        <v>405</v>
      </c>
      <c r="S104" s="3054"/>
      <c r="T104" s="3054"/>
      <c r="U104" s="3055"/>
      <c r="V104" s="3051"/>
      <c r="W104" s="3051"/>
      <c r="X104" s="3056">
        <f>IF(A104="","",IF(LEN(SUBSTITUTE(SUBSTITUTE(SUBSTITUTE(SUBSTITUTE(D104,".",""),"/",""),"-","")," ",""))&lt;&gt;14,"CNPJ INVALIDO","OK"))</f>
      </c>
      <c r="Y104" s="3056">
        <f>IF(A104="","",IF(R104="","REST PENDENTE","REST OK"))</f>
      </c>
      <c r="Z104" s="3056">
        <f>IF(A104="","",IF(AND(R104&lt;&gt;"",COUNTIFS($D$3:$D$164,D104,$R$3:$R$164,"&lt;&gt;")&gt;1),"DUPLICADO","OK"))</f>
      </c>
      <c r="AA104" s="3056">
        <f>IF(A104="","",IF(OR(LEN(Q104)&gt;180,LEN(R104)&gt;180,LEN(S104)&gt;180,LEN(T104)&gt;180),"CAMINHO LONGO","OK"))</f>
      </c>
      <c r="AB104" s="3056">
        <f>IF(A104="","",IF(U104="","",IFERROR(INT(U104-TODAY()),"")))</f>
      </c>
      <c r="AC104" s="3056">
        <f>IF(A104="","",IF(AND(T104="",U104=""),"",IF(T104="","SEM CAMINHO",IF(U104="","SEM DATA",IFERROR(IF(AB104&lt;15,"VERMELHO",IF(AB104&lt;=30,"AMARELO","VERDE")),"DATA INVALIDA")))))</f>
      </c>
      <c r="AD104" s="3056">
        <f>IF(OR(A104="",U104="",NOT(ISNUMBER(AB104))),"",RANK(AB104,$AB$3:$AB$164,1)+COUNTIFS($AB$3:AB104,AB104)-1)</f>
      </c>
      <c r="AE104" s="1736"/>
    </row>
    <row r="105" spans="1:19" ht="22.0" hidden="false" customHeight="true" x14ac:dyDescent="0.25">
      <c r="A105" s="3047" t="s">
        <v>250</v>
      </c>
      <c r="B105" s="3046" t="s">
        <v>1</v>
      </c>
      <c r="C105" s="3046" t="s">
        <v>2</v>
      </c>
      <c r="D105" s="3046" t="s">
        <v>251</v>
      </c>
      <c r="E105" s="3046"/>
      <c r="F105" s="3046" t="s">
        <v>252</v>
      </c>
      <c r="G105" s="3046" t="s">
        <v>4</v>
      </c>
      <c r="H105" s="3046" t="s">
        <v>49</v>
      </c>
      <c r="I105" s="3046"/>
      <c r="J105" s="3046"/>
      <c r="K105" s="3046"/>
      <c r="L105" s="3046"/>
      <c r="M105" s="3046" t="s">
        <v>371</v>
      </c>
      <c r="N105" s="3046" t="s">
        <v>361</v>
      </c>
      <c r="O105" s="3046" t="s">
        <v>349</v>
      </c>
      <c r="P105" s="3046"/>
      <c r="Q105" s="3049"/>
      <c r="R105" s="3049"/>
      <c r="S105" s="3049"/>
      <c r="T105" s="3049"/>
      <c r="U105" s="3050"/>
      <c r="V105" s="3046"/>
      <c r="W105" s="3046"/>
      <c r="X105" s="3056">
        <f>IF(A105="","",IF(LEN(SUBSTITUTE(SUBSTITUTE(SUBSTITUTE(SUBSTITUTE(D105,".",""),"/",""),"-","")," ",""))&lt;&gt;14,"CNPJ INVALIDO","OK"))</f>
      </c>
      <c r="Y105" s="3056">
        <f>IF(A105="","",IF(R105="","REST PENDENTE","REST OK"))</f>
      </c>
      <c r="Z105" s="3056">
        <f>IF(A105="","",IF(AND(R105&lt;&gt;"",COUNTIFS($D$3:$D$164,D105,$R$3:$R$164,"&lt;&gt;")&gt;1),"DUPLICADO","OK"))</f>
      </c>
      <c r="AA105" s="3056">
        <f>IF(A105="","",IF(OR(LEN(Q105)&gt;180,LEN(R105)&gt;180,LEN(S105)&gt;180,LEN(T105)&gt;180),"CAMINHO LONGO","OK"))</f>
      </c>
      <c r="AB105" s="3056">
        <f>IF(A105="","",IF(U105="","",IFERROR(INT(U105-TODAY()),"")))</f>
      </c>
      <c r="AC105" s="3056">
        <f>IF(A105="","",IF(AND(T105="",U105=""),"",IF(T105="","SEM CAMINHO",IF(U105="","SEM DATA",IFERROR(IF(AB105&lt;15,"VERMELHO",IF(AB105&lt;=30,"AMARELO","VERDE")),"DATA INVALIDA")))))</f>
      </c>
      <c r="AD105" s="3056">
        <f>IF(OR(A105="",U105="",NOT(ISNUMBER(AB105))),"",RANK(AB105,$AB$3:$AB$164,1)+COUNTIFS($AB$3:AB105,AB105)-1)</f>
      </c>
      <c r="AE105" s="1736"/>
    </row>
    <row r="106" spans="1:19" ht="22.0" hidden="false" customHeight="true" x14ac:dyDescent="0.25">
      <c r="A106" s="3052" t="s">
        <v>253</v>
      </c>
      <c r="B106" s="3051" t="s">
        <v>214</v>
      </c>
      <c r="C106" s="3051" t="s">
        <v>62</v>
      </c>
      <c r="D106" s="3057" t="s">
        <v>392</v>
      </c>
      <c r="E106" s="3051"/>
      <c r="F106" s="3051" t="s">
        <v>254</v>
      </c>
      <c r="G106" s="3051" t="s">
        <v>13</v>
      </c>
      <c r="H106" s="3051" t="s">
        <v>5</v>
      </c>
      <c r="I106" s="3051"/>
      <c r="J106" s="3051"/>
      <c r="K106" s="3051"/>
      <c r="L106" s="3051"/>
      <c r="M106" s="3051" t="s">
        <v>376</v>
      </c>
      <c r="N106" s="3051"/>
      <c r="O106" s="3051" t="s">
        <v>349</v>
      </c>
      <c r="P106" s="3051"/>
      <c r="Q106" s="3054"/>
      <c r="R106" s="3054"/>
      <c r="S106" s="3054"/>
      <c r="T106" s="3054"/>
      <c r="U106" s="3055"/>
      <c r="V106" s="3051"/>
      <c r="W106" s="3051"/>
      <c r="X106" s="3056">
        <f>IF(A106="","",IF(LEN(SUBSTITUTE(SUBSTITUTE(SUBSTITUTE(SUBSTITUTE(D106,".",""),"/",""),"-","")," ",""))&lt;&gt;14,"CNPJ INVALIDO","OK"))</f>
      </c>
      <c r="Y106" s="3056">
        <f>IF(A106="","",IF(R106="","REST PENDENTE","REST OK"))</f>
      </c>
      <c r="Z106" s="3056">
        <f>IF(A106="","",IF(AND(R106&lt;&gt;"",COUNTIFS($D$3:$D$164,D106,$R$3:$R$164,"&lt;&gt;")&gt;1),"DUPLICADO","OK"))</f>
      </c>
      <c r="AA106" s="3056">
        <f>IF(A106="","",IF(OR(LEN(Q106)&gt;180,LEN(R106)&gt;180,LEN(S106)&gt;180,LEN(T106)&gt;180),"CAMINHO LONGO","OK"))</f>
      </c>
      <c r="AB106" s="3056">
        <f>IF(A106="","",IF(U106="","",IFERROR(INT(U106-TODAY()),"")))</f>
      </c>
      <c r="AC106" s="3056">
        <f>IF(A106="","",IF(AND(T106="",U106=""),"",IF(T106="","SEM CAMINHO",IF(U106="","SEM DATA",IFERROR(IF(AB106&lt;15,"VERMELHO",IF(AB106&lt;=30,"AMARELO","VERDE")),"DATA INVALIDA")))))</f>
      </c>
      <c r="AD106" s="3056">
        <f>IF(OR(A106="",U106="",NOT(ISNUMBER(AB106))),"",RANK(AB106,$AB$3:$AB$164,1)+COUNTIFS($AB$3:AB106,AB106)-1)</f>
      </c>
      <c r="AE106" s="1736"/>
    </row>
    <row r="107" spans="1:19" ht="22.0" hidden="false" customHeight="true" x14ac:dyDescent="0.25">
      <c r="A107" s="3047" t="s">
        <v>255</v>
      </c>
      <c r="B107" s="3046" t="s">
        <v>214</v>
      </c>
      <c r="C107" s="3046" t="s">
        <v>62</v>
      </c>
      <c r="D107" s="3046" t="s">
        <v>393</v>
      </c>
      <c r="E107" s="3046"/>
      <c r="F107" s="3046" t="s">
        <v>254</v>
      </c>
      <c r="G107" s="3046" t="s">
        <v>13</v>
      </c>
      <c r="H107" s="3046" t="s">
        <v>49</v>
      </c>
      <c r="I107" s="3046"/>
      <c r="J107" s="3046"/>
      <c r="K107" s="3046"/>
      <c r="L107" s="3046"/>
      <c r="M107" s="3046" t="s">
        <v>389</v>
      </c>
      <c r="N107" s="3046"/>
      <c r="O107" s="3046" t="s">
        <v>349</v>
      </c>
      <c r="P107" s="3046"/>
      <c r="Q107" s="3049"/>
      <c r="R107" s="3049"/>
      <c r="S107" s="3049"/>
      <c r="T107" s="3049"/>
      <c r="U107" s="3050"/>
      <c r="V107" s="3046"/>
      <c r="W107" s="3046"/>
      <c r="X107" s="3056">
        <f>IF(A107="","",IF(LEN(SUBSTITUTE(SUBSTITUTE(SUBSTITUTE(SUBSTITUTE(D107,".",""),"/",""),"-","")," ",""))&lt;&gt;14,"CNPJ INVALIDO","OK"))</f>
      </c>
      <c r="Y107" s="3056">
        <f>IF(A107="","",IF(R107="","REST PENDENTE","REST OK"))</f>
      </c>
      <c r="Z107" s="3056">
        <f>IF(A107="","",IF(AND(R107&lt;&gt;"",COUNTIFS($D$3:$D$164,D107,$R$3:$R$164,"&lt;&gt;")&gt;1),"DUPLICADO","OK"))</f>
      </c>
      <c r="AA107" s="3056">
        <f>IF(A107="","",IF(OR(LEN(Q107)&gt;180,LEN(R107)&gt;180,LEN(S107)&gt;180,LEN(T107)&gt;180),"CAMINHO LONGO","OK"))</f>
      </c>
      <c r="AB107" s="3056">
        <f>IF(A107="","",IF(U107="","",IFERROR(INT(U107-TODAY()),"")))</f>
      </c>
      <c r="AC107" s="3056">
        <f>IF(A107="","",IF(AND(T107="",U107=""),"",IF(T107="","SEM CAMINHO",IF(U107="","SEM DATA",IFERROR(IF(AB107&lt;15,"VERMELHO",IF(AB107&lt;=30,"AMARELO","VERDE")),"DATA INVALIDA")))))</f>
      </c>
      <c r="AD107" s="3056">
        <f>IF(OR(A107="",U107="",NOT(ISNUMBER(AB107))),"",RANK(AB107,$AB$3:$AB$164,1)+COUNTIFS($AB$3:AB107,AB107)-1)</f>
      </c>
      <c r="AE107" s="1736"/>
    </row>
    <row r="108" spans="1:19" ht="22.0" hidden="false" customHeight="true" x14ac:dyDescent="0.25">
      <c r="A108" s="3052" t="s">
        <v>256</v>
      </c>
      <c r="B108" s="3051" t="s">
        <v>214</v>
      </c>
      <c r="C108" s="3051" t="s">
        <v>62</v>
      </c>
      <c r="D108" s="3051" t="s">
        <v>394</v>
      </c>
      <c r="E108" s="3051"/>
      <c r="F108" s="3051" t="s">
        <v>257</v>
      </c>
      <c r="G108" s="3051" t="s">
        <v>4</v>
      </c>
      <c r="H108" s="3051" t="s">
        <v>5</v>
      </c>
      <c r="I108" s="3051"/>
      <c r="J108" s="3051"/>
      <c r="K108" s="3051"/>
      <c r="L108" s="3051"/>
      <c r="M108" s="3051" t="s">
        <v>379</v>
      </c>
      <c r="N108" s="3051"/>
      <c r="O108" s="3051" t="s">
        <v>349</v>
      </c>
      <c r="P108" s="3051"/>
      <c r="Q108" s="3054"/>
      <c r="R108" s="3054"/>
      <c r="S108" s="3054"/>
      <c r="T108" s="3054"/>
      <c r="U108" s="3055"/>
      <c r="V108" s="3051"/>
      <c r="W108" s="3051"/>
      <c r="X108" s="3056">
        <f>IF(A108="","",IF(LEN(SUBSTITUTE(SUBSTITUTE(SUBSTITUTE(SUBSTITUTE(D108,".",""),"/",""),"-","")," ",""))&lt;&gt;14,"CNPJ INVALIDO","OK"))</f>
      </c>
      <c r="Y108" s="3056">
        <f>IF(A108="","",IF(R108="","REST PENDENTE","REST OK"))</f>
      </c>
      <c r="Z108" s="3056">
        <f>IF(A108="","",IF(AND(R108&lt;&gt;"",COUNTIFS($D$3:$D$164,D108,$R$3:$R$164,"&lt;&gt;")&gt;1),"DUPLICADO","OK"))</f>
      </c>
      <c r="AA108" s="3056">
        <f>IF(A108="","",IF(OR(LEN(Q108)&gt;180,LEN(R108)&gt;180,LEN(S108)&gt;180,LEN(T108)&gt;180),"CAMINHO LONGO","OK"))</f>
      </c>
      <c r="AB108" s="3056">
        <f>IF(A108="","",IF(U108="","",IFERROR(INT(U108-TODAY()),"")))</f>
      </c>
      <c r="AC108" s="3056">
        <f>IF(A108="","",IF(AND(T108="",U108=""),"",IF(T108="","SEM CAMINHO",IF(U108="","SEM DATA",IFERROR(IF(AB108&lt;15,"VERMELHO",IF(AB108&lt;=30,"AMARELO","VERDE")),"DATA INVALIDA")))))</f>
      </c>
      <c r="AD108" s="3056">
        <f>IF(OR(A108="",U108="",NOT(ISNUMBER(AB108))),"",RANK(AB108,$AB$3:$AB$164,1)+COUNTIFS($AB$3:AB108,AB108)-1)</f>
      </c>
      <c r="AE108" s="1736"/>
    </row>
    <row r="109" spans="1:19" ht="22.0" hidden="false" customHeight="true" x14ac:dyDescent="0.25">
      <c r="A109" s="3047" t="s">
        <v>258</v>
      </c>
      <c r="B109" s="3046" t="s">
        <v>259</v>
      </c>
      <c r="C109" s="3046" t="s">
        <v>69</v>
      </c>
      <c r="D109" s="3046" t="s">
        <v>260</v>
      </c>
      <c r="E109" s="3046"/>
      <c r="F109" s="3046" t="s">
        <v>261</v>
      </c>
      <c r="G109" s="3046" t="s">
        <v>4</v>
      </c>
      <c r="H109" s="3046" t="s">
        <v>5</v>
      </c>
      <c r="I109" s="3046"/>
      <c r="J109" s="3046"/>
      <c r="K109" s="3046"/>
      <c r="L109" s="3046"/>
      <c r="M109" s="3046" t="s">
        <v>371</v>
      </c>
      <c r="N109" s="3046"/>
      <c r="O109" s="3046"/>
      <c r="P109" s="3046"/>
      <c r="Q109" s="3049"/>
      <c r="R109" s="3049"/>
      <c r="S109" s="3049"/>
      <c r="T109" s="3049"/>
      <c r="U109" s="3050"/>
      <c r="V109" s="3046"/>
      <c r="W109" s="3046"/>
      <c r="X109" s="3056">
        <f>IF(A109="","",IF(LEN(SUBSTITUTE(SUBSTITUTE(SUBSTITUTE(SUBSTITUTE(D109,".",""),"/",""),"-","")," ",""))&lt;&gt;14,"CNPJ INVALIDO","OK"))</f>
      </c>
      <c r="Y109" s="3056">
        <f>IF(A109="","",IF(R109="","REST PENDENTE","REST OK"))</f>
      </c>
      <c r="Z109" s="3056">
        <f>IF(A109="","",IF(AND(R109&lt;&gt;"",COUNTIFS($D$3:$D$164,D109,$R$3:$R$164,"&lt;&gt;")&gt;1),"DUPLICADO","OK"))</f>
      </c>
      <c r="AA109" s="3056">
        <f>IF(A109="","",IF(OR(LEN(Q109)&gt;180,LEN(R109)&gt;180,LEN(S109)&gt;180,LEN(T109)&gt;180),"CAMINHO LONGO","OK"))</f>
      </c>
      <c r="AB109" s="3056">
        <f>IF(A109="","",IF(U109="","",IFERROR(INT(U109-TODAY()),"")))</f>
      </c>
      <c r="AC109" s="3056">
        <f>IF(A109="","",IF(AND(T109="",U109=""),"",IF(T109="","SEM CAMINHO",IF(U109="","SEM DATA",IFERROR(IF(AB109&lt;15,"VERMELHO",IF(AB109&lt;=30,"AMARELO","VERDE")),"DATA INVALIDA")))))</f>
      </c>
      <c r="AD109" s="3056">
        <f>IF(OR(A109="",U109="",NOT(ISNUMBER(AB109))),"",RANK(AB109,$AB$3:$AB$164,1)+COUNTIFS($AB$3:AB109,AB109)-1)</f>
      </c>
      <c r="AE109" s="1736"/>
    </row>
    <row r="110" spans="1:19" ht="22.0" hidden="false" customHeight="true" x14ac:dyDescent="0.25">
      <c r="A110" s="3052" t="s">
        <v>262</v>
      </c>
      <c r="B110" s="3051" t="s">
        <v>259</v>
      </c>
      <c r="C110" s="3051" t="s">
        <v>69</v>
      </c>
      <c r="D110" s="3051" t="s">
        <v>263</v>
      </c>
      <c r="E110" s="3051"/>
      <c r="F110" s="3051" t="s">
        <v>261</v>
      </c>
      <c r="G110" s="3051" t="s">
        <v>13</v>
      </c>
      <c r="H110" s="3051" t="s">
        <v>5</v>
      </c>
      <c r="I110" s="3051"/>
      <c r="J110" s="3051"/>
      <c r="K110" s="3051"/>
      <c r="L110" s="3051"/>
      <c r="M110" s="3051" t="s">
        <v>371</v>
      </c>
      <c r="N110" s="3051"/>
      <c r="O110" s="3051"/>
      <c r="P110" s="3051"/>
      <c r="Q110" s="3054"/>
      <c r="R110" s="3054"/>
      <c r="S110" s="3054"/>
      <c r="T110" s="3054"/>
      <c r="U110" s="3055"/>
      <c r="V110" s="3051"/>
      <c r="W110" s="3051"/>
      <c r="X110" s="3056">
        <f>IF(A110="","",IF(LEN(SUBSTITUTE(SUBSTITUTE(SUBSTITUTE(SUBSTITUTE(D110,".",""),"/",""),"-","")," ",""))&lt;&gt;14,"CNPJ INVALIDO","OK"))</f>
      </c>
      <c r="Y110" s="3056">
        <f>IF(A110="","",IF(R110="","REST PENDENTE","REST OK"))</f>
      </c>
      <c r="Z110" s="3056">
        <f>IF(A110="","",IF(AND(R110&lt;&gt;"",COUNTIFS($D$3:$D$164,D110,$R$3:$R$164,"&lt;&gt;")&gt;1),"DUPLICADO","OK"))</f>
      </c>
      <c r="AA110" s="3056">
        <f>IF(A110="","",IF(OR(LEN(Q110)&gt;180,LEN(R110)&gt;180,LEN(S110)&gt;180,LEN(T110)&gt;180),"CAMINHO LONGO","OK"))</f>
      </c>
      <c r="AB110" s="3056">
        <f>IF(A110="","",IF(U110="","",IFERROR(INT(U110-TODAY()),"")))</f>
      </c>
      <c r="AC110" s="3056">
        <f>IF(A110="","",IF(AND(T110="",U110=""),"",IF(T110="","SEM CAMINHO",IF(U110="","SEM DATA",IFERROR(IF(AB110&lt;15,"VERMELHO",IF(AB110&lt;=30,"AMARELO","VERDE")),"DATA INVALIDA")))))</f>
      </c>
      <c r="AD110" s="3056">
        <f>IF(OR(A110="",U110="",NOT(ISNUMBER(AB110))),"",RANK(AB110,$AB$3:$AB$164,1)+COUNTIFS($AB$3:AB110,AB110)-1)</f>
      </c>
      <c r="AE110" s="1736"/>
    </row>
    <row r="111" spans="1:19" ht="22.0" hidden="false" customHeight="true" x14ac:dyDescent="0.25">
      <c r="A111" s="3047" t="s">
        <v>264</v>
      </c>
      <c r="B111" s="3046" t="s">
        <v>159</v>
      </c>
      <c r="C111" s="3046" t="s">
        <v>69</v>
      </c>
      <c r="D111" s="3046" t="s">
        <v>265</v>
      </c>
      <c r="E111" s="3046"/>
      <c r="F111" s="3046" t="s">
        <v>266</v>
      </c>
      <c r="G111" s="3046" t="s">
        <v>13</v>
      </c>
      <c r="H111" s="3046" t="s">
        <v>5</v>
      </c>
      <c r="I111" s="3046"/>
      <c r="J111" s="3046"/>
      <c r="K111" s="3046"/>
      <c r="L111" s="3046"/>
      <c r="M111" s="3046" t="s">
        <v>389</v>
      </c>
      <c r="N111" s="3046"/>
      <c r="O111" s="3046" t="s">
        <v>363</v>
      </c>
      <c r="P111" s="3046"/>
      <c r="Q111" s="3049"/>
      <c r="R111" s="3049"/>
      <c r="S111" s="3049"/>
      <c r="T111" s="3049"/>
      <c r="U111" s="3050"/>
      <c r="V111" s="3046"/>
      <c r="W111" s="3046"/>
      <c r="X111" s="3056">
        <f>IF(A111="","",IF(LEN(SUBSTITUTE(SUBSTITUTE(SUBSTITUTE(SUBSTITUTE(D111,".",""),"/",""),"-","")," ",""))&lt;&gt;14,"CNPJ INVALIDO","OK"))</f>
      </c>
      <c r="Y111" s="3056">
        <f>IF(A111="","",IF(R111="","REST PENDENTE","REST OK"))</f>
      </c>
      <c r="Z111" s="3056">
        <f>IF(A111="","",IF(AND(R111&lt;&gt;"",COUNTIFS($D$3:$D$164,D111,$R$3:$R$164,"&lt;&gt;")&gt;1),"DUPLICADO","OK"))</f>
      </c>
      <c r="AA111" s="3056">
        <f>IF(A111="","",IF(OR(LEN(Q111)&gt;180,LEN(R111)&gt;180,LEN(S111)&gt;180,LEN(T111)&gt;180),"CAMINHO LONGO","OK"))</f>
      </c>
      <c r="AB111" s="3056">
        <f>IF(A111="","",IF(U111="","",IFERROR(INT(U111-TODAY()),"")))</f>
      </c>
      <c r="AC111" s="3056">
        <f>IF(A111="","",IF(AND(T111="",U111=""),"",IF(T111="","SEM CAMINHO",IF(U111="","SEM DATA",IFERROR(IF(AB111&lt;15,"VERMELHO",IF(AB111&lt;=30,"AMARELO","VERDE")),"DATA INVALIDA")))))</f>
      </c>
      <c r="AD111" s="3056">
        <f>IF(OR(A111="",U111="",NOT(ISNUMBER(AB111))),"",RANK(AB111,$AB$3:$AB$164,1)+COUNTIFS($AB$3:AB111,AB111)-1)</f>
      </c>
      <c r="AE111" s="1736"/>
    </row>
    <row r="112" spans="1:19" ht="22.0" hidden="false" customHeight="true" x14ac:dyDescent="0.25">
      <c r="A112" s="3052" t="s">
        <v>267</v>
      </c>
      <c r="B112" s="3051" t="s">
        <v>159</v>
      </c>
      <c r="C112" s="3051" t="s">
        <v>268</v>
      </c>
      <c r="D112" s="3051" t="s">
        <v>269</v>
      </c>
      <c r="E112" s="3051"/>
      <c r="F112" s="3051" t="s">
        <v>266</v>
      </c>
      <c r="G112" s="3051" t="s">
        <v>13</v>
      </c>
      <c r="H112" s="3051" t="s">
        <v>14</v>
      </c>
      <c r="I112" s="3051"/>
      <c r="J112" s="3051"/>
      <c r="K112" s="3051"/>
      <c r="L112" s="3051"/>
      <c r="M112" s="3051" t="s">
        <v>376</v>
      </c>
      <c r="N112" s="3051"/>
      <c r="O112" s="3051" t="s">
        <v>349</v>
      </c>
      <c r="P112" s="3051"/>
      <c r="Q112" s="3054"/>
      <c r="R112" s="3054"/>
      <c r="S112" s="3054"/>
      <c r="T112" s="3054"/>
      <c r="U112" s="3055"/>
      <c r="V112" s="3051"/>
      <c r="W112" s="3051"/>
      <c r="X112" s="3056">
        <f>IF(A112="","",IF(LEN(SUBSTITUTE(SUBSTITUTE(SUBSTITUTE(SUBSTITUTE(D112,".",""),"/",""),"-","")," ",""))&lt;&gt;14,"CNPJ INVALIDO","OK"))</f>
      </c>
      <c r="Y112" s="3056">
        <f>IF(A112="","",IF(R112="","REST PENDENTE","REST OK"))</f>
      </c>
      <c r="Z112" s="3056">
        <f>IF(A112="","",IF(AND(R112&lt;&gt;"",COUNTIFS($D$3:$D$164,D112,$R$3:$R$164,"&lt;&gt;")&gt;1),"DUPLICADO","OK"))</f>
      </c>
      <c r="AA112" s="3056">
        <f>IF(A112="","",IF(OR(LEN(Q112)&gt;180,LEN(R112)&gt;180,LEN(S112)&gt;180,LEN(T112)&gt;180),"CAMINHO LONGO","OK"))</f>
      </c>
      <c r="AB112" s="3056">
        <f>IF(A112="","",IF(U112="","",IFERROR(INT(U112-TODAY()),"")))</f>
      </c>
      <c r="AC112" s="3056">
        <f>IF(A112="","",IF(AND(T112="",U112=""),"",IF(T112="","SEM CAMINHO",IF(U112="","SEM DATA",IFERROR(IF(AB112&lt;15,"VERMELHO",IF(AB112&lt;=30,"AMARELO","VERDE")),"DATA INVALIDA")))))</f>
      </c>
      <c r="AD112" s="3056">
        <f>IF(OR(A112="",U112="",NOT(ISNUMBER(AB112))),"",RANK(AB112,$AB$3:$AB$164,1)+COUNTIFS($AB$3:AB112,AB112)-1)</f>
      </c>
      <c r="AE112" s="1736"/>
    </row>
    <row r="113" spans="1:19" ht="22.0" hidden="false" customHeight="true" x14ac:dyDescent="0.25">
      <c r="A113" s="3047" t="s">
        <v>270</v>
      </c>
      <c r="B113" s="3046" t="s">
        <v>271</v>
      </c>
      <c r="C113" s="3046"/>
      <c r="D113" s="3046" t="s">
        <v>272</v>
      </c>
      <c r="E113" s="3046"/>
      <c r="F113" s="3046" t="s">
        <v>273</v>
      </c>
      <c r="G113" s="3046" t="s">
        <v>41</v>
      </c>
      <c r="H113" s="3046" t="s">
        <v>49</v>
      </c>
      <c r="I113" s="3046"/>
      <c r="J113" s="3046"/>
      <c r="K113" s="3046"/>
      <c r="L113" s="3046"/>
      <c r="M113" s="3046" t="s">
        <v>379</v>
      </c>
      <c r="N113" s="3046"/>
      <c r="O113" s="3046" t="s">
        <v>364</v>
      </c>
      <c r="P113" s="3046"/>
      <c r="Q113" s="3049"/>
      <c r="R113" s="3049"/>
      <c r="S113" s="3049"/>
      <c r="T113" s="3049"/>
      <c r="U113" s="3050"/>
      <c r="V113" s="3046"/>
      <c r="W113" s="3046"/>
      <c r="X113" s="3056">
        <f>IF(A113="","",IF(LEN(SUBSTITUTE(SUBSTITUTE(SUBSTITUTE(SUBSTITUTE(D113,".",""),"/",""),"-","")," ",""))&lt;&gt;14,"CNPJ INVALIDO","OK"))</f>
      </c>
      <c r="Y113" s="3056">
        <f>IF(A113="","",IF(R113="","REST PENDENTE","REST OK"))</f>
      </c>
      <c r="Z113" s="3056">
        <f>IF(A113="","",IF(AND(R113&lt;&gt;"",COUNTIFS($D$3:$D$164,D113,$R$3:$R$164,"&lt;&gt;")&gt;1),"DUPLICADO","OK"))</f>
      </c>
      <c r="AA113" s="3056">
        <f>IF(A113="","",IF(OR(LEN(Q113)&gt;180,LEN(R113)&gt;180,LEN(S113)&gt;180,LEN(T113)&gt;180),"CAMINHO LONGO","OK"))</f>
      </c>
      <c r="AB113" s="3056">
        <f>IF(A113="","",IF(U113="","",IFERROR(INT(U113-TODAY()),"")))</f>
      </c>
      <c r="AC113" s="3056">
        <f>IF(A113="","",IF(AND(T113="",U113=""),"",IF(T113="","SEM CAMINHO",IF(U113="","SEM DATA",IFERROR(IF(AB113&lt;15,"VERMELHO",IF(AB113&lt;=30,"AMARELO","VERDE")),"DATA INVALIDA")))))</f>
      </c>
      <c r="AD113" s="3056">
        <f>IF(OR(A113="",U113="",NOT(ISNUMBER(AB113))),"",RANK(AB113,$AB$3:$AB$164,1)+COUNTIFS($AB$3:AB113,AB113)-1)</f>
      </c>
      <c r="AE113" s="1736"/>
    </row>
    <row r="114" spans="1:19" ht="22.0" hidden="false" customHeight="true" x14ac:dyDescent="0.25">
      <c r="A114" s="3052" t="s">
        <v>274</v>
      </c>
      <c r="B114" s="3051" t="s">
        <v>134</v>
      </c>
      <c r="C114" s="3051" t="s">
        <v>122</v>
      </c>
      <c r="D114" s="3051" t="s">
        <v>395</v>
      </c>
      <c r="E114" s="3051"/>
      <c r="F114" s="3051" t="s">
        <v>275</v>
      </c>
      <c r="G114" s="3051" t="s">
        <v>4</v>
      </c>
      <c r="H114" s="3051" t="s">
        <v>5</v>
      </c>
      <c r="I114" s="3051"/>
      <c r="J114" s="3051"/>
      <c r="K114" s="3051"/>
      <c r="L114" s="3051"/>
      <c r="M114" s="3051" t="s">
        <v>379</v>
      </c>
      <c r="N114" s="3051"/>
      <c r="O114" s="3051" t="s">
        <v>365</v>
      </c>
      <c r="P114" s="3051"/>
      <c r="Q114" s="3054"/>
      <c r="R114" s="3054"/>
      <c r="S114" s="3054"/>
      <c r="T114" s="3054"/>
      <c r="U114" s="3055"/>
      <c r="V114" s="3051"/>
      <c r="W114" s="3051"/>
      <c r="X114" s="3056">
        <f>IF(A114="","",IF(LEN(SUBSTITUTE(SUBSTITUTE(SUBSTITUTE(SUBSTITUTE(D114,".",""),"/",""),"-","")," ",""))&lt;&gt;14,"CNPJ INVALIDO","OK"))</f>
      </c>
      <c r="Y114" s="3056">
        <f>IF(A114="","",IF(R114="","REST PENDENTE","REST OK"))</f>
      </c>
      <c r="Z114" s="3056">
        <f>IF(A114="","",IF(AND(R114&lt;&gt;"",COUNTIFS($D$3:$D$164,D114,$R$3:$R$164,"&lt;&gt;")&gt;1),"DUPLICADO","OK"))</f>
      </c>
      <c r="AA114" s="3056">
        <f>IF(A114="","",IF(OR(LEN(Q114)&gt;180,LEN(R114)&gt;180,LEN(S114)&gt;180,LEN(T114)&gt;180),"CAMINHO LONGO","OK"))</f>
      </c>
      <c r="AB114" s="3056">
        <f>IF(A114="","",IF(U114="","",IFERROR(INT(U114-TODAY()),"")))</f>
      </c>
      <c r="AC114" s="3056">
        <f>IF(A114="","",IF(AND(T114="",U114=""),"",IF(T114="","SEM CAMINHO",IF(U114="","SEM DATA",IFERROR(IF(AB114&lt;15,"VERMELHO",IF(AB114&lt;=30,"AMARELO","VERDE")),"DATA INVALIDA")))))</f>
      </c>
      <c r="AD114" s="3056">
        <f>IF(OR(A114="",U114="",NOT(ISNUMBER(AB114))),"",RANK(AB114,$AB$3:$AB$164,1)+COUNTIFS($AB$3:AB114,AB114)-1)</f>
      </c>
      <c r="AE114" s="1736"/>
    </row>
    <row r="115" spans="1:19" ht="22.0" hidden="false" customHeight="true" x14ac:dyDescent="0.25">
      <c r="A115" s="3047" t="s">
        <v>276</v>
      </c>
      <c r="B115" s="3046" t="s">
        <v>182</v>
      </c>
      <c r="C115" s="3046" t="s">
        <v>83</v>
      </c>
      <c r="D115" s="3046" t="s">
        <v>396</v>
      </c>
      <c r="E115" s="3046"/>
      <c r="F115" s="3046" t="s">
        <v>225</v>
      </c>
      <c r="G115" s="3046" t="s">
        <v>4</v>
      </c>
      <c r="H115" s="3046" t="s">
        <v>5</v>
      </c>
      <c r="I115" s="3046"/>
      <c r="J115" s="3046"/>
      <c r="K115" s="3046"/>
      <c r="L115" s="3046"/>
      <c r="M115" s="3046" t="s">
        <v>376</v>
      </c>
      <c r="N115" s="3046"/>
      <c r="O115" s="3046" t="s">
        <v>365</v>
      </c>
      <c r="P115" s="3046"/>
      <c r="Q115" s="3049"/>
      <c r="R115" s="3049"/>
      <c r="S115" s="3049"/>
      <c r="T115" s="3049"/>
      <c r="U115" s="3050"/>
      <c r="V115" s="3046"/>
      <c r="W115" s="3046"/>
      <c r="X115" s="3056">
        <f>IF(A115="","",IF(LEN(SUBSTITUTE(SUBSTITUTE(SUBSTITUTE(SUBSTITUTE(D115,".",""),"/",""),"-","")," ",""))&lt;&gt;14,"CNPJ INVALIDO","OK"))</f>
      </c>
      <c r="Y115" s="3056">
        <f>IF(A115="","",IF(R115="","REST PENDENTE","REST OK"))</f>
      </c>
      <c r="Z115" s="3056">
        <f>IF(A115="","",IF(AND(R115&lt;&gt;"",COUNTIFS($D$3:$D$164,D115,$R$3:$R$164,"&lt;&gt;")&gt;1),"DUPLICADO","OK"))</f>
      </c>
      <c r="AA115" s="3056">
        <f>IF(A115="","",IF(OR(LEN(Q115)&gt;180,LEN(R115)&gt;180,LEN(S115)&gt;180,LEN(T115)&gt;180),"CAMINHO LONGO","OK"))</f>
      </c>
      <c r="AB115" s="3056">
        <f>IF(A115="","",IF(U115="","",IFERROR(INT(U115-TODAY()),"")))</f>
      </c>
      <c r="AC115" s="3056">
        <f>IF(A115="","",IF(AND(T115="",U115=""),"",IF(T115="","SEM CAMINHO",IF(U115="","SEM DATA",IFERROR(IF(AB115&lt;15,"VERMELHO",IF(AB115&lt;=30,"AMARELO","VERDE")),"DATA INVALIDA")))))</f>
      </c>
      <c r="AD115" s="3056">
        <f>IF(OR(A115="",U115="",NOT(ISNUMBER(AB115))),"",RANK(AB115,$AB$3:$AB$164,1)+COUNTIFS($AB$3:AB115,AB115)-1)</f>
      </c>
      <c r="AE115" s="1736"/>
    </row>
    <row r="116" spans="1:19" ht="22.0" hidden="false" customHeight="true" x14ac:dyDescent="0.25">
      <c r="A116" s="3052" t="s">
        <v>277</v>
      </c>
      <c r="B116" s="3051" t="s">
        <v>211</v>
      </c>
      <c r="C116" s="3051" t="s">
        <v>69</v>
      </c>
      <c r="D116" s="3051" t="s">
        <v>278</v>
      </c>
      <c r="E116" s="3051"/>
      <c r="F116" s="3051" t="s">
        <v>279</v>
      </c>
      <c r="G116" s="3051" t="s">
        <v>13</v>
      </c>
      <c r="H116" s="3051" t="s">
        <v>49</v>
      </c>
      <c r="I116" s="3051">
        <v>46147</v>
      </c>
      <c r="J116" s="3051"/>
      <c r="K116" s="3051"/>
      <c r="L116" s="3051"/>
      <c r="M116" s="3051" t="s">
        <v>366</v>
      </c>
      <c r="N116" s="3051"/>
      <c r="O116" s="3051" t="s">
        <v>363</v>
      </c>
      <c r="P116" s="3051"/>
      <c r="Q116" s="3054"/>
      <c r="R116" s="3054"/>
      <c r="S116" s="3054"/>
      <c r="T116" s="3054"/>
      <c r="U116" s="3055"/>
      <c r="V116" s="3051"/>
      <c r="W116" s="3051"/>
      <c r="X116" s="3056">
        <f>IF(A116="","",IF(LEN(SUBSTITUTE(SUBSTITUTE(SUBSTITUTE(SUBSTITUTE(D116,".",""),"/",""),"-","")," ",""))&lt;&gt;14,"CNPJ INVALIDO","OK"))</f>
      </c>
      <c r="Y116" s="3056">
        <f>IF(A116="","",IF(R116="","REST PENDENTE","REST OK"))</f>
      </c>
      <c r="Z116" s="3056">
        <f>IF(A116="","",IF(AND(R116&lt;&gt;"",COUNTIFS($D$3:$D$164,D116,$R$3:$R$164,"&lt;&gt;")&gt;1),"DUPLICADO","OK"))</f>
      </c>
      <c r="AA116" s="3056">
        <f>IF(A116="","",IF(OR(LEN(Q116)&gt;180,LEN(R116)&gt;180,LEN(S116)&gt;180,LEN(T116)&gt;180),"CAMINHO LONGO","OK"))</f>
      </c>
      <c r="AB116" s="3056">
        <f>IF(A116="","",IF(U116="","",IFERROR(INT(U116-TODAY()),"")))</f>
      </c>
      <c r="AC116" s="3056">
        <f>IF(A116="","",IF(AND(T116="",U116=""),"",IF(T116="","SEM CAMINHO",IF(U116="","SEM DATA",IFERROR(IF(AB116&lt;15,"VERMELHO",IF(AB116&lt;=30,"AMARELO","VERDE")),"DATA INVALIDA")))))</f>
      </c>
      <c r="AD116" s="3056">
        <f>IF(OR(A116="",U116="",NOT(ISNUMBER(AB116))),"",RANK(AB116,$AB$3:$AB$164,1)+COUNTIFS($AB$3:AB116,AB116)-1)</f>
      </c>
      <c r="AE116" s="1736"/>
    </row>
    <row r="117" spans="1:19" ht="22.0" hidden="false" customHeight="true" x14ac:dyDescent="0.25">
      <c r="A117" s="3047" t="s">
        <v>280</v>
      </c>
      <c r="B117" s="3046" t="s">
        <v>162</v>
      </c>
      <c r="C117" s="3046" t="s">
        <v>281</v>
      </c>
      <c r="D117" s="3046" t="s">
        <v>282</v>
      </c>
      <c r="E117" s="3046"/>
      <c r="F117" s="3046"/>
      <c r="G117" s="3046" t="s">
        <v>4</v>
      </c>
      <c r="H117" s="3046" t="s">
        <v>49</v>
      </c>
      <c r="I117" s="3046"/>
      <c r="J117" s="3046"/>
      <c r="K117" s="3046"/>
      <c r="L117" s="3046"/>
      <c r="M117" s="3046" t="s">
        <v>376</v>
      </c>
      <c r="N117" s="3046" t="s">
        <v>362</v>
      </c>
      <c r="O117" s="3046" t="s">
        <v>365</v>
      </c>
      <c r="P117" s="3046"/>
      <c r="Q117" s="3049"/>
      <c r="R117" s="3049"/>
      <c r="S117" s="3049"/>
      <c r="T117" s="3049"/>
      <c r="U117" s="3050"/>
      <c r="V117" s="3046"/>
      <c r="W117" s="3046"/>
      <c r="X117" s="3056">
        <f>IF(A117="","",IF(LEN(SUBSTITUTE(SUBSTITUTE(SUBSTITUTE(SUBSTITUTE(D117,".",""),"/",""),"-","")," ",""))&lt;&gt;14,"CNPJ INVALIDO","OK"))</f>
      </c>
      <c r="Y117" s="3056">
        <f>IF(A117="","",IF(R117="","REST PENDENTE","REST OK"))</f>
      </c>
      <c r="Z117" s="3056">
        <f>IF(A117="","",IF(AND(R117&lt;&gt;"",COUNTIFS($D$3:$D$164,D117,$R$3:$R$164,"&lt;&gt;")&gt;1),"DUPLICADO","OK"))</f>
      </c>
      <c r="AA117" s="3056">
        <f>IF(A117="","",IF(OR(LEN(Q117)&gt;180,LEN(R117)&gt;180,LEN(S117)&gt;180,LEN(T117)&gt;180),"CAMINHO LONGO","OK"))</f>
      </c>
      <c r="AB117" s="3056">
        <f>IF(A117="","",IF(U117="","",IFERROR(INT(U117-TODAY()),"")))</f>
      </c>
      <c r="AC117" s="3056">
        <f>IF(A117="","",IF(AND(T117="",U117=""),"",IF(T117="","SEM CAMINHO",IF(U117="","SEM DATA",IFERROR(IF(AB117&lt;15,"VERMELHO",IF(AB117&lt;=30,"AMARELO","VERDE")),"DATA INVALIDA")))))</f>
      </c>
      <c r="AD117" s="3056">
        <f>IF(OR(A117="",U117="",NOT(ISNUMBER(AB117))),"",RANK(AB117,$AB$3:$AB$164,1)+COUNTIFS($AB$3:AB117,AB117)-1)</f>
      </c>
      <c r="AE117" s="1736"/>
    </row>
    <row r="118" spans="1:19" ht="22.0" hidden="false" customHeight="true" x14ac:dyDescent="0.25">
      <c r="A118" s="3052" t="s">
        <v>283</v>
      </c>
      <c r="B118" s="3051" t="s">
        <v>75</v>
      </c>
      <c r="C118" s="3051" t="s">
        <v>62</v>
      </c>
      <c r="D118" s="3051" t="s">
        <v>397</v>
      </c>
      <c r="E118" s="3051"/>
      <c r="F118" s="3051" t="s">
        <v>284</v>
      </c>
      <c r="G118" s="3051" t="s">
        <v>4</v>
      </c>
      <c r="H118" s="3051" t="s">
        <v>14</v>
      </c>
      <c r="I118" s="3051"/>
      <c r="J118" s="3051"/>
      <c r="K118" s="3051"/>
      <c r="L118" s="3051"/>
      <c r="M118" s="3051" t="s">
        <v>389</v>
      </c>
      <c r="N118" s="3051"/>
      <c r="O118" s="3051" t="s">
        <v>365</v>
      </c>
      <c r="P118" s="3051"/>
      <c r="Q118" s="3054"/>
      <c r="R118" s="3053" t="s">
        <v>403</v>
      </c>
      <c r="S118" s="3054"/>
      <c r="T118" s="3054"/>
      <c r="U118" s="3055"/>
      <c r="V118" s="3051"/>
      <c r="W118" s="3051"/>
      <c r="X118" s="3056">
        <f>IF(A118="","",IF(LEN(SUBSTITUTE(SUBSTITUTE(SUBSTITUTE(SUBSTITUTE(D118,".",""),"/",""),"-","")," ",""))&lt;&gt;14,"CNPJ INVALIDO","OK"))</f>
      </c>
      <c r="Y118" s="3056">
        <f>IF(A118="","",IF(R118="","REST PENDENTE","REST OK"))</f>
      </c>
      <c r="Z118" s="3056">
        <f>IF(A118="","",IF(AND(R118&lt;&gt;"",COUNTIFS($D$3:$D$164,D118,$R$3:$R$164,"&lt;&gt;")&gt;1),"DUPLICADO","OK"))</f>
      </c>
      <c r="AA118" s="3056">
        <f>IF(A118="","",IF(OR(LEN(Q118)&gt;180,LEN(R118)&gt;180,LEN(S118)&gt;180,LEN(T118)&gt;180),"CAMINHO LONGO","OK"))</f>
      </c>
      <c r="AB118" s="3056">
        <f>IF(A118="","",IF(U118="","",IFERROR(INT(U118-TODAY()),"")))</f>
      </c>
      <c r="AC118" s="3056">
        <f>IF(A118="","",IF(AND(T118="",U118=""),"",IF(T118="","SEM CAMINHO",IF(U118="","SEM DATA",IFERROR(IF(AB118&lt;15,"VERMELHO",IF(AB118&lt;=30,"AMARELO","VERDE")),"DATA INVALIDA")))))</f>
      </c>
      <c r="AD118" s="3056">
        <f>IF(OR(A118="",U118="",NOT(ISNUMBER(AB118))),"",RANK(AB118,$AB$3:$AB$164,1)+COUNTIFS($AB$3:AB118,AB118)-1)</f>
      </c>
      <c r="AE118" s="1736"/>
    </row>
    <row r="119" spans="1:19" ht="22.0" hidden="false" customHeight="true" x14ac:dyDescent="0.25">
      <c r="A119" s="3047" t="s">
        <v>285</v>
      </c>
      <c r="B119" s="3046" t="s">
        <v>286</v>
      </c>
      <c r="C119" s="3046"/>
      <c r="D119" s="3046" t="s">
        <v>398</v>
      </c>
      <c r="E119" s="3046"/>
      <c r="F119" s="3046" t="s">
        <v>287</v>
      </c>
      <c r="G119" s="3046" t="s">
        <v>4</v>
      </c>
      <c r="H119" s="3046" t="s">
        <v>49</v>
      </c>
      <c r="I119" s="3046"/>
      <c r="J119" s="3046"/>
      <c r="K119" s="3046"/>
      <c r="L119" s="3046"/>
      <c r="M119" s="3046" t="s">
        <v>379</v>
      </c>
      <c r="N119" s="3046"/>
      <c r="O119" s="3046" t="s">
        <v>365</v>
      </c>
      <c r="P119" s="3046"/>
      <c r="Q119" s="3049"/>
      <c r="R119" s="3049"/>
      <c r="S119" s="3049"/>
      <c r="T119" s="3049"/>
      <c r="U119" s="3050"/>
      <c r="V119" s="3046"/>
      <c r="W119" s="3046"/>
      <c r="X119" s="3056">
        <f>IF(A119="","",IF(LEN(SUBSTITUTE(SUBSTITUTE(SUBSTITUTE(SUBSTITUTE(D119,".",""),"/",""),"-","")," ",""))&lt;&gt;14,"CNPJ INVALIDO","OK"))</f>
      </c>
      <c r="Y119" s="3056">
        <f>IF(A119="","",IF(R119="","REST PENDENTE","REST OK"))</f>
      </c>
      <c r="Z119" s="3056">
        <f>IF(A119="","",IF(AND(R119&lt;&gt;"",COUNTIFS($D$3:$D$164,D119,$R$3:$R$164,"&lt;&gt;")&gt;1),"DUPLICADO","OK"))</f>
      </c>
      <c r="AA119" s="3056">
        <f>IF(A119="","",IF(OR(LEN(Q119)&gt;180,LEN(R119)&gt;180,LEN(S119)&gt;180,LEN(T119)&gt;180),"CAMINHO LONGO","OK"))</f>
      </c>
      <c r="AB119" s="3056">
        <f>IF(A119="","",IF(U119="","",IFERROR(INT(U119-TODAY()),"")))</f>
      </c>
      <c r="AC119" s="3056">
        <f>IF(A119="","",IF(AND(T119="",U119=""),"",IF(T119="","SEM CAMINHO",IF(U119="","SEM DATA",IFERROR(IF(AB119&lt;15,"VERMELHO",IF(AB119&lt;=30,"AMARELO","VERDE")),"DATA INVALIDA")))))</f>
      </c>
      <c r="AD119" s="3056">
        <f>IF(OR(A119="",U119="",NOT(ISNUMBER(AB119))),"",RANK(AB119,$AB$3:$AB$164,1)+COUNTIFS($AB$3:AB119,AB119)-1)</f>
      </c>
      <c r="AE119" s="1736"/>
    </row>
    <row r="120" spans="1:19" ht="22.0" hidden="false" customHeight="true" x14ac:dyDescent="0.25">
      <c r="A120" s="3052" t="s">
        <v>288</v>
      </c>
      <c r="B120" s="3051" t="s">
        <v>286</v>
      </c>
      <c r="C120" s="3051" t="s">
        <v>69</v>
      </c>
      <c r="D120" s="3057" t="s">
        <v>289</v>
      </c>
      <c r="E120" s="3051"/>
      <c r="F120" s="3051" t="s">
        <v>290</v>
      </c>
      <c r="G120" s="3051" t="s">
        <v>13</v>
      </c>
      <c r="H120" s="3051" t="s">
        <v>49</v>
      </c>
      <c r="I120" s="3051"/>
      <c r="J120" s="3051"/>
      <c r="K120" s="3051"/>
      <c r="L120" s="3051"/>
      <c r="M120" s="3051" t="s">
        <v>376</v>
      </c>
      <c r="N120" s="3051"/>
      <c r="O120" s="3051" t="s">
        <v>365</v>
      </c>
      <c r="P120" s="3051"/>
      <c r="Q120" s="3054"/>
      <c r="R120" s="3054"/>
      <c r="S120" s="3054"/>
      <c r="T120" s="3054"/>
      <c r="U120" s="3055"/>
      <c r="V120" s="3051"/>
      <c r="W120" s="3051"/>
      <c r="X120" s="3056">
        <f>IF(A120="","",IF(LEN(SUBSTITUTE(SUBSTITUTE(SUBSTITUTE(SUBSTITUTE(D120,".",""),"/",""),"-","")," ",""))&lt;&gt;14,"CNPJ INVALIDO","OK"))</f>
      </c>
      <c r="Y120" s="3056">
        <f>IF(A120="","",IF(R120="","REST PENDENTE","REST OK"))</f>
      </c>
      <c r="Z120" s="3056">
        <f>IF(A120="","",IF(AND(R120&lt;&gt;"",COUNTIFS($D$3:$D$164,D120,$R$3:$R$164,"&lt;&gt;")&gt;1),"DUPLICADO","OK"))</f>
      </c>
      <c r="AA120" s="3056">
        <f>IF(A120="","",IF(OR(LEN(Q120)&gt;180,LEN(R120)&gt;180,LEN(S120)&gt;180,LEN(T120)&gt;180),"CAMINHO LONGO","OK"))</f>
      </c>
      <c r="AB120" s="3056">
        <f>IF(A120="","",IF(U120="","",IFERROR(INT(U120-TODAY()),"")))</f>
      </c>
      <c r="AC120" s="3056">
        <f>IF(A120="","",IF(AND(T120="",U120=""),"",IF(T120="","SEM CAMINHO",IF(U120="","SEM DATA",IFERROR(IF(AB120&lt;15,"VERMELHO",IF(AB120&lt;=30,"AMARELO","VERDE")),"DATA INVALIDA")))))</f>
      </c>
      <c r="AD120" s="3056">
        <f>IF(OR(A120="",U120="",NOT(ISNUMBER(AB120))),"",RANK(AB120,$AB$3:$AB$164,1)+COUNTIFS($AB$3:AB120,AB120)-1)</f>
      </c>
      <c r="AE120" s="1736"/>
    </row>
    <row r="121" spans="1:19" ht="22.0" hidden="false" customHeight="true" x14ac:dyDescent="0.25">
      <c r="A121" s="3047" t="s">
        <v>291</v>
      </c>
      <c r="B121" s="3046" t="s">
        <v>75</v>
      </c>
      <c r="C121" s="3046" t="s">
        <v>69</v>
      </c>
      <c r="D121" s="3046" t="s">
        <v>292</v>
      </c>
      <c r="E121" s="3046"/>
      <c r="F121" s="3046"/>
      <c r="G121" s="3046"/>
      <c r="H121" s="3046"/>
      <c r="I121" s="3046"/>
      <c r="J121" s="3046"/>
      <c r="K121" s="3046"/>
      <c r="L121" s="3046"/>
      <c r="M121" s="3046" t="s">
        <v>371</v>
      </c>
      <c r="N121" s="3046"/>
      <c r="O121" s="3046"/>
      <c r="P121" s="3046"/>
      <c r="Q121" s="3049"/>
      <c r="R121" s="3049"/>
      <c r="S121" s="3049"/>
      <c r="T121" s="3049"/>
      <c r="U121" s="3050"/>
      <c r="V121" s="3046"/>
      <c r="W121" s="3046"/>
      <c r="X121" s="3056">
        <f>IF(A121="","",IF(LEN(SUBSTITUTE(SUBSTITUTE(SUBSTITUTE(SUBSTITUTE(D121,".",""),"/",""),"-","")," ",""))&lt;&gt;14,"CNPJ INVALIDO","OK"))</f>
      </c>
      <c r="Y121" s="3056">
        <f>IF(A121="","",IF(R121="","REST PENDENTE","REST OK"))</f>
      </c>
      <c r="Z121" s="3056">
        <f>IF(A121="","",IF(AND(R121&lt;&gt;"",COUNTIFS($D$3:$D$164,D121,$R$3:$R$164,"&lt;&gt;")&gt;1),"DUPLICADO","OK"))</f>
      </c>
      <c r="AA121" s="3056">
        <f>IF(A121="","",IF(OR(LEN(Q121)&gt;180,LEN(R121)&gt;180,LEN(S121)&gt;180,LEN(T121)&gt;180),"CAMINHO LONGO","OK"))</f>
      </c>
      <c r="AB121" s="3056">
        <f>IF(A121="","",IF(U121="","",IFERROR(INT(U121-TODAY()),"")))</f>
      </c>
      <c r="AC121" s="3056">
        <f>IF(A121="","",IF(AND(T121="",U121=""),"",IF(T121="","SEM CAMINHO",IF(U121="","SEM DATA",IFERROR(IF(AB121&lt;15,"VERMELHO",IF(AB121&lt;=30,"AMARELO","VERDE")),"DATA INVALIDA")))))</f>
      </c>
      <c r="AD121" s="3056">
        <f>IF(OR(A121="",U121="",NOT(ISNUMBER(AB121))),"",RANK(AB121,$AB$3:$AB$164,1)+COUNTIFS($AB$3:AB121,AB121)-1)</f>
      </c>
      <c r="AE121" s="1736"/>
    </row>
    <row r="122" spans="1:19" ht="22.0" hidden="false" customHeight="true" x14ac:dyDescent="0.25">
      <c r="A122" s="3052" t="s">
        <v>293</v>
      </c>
      <c r="B122" s="3051" t="s">
        <v>227</v>
      </c>
      <c r="C122" s="3051" t="s">
        <v>116</v>
      </c>
      <c r="D122" s="3051" t="s">
        <v>294</v>
      </c>
      <c r="E122" s="3051"/>
      <c r="F122" s="3051" t="s">
        <v>228</v>
      </c>
      <c r="G122" s="3051" t="s">
        <v>13</v>
      </c>
      <c r="H122" s="3051" t="s">
        <v>14</v>
      </c>
      <c r="I122" s="3051"/>
      <c r="J122" s="3051"/>
      <c r="K122" s="3051"/>
      <c r="L122" s="3051"/>
      <c r="M122" s="3051" t="s">
        <v>368</v>
      </c>
      <c r="N122" s="3051"/>
      <c r="O122" s="3051" t="s">
        <v>369</v>
      </c>
      <c r="P122" s="3051"/>
      <c r="Q122" s="3054"/>
      <c r="R122" s="3054"/>
      <c r="S122" s="3054"/>
      <c r="T122" s="3054"/>
      <c r="U122" s="3055"/>
      <c r="V122" s="3051"/>
      <c r="W122" s="3051"/>
      <c r="X122" s="3056">
        <f>IF(A122="","",IF(LEN(SUBSTITUTE(SUBSTITUTE(SUBSTITUTE(SUBSTITUTE(D122,".",""),"/",""),"-","")," ",""))&lt;&gt;14,"CNPJ INVALIDO","OK"))</f>
      </c>
      <c r="Y122" s="3056">
        <f>IF(A122="","",IF(R122="","REST PENDENTE","REST OK"))</f>
      </c>
      <c r="Z122" s="3056">
        <f>IF(A122="","",IF(AND(R122&lt;&gt;"",COUNTIFS($D$3:$D$164,D122,$R$3:$R$164,"&lt;&gt;")&gt;1),"DUPLICADO","OK"))</f>
      </c>
      <c r="AA122" s="3056">
        <f>IF(A122="","",IF(OR(LEN(Q122)&gt;180,LEN(R122)&gt;180,LEN(S122)&gt;180,LEN(T122)&gt;180),"CAMINHO LONGO","OK"))</f>
      </c>
      <c r="AB122" s="3056">
        <f>IF(A122="","",IF(U122="","",IFERROR(INT(U122-TODAY()),"")))</f>
      </c>
      <c r="AC122" s="3056">
        <f>IF(A122="","",IF(AND(T122="",U122=""),"",IF(T122="","SEM CAMINHO",IF(U122="","SEM DATA",IFERROR(IF(AB122&lt;15,"VERMELHO",IF(AB122&lt;=30,"AMARELO","VERDE")),"DATA INVALIDA")))))</f>
      </c>
      <c r="AD122" s="3056">
        <f>IF(OR(A122="",U122="",NOT(ISNUMBER(AB122))),"",RANK(AB122,$AB$3:$AB$164,1)+COUNTIFS($AB$3:AB122,AB122)-1)</f>
      </c>
      <c r="AE122" s="1736"/>
    </row>
    <row r="123" spans="1:19" ht="22.0" hidden="false" customHeight="true" x14ac:dyDescent="0.25">
      <c r="A123" s="3047" t="s">
        <v>295</v>
      </c>
      <c r="B123" s="3046" t="s">
        <v>45</v>
      </c>
      <c r="C123" s="3046" t="s">
        <v>296</v>
      </c>
      <c r="D123" s="3046" t="s">
        <v>297</v>
      </c>
      <c r="E123" s="3046"/>
      <c r="F123" s="3046" t="s">
        <v>48</v>
      </c>
      <c r="G123" s="3046" t="s">
        <v>13</v>
      </c>
      <c r="H123" s="3046" t="s">
        <v>14</v>
      </c>
      <c r="I123" s="3046"/>
      <c r="J123" s="3046"/>
      <c r="K123" s="3046"/>
      <c r="L123" s="3046"/>
      <c r="M123" s="3046" t="s">
        <v>371</v>
      </c>
      <c r="N123" s="3046"/>
      <c r="O123" s="3046" t="s">
        <v>367</v>
      </c>
      <c r="P123" s="3046"/>
      <c r="Q123" s="3049"/>
      <c r="R123" s="3049"/>
      <c r="S123" s="3049"/>
      <c r="T123" s="3049"/>
      <c r="U123" s="3050"/>
      <c r="V123" s="3046"/>
      <c r="W123" s="3046"/>
      <c r="X123" s="3056">
        <f>IF(A123="","",IF(LEN(SUBSTITUTE(SUBSTITUTE(SUBSTITUTE(SUBSTITUTE(D123,".",""),"/",""),"-","")," ",""))&lt;&gt;14,"CNPJ INVALIDO","OK"))</f>
      </c>
      <c r="Y123" s="3056">
        <f>IF(A123="","",IF(R123="","REST PENDENTE","REST OK"))</f>
      </c>
      <c r="Z123" s="3056">
        <f>IF(A123="","",IF(AND(R123&lt;&gt;"",COUNTIFS($D$3:$D$164,D123,$R$3:$R$164,"&lt;&gt;")&gt;1),"DUPLICADO","OK"))</f>
      </c>
      <c r="AA123" s="3056">
        <f>IF(A123="","",IF(OR(LEN(Q123)&gt;180,LEN(R123)&gt;180,LEN(S123)&gt;180,LEN(T123)&gt;180),"CAMINHO LONGO","OK"))</f>
      </c>
      <c r="AB123" s="3056">
        <f>IF(A123="","",IF(U123="","",IFERROR(INT(U123-TODAY()),"")))</f>
      </c>
      <c r="AC123" s="3056">
        <f>IF(A123="","",IF(AND(T123="",U123=""),"",IF(T123="","SEM CAMINHO",IF(U123="","SEM DATA",IFERROR(IF(AB123&lt;15,"VERMELHO",IF(AB123&lt;=30,"AMARELO","VERDE")),"DATA INVALIDA")))))</f>
      </c>
      <c r="AD123" s="3056">
        <f>IF(OR(A123="",U123="",NOT(ISNUMBER(AB123))),"",RANK(AB123,$AB$3:$AB$164,1)+COUNTIFS($AB$3:AB123,AB123)-1)</f>
      </c>
      <c r="AE123" s="1736"/>
    </row>
    <row r="124" spans="1:19" ht="22.0" hidden="false" customHeight="true" x14ac:dyDescent="0.25">
      <c r="A124" s="3052" t="s">
        <v>298</v>
      </c>
      <c r="B124" s="3051" t="s">
        <v>299</v>
      </c>
      <c r="C124" s="3051" t="s">
        <v>16</v>
      </c>
      <c r="D124" s="3051" t="s">
        <v>300</v>
      </c>
      <c r="E124" s="3051"/>
      <c r="F124" s="3051" t="s">
        <v>109</v>
      </c>
      <c r="G124" s="3051" t="s">
        <v>4</v>
      </c>
      <c r="H124" s="3051" t="s">
        <v>49</v>
      </c>
      <c r="I124" s="3051"/>
      <c r="J124" s="3051"/>
      <c r="K124" s="3051"/>
      <c r="L124" s="3051"/>
      <c r="M124" s="3051" t="s">
        <v>379</v>
      </c>
      <c r="N124" s="3051"/>
      <c r="O124" s="3051" t="s">
        <v>365</v>
      </c>
      <c r="P124" s="3051"/>
      <c r="Q124" s="3054"/>
      <c r="R124" s="3054"/>
      <c r="S124" s="3054"/>
      <c r="T124" s="3054"/>
      <c r="U124" s="3055"/>
      <c r="V124" s="3051"/>
      <c r="W124" s="3051"/>
      <c r="X124" s="3056">
        <f>IF(A124="","",IF(LEN(SUBSTITUTE(SUBSTITUTE(SUBSTITUTE(SUBSTITUTE(D124,".",""),"/",""),"-","")," ",""))&lt;&gt;14,"CNPJ INVALIDO","OK"))</f>
      </c>
      <c r="Y124" s="3056">
        <f>IF(A124="","",IF(R124="","REST PENDENTE","REST OK"))</f>
      </c>
      <c r="Z124" s="3056">
        <f>IF(A124="","",IF(AND(R124&lt;&gt;"",COUNTIFS($D$3:$D$164,D124,$R$3:$R$164,"&lt;&gt;")&gt;1),"DUPLICADO","OK"))</f>
      </c>
      <c r="AA124" s="3056">
        <f>IF(A124="","",IF(OR(LEN(Q124)&gt;180,LEN(R124)&gt;180,LEN(S124)&gt;180,LEN(T124)&gt;180),"CAMINHO LONGO","OK"))</f>
      </c>
      <c r="AB124" s="3056">
        <f>IF(A124="","",IF(U124="","",IFERROR(INT(U124-TODAY()),"")))</f>
      </c>
      <c r="AC124" s="3056">
        <f>IF(A124="","",IF(AND(T124="",U124=""),"",IF(T124="","SEM CAMINHO",IF(U124="","SEM DATA",IFERROR(IF(AB124&lt;15,"VERMELHO",IF(AB124&lt;=30,"AMARELO","VERDE")),"DATA INVALIDA")))))</f>
      </c>
      <c r="AD124" s="3056">
        <f>IF(OR(A124="",U124="",NOT(ISNUMBER(AB124))),"",RANK(AB124,$AB$3:$AB$164,1)+COUNTIFS($AB$3:AB124,AB124)-1)</f>
      </c>
      <c r="AE124" s="1736"/>
    </row>
    <row r="125" spans="1:19" ht="22.0" hidden="false" customHeight="true" x14ac:dyDescent="0.25">
      <c r="A125" s="3047" t="s">
        <v>301</v>
      </c>
      <c r="B125" s="3046" t="s">
        <v>302</v>
      </c>
      <c r="C125" s="3046" t="s">
        <v>69</v>
      </c>
      <c r="D125" s="3046" t="s">
        <v>303</v>
      </c>
      <c r="E125" s="3046"/>
      <c r="F125" s="3046"/>
      <c r="G125" s="3046" t="s">
        <v>4</v>
      </c>
      <c r="H125" s="3046" t="s">
        <v>49</v>
      </c>
      <c r="I125" s="3046"/>
      <c r="J125" s="3046"/>
      <c r="K125" s="3046"/>
      <c r="L125" s="3046"/>
      <c r="M125" s="3046" t="s">
        <v>379</v>
      </c>
      <c r="N125" s="3046"/>
      <c r="O125" s="3046" t="s">
        <v>365</v>
      </c>
      <c r="P125" s="3046"/>
      <c r="Q125" s="3049"/>
      <c r="R125" s="3049"/>
      <c r="S125" s="3049"/>
      <c r="T125" s="3049"/>
      <c r="U125" s="3050"/>
      <c r="V125" s="3046"/>
      <c r="W125" s="3046"/>
      <c r="X125" s="3056">
        <f>IF(A125="","",IF(LEN(SUBSTITUTE(SUBSTITUTE(SUBSTITUTE(SUBSTITUTE(D125,".",""),"/",""),"-","")," ",""))&lt;&gt;14,"CNPJ INVALIDO","OK"))</f>
      </c>
      <c r="Y125" s="3056">
        <f>IF(A125="","",IF(R125="","REST PENDENTE","REST OK"))</f>
      </c>
      <c r="Z125" s="3056">
        <f>IF(A125="","",IF(AND(R125&lt;&gt;"",COUNTIFS($D$3:$D$164,D125,$R$3:$R$164,"&lt;&gt;")&gt;1),"DUPLICADO","OK"))</f>
      </c>
      <c r="AA125" s="3056">
        <f>IF(A125="","",IF(OR(LEN(Q125)&gt;180,LEN(R125)&gt;180,LEN(S125)&gt;180,LEN(T125)&gt;180),"CAMINHO LONGO","OK"))</f>
      </c>
      <c r="AB125" s="3056">
        <f>IF(A125="","",IF(U125="","",IFERROR(INT(U125-TODAY()),"")))</f>
      </c>
      <c r="AC125" s="3056">
        <f>IF(A125="","",IF(AND(T125="",U125=""),"",IF(T125="","SEM CAMINHO",IF(U125="","SEM DATA",IFERROR(IF(AB125&lt;15,"VERMELHO",IF(AB125&lt;=30,"AMARELO","VERDE")),"DATA INVALIDA")))))</f>
      </c>
      <c r="AD125" s="3056">
        <f>IF(OR(A125="",U125="",NOT(ISNUMBER(AB125))),"",RANK(AB125,$AB$3:$AB$164,1)+COUNTIFS($AB$3:AB125,AB125)-1)</f>
      </c>
      <c r="AE125" s="1736"/>
    </row>
    <row r="126" spans="1:19" ht="22.0" hidden="false" customHeight="true" x14ac:dyDescent="0.25">
      <c r="A126" s="3052" t="s">
        <v>304</v>
      </c>
      <c r="B126" s="3051" t="s">
        <v>305</v>
      </c>
      <c r="C126" s="3051"/>
      <c r="D126" s="3057"/>
      <c r="E126" s="3051"/>
      <c r="F126" s="3051" t="s">
        <v>306</v>
      </c>
      <c r="G126" s="3051" t="s">
        <v>13</v>
      </c>
      <c r="H126" s="3051"/>
      <c r="I126" s="3051"/>
      <c r="J126" s="3051"/>
      <c r="K126" s="3051"/>
      <c r="L126" s="3051"/>
      <c r="M126" s="3051" t="s">
        <v>371</v>
      </c>
      <c r="N126" s="3051"/>
      <c r="O126" s="3051" t="s">
        <v>363</v>
      </c>
      <c r="P126" s="3051"/>
      <c r="Q126" s="3054"/>
      <c r="R126" s="3054"/>
      <c r="S126" s="3054"/>
      <c r="T126" s="3054"/>
      <c r="U126" s="3055"/>
      <c r="V126" s="3051"/>
      <c r="W126" s="3051"/>
      <c r="X126" s="3056">
        <f>IF(A126="","",IF(LEN(SUBSTITUTE(SUBSTITUTE(SUBSTITUTE(SUBSTITUTE(D126,".",""),"/",""),"-","")," ",""))&lt;&gt;14,"CNPJ INVALIDO","OK"))</f>
      </c>
      <c r="Y126" s="3056">
        <f>IF(A126="","",IF(R126="","REST PENDENTE","REST OK"))</f>
      </c>
      <c r="Z126" s="3056">
        <f>IF(A126="","",IF(AND(R126&lt;&gt;"",COUNTIFS($D$3:$D$164,D126,$R$3:$R$164,"&lt;&gt;")&gt;1),"DUPLICADO","OK"))</f>
      </c>
      <c r="AA126" s="3056">
        <f>IF(A126="","",IF(OR(LEN(Q126)&gt;180,LEN(R126)&gt;180,LEN(S126)&gt;180,LEN(T126)&gt;180),"CAMINHO LONGO","OK"))</f>
      </c>
      <c r="AB126" s="3056">
        <f>IF(A126="","",IF(U126="","",IFERROR(INT(U126-TODAY()),"")))</f>
      </c>
      <c r="AC126" s="3056">
        <f>IF(A126="","",IF(AND(T126="",U126=""),"",IF(T126="","SEM CAMINHO",IF(U126="","SEM DATA",IFERROR(IF(AB126&lt;15,"VERMELHO",IF(AB126&lt;=30,"AMARELO","VERDE")),"DATA INVALIDA")))))</f>
      </c>
      <c r="AD126" s="3056">
        <f>IF(OR(A126="",U126="",NOT(ISNUMBER(AB126))),"",RANK(AB126,$AB$3:$AB$164,1)+COUNTIFS($AB$3:AB126,AB126)-1)</f>
      </c>
      <c r="AE126" s="1736"/>
    </row>
    <row r="127" spans="1:19" ht="22.0" hidden="false" customHeight="true" x14ac:dyDescent="0.25">
      <c r="A127" s="3047" t="s">
        <v>307</v>
      </c>
      <c r="B127" s="3046" t="s">
        <v>305</v>
      </c>
      <c r="C127" s="3046"/>
      <c r="D127" s="3057"/>
      <c r="E127" s="3046"/>
      <c r="F127" s="3046" t="s">
        <v>306</v>
      </c>
      <c r="G127" s="3046" t="s">
        <v>308</v>
      </c>
      <c r="H127" s="3046"/>
      <c r="I127" s="3046"/>
      <c r="J127" s="3046"/>
      <c r="K127" s="3046"/>
      <c r="L127" s="3046"/>
      <c r="M127" s="3046" t="s">
        <v>371</v>
      </c>
      <c r="N127" s="3046"/>
      <c r="O127" s="3046" t="s">
        <v>363</v>
      </c>
      <c r="P127" s="3046"/>
      <c r="Q127" s="3049"/>
      <c r="R127" s="3049"/>
      <c r="S127" s="3049"/>
      <c r="T127" s="3049"/>
      <c r="U127" s="3050"/>
      <c r="V127" s="3046"/>
      <c r="W127" s="3046"/>
      <c r="X127" s="3056">
        <f>IF(A127="","",IF(LEN(SUBSTITUTE(SUBSTITUTE(SUBSTITUTE(SUBSTITUTE(D127,".",""),"/",""),"-","")," ",""))&lt;&gt;14,"CNPJ INVALIDO","OK"))</f>
      </c>
      <c r="Y127" s="3056">
        <f>IF(A127="","",IF(R127="","REST PENDENTE","REST OK"))</f>
      </c>
      <c r="Z127" s="3056">
        <f>IF(A127="","",IF(AND(R127&lt;&gt;"",COUNTIFS($D$3:$D$164,D127,$R$3:$R$164,"&lt;&gt;")&gt;1),"DUPLICADO","OK"))</f>
      </c>
      <c r="AA127" s="3056">
        <f>IF(A127="","",IF(OR(LEN(Q127)&gt;180,LEN(R127)&gt;180,LEN(S127)&gt;180,LEN(T127)&gt;180),"CAMINHO LONGO","OK"))</f>
      </c>
      <c r="AB127" s="3056">
        <f>IF(A127="","",IF(U127="","",IFERROR(INT(U127-TODAY()),"")))</f>
      </c>
      <c r="AC127" s="3056">
        <f>IF(A127="","",IF(AND(T127="",U127=""),"",IF(T127="","SEM CAMINHO",IF(U127="","SEM DATA",IFERROR(IF(AB127&lt;15,"VERMELHO",IF(AB127&lt;=30,"AMARELO","VERDE")),"DATA INVALIDA")))))</f>
      </c>
      <c r="AD127" s="3056">
        <f>IF(OR(A127="",U127="",NOT(ISNUMBER(AB127))),"",RANK(AB127,$AB$3:$AB$164,1)+COUNTIFS($AB$3:AB127,AB127)-1)</f>
      </c>
      <c r="AE127" s="1736"/>
    </row>
    <row r="128" spans="1:19" ht="22.0" hidden="false" customHeight="true" x14ac:dyDescent="0.25">
      <c r="A128" s="3052" t="s">
        <v>309</v>
      </c>
      <c r="B128" s="3051" t="s">
        <v>9</v>
      </c>
      <c r="C128" s="3051" t="s">
        <v>69</v>
      </c>
      <c r="D128" s="3051" t="s">
        <v>310</v>
      </c>
      <c r="E128" s="3051"/>
      <c r="F128" s="3051" t="s">
        <v>311</v>
      </c>
      <c r="G128" s="3051" t="s">
        <v>13</v>
      </c>
      <c r="H128" s="3051" t="s">
        <v>49</v>
      </c>
      <c r="I128" s="3051"/>
      <c r="J128" s="3051"/>
      <c r="K128" s="3051"/>
      <c r="L128" s="3051"/>
      <c r="M128" s="3051" t="s">
        <v>376</v>
      </c>
      <c r="N128" s="3051"/>
      <c r="O128" s="3051" t="s">
        <v>365</v>
      </c>
      <c r="P128" s="3051"/>
      <c r="Q128" s="3054"/>
      <c r="R128" s="3054"/>
      <c r="S128" s="3054"/>
      <c r="T128" s="3054"/>
      <c r="U128" s="3055"/>
      <c r="V128" s="3051"/>
      <c r="W128" s="3051"/>
      <c r="X128" s="3056">
        <f>IF(A128="","",IF(LEN(SUBSTITUTE(SUBSTITUTE(SUBSTITUTE(SUBSTITUTE(D128,".",""),"/",""),"-","")," ",""))&lt;&gt;14,"CNPJ INVALIDO","OK"))</f>
      </c>
      <c r="Y128" s="3056">
        <f>IF(A128="","",IF(R128="","REST PENDENTE","REST OK"))</f>
      </c>
      <c r="Z128" s="3056">
        <f>IF(A128="","",IF(AND(R128&lt;&gt;"",COUNTIFS($D$3:$D$164,D128,$R$3:$R$164,"&lt;&gt;")&gt;1),"DUPLICADO","OK"))</f>
      </c>
      <c r="AA128" s="3056">
        <f>IF(A128="","",IF(OR(LEN(Q128)&gt;180,LEN(R128)&gt;180,LEN(S128)&gt;180,LEN(T128)&gt;180),"CAMINHO LONGO","OK"))</f>
      </c>
      <c r="AB128" s="3056">
        <f>IF(A128="","",IF(U128="","",IFERROR(INT(U128-TODAY()),"")))</f>
      </c>
      <c r="AC128" s="3056">
        <f>IF(A128="","",IF(AND(T128="",U128=""),"",IF(T128="","SEM CAMINHO",IF(U128="","SEM DATA",IFERROR(IF(AB128&lt;15,"VERMELHO",IF(AB128&lt;=30,"AMARELO","VERDE")),"DATA INVALIDA")))))</f>
      </c>
      <c r="AD128" s="3056">
        <f>IF(OR(A128="",U128="",NOT(ISNUMBER(AB128))),"",RANK(AB128,$AB$3:$AB$164,1)+COUNTIFS($AB$3:AB128,AB128)-1)</f>
      </c>
      <c r="AE128" s="1736"/>
    </row>
    <row r="129" spans="1:19" ht="22.0" hidden="false" customHeight="true" x14ac:dyDescent="0.25">
      <c r="A129" s="3047" t="s">
        <v>312</v>
      </c>
      <c r="B129" s="3046" t="s">
        <v>75</v>
      </c>
      <c r="C129" s="3046" t="s">
        <v>69</v>
      </c>
      <c r="D129" s="3046" t="s">
        <v>313</v>
      </c>
      <c r="E129" s="3046"/>
      <c r="F129" s="3046" t="s">
        <v>314</v>
      </c>
      <c r="G129" s="3046" t="s">
        <v>4</v>
      </c>
      <c r="H129" s="3046" t="s">
        <v>49</v>
      </c>
      <c r="I129" s="3046"/>
      <c r="J129" s="3046"/>
      <c r="K129" s="3046"/>
      <c r="L129" s="3046"/>
      <c r="M129" s="3046" t="s">
        <v>379</v>
      </c>
      <c r="N129" s="3046"/>
      <c r="O129" s="3046" t="s">
        <v>370</v>
      </c>
      <c r="P129" s="3046"/>
      <c r="Q129" s="3049"/>
      <c r="R129" s="3049"/>
      <c r="S129" s="3049"/>
      <c r="T129" s="3049"/>
      <c r="U129" s="3050"/>
      <c r="V129" s="3046"/>
      <c r="W129" s="3046"/>
      <c r="X129" s="3056">
        <f>IF(A129="","",IF(LEN(SUBSTITUTE(SUBSTITUTE(SUBSTITUTE(SUBSTITUTE(D129,".",""),"/",""),"-","")," ",""))&lt;&gt;14,"CNPJ INVALIDO","OK"))</f>
      </c>
      <c r="Y129" s="3056">
        <f>IF(A129="","",IF(R129="","REST PENDENTE","REST OK"))</f>
      </c>
      <c r="Z129" s="3056">
        <f>IF(A129="","",IF(AND(R129&lt;&gt;"",COUNTIFS($D$3:$D$164,D129,$R$3:$R$164,"&lt;&gt;")&gt;1),"DUPLICADO","OK"))</f>
      </c>
      <c r="AA129" s="3056">
        <f>IF(A129="","",IF(OR(LEN(Q129)&gt;180,LEN(R129)&gt;180,LEN(S129)&gt;180,LEN(T129)&gt;180),"CAMINHO LONGO","OK"))</f>
      </c>
      <c r="AB129" s="3056">
        <f>IF(A129="","",IF(U129="","",IFERROR(INT(U129-TODAY()),"")))</f>
      </c>
      <c r="AC129" s="3056">
        <f>IF(A129="","",IF(AND(T129="",U129=""),"",IF(T129="","SEM CAMINHO",IF(U129="","SEM DATA",IFERROR(IF(AB129&lt;15,"VERMELHO",IF(AB129&lt;=30,"AMARELO","VERDE")),"DATA INVALIDA")))))</f>
      </c>
      <c r="AD129" s="3056">
        <f>IF(OR(A129="",U129="",NOT(ISNUMBER(AB129))),"",RANK(AB129,$AB$3:$AB$164,1)+COUNTIFS($AB$3:AB129,AB129)-1)</f>
      </c>
      <c r="AE129" s="1736"/>
    </row>
    <row r="130" spans="1:19" ht="22.0" hidden="false" customHeight="true" x14ac:dyDescent="0.25">
      <c r="A130" s="3052" t="s">
        <v>315</v>
      </c>
      <c r="B130" s="3051" t="s">
        <v>45</v>
      </c>
      <c r="C130" s="3051" t="s">
        <v>316</v>
      </c>
      <c r="D130" s="3051" t="s">
        <v>317</v>
      </c>
      <c r="E130" s="3051"/>
      <c r="F130" s="3051"/>
      <c r="G130" s="3051" t="s">
        <v>13</v>
      </c>
      <c r="H130" s="3051"/>
      <c r="I130" s="3051"/>
      <c r="J130" s="3051"/>
      <c r="K130" s="3051"/>
      <c r="L130" s="3051"/>
      <c r="M130" s="3051" t="s">
        <v>399</v>
      </c>
      <c r="N130" s="3051" t="s">
        <v>374</v>
      </c>
      <c r="O130" s="3051" t="s">
        <v>367</v>
      </c>
      <c r="P130" s="3051"/>
      <c r="Q130" s="3054"/>
      <c r="R130" s="3054"/>
      <c r="S130" s="3054"/>
      <c r="T130" s="3054"/>
      <c r="U130" s="3055"/>
      <c r="V130" s="3051"/>
      <c r="W130" s="3051"/>
      <c r="X130" s="3056">
        <f>IF(A130="","",IF(LEN(SUBSTITUTE(SUBSTITUTE(SUBSTITUTE(SUBSTITUTE(D130,".",""),"/",""),"-","")," ",""))&lt;&gt;14,"CNPJ INVALIDO","OK"))</f>
      </c>
      <c r="Y130" s="3056">
        <f>IF(A130="","",IF(R130="","REST PENDENTE","REST OK"))</f>
      </c>
      <c r="Z130" s="3056">
        <f>IF(A130="","",IF(AND(R130&lt;&gt;"",COUNTIFS($D$3:$D$164,D130,$R$3:$R$164,"&lt;&gt;")&gt;1),"DUPLICADO","OK"))</f>
      </c>
      <c r="AA130" s="3056">
        <f>IF(A130="","",IF(OR(LEN(Q130)&gt;180,LEN(R130)&gt;180,LEN(S130)&gt;180,LEN(T130)&gt;180),"CAMINHO LONGO","OK"))</f>
      </c>
      <c r="AB130" s="3056">
        <f>IF(A130="","",IF(U130="","",IFERROR(INT(U130-TODAY()),"")))</f>
      </c>
      <c r="AC130" s="3056">
        <f>IF(A130="","",IF(AND(T130="",U130=""),"",IF(T130="","SEM CAMINHO",IF(U130="","SEM DATA",IFERROR(IF(AB130&lt;15,"VERMELHO",IF(AB130&lt;=30,"AMARELO","VERDE")),"DATA INVALIDA")))))</f>
      </c>
      <c r="AD130" s="3056">
        <f>IF(OR(A130="",U130="",NOT(ISNUMBER(AB130))),"",RANK(AB130,$AB$3:$AB$164,1)+COUNTIFS($AB$3:AB130,AB130)-1)</f>
      </c>
      <c r="AE130" s="1736"/>
    </row>
    <row r="131" spans="1:19" ht="22.0" hidden="false" customHeight="true" x14ac:dyDescent="0.25">
      <c r="A131" s="3047" t="s">
        <v>318</v>
      </c>
      <c r="B131" s="3046" t="s">
        <v>45</v>
      </c>
      <c r="C131" s="3046" t="s">
        <v>316</v>
      </c>
      <c r="D131" s="3046" t="s">
        <v>319</v>
      </c>
      <c r="E131" s="3046"/>
      <c r="F131" s="3046" t="s">
        <v>48</v>
      </c>
      <c r="G131" s="3046" t="s">
        <v>320</v>
      </c>
      <c r="H131" s="3046"/>
      <c r="I131" s="3046"/>
      <c r="J131" s="3046"/>
      <c r="K131" s="3046"/>
      <c r="L131" s="3046"/>
      <c r="M131" s="3046" t="s">
        <v>399</v>
      </c>
      <c r="N131" s="3046" t="s">
        <v>374</v>
      </c>
      <c r="O131" s="3046" t="s">
        <v>371</v>
      </c>
      <c r="P131" s="3046"/>
      <c r="Q131" s="3049"/>
      <c r="R131" s="3049"/>
      <c r="S131" s="3049"/>
      <c r="T131" s="3049"/>
      <c r="U131" s="3050"/>
      <c r="V131" s="3046"/>
      <c r="W131" s="3046"/>
      <c r="X131" s="3056">
        <f>IF(A131="","",IF(LEN(SUBSTITUTE(SUBSTITUTE(SUBSTITUTE(SUBSTITUTE(D131,".",""),"/",""),"-","")," ",""))&lt;&gt;14,"CNPJ INVALIDO","OK"))</f>
      </c>
      <c r="Y131" s="3056">
        <f>IF(A131="","",IF(R131="","REST PENDENTE","REST OK"))</f>
      </c>
      <c r="Z131" s="3056">
        <f>IF(A131="","",IF(AND(R131&lt;&gt;"",COUNTIFS($D$3:$D$164,D131,$R$3:$R$164,"&lt;&gt;")&gt;1),"DUPLICADO","OK"))</f>
      </c>
      <c r="AA131" s="3056">
        <f>IF(A131="","",IF(OR(LEN(Q131)&gt;180,LEN(R131)&gt;180,LEN(S131)&gt;180,LEN(T131)&gt;180),"CAMINHO LONGO","OK"))</f>
      </c>
      <c r="AB131" s="3056">
        <f>IF(A131="","",IF(U131="","",IFERROR(INT(U131-TODAY()),"")))</f>
      </c>
      <c r="AC131" s="3056">
        <f>IF(A131="","",IF(AND(T131="",U131=""),"",IF(T131="","SEM CAMINHO",IF(U131="","SEM DATA",IFERROR(IF(AB131&lt;15,"VERMELHO",IF(AB131&lt;=30,"AMARELO","VERDE")),"DATA INVALIDA")))))</f>
      </c>
      <c r="AD131" s="3056">
        <f>IF(OR(A131="",U131="",NOT(ISNUMBER(AB131))),"",RANK(AB131,$AB$3:$AB$164,1)+COUNTIFS($AB$3:AB131,AB131)-1)</f>
      </c>
      <c r="AE131" s="1736"/>
    </row>
    <row r="132" spans="1:19" ht="22.0" hidden="false" customHeight="true" x14ac:dyDescent="0.25">
      <c r="A132" s="3052" t="s">
        <v>321</v>
      </c>
      <c r="B132" s="3051" t="s">
        <v>45</v>
      </c>
      <c r="C132" s="3051" t="s">
        <v>316</v>
      </c>
      <c r="D132" s="3051" t="s">
        <v>322</v>
      </c>
      <c r="E132" s="3051"/>
      <c r="F132" s="3051" t="s">
        <v>48</v>
      </c>
      <c r="G132" s="3051" t="s">
        <v>320</v>
      </c>
      <c r="H132" s="3051"/>
      <c r="I132" s="3051"/>
      <c r="J132" s="3051"/>
      <c r="K132" s="3051"/>
      <c r="L132" s="3051"/>
      <c r="M132" s="3051" t="s">
        <v>379</v>
      </c>
      <c r="N132" s="3051" t="s">
        <v>374</v>
      </c>
      <c r="O132" s="3051" t="s">
        <v>370</v>
      </c>
      <c r="P132" s="3051"/>
      <c r="Q132" s="3054"/>
      <c r="R132" s="3054"/>
      <c r="S132" s="3054"/>
      <c r="T132" s="3054"/>
      <c r="U132" s="3055"/>
      <c r="V132" s="3051"/>
      <c r="W132" s="3051"/>
      <c r="X132" s="3056">
        <f>IF(A132="","",IF(LEN(SUBSTITUTE(SUBSTITUTE(SUBSTITUTE(SUBSTITUTE(D132,".",""),"/",""),"-","")," ",""))&lt;&gt;14,"CNPJ INVALIDO","OK"))</f>
      </c>
      <c r="Y132" s="3056">
        <f>IF(A132="","",IF(R132="","REST PENDENTE","REST OK"))</f>
      </c>
      <c r="Z132" s="3056">
        <f>IF(A132="","",IF(AND(R132&lt;&gt;"",COUNTIFS($D$3:$D$164,D132,$R$3:$R$164,"&lt;&gt;")&gt;1),"DUPLICADO","OK"))</f>
      </c>
      <c r="AA132" s="3056">
        <f>IF(A132="","",IF(OR(LEN(Q132)&gt;180,LEN(R132)&gt;180,LEN(S132)&gt;180,LEN(T132)&gt;180),"CAMINHO LONGO","OK"))</f>
      </c>
      <c r="AB132" s="3056">
        <f>IF(A132="","",IF(U132="","",IFERROR(INT(U132-TODAY()),"")))</f>
      </c>
      <c r="AC132" s="3056">
        <f>IF(A132="","",IF(AND(T132="",U132=""),"",IF(T132="","SEM CAMINHO",IF(U132="","SEM DATA",IFERROR(IF(AB132&lt;15,"VERMELHO",IF(AB132&lt;=30,"AMARELO","VERDE")),"DATA INVALIDA")))))</f>
      </c>
      <c r="AD132" s="3056">
        <f>IF(OR(A132="",U132="",NOT(ISNUMBER(AB132))),"",RANK(AB132,$AB$3:$AB$164,1)+COUNTIFS($AB$3:AB132,AB132)-1)</f>
      </c>
      <c r="AE132" s="1736"/>
    </row>
    <row r="133" spans="1:19" ht="22.0" hidden="false" customHeight="true" x14ac:dyDescent="0.25">
      <c r="A133" s="3047" t="s">
        <v>323</v>
      </c>
      <c r="B133" s="3046" t="s">
        <v>305</v>
      </c>
      <c r="C133" s="3046"/>
      <c r="D133" s="3057"/>
      <c r="E133" s="3046"/>
      <c r="F133" s="3046" t="s">
        <v>306</v>
      </c>
      <c r="G133" s="3046" t="s">
        <v>4</v>
      </c>
      <c r="H133" s="3046"/>
      <c r="I133" s="3046"/>
      <c r="J133" s="3046"/>
      <c r="K133" s="3046"/>
      <c r="L133" s="3046"/>
      <c r="M133" s="3046" t="s">
        <v>371</v>
      </c>
      <c r="N133" s="3046"/>
      <c r="O133" s="3046" t="s">
        <v>365</v>
      </c>
      <c r="P133" s="3046"/>
      <c r="Q133" s="3049"/>
      <c r="R133" s="3049"/>
      <c r="S133" s="3049"/>
      <c r="T133" s="3049"/>
      <c r="U133" s="3050"/>
      <c r="V133" s="3046"/>
      <c r="W133" s="3046"/>
      <c r="X133" s="3056">
        <f>IF(A133="","",IF(LEN(SUBSTITUTE(SUBSTITUTE(SUBSTITUTE(SUBSTITUTE(D133,".",""),"/",""),"-","")," ",""))&lt;&gt;14,"CNPJ INVALIDO","OK"))</f>
      </c>
      <c r="Y133" s="3056">
        <f>IF(A133="","",IF(R133="","REST PENDENTE","REST OK"))</f>
      </c>
      <c r="Z133" s="3056">
        <f>IF(A133="","",IF(AND(R133&lt;&gt;"",COUNTIFS($D$3:$D$164,D133,$R$3:$R$164,"&lt;&gt;")&gt;1),"DUPLICADO","OK"))</f>
      </c>
      <c r="AA133" s="3056">
        <f>IF(A133="","",IF(OR(LEN(Q133)&gt;180,LEN(R133)&gt;180,LEN(S133)&gt;180,LEN(T133)&gt;180),"CAMINHO LONGO","OK"))</f>
      </c>
      <c r="AB133" s="3056">
        <f>IF(A133="","",IF(U133="","",IFERROR(INT(U133-TODAY()),"")))</f>
      </c>
      <c r="AC133" s="3056">
        <f>IF(A133="","",IF(AND(T133="",U133=""),"",IF(T133="","SEM CAMINHO",IF(U133="","SEM DATA",IFERROR(IF(AB133&lt;15,"VERMELHO",IF(AB133&lt;=30,"AMARELO","VERDE")),"DATA INVALIDA")))))</f>
      </c>
      <c r="AD133" s="3056">
        <f>IF(OR(A133="",U133="",NOT(ISNUMBER(AB133))),"",RANK(AB133,$AB$3:$AB$164,1)+COUNTIFS($AB$3:AB133,AB133)-1)</f>
      </c>
      <c r="AE133" s="1736"/>
    </row>
    <row r="134" spans="1:19" ht="22.0" hidden="false" customHeight="true" x14ac:dyDescent="0.25">
      <c r="A134" s="3052" t="s">
        <v>324</v>
      </c>
      <c r="B134" s="3051" t="s">
        <v>75</v>
      </c>
      <c r="C134" s="3051"/>
      <c r="D134" s="3057"/>
      <c r="E134" s="3051"/>
      <c r="F134" s="3051"/>
      <c r="G134" s="3051"/>
      <c r="H134" s="3051"/>
      <c r="I134" s="3051"/>
      <c r="J134" s="3051"/>
      <c r="K134" s="3051"/>
      <c r="L134" s="3051"/>
      <c r="M134" s="3051" t="s">
        <v>371</v>
      </c>
      <c r="N134" s="3051"/>
      <c r="O134" s="3051" t="s">
        <v>371</v>
      </c>
      <c r="P134" s="3051"/>
      <c r="Q134" s="3054"/>
      <c r="R134" s="3054"/>
      <c r="S134" s="3054"/>
      <c r="T134" s="3054"/>
      <c r="U134" s="3055"/>
      <c r="V134" s="3051"/>
      <c r="W134" s="3051"/>
      <c r="X134" s="3056">
        <f>IF(A134="","",IF(LEN(SUBSTITUTE(SUBSTITUTE(SUBSTITUTE(SUBSTITUTE(D134,".",""),"/",""),"-","")," ",""))&lt;&gt;14,"CNPJ INVALIDO","OK"))</f>
      </c>
      <c r="Y134" s="3056">
        <f>IF(A134="","",IF(R134="","REST PENDENTE","REST OK"))</f>
      </c>
      <c r="Z134" s="3056">
        <f>IF(A134="","",IF(AND(R134&lt;&gt;"",COUNTIFS($D$3:$D$164,D134,$R$3:$R$164,"&lt;&gt;")&gt;1),"DUPLICADO","OK"))</f>
      </c>
      <c r="AA134" s="3056">
        <f>IF(A134="","",IF(OR(LEN(Q134)&gt;180,LEN(R134)&gt;180,LEN(S134)&gt;180,LEN(T134)&gt;180),"CAMINHO LONGO","OK"))</f>
      </c>
      <c r="AB134" s="3056">
        <f>IF(A134="","",IF(U134="","",IFERROR(INT(U134-TODAY()),"")))</f>
      </c>
      <c r="AC134" s="3056">
        <f>IF(A134="","",IF(AND(T134="",U134=""),"",IF(T134="","SEM CAMINHO",IF(U134="","SEM DATA",IFERROR(IF(AB134&lt;15,"VERMELHO",IF(AB134&lt;=30,"AMARELO","VERDE")),"DATA INVALIDA")))))</f>
      </c>
      <c r="AD134" s="3056">
        <f>IF(OR(A134="",U134="",NOT(ISNUMBER(AB134))),"",RANK(AB134,$AB$3:$AB$164,1)+COUNTIFS($AB$3:AB134,AB134)-1)</f>
      </c>
      <c r="AE134" s="1736"/>
    </row>
    <row r="135" ht="22.0" customHeight="true" hidden="false">
      <c r="A135" s="3047"/>
      <c r="B135" s="3046"/>
      <c r="C135" s="3046"/>
      <c r="D135" s="3046"/>
      <c r="E135" s="3046"/>
      <c r="F135" s="3046"/>
      <c r="G135" s="3046"/>
      <c r="H135" s="3046"/>
      <c r="I135" s="3046"/>
      <c r="J135" s="3046"/>
      <c r="K135" s="3046"/>
      <c r="L135" s="3046"/>
      <c r="M135" s="3046"/>
      <c r="N135" s="3046"/>
      <c r="O135" s="3046"/>
      <c r="P135" s="3046"/>
      <c r="Q135" s="3049"/>
      <c r="R135" s="3049"/>
      <c r="S135" s="3049"/>
      <c r="T135" s="3049"/>
      <c r="U135" s="3050"/>
      <c r="V135" s="3046"/>
      <c r="W135" s="3046"/>
      <c r="X135" s="3056">
        <f>IF(A135="","",IF(LEN(SUBSTITUTE(SUBSTITUTE(SUBSTITUTE(SUBSTITUTE(D135,".",""),"/",""),"-","")," ",""))&lt;&gt;14,"CNPJ INVALIDO","OK"))</f>
      </c>
      <c r="Y135" s="3056">
        <f>IF(A135="","",IF(R135="","REST PENDENTE","REST OK"))</f>
      </c>
      <c r="Z135" s="3056">
        <f>IF(A135="","",IF(AND(R135&lt;&gt;"",COUNTIFS($D$3:$D$164,D135,$R$3:$R$164,"&lt;&gt;")&gt;1),"DUPLICADO","OK"))</f>
      </c>
      <c r="AA135" s="3056">
        <f>IF(A135="","",IF(OR(LEN(Q135)&gt;180,LEN(R135)&gt;180,LEN(S135)&gt;180,LEN(T135)&gt;180),"CAMINHO LONGO","OK"))</f>
      </c>
      <c r="AB135" s="3056">
        <f>IF(A135="","",IF(U135="","",IFERROR(INT(U135-TODAY()),"")))</f>
      </c>
      <c r="AC135" s="3056">
        <f>IF(A135="","",IF(AND(T135="",U135=""),"",IF(T135="","SEM CAMINHO",IF(U135="","SEM DATA",IFERROR(IF(AB135&lt;15,"VERMELHO",IF(AB135&lt;=30,"AMARELO","VERDE")),"DATA INVALIDA")))))</f>
      </c>
      <c r="AD135" s="3056">
        <f>IF(OR(A135="",U135="",NOT(ISNUMBER(AB135))),"",RANK(AB135,$AB$3:$AB$164,1)+COUNTIFS($AB$3:AB135,AB135)-1)</f>
      </c>
      <c r="AE135" s="1736"/>
    </row>
    <row r="136" ht="22.0" customHeight="true" hidden="false">
      <c r="A136" s="3052"/>
      <c r="B136" s="3051"/>
      <c r="C136" s="3051"/>
      <c r="D136" s="3051"/>
      <c r="E136" s="3051"/>
      <c r="F136" s="3051"/>
      <c r="G136" s="3051"/>
      <c r="H136" s="3051"/>
      <c r="I136" s="3051"/>
      <c r="J136" s="3051"/>
      <c r="K136" s="3051"/>
      <c r="L136" s="3051"/>
      <c r="M136" s="3051"/>
      <c r="N136" s="3051"/>
      <c r="O136" s="3051"/>
      <c r="P136" s="3051"/>
      <c r="Q136" s="3054"/>
      <c r="R136" s="3054"/>
      <c r="S136" s="3054"/>
      <c r="T136" s="3054"/>
      <c r="U136" s="3055"/>
      <c r="V136" s="3051"/>
      <c r="W136" s="3051"/>
      <c r="X136" s="3056">
        <f>IF(A136="","",IF(LEN(SUBSTITUTE(SUBSTITUTE(SUBSTITUTE(SUBSTITUTE(D136,".",""),"/",""),"-","")," ",""))&lt;&gt;14,"CNPJ INVALIDO","OK"))</f>
      </c>
      <c r="Y136" s="3056">
        <f>IF(A136="","",IF(R136="","REST PENDENTE","REST OK"))</f>
      </c>
      <c r="Z136" s="3056">
        <f>IF(A136="","",IF(AND(R136&lt;&gt;"",COUNTIFS($D$3:$D$164,D136,$R$3:$R$164,"&lt;&gt;")&gt;1),"DUPLICADO","OK"))</f>
      </c>
      <c r="AA136" s="3056">
        <f>IF(A136="","",IF(OR(LEN(Q136)&gt;180,LEN(R136)&gt;180,LEN(S136)&gt;180,LEN(T136)&gt;180),"CAMINHO LONGO","OK"))</f>
      </c>
      <c r="AB136" s="3056">
        <f>IF(A136="","",IF(U136="","",IFERROR(INT(U136-TODAY()),"")))</f>
      </c>
      <c r="AC136" s="3056">
        <f>IF(A136="","",IF(AND(T136="",U136=""),"",IF(T136="","SEM CAMINHO",IF(U136="","SEM DATA",IFERROR(IF(AB136&lt;15,"VERMELHO",IF(AB136&lt;=30,"AMARELO","VERDE")),"DATA INVALIDA")))))</f>
      </c>
      <c r="AD136" s="3056">
        <f>IF(OR(A136="",U136="",NOT(ISNUMBER(AB136))),"",RANK(AB136,$AB$3:$AB$164,1)+COUNTIFS($AB$3:AB136,AB136)-1)</f>
      </c>
      <c r="AE136" s="1736"/>
    </row>
    <row r="137" ht="22.0" customHeight="true" hidden="false">
      <c r="A137" s="3047"/>
      <c r="B137" s="3046"/>
      <c r="C137" s="3046"/>
      <c r="D137" s="3046"/>
      <c r="E137" s="3046"/>
      <c r="F137" s="3046"/>
      <c r="G137" s="3046"/>
      <c r="H137" s="3046"/>
      <c r="I137" s="3046"/>
      <c r="J137" s="3046"/>
      <c r="K137" s="3046"/>
      <c r="L137" s="3046"/>
      <c r="M137" s="3046"/>
      <c r="N137" s="3046"/>
      <c r="O137" s="3046"/>
      <c r="P137" s="3046"/>
      <c r="Q137" s="3049"/>
      <c r="R137" s="3049"/>
      <c r="S137" s="3049"/>
      <c r="T137" s="3049"/>
      <c r="U137" s="3050"/>
      <c r="V137" s="3046"/>
      <c r="W137" s="3046"/>
      <c r="X137" s="3056">
        <f>IF(A137="","",IF(LEN(SUBSTITUTE(SUBSTITUTE(SUBSTITUTE(SUBSTITUTE(D137,".",""),"/",""),"-","")," ",""))&lt;&gt;14,"CNPJ INVALIDO","OK"))</f>
      </c>
      <c r="Y137" s="3056">
        <f>IF(A137="","",IF(R137="","REST PENDENTE","REST OK"))</f>
      </c>
      <c r="Z137" s="3056">
        <f>IF(A137="","",IF(AND(R137&lt;&gt;"",COUNTIFS($D$3:$D$164,D137,$R$3:$R$164,"&lt;&gt;")&gt;1),"DUPLICADO","OK"))</f>
      </c>
      <c r="AA137" s="3056">
        <f>IF(A137="","",IF(OR(LEN(Q137)&gt;180,LEN(R137)&gt;180,LEN(S137)&gt;180,LEN(T137)&gt;180),"CAMINHO LONGO","OK"))</f>
      </c>
      <c r="AB137" s="3056">
        <f>IF(A137="","",IF(U137="","",IFERROR(INT(U137-TODAY()),"")))</f>
      </c>
      <c r="AC137" s="3056">
        <f>IF(A137="","",IF(AND(T137="",U137=""),"",IF(T137="","SEM CAMINHO",IF(U137="","SEM DATA",IFERROR(IF(AB137&lt;15,"VERMELHO",IF(AB137&lt;=30,"AMARELO","VERDE")),"DATA INVALIDA")))))</f>
      </c>
      <c r="AD137" s="3056">
        <f>IF(OR(A137="",U137="",NOT(ISNUMBER(AB137))),"",RANK(AB137,$AB$3:$AB$164,1)+COUNTIFS($AB$3:AB137,AB137)-1)</f>
      </c>
      <c r="AE137" s="1736"/>
    </row>
    <row r="138" ht="22.0" customHeight="true" hidden="false">
      <c r="A138" s="3052"/>
      <c r="B138" s="3051"/>
      <c r="C138" s="3051"/>
      <c r="D138" s="3051"/>
      <c r="E138" s="3051"/>
      <c r="F138" s="3051"/>
      <c r="G138" s="3051"/>
      <c r="H138" s="3051"/>
      <c r="I138" s="3051"/>
      <c r="J138" s="3051"/>
      <c r="K138" s="3051"/>
      <c r="L138" s="3051"/>
      <c r="M138" s="3051"/>
      <c r="N138" s="3051"/>
      <c r="O138" s="3051"/>
      <c r="P138" s="3051"/>
      <c r="Q138" s="3054"/>
      <c r="R138" s="3054"/>
      <c r="S138" s="3054"/>
      <c r="T138" s="3054"/>
      <c r="U138" s="3055"/>
      <c r="V138" s="3051"/>
      <c r="W138" s="3051"/>
      <c r="X138" s="3056">
        <f>IF(A138="","",IF(LEN(SUBSTITUTE(SUBSTITUTE(SUBSTITUTE(SUBSTITUTE(D138,".",""),"/",""),"-","")," ",""))&lt;&gt;14,"CNPJ INVALIDO","OK"))</f>
      </c>
      <c r="Y138" s="3056">
        <f>IF(A138="","",IF(R138="","REST PENDENTE","REST OK"))</f>
      </c>
      <c r="Z138" s="3056">
        <f>IF(A138="","",IF(AND(R138&lt;&gt;"",COUNTIFS($D$3:$D$164,D138,$R$3:$R$164,"&lt;&gt;")&gt;1),"DUPLICADO","OK"))</f>
      </c>
      <c r="AA138" s="3056">
        <f>IF(A138="","",IF(OR(LEN(Q138)&gt;180,LEN(R138)&gt;180,LEN(S138)&gt;180,LEN(T138)&gt;180),"CAMINHO LONGO","OK"))</f>
      </c>
      <c r="AB138" s="3056">
        <f>IF(A138="","",IF(U138="","",IFERROR(INT(U138-TODAY()),"")))</f>
      </c>
      <c r="AC138" s="3056">
        <f>IF(A138="","",IF(AND(T138="",U138=""),"",IF(T138="","SEM CAMINHO",IF(U138="","SEM DATA",IFERROR(IF(AB138&lt;15,"VERMELHO",IF(AB138&lt;=30,"AMARELO","VERDE")),"DATA INVALIDA")))))</f>
      </c>
      <c r="AD138" s="3056">
        <f>IF(OR(A138="",U138="",NOT(ISNUMBER(AB138))),"",RANK(AB138,$AB$3:$AB$164,1)+COUNTIFS($AB$3:AB138,AB138)-1)</f>
      </c>
      <c r="AE138" s="1736"/>
    </row>
    <row r="139" ht="22.0" customHeight="true" hidden="false">
      <c r="A139" s="3047"/>
      <c r="B139" s="3046"/>
      <c r="C139" s="3046"/>
      <c r="D139" s="3046"/>
      <c r="E139" s="3046"/>
      <c r="F139" s="3046"/>
      <c r="G139" s="3046"/>
      <c r="H139" s="3046"/>
      <c r="I139" s="3046"/>
      <c r="J139" s="3046"/>
      <c r="K139" s="3046"/>
      <c r="L139" s="3046"/>
      <c r="M139" s="3046"/>
      <c r="N139" s="3046"/>
      <c r="O139" s="3046"/>
      <c r="P139" s="3046"/>
      <c r="Q139" s="3049"/>
      <c r="R139" s="3049"/>
      <c r="S139" s="3049"/>
      <c r="T139" s="3049"/>
      <c r="U139" s="3050"/>
      <c r="V139" s="3046"/>
      <c r="W139" s="3046"/>
      <c r="X139" s="3056">
        <f>IF(A139="","",IF(LEN(SUBSTITUTE(SUBSTITUTE(SUBSTITUTE(SUBSTITUTE(D139,".",""),"/",""),"-","")," ",""))&lt;&gt;14,"CNPJ INVALIDO","OK"))</f>
      </c>
      <c r="Y139" s="3056">
        <f>IF(A139="","",IF(R139="","REST PENDENTE","REST OK"))</f>
      </c>
      <c r="Z139" s="3056">
        <f>IF(A139="","",IF(AND(R139&lt;&gt;"",COUNTIFS($D$3:$D$164,D139,$R$3:$R$164,"&lt;&gt;")&gt;1),"DUPLICADO","OK"))</f>
      </c>
      <c r="AA139" s="3056">
        <f>IF(A139="","",IF(OR(LEN(Q139)&gt;180,LEN(R139)&gt;180,LEN(S139)&gt;180,LEN(T139)&gt;180),"CAMINHO LONGO","OK"))</f>
      </c>
      <c r="AB139" s="3056">
        <f>IF(A139="","",IF(U139="","",IFERROR(INT(U139-TODAY()),"")))</f>
      </c>
      <c r="AC139" s="3056">
        <f>IF(A139="","",IF(AND(T139="",U139=""),"",IF(T139="","SEM CAMINHO",IF(U139="","SEM DATA",IFERROR(IF(AB139&lt;15,"VERMELHO",IF(AB139&lt;=30,"AMARELO","VERDE")),"DATA INVALIDA")))))</f>
      </c>
      <c r="AD139" s="3056">
        <f>IF(OR(A139="",U139="",NOT(ISNUMBER(AB139))),"",RANK(AB139,$AB$3:$AB$164,1)+COUNTIFS($AB$3:AB139,AB139)-1)</f>
      </c>
      <c r="AE139" s="1736"/>
    </row>
    <row r="140" ht="22.0" customHeight="true" hidden="false">
      <c r="A140" s="3052"/>
      <c r="B140" s="3051"/>
      <c r="C140" s="3051"/>
      <c r="D140" s="3051"/>
      <c r="E140" s="3051"/>
      <c r="F140" s="3051"/>
      <c r="G140" s="3051"/>
      <c r="H140" s="3051"/>
      <c r="I140" s="3051"/>
      <c r="J140" s="3051"/>
      <c r="K140" s="3051"/>
      <c r="L140" s="3051"/>
      <c r="M140" s="3051"/>
      <c r="N140" s="3051"/>
      <c r="O140" s="3051"/>
      <c r="P140" s="3051"/>
      <c r="Q140" s="3054"/>
      <c r="R140" s="3054"/>
      <c r="S140" s="3054"/>
      <c r="T140" s="3054"/>
      <c r="U140" s="3055"/>
      <c r="V140" s="3051"/>
      <c r="W140" s="3051"/>
      <c r="X140" s="3056">
        <f>IF(A140="","",IF(LEN(SUBSTITUTE(SUBSTITUTE(SUBSTITUTE(SUBSTITUTE(D140,".",""),"/",""),"-","")," ",""))&lt;&gt;14,"CNPJ INVALIDO","OK"))</f>
      </c>
      <c r="Y140" s="3056">
        <f>IF(A140="","",IF(R140="","REST PENDENTE","REST OK"))</f>
      </c>
      <c r="Z140" s="3056">
        <f>IF(A140="","",IF(AND(R140&lt;&gt;"",COUNTIFS($D$3:$D$164,D140,$R$3:$R$164,"&lt;&gt;")&gt;1),"DUPLICADO","OK"))</f>
      </c>
      <c r="AA140" s="3056">
        <f>IF(A140="","",IF(OR(LEN(Q140)&gt;180,LEN(R140)&gt;180,LEN(S140)&gt;180,LEN(T140)&gt;180),"CAMINHO LONGO","OK"))</f>
      </c>
      <c r="AB140" s="3056">
        <f>IF(A140="","",IF(U140="","",IFERROR(INT(U140-TODAY()),"")))</f>
      </c>
      <c r="AC140" s="3056">
        <f>IF(A140="","",IF(AND(T140="",U140=""),"",IF(T140="","SEM CAMINHO",IF(U140="","SEM DATA",IFERROR(IF(AB140&lt;15,"VERMELHO",IF(AB140&lt;=30,"AMARELO","VERDE")),"DATA INVALIDA")))))</f>
      </c>
      <c r="AD140" s="3056">
        <f>IF(OR(A140="",U140="",NOT(ISNUMBER(AB140))),"",RANK(AB140,$AB$3:$AB$164,1)+COUNTIFS($AB$3:AB140,AB140)-1)</f>
      </c>
      <c r="AE140" s="1736"/>
    </row>
    <row r="141" ht="22.0" customHeight="true" hidden="false">
      <c r="A141" s="3047"/>
      <c r="B141" s="3046"/>
      <c r="C141" s="3046"/>
      <c r="D141" s="3046"/>
      <c r="E141" s="3046"/>
      <c r="F141" s="3046"/>
      <c r="G141" s="3046"/>
      <c r="H141" s="3046"/>
      <c r="I141" s="3046"/>
      <c r="J141" s="3046"/>
      <c r="K141" s="3046"/>
      <c r="L141" s="3046"/>
      <c r="M141" s="3046"/>
      <c r="N141" s="3046"/>
      <c r="O141" s="3046"/>
      <c r="P141" s="3046"/>
      <c r="Q141" s="3049"/>
      <c r="R141" s="3049"/>
      <c r="S141" s="3049"/>
      <c r="T141" s="3049"/>
      <c r="U141" s="3050"/>
      <c r="V141" s="3046"/>
      <c r="W141" s="3046"/>
      <c r="X141" s="3056">
        <f>IF(A141="","",IF(LEN(SUBSTITUTE(SUBSTITUTE(SUBSTITUTE(SUBSTITUTE(D141,".",""),"/",""),"-","")," ",""))&lt;&gt;14,"CNPJ INVALIDO","OK"))</f>
      </c>
      <c r="Y141" s="3056">
        <f>IF(A141="","",IF(R141="","REST PENDENTE","REST OK"))</f>
      </c>
      <c r="Z141" s="3056">
        <f>IF(A141="","",IF(AND(R141&lt;&gt;"",COUNTIFS($D$3:$D$164,D141,$R$3:$R$164,"&lt;&gt;")&gt;1),"DUPLICADO","OK"))</f>
      </c>
      <c r="AA141" s="3056">
        <f>IF(A141="","",IF(OR(LEN(Q141)&gt;180,LEN(R141)&gt;180,LEN(S141)&gt;180,LEN(T141)&gt;180),"CAMINHO LONGO","OK"))</f>
      </c>
      <c r="AB141" s="3056">
        <f>IF(A141="","",IF(U141="","",IFERROR(INT(U141-TODAY()),"")))</f>
      </c>
      <c r="AC141" s="3056">
        <f>IF(A141="","",IF(AND(T141="",U141=""),"",IF(T141="","SEM CAMINHO",IF(U141="","SEM DATA",IFERROR(IF(AB141&lt;15,"VERMELHO",IF(AB141&lt;=30,"AMARELO","VERDE")),"DATA INVALIDA")))))</f>
      </c>
      <c r="AD141" s="3056">
        <f>IF(OR(A141="",U141="",NOT(ISNUMBER(AB141))),"",RANK(AB141,$AB$3:$AB$164,1)+COUNTIFS($AB$3:AB141,AB141)-1)</f>
      </c>
      <c r="AE141" s="1736"/>
    </row>
    <row r="142" ht="22.0" customHeight="true" hidden="false">
      <c r="A142" s="3052"/>
      <c r="B142" s="3051"/>
      <c r="C142" s="3051"/>
      <c r="D142" s="3051"/>
      <c r="E142" s="3051"/>
      <c r="F142" s="3051"/>
      <c r="G142" s="3051"/>
      <c r="H142" s="3051"/>
      <c r="I142" s="3051"/>
      <c r="J142" s="3051"/>
      <c r="K142" s="3051"/>
      <c r="L142" s="3051"/>
      <c r="M142" s="3051"/>
      <c r="N142" s="3051"/>
      <c r="O142" s="3051"/>
      <c r="P142" s="3051"/>
      <c r="Q142" s="3054"/>
      <c r="R142" s="3054"/>
      <c r="S142" s="3054"/>
      <c r="T142" s="3054"/>
      <c r="U142" s="3055"/>
      <c r="V142" s="3051"/>
      <c r="W142" s="3051"/>
      <c r="X142" s="3056">
        <f>IF(A142="","",IF(LEN(SUBSTITUTE(SUBSTITUTE(SUBSTITUTE(SUBSTITUTE(D142,".",""),"/",""),"-","")," ",""))&lt;&gt;14,"CNPJ INVALIDO","OK"))</f>
      </c>
      <c r="Y142" s="3056">
        <f>IF(A142="","",IF(R142="","REST PENDENTE","REST OK"))</f>
      </c>
      <c r="Z142" s="3056">
        <f>IF(A142="","",IF(AND(R142&lt;&gt;"",COUNTIFS($D$3:$D$164,D142,$R$3:$R$164,"&lt;&gt;")&gt;1),"DUPLICADO","OK"))</f>
      </c>
      <c r="AA142" s="3056">
        <f>IF(A142="","",IF(OR(LEN(Q142)&gt;180,LEN(R142)&gt;180,LEN(S142)&gt;180,LEN(T142)&gt;180),"CAMINHO LONGO","OK"))</f>
      </c>
      <c r="AB142" s="3056">
        <f>IF(A142="","",IF(U142="","",IFERROR(INT(U142-TODAY()),"")))</f>
      </c>
      <c r="AC142" s="3056">
        <f>IF(A142="","",IF(AND(T142="",U142=""),"",IF(T142="","SEM CAMINHO",IF(U142="","SEM DATA",IFERROR(IF(AB142&lt;15,"VERMELHO",IF(AB142&lt;=30,"AMARELO","VERDE")),"DATA INVALIDA")))))</f>
      </c>
      <c r="AD142" s="3056">
        <f>IF(OR(A142="",U142="",NOT(ISNUMBER(AB142))),"",RANK(AB142,$AB$3:$AB$164,1)+COUNTIFS($AB$3:AB142,AB142)-1)</f>
      </c>
      <c r="AE142" s="1736"/>
    </row>
    <row r="143" ht="22.0" customHeight="true" hidden="false">
      <c r="A143" s="3047"/>
      <c r="B143" s="3046"/>
      <c r="C143" s="3046"/>
      <c r="D143" s="3046"/>
      <c r="E143" s="3046"/>
      <c r="F143" s="3046"/>
      <c r="G143" s="3046"/>
      <c r="H143" s="3046"/>
      <c r="I143" s="3046"/>
      <c r="J143" s="3046"/>
      <c r="K143" s="3046"/>
      <c r="L143" s="3046"/>
      <c r="M143" s="3046"/>
      <c r="N143" s="3046"/>
      <c r="O143" s="3046"/>
      <c r="P143" s="3046"/>
      <c r="Q143" s="3049"/>
      <c r="R143" s="3049"/>
      <c r="S143" s="3049"/>
      <c r="T143" s="3049"/>
      <c r="U143" s="3050"/>
      <c r="V143" s="3046"/>
      <c r="W143" s="3046"/>
      <c r="X143" s="3056">
        <f>IF(A143="","",IF(LEN(SUBSTITUTE(SUBSTITUTE(SUBSTITUTE(SUBSTITUTE(D143,".",""),"/",""),"-","")," ",""))&lt;&gt;14,"CNPJ INVALIDO","OK"))</f>
      </c>
      <c r="Y143" s="3056">
        <f>IF(A143="","",IF(R143="","REST PENDENTE","REST OK"))</f>
      </c>
      <c r="Z143" s="3056">
        <f>IF(A143="","",IF(AND(R143&lt;&gt;"",COUNTIFS($D$3:$D$164,D143,$R$3:$R$164,"&lt;&gt;")&gt;1),"DUPLICADO","OK"))</f>
      </c>
      <c r="AA143" s="3056">
        <f>IF(A143="","",IF(OR(LEN(Q143)&gt;180,LEN(R143)&gt;180,LEN(S143)&gt;180,LEN(T143)&gt;180),"CAMINHO LONGO","OK"))</f>
      </c>
      <c r="AB143" s="3056">
        <f>IF(A143="","",IF(U143="","",IFERROR(INT(U143-TODAY()),"")))</f>
      </c>
      <c r="AC143" s="3056">
        <f>IF(A143="","",IF(AND(T143="",U143=""),"",IF(T143="","SEM CAMINHO",IF(U143="","SEM DATA",IFERROR(IF(AB143&lt;15,"VERMELHO",IF(AB143&lt;=30,"AMARELO","VERDE")),"DATA INVALIDA")))))</f>
      </c>
      <c r="AD143" s="3056">
        <f>IF(OR(A143="",U143="",NOT(ISNUMBER(AB143))),"",RANK(AB143,$AB$3:$AB$164,1)+COUNTIFS($AB$3:AB143,AB143)-1)</f>
      </c>
      <c r="AE143" s="1736"/>
    </row>
    <row r="144" ht="22.0" customHeight="true" hidden="false">
      <c r="A144" s="3052"/>
      <c r="B144" s="3051"/>
      <c r="C144" s="3051"/>
      <c r="D144" s="3051"/>
      <c r="E144" s="3051"/>
      <c r="F144" s="3051"/>
      <c r="G144" s="3051"/>
      <c r="H144" s="3051"/>
      <c r="I144" s="3051"/>
      <c r="J144" s="3051"/>
      <c r="K144" s="3051"/>
      <c r="L144" s="3051"/>
      <c r="M144" s="3051"/>
      <c r="N144" s="3051"/>
      <c r="O144" s="3051"/>
      <c r="P144" s="3051"/>
      <c r="Q144" s="3054"/>
      <c r="R144" s="3054"/>
      <c r="S144" s="3054"/>
      <c r="T144" s="3054"/>
      <c r="U144" s="3055"/>
      <c r="V144" s="3051"/>
      <c r="W144" s="3051"/>
      <c r="X144" s="3056">
        <f>IF(A144="","",IF(LEN(SUBSTITUTE(SUBSTITUTE(SUBSTITUTE(SUBSTITUTE(D144,".",""),"/",""),"-","")," ",""))&lt;&gt;14,"CNPJ INVALIDO","OK"))</f>
      </c>
      <c r="Y144" s="3056">
        <f>IF(A144="","",IF(R144="","REST PENDENTE","REST OK"))</f>
      </c>
      <c r="Z144" s="3056">
        <f>IF(A144="","",IF(AND(R144&lt;&gt;"",COUNTIFS($D$3:$D$164,D144,$R$3:$R$164,"&lt;&gt;")&gt;1),"DUPLICADO","OK"))</f>
      </c>
      <c r="AA144" s="3056">
        <f>IF(A144="","",IF(OR(LEN(Q144)&gt;180,LEN(R144)&gt;180,LEN(S144)&gt;180,LEN(T144)&gt;180),"CAMINHO LONGO","OK"))</f>
      </c>
      <c r="AB144" s="3056">
        <f>IF(A144="","",IF(U144="","",IFERROR(INT(U144-TODAY()),"")))</f>
      </c>
      <c r="AC144" s="3056">
        <f>IF(A144="","",IF(AND(T144="",U144=""),"",IF(T144="","SEM CAMINHO",IF(U144="","SEM DATA",IFERROR(IF(AB144&lt;15,"VERMELHO",IF(AB144&lt;=30,"AMARELO","VERDE")),"DATA INVALIDA")))))</f>
      </c>
      <c r="AD144" s="3056">
        <f>IF(OR(A144="",U144="",NOT(ISNUMBER(AB144))),"",RANK(AB144,$AB$3:$AB$164,1)+COUNTIFS($AB$3:AB144,AB144)-1)</f>
      </c>
      <c r="AE144" s="1736"/>
    </row>
    <row r="145" ht="22.0" customHeight="true" hidden="false">
      <c r="A145" s="3047"/>
      <c r="B145" s="3046"/>
      <c r="C145" s="3046"/>
      <c r="D145" s="3046"/>
      <c r="E145" s="3046"/>
      <c r="F145" s="3046"/>
      <c r="G145" s="3046"/>
      <c r="H145" s="3046"/>
      <c r="I145" s="3046"/>
      <c r="J145" s="3046"/>
      <c r="K145" s="3046"/>
      <c r="L145" s="3046"/>
      <c r="M145" s="3046"/>
      <c r="N145" s="3046"/>
      <c r="O145" s="3046"/>
      <c r="P145" s="3046"/>
      <c r="Q145" s="3049"/>
      <c r="R145" s="3049"/>
      <c r="S145" s="3049"/>
      <c r="T145" s="3049"/>
      <c r="U145" s="3050"/>
      <c r="V145" s="3046"/>
      <c r="W145" s="3046"/>
      <c r="X145" s="3056">
        <f>IF(A145="","",IF(LEN(SUBSTITUTE(SUBSTITUTE(SUBSTITUTE(SUBSTITUTE(D145,".",""),"/",""),"-","")," ",""))&lt;&gt;14,"CNPJ INVALIDO","OK"))</f>
      </c>
      <c r="Y145" s="3056">
        <f>IF(A145="","",IF(R145="","REST PENDENTE","REST OK"))</f>
      </c>
      <c r="Z145" s="3056">
        <f>IF(A145="","",IF(AND(R145&lt;&gt;"",COUNTIFS($D$3:$D$164,D145,$R$3:$R$164,"&lt;&gt;")&gt;1),"DUPLICADO","OK"))</f>
      </c>
      <c r="AA145" s="3056">
        <f>IF(A145="","",IF(OR(LEN(Q145)&gt;180,LEN(R145)&gt;180,LEN(S145)&gt;180,LEN(T145)&gt;180),"CAMINHO LONGO","OK"))</f>
      </c>
      <c r="AB145" s="3056">
        <f>IF(A145="","",IF(U145="","",IFERROR(INT(U145-TODAY()),"")))</f>
      </c>
      <c r="AC145" s="3056">
        <f>IF(A145="","",IF(AND(T145="",U145=""),"",IF(T145="","SEM CAMINHO",IF(U145="","SEM DATA",IFERROR(IF(AB145&lt;15,"VERMELHO",IF(AB145&lt;=30,"AMARELO","VERDE")),"DATA INVALIDA")))))</f>
      </c>
      <c r="AD145" s="3056">
        <f>IF(OR(A145="",U145="",NOT(ISNUMBER(AB145))),"",RANK(AB145,$AB$3:$AB$164,1)+COUNTIFS($AB$3:AB145,AB145)-1)</f>
      </c>
      <c r="AE145" s="1736"/>
    </row>
    <row r="146" ht="22.0" customHeight="true" hidden="false">
      <c r="A146" s="3052"/>
      <c r="B146" s="3051"/>
      <c r="C146" s="3051"/>
      <c r="D146" s="3051"/>
      <c r="E146" s="3051"/>
      <c r="F146" s="3051"/>
      <c r="G146" s="3051"/>
      <c r="H146" s="3051"/>
      <c r="I146" s="3051"/>
      <c r="J146" s="3051"/>
      <c r="K146" s="3051"/>
      <c r="L146" s="3051"/>
      <c r="M146" s="3051"/>
      <c r="N146" s="3051"/>
      <c r="O146" s="3051"/>
      <c r="P146" s="3051"/>
      <c r="Q146" s="3054"/>
      <c r="R146" s="3054"/>
      <c r="S146" s="3054"/>
      <c r="T146" s="3054"/>
      <c r="U146" s="3055"/>
      <c r="V146" s="3051"/>
      <c r="W146" s="3051"/>
      <c r="X146" s="3056">
        <f>IF(A146="","",IF(LEN(SUBSTITUTE(SUBSTITUTE(SUBSTITUTE(SUBSTITUTE(D146,".",""),"/",""),"-","")," ",""))&lt;&gt;14,"CNPJ INVALIDO","OK"))</f>
      </c>
      <c r="Y146" s="3056">
        <f>IF(A146="","",IF(R146="","REST PENDENTE","REST OK"))</f>
      </c>
      <c r="Z146" s="3056">
        <f>IF(A146="","",IF(AND(R146&lt;&gt;"",COUNTIFS($D$3:$D$164,D146,$R$3:$R$164,"&lt;&gt;")&gt;1),"DUPLICADO","OK"))</f>
      </c>
      <c r="AA146" s="3056">
        <f>IF(A146="","",IF(OR(LEN(Q146)&gt;180,LEN(R146)&gt;180,LEN(S146)&gt;180,LEN(T146)&gt;180),"CAMINHO LONGO","OK"))</f>
      </c>
      <c r="AB146" s="3056">
        <f>IF(A146="","",IF(U146="","",IFERROR(INT(U146-TODAY()),"")))</f>
      </c>
      <c r="AC146" s="3056">
        <f>IF(A146="","",IF(AND(T146="",U146=""),"",IF(T146="","SEM CAMINHO",IF(U146="","SEM DATA",IFERROR(IF(AB146&lt;15,"VERMELHO",IF(AB146&lt;=30,"AMARELO","VERDE")),"DATA INVALIDA")))))</f>
      </c>
      <c r="AD146" s="3056">
        <f>IF(OR(A146="",U146="",NOT(ISNUMBER(AB146))),"",RANK(AB146,$AB$3:$AB$164,1)+COUNTIFS($AB$3:AB146,AB146)-1)</f>
      </c>
      <c r="AE146" s="1736"/>
    </row>
    <row r="147" ht="22.0" customHeight="true" hidden="false">
      <c r="A147" s="3047"/>
      <c r="B147" s="3046"/>
      <c r="C147" s="3046"/>
      <c r="D147" s="3046"/>
      <c r="E147" s="3046"/>
      <c r="F147" s="3046"/>
      <c r="G147" s="3046"/>
      <c r="H147" s="3046"/>
      <c r="I147" s="3046"/>
      <c r="J147" s="3046"/>
      <c r="K147" s="3046"/>
      <c r="L147" s="3046"/>
      <c r="M147" s="3046"/>
      <c r="N147" s="3046"/>
      <c r="O147" s="3046"/>
      <c r="P147" s="3046"/>
      <c r="Q147" s="3049"/>
      <c r="R147" s="3049"/>
      <c r="S147" s="3049"/>
      <c r="T147" s="3049"/>
      <c r="U147" s="3050"/>
      <c r="V147" s="3046"/>
      <c r="W147" s="3046"/>
      <c r="X147" s="3056">
        <f>IF(A147="","",IF(LEN(SUBSTITUTE(SUBSTITUTE(SUBSTITUTE(SUBSTITUTE(D147,".",""),"/",""),"-","")," ",""))&lt;&gt;14,"CNPJ INVALIDO","OK"))</f>
      </c>
      <c r="Y147" s="3056">
        <f>IF(A147="","",IF(R147="","REST PENDENTE","REST OK"))</f>
      </c>
      <c r="Z147" s="3056">
        <f>IF(A147="","",IF(AND(R147&lt;&gt;"",COUNTIFS($D$3:$D$164,D147,$R$3:$R$164,"&lt;&gt;")&gt;1),"DUPLICADO","OK"))</f>
      </c>
      <c r="AA147" s="3056">
        <f>IF(A147="","",IF(OR(LEN(Q147)&gt;180,LEN(R147)&gt;180,LEN(S147)&gt;180,LEN(T147)&gt;180),"CAMINHO LONGO","OK"))</f>
      </c>
      <c r="AB147" s="3056">
        <f>IF(A147="","",IF(U147="","",IFERROR(INT(U147-TODAY()),"")))</f>
      </c>
      <c r="AC147" s="3056">
        <f>IF(A147="","",IF(AND(T147="",U147=""),"",IF(T147="","SEM CAMINHO",IF(U147="","SEM DATA",IFERROR(IF(AB147&lt;15,"VERMELHO",IF(AB147&lt;=30,"AMARELO","VERDE")),"DATA INVALIDA")))))</f>
      </c>
      <c r="AD147" s="3056">
        <f>IF(OR(A147="",U147="",NOT(ISNUMBER(AB147))),"",RANK(AB147,$AB$3:$AB$164,1)+COUNTIFS($AB$3:AB147,AB147)-1)</f>
      </c>
      <c r="AE147" s="1736"/>
    </row>
    <row r="148" ht="22.0" customHeight="true" hidden="false">
      <c r="A148" s="3052"/>
      <c r="B148" s="3051"/>
      <c r="C148" s="3051"/>
      <c r="D148" s="3051"/>
      <c r="E148" s="3051"/>
      <c r="F148" s="3051"/>
      <c r="G148" s="3051"/>
      <c r="H148" s="3051"/>
      <c r="I148" s="3051"/>
      <c r="J148" s="3051"/>
      <c r="K148" s="3051"/>
      <c r="L148" s="3051"/>
      <c r="M148" s="3051"/>
      <c r="N148" s="3051"/>
      <c r="O148" s="3051"/>
      <c r="P148" s="3051"/>
      <c r="Q148" s="3054"/>
      <c r="R148" s="3054"/>
      <c r="S148" s="3054"/>
      <c r="T148" s="3054"/>
      <c r="U148" s="3055"/>
      <c r="V148" s="3051"/>
      <c r="W148" s="3051"/>
      <c r="X148" s="3056">
        <f>IF(A148="","",IF(LEN(SUBSTITUTE(SUBSTITUTE(SUBSTITUTE(SUBSTITUTE(D148,".",""),"/",""),"-","")," ",""))&lt;&gt;14,"CNPJ INVALIDO","OK"))</f>
      </c>
      <c r="Y148" s="3056">
        <f>IF(A148="","",IF(R148="","REST PENDENTE","REST OK"))</f>
      </c>
      <c r="Z148" s="3056">
        <f>IF(A148="","",IF(AND(R148&lt;&gt;"",COUNTIFS($D$3:$D$164,D148,$R$3:$R$164,"&lt;&gt;")&gt;1),"DUPLICADO","OK"))</f>
      </c>
      <c r="AA148" s="3056">
        <f>IF(A148="","",IF(OR(LEN(Q148)&gt;180,LEN(R148)&gt;180,LEN(S148)&gt;180,LEN(T148)&gt;180),"CAMINHO LONGO","OK"))</f>
      </c>
      <c r="AB148" s="3056">
        <f>IF(A148="","",IF(U148="","",IFERROR(INT(U148-TODAY()),"")))</f>
      </c>
      <c r="AC148" s="3056">
        <f>IF(A148="","",IF(AND(T148="",U148=""),"",IF(T148="","SEM CAMINHO",IF(U148="","SEM DATA",IFERROR(IF(AB148&lt;15,"VERMELHO",IF(AB148&lt;=30,"AMARELO","VERDE")),"DATA INVALIDA")))))</f>
      </c>
      <c r="AD148" s="3056">
        <f>IF(OR(A148="",U148="",NOT(ISNUMBER(AB148))),"",RANK(AB148,$AB$3:$AB$164,1)+COUNTIFS($AB$3:AB148,AB148)-1)</f>
      </c>
      <c r="AE148" s="1736"/>
    </row>
    <row r="149" ht="22.0" customHeight="true" hidden="false">
      <c r="A149" s="3047"/>
      <c r="B149" s="3046"/>
      <c r="C149" s="3046"/>
      <c r="D149" s="3046"/>
      <c r="E149" s="3046"/>
      <c r="F149" s="3046"/>
      <c r="G149" s="3046"/>
      <c r="H149" s="3046"/>
      <c r="I149" s="3046"/>
      <c r="J149" s="3046"/>
      <c r="K149" s="3046"/>
      <c r="L149" s="3046"/>
      <c r="M149" s="3046"/>
      <c r="N149" s="3046"/>
      <c r="O149" s="3046"/>
      <c r="P149" s="3046"/>
      <c r="Q149" s="3049"/>
      <c r="R149" s="3049"/>
      <c r="S149" s="3049"/>
      <c r="T149" s="3049"/>
      <c r="U149" s="3050"/>
      <c r="V149" s="3046"/>
      <c r="W149" s="3046"/>
      <c r="X149" s="3056">
        <f>IF(A149="","",IF(LEN(SUBSTITUTE(SUBSTITUTE(SUBSTITUTE(SUBSTITUTE(D149,".",""),"/",""),"-","")," ",""))&lt;&gt;14,"CNPJ INVALIDO","OK"))</f>
      </c>
      <c r="Y149" s="3056">
        <f>IF(A149="","",IF(R149="","REST PENDENTE","REST OK"))</f>
      </c>
      <c r="Z149" s="3056">
        <f>IF(A149="","",IF(AND(R149&lt;&gt;"",COUNTIFS($D$3:$D$164,D149,$R$3:$R$164,"&lt;&gt;")&gt;1),"DUPLICADO","OK"))</f>
      </c>
      <c r="AA149" s="3056">
        <f>IF(A149="","",IF(OR(LEN(Q149)&gt;180,LEN(R149)&gt;180,LEN(S149)&gt;180,LEN(T149)&gt;180),"CAMINHO LONGO","OK"))</f>
      </c>
      <c r="AB149" s="3056">
        <f>IF(A149="","",IF(U149="","",IFERROR(INT(U149-TODAY()),"")))</f>
      </c>
      <c r="AC149" s="3056">
        <f>IF(A149="","",IF(AND(T149="",U149=""),"",IF(T149="","SEM CAMINHO",IF(U149="","SEM DATA",IFERROR(IF(AB149&lt;15,"VERMELHO",IF(AB149&lt;=30,"AMARELO","VERDE")),"DATA INVALIDA")))))</f>
      </c>
      <c r="AD149" s="3056">
        <f>IF(OR(A149="",U149="",NOT(ISNUMBER(AB149))),"",RANK(AB149,$AB$3:$AB$164,1)+COUNTIFS($AB$3:AB149,AB149)-1)</f>
      </c>
      <c r="AE149" s="1736"/>
    </row>
    <row r="150" ht="22.0" customHeight="true" hidden="false">
      <c r="A150" s="3052"/>
      <c r="B150" s="3051"/>
      <c r="C150" s="3051"/>
      <c r="D150" s="3051"/>
      <c r="E150" s="3051"/>
      <c r="F150" s="3051"/>
      <c r="G150" s="3051"/>
      <c r="H150" s="3051"/>
      <c r="I150" s="3051"/>
      <c r="J150" s="3051"/>
      <c r="K150" s="3051"/>
      <c r="L150" s="3051"/>
      <c r="M150" s="3051"/>
      <c r="N150" s="3051"/>
      <c r="O150" s="3051"/>
      <c r="P150" s="3051"/>
      <c r="Q150" s="3054"/>
      <c r="R150" s="3054"/>
      <c r="S150" s="3054"/>
      <c r="T150" s="3054"/>
      <c r="U150" s="3055"/>
      <c r="V150" s="3051"/>
      <c r="W150" s="3051"/>
      <c r="X150" s="3056">
        <f>IF(A150="","",IF(LEN(SUBSTITUTE(SUBSTITUTE(SUBSTITUTE(SUBSTITUTE(D150,".",""),"/",""),"-","")," ",""))&lt;&gt;14,"CNPJ INVALIDO","OK"))</f>
      </c>
      <c r="Y150" s="3056">
        <f>IF(A150="","",IF(R150="","REST PENDENTE","REST OK"))</f>
      </c>
      <c r="Z150" s="3056">
        <f>IF(A150="","",IF(AND(R150&lt;&gt;"",COUNTIFS($D$3:$D$164,D150,$R$3:$R$164,"&lt;&gt;")&gt;1),"DUPLICADO","OK"))</f>
      </c>
      <c r="AA150" s="3056">
        <f>IF(A150="","",IF(OR(LEN(Q150)&gt;180,LEN(R150)&gt;180,LEN(S150)&gt;180,LEN(T150)&gt;180),"CAMINHO LONGO","OK"))</f>
      </c>
      <c r="AB150" s="3056">
        <f>IF(A150="","",IF(U150="","",IFERROR(INT(U150-TODAY()),"")))</f>
      </c>
      <c r="AC150" s="3056">
        <f>IF(A150="","",IF(AND(T150="",U150=""),"",IF(T150="","SEM CAMINHO",IF(U150="","SEM DATA",IFERROR(IF(AB150&lt;15,"VERMELHO",IF(AB150&lt;=30,"AMARELO","VERDE")),"DATA INVALIDA")))))</f>
      </c>
      <c r="AD150" s="3056">
        <f>IF(OR(A150="",U150="",NOT(ISNUMBER(AB150))),"",RANK(AB150,$AB$3:$AB$164,1)+COUNTIFS($AB$3:AB150,AB150)-1)</f>
      </c>
      <c r="AE150" s="1736"/>
    </row>
    <row r="151" ht="22.0" customHeight="true" hidden="false">
      <c r="A151" s="3047"/>
      <c r="B151" s="3046"/>
      <c r="C151" s="3046"/>
      <c r="D151" s="3046"/>
      <c r="E151" s="3046"/>
      <c r="F151" s="3046"/>
      <c r="G151" s="3046"/>
      <c r="H151" s="3046"/>
      <c r="I151" s="3046"/>
      <c r="J151" s="3046"/>
      <c r="K151" s="3046"/>
      <c r="L151" s="3046"/>
      <c r="M151" s="3046"/>
      <c r="N151" s="3046"/>
      <c r="O151" s="3046"/>
      <c r="P151" s="3046"/>
      <c r="Q151" s="3049"/>
      <c r="R151" s="3049"/>
      <c r="S151" s="3049"/>
      <c r="T151" s="3049"/>
      <c r="U151" s="3050"/>
      <c r="V151" s="3046"/>
      <c r="W151" s="3046"/>
      <c r="X151" s="3056">
        <f>IF(A151="","",IF(LEN(SUBSTITUTE(SUBSTITUTE(SUBSTITUTE(SUBSTITUTE(D151,".",""),"/",""),"-","")," ",""))&lt;&gt;14,"CNPJ INVALIDO","OK"))</f>
      </c>
      <c r="Y151" s="3056">
        <f>IF(A151="","",IF(R151="","REST PENDENTE","REST OK"))</f>
      </c>
      <c r="Z151" s="3056">
        <f>IF(A151="","",IF(AND(R151&lt;&gt;"",COUNTIFS($D$3:$D$164,D151,$R$3:$R$164,"&lt;&gt;")&gt;1),"DUPLICADO","OK"))</f>
      </c>
      <c r="AA151" s="3056">
        <f>IF(A151="","",IF(OR(LEN(Q151)&gt;180,LEN(R151)&gt;180,LEN(S151)&gt;180,LEN(T151)&gt;180),"CAMINHO LONGO","OK"))</f>
      </c>
      <c r="AB151" s="3056">
        <f>IF(A151="","",IF(U151="","",IFERROR(INT(U151-TODAY()),"")))</f>
      </c>
      <c r="AC151" s="3056">
        <f>IF(A151="","",IF(AND(T151="",U151=""),"",IF(T151="","SEM CAMINHO",IF(U151="","SEM DATA",IFERROR(IF(AB151&lt;15,"VERMELHO",IF(AB151&lt;=30,"AMARELO","VERDE")),"DATA INVALIDA")))))</f>
      </c>
      <c r="AD151" s="3056">
        <f>IF(OR(A151="",U151="",NOT(ISNUMBER(AB151))),"",RANK(AB151,$AB$3:$AB$164,1)+COUNTIFS($AB$3:AB151,AB151)-1)</f>
      </c>
      <c r="AE151" s="1736"/>
    </row>
    <row r="152" ht="22.0" customHeight="true" hidden="false">
      <c r="A152" s="3052"/>
      <c r="B152" s="3051"/>
      <c r="C152" s="3051"/>
      <c r="D152" s="3051"/>
      <c r="E152" s="3051"/>
      <c r="F152" s="3051"/>
      <c r="G152" s="3051"/>
      <c r="H152" s="3051"/>
      <c r="I152" s="3051"/>
      <c r="J152" s="3051"/>
      <c r="K152" s="3051"/>
      <c r="L152" s="3051"/>
      <c r="M152" s="3051"/>
      <c r="N152" s="3051"/>
      <c r="O152" s="3051"/>
      <c r="P152" s="3051"/>
      <c r="Q152" s="3054"/>
      <c r="R152" s="3054"/>
      <c r="S152" s="3054"/>
      <c r="T152" s="3054"/>
      <c r="U152" s="3055"/>
      <c r="V152" s="3051"/>
      <c r="W152" s="3051"/>
      <c r="X152" s="3056">
        <f>IF(A152="","",IF(LEN(SUBSTITUTE(SUBSTITUTE(SUBSTITUTE(SUBSTITUTE(D152,".",""),"/",""),"-","")," ",""))&lt;&gt;14,"CNPJ INVALIDO","OK"))</f>
      </c>
      <c r="Y152" s="3056">
        <f>IF(A152="","",IF(R152="","REST PENDENTE","REST OK"))</f>
      </c>
      <c r="Z152" s="3056">
        <f>IF(A152="","",IF(AND(R152&lt;&gt;"",COUNTIFS($D$3:$D$164,D152,$R$3:$R$164,"&lt;&gt;")&gt;1),"DUPLICADO","OK"))</f>
      </c>
      <c r="AA152" s="3056">
        <f>IF(A152="","",IF(OR(LEN(Q152)&gt;180,LEN(R152)&gt;180,LEN(S152)&gt;180,LEN(T152)&gt;180),"CAMINHO LONGO","OK"))</f>
      </c>
      <c r="AB152" s="3056">
        <f>IF(A152="","",IF(U152="","",IFERROR(INT(U152-TODAY()),"")))</f>
      </c>
      <c r="AC152" s="3056">
        <f>IF(A152="","",IF(AND(T152="",U152=""),"",IF(T152="","SEM CAMINHO",IF(U152="","SEM DATA",IFERROR(IF(AB152&lt;15,"VERMELHO",IF(AB152&lt;=30,"AMARELO","VERDE")),"DATA INVALIDA")))))</f>
      </c>
      <c r="AD152" s="3056">
        <f>IF(OR(A152="",U152="",NOT(ISNUMBER(AB152))),"",RANK(AB152,$AB$3:$AB$164,1)+COUNTIFS($AB$3:AB152,AB152)-1)</f>
      </c>
      <c r="AE152" s="1736"/>
    </row>
    <row r="153" ht="22.0" customHeight="true" hidden="false">
      <c r="A153" s="3047"/>
      <c r="B153" s="3046"/>
      <c r="C153" s="3046"/>
      <c r="D153" s="3046"/>
      <c r="E153" s="3046"/>
      <c r="F153" s="3046"/>
      <c r="G153" s="3046"/>
      <c r="H153" s="3046"/>
      <c r="I153" s="3046"/>
      <c r="J153" s="3046"/>
      <c r="K153" s="3046"/>
      <c r="L153" s="3046"/>
      <c r="M153" s="3046"/>
      <c r="N153" s="3046"/>
      <c r="O153" s="3046"/>
      <c r="P153" s="3046"/>
      <c r="Q153" s="3049"/>
      <c r="R153" s="3049"/>
      <c r="S153" s="3049"/>
      <c r="T153" s="3049"/>
      <c r="U153" s="3050"/>
      <c r="V153" s="3046"/>
      <c r="W153" s="3046"/>
      <c r="X153" s="3056">
        <f>IF(A153="","",IF(LEN(SUBSTITUTE(SUBSTITUTE(SUBSTITUTE(SUBSTITUTE(D153,".",""),"/",""),"-","")," ",""))&lt;&gt;14,"CNPJ INVALIDO","OK"))</f>
      </c>
      <c r="Y153" s="3056">
        <f>IF(A153="","",IF(R153="","REST PENDENTE","REST OK"))</f>
      </c>
      <c r="Z153" s="3056">
        <f>IF(A153="","",IF(AND(R153&lt;&gt;"",COUNTIFS($D$3:$D$164,D153,$R$3:$R$164,"&lt;&gt;")&gt;1),"DUPLICADO","OK"))</f>
      </c>
      <c r="AA153" s="3056">
        <f>IF(A153="","",IF(OR(LEN(Q153)&gt;180,LEN(R153)&gt;180,LEN(S153)&gt;180,LEN(T153)&gt;180),"CAMINHO LONGO","OK"))</f>
      </c>
      <c r="AB153" s="3056">
        <f>IF(A153="","",IF(U153="","",IFERROR(INT(U153-TODAY()),"")))</f>
      </c>
      <c r="AC153" s="3056">
        <f>IF(A153="","",IF(AND(T153="",U153=""),"",IF(T153="","SEM CAMINHO",IF(U153="","SEM DATA",IFERROR(IF(AB153&lt;15,"VERMELHO",IF(AB153&lt;=30,"AMARELO","VERDE")),"DATA INVALIDA")))))</f>
      </c>
      <c r="AD153" s="3056">
        <f>IF(OR(A153="",U153="",NOT(ISNUMBER(AB153))),"",RANK(AB153,$AB$3:$AB$164,1)+COUNTIFS($AB$3:AB153,AB153)-1)</f>
      </c>
      <c r="AE153" s="1736"/>
    </row>
    <row r="154" ht="22.0" customHeight="true" hidden="false">
      <c r="A154" s="3052"/>
      <c r="B154" s="3051"/>
      <c r="C154" s="3051"/>
      <c r="D154" s="3051"/>
      <c r="E154" s="3051"/>
      <c r="F154" s="3051"/>
      <c r="G154" s="3051"/>
      <c r="H154" s="3051"/>
      <c r="I154" s="3051"/>
      <c r="J154" s="3051"/>
      <c r="K154" s="3051"/>
      <c r="L154" s="3051"/>
      <c r="M154" s="3051"/>
      <c r="N154" s="3051"/>
      <c r="O154" s="3051"/>
      <c r="P154" s="3051"/>
      <c r="Q154" s="3054"/>
      <c r="R154" s="3054"/>
      <c r="S154" s="3054"/>
      <c r="T154" s="3054"/>
      <c r="U154" s="3055"/>
      <c r="V154" s="3051"/>
      <c r="W154" s="3051"/>
      <c r="X154" s="3056">
        <f>IF(A154="","",IF(LEN(SUBSTITUTE(SUBSTITUTE(SUBSTITUTE(SUBSTITUTE(D154,".",""),"/",""),"-","")," ",""))&lt;&gt;14,"CNPJ INVALIDO","OK"))</f>
      </c>
      <c r="Y154" s="3056">
        <f>IF(A154="","",IF(R154="","REST PENDENTE","REST OK"))</f>
      </c>
      <c r="Z154" s="3056">
        <f>IF(A154="","",IF(AND(R154&lt;&gt;"",COUNTIFS($D$3:$D$164,D154,$R$3:$R$164,"&lt;&gt;")&gt;1),"DUPLICADO","OK"))</f>
      </c>
      <c r="AA154" s="3056">
        <f>IF(A154="","",IF(OR(LEN(Q154)&gt;180,LEN(R154)&gt;180,LEN(S154)&gt;180,LEN(T154)&gt;180),"CAMINHO LONGO","OK"))</f>
      </c>
      <c r="AB154" s="3056">
        <f>IF(A154="","",IF(U154="","",IFERROR(INT(U154-TODAY()),"")))</f>
      </c>
      <c r="AC154" s="3056">
        <f>IF(A154="","",IF(AND(T154="",U154=""),"",IF(T154="","SEM CAMINHO",IF(U154="","SEM DATA",IFERROR(IF(AB154&lt;15,"VERMELHO",IF(AB154&lt;=30,"AMARELO","VERDE")),"DATA INVALIDA")))))</f>
      </c>
      <c r="AD154" s="3056">
        <f>IF(OR(A154="",U154="",NOT(ISNUMBER(AB154))),"",RANK(AB154,$AB$3:$AB$164,1)+COUNTIFS($AB$3:AB154,AB154)-1)</f>
      </c>
      <c r="AE154" s="1736"/>
    </row>
    <row r="155" ht="22.0" customHeight="true" hidden="false">
      <c r="A155" s="3047"/>
      <c r="B155" s="3046"/>
      <c r="C155" s="3046"/>
      <c r="D155" s="3046"/>
      <c r="E155" s="3046"/>
      <c r="F155" s="3046"/>
      <c r="G155" s="3046"/>
      <c r="H155" s="3046"/>
      <c r="I155" s="3046"/>
      <c r="J155" s="3046"/>
      <c r="K155" s="3046"/>
      <c r="L155" s="3046"/>
      <c r="M155" s="3046"/>
      <c r="N155" s="3046"/>
      <c r="O155" s="3046"/>
      <c r="P155" s="3046"/>
      <c r="Q155" s="3049"/>
      <c r="R155" s="3049"/>
      <c r="S155" s="3049"/>
      <c r="T155" s="3049"/>
      <c r="U155" s="3050"/>
      <c r="V155" s="3046"/>
      <c r="W155" s="3046"/>
      <c r="X155" s="3056">
        <f>IF(A155="","",IF(LEN(SUBSTITUTE(SUBSTITUTE(SUBSTITUTE(SUBSTITUTE(D155,".",""),"/",""),"-","")," ",""))&lt;&gt;14,"CNPJ INVALIDO","OK"))</f>
      </c>
      <c r="Y155" s="3056">
        <f>IF(A155="","",IF(R155="","REST PENDENTE","REST OK"))</f>
      </c>
      <c r="Z155" s="3056">
        <f>IF(A155="","",IF(AND(R155&lt;&gt;"",COUNTIFS($D$3:$D$164,D155,$R$3:$R$164,"&lt;&gt;")&gt;1),"DUPLICADO","OK"))</f>
      </c>
      <c r="AA155" s="3056">
        <f>IF(A155="","",IF(OR(LEN(Q155)&gt;180,LEN(R155)&gt;180,LEN(S155)&gt;180,LEN(T155)&gt;180),"CAMINHO LONGO","OK"))</f>
      </c>
      <c r="AB155" s="3056">
        <f>IF(A155="","",IF(U155="","",IFERROR(INT(U155-TODAY()),"")))</f>
      </c>
      <c r="AC155" s="3056">
        <f>IF(A155="","",IF(AND(T155="",U155=""),"",IF(T155="","SEM CAMINHO",IF(U155="","SEM DATA",IFERROR(IF(AB155&lt;15,"VERMELHO",IF(AB155&lt;=30,"AMARELO","VERDE")),"DATA INVALIDA")))))</f>
      </c>
      <c r="AD155" s="3056">
        <f>IF(OR(A155="",U155="",NOT(ISNUMBER(AB155))),"",RANK(AB155,$AB$3:$AB$164,1)+COUNTIFS($AB$3:AB155,AB155)-1)</f>
      </c>
      <c r="AE155" s="1736"/>
    </row>
    <row r="156" ht="22.0" customHeight="true" hidden="false">
      <c r="A156" s="3052"/>
      <c r="B156" s="3051"/>
      <c r="C156" s="3051"/>
      <c r="D156" s="3051"/>
      <c r="E156" s="3051"/>
      <c r="F156" s="3051"/>
      <c r="G156" s="3051"/>
      <c r="H156" s="3051"/>
      <c r="I156" s="3051"/>
      <c r="J156" s="3051"/>
      <c r="K156" s="3051"/>
      <c r="L156" s="3051"/>
      <c r="M156" s="3051"/>
      <c r="N156" s="3051"/>
      <c r="O156" s="3051"/>
      <c r="P156" s="3051"/>
      <c r="Q156" s="3054"/>
      <c r="R156" s="3054"/>
      <c r="S156" s="3054"/>
      <c r="T156" s="3054"/>
      <c r="U156" s="3055"/>
      <c r="V156" s="3051"/>
      <c r="W156" s="3051"/>
      <c r="X156" s="3056">
        <f>IF(A156="","",IF(LEN(SUBSTITUTE(SUBSTITUTE(SUBSTITUTE(SUBSTITUTE(D156,".",""),"/",""),"-","")," ",""))&lt;&gt;14,"CNPJ INVALIDO","OK"))</f>
      </c>
      <c r="Y156" s="3056">
        <f>IF(A156="","",IF(R156="","REST PENDENTE","REST OK"))</f>
      </c>
      <c r="Z156" s="3056">
        <f>IF(A156="","",IF(AND(R156&lt;&gt;"",COUNTIFS($D$3:$D$164,D156,$R$3:$R$164,"&lt;&gt;")&gt;1),"DUPLICADO","OK"))</f>
      </c>
      <c r="AA156" s="3056">
        <f>IF(A156="","",IF(OR(LEN(Q156)&gt;180,LEN(R156)&gt;180,LEN(S156)&gt;180,LEN(T156)&gt;180),"CAMINHO LONGO","OK"))</f>
      </c>
      <c r="AB156" s="3056">
        <f>IF(A156="","",IF(U156="","",IFERROR(INT(U156-TODAY()),"")))</f>
      </c>
      <c r="AC156" s="3056">
        <f>IF(A156="","",IF(AND(T156="",U156=""),"",IF(T156="","SEM CAMINHO",IF(U156="","SEM DATA",IFERROR(IF(AB156&lt;15,"VERMELHO",IF(AB156&lt;=30,"AMARELO","VERDE")),"DATA INVALIDA")))))</f>
      </c>
      <c r="AD156" s="3056">
        <f>IF(OR(A156="",U156="",NOT(ISNUMBER(AB156))),"",RANK(AB156,$AB$3:$AB$164,1)+COUNTIFS($AB$3:AB156,AB156)-1)</f>
      </c>
      <c r="AE156" s="1736"/>
    </row>
    <row r="157" ht="22.0" customHeight="true" hidden="false">
      <c r="A157" s="3047"/>
      <c r="B157" s="3046"/>
      <c r="C157" s="3046"/>
      <c r="D157" s="3046"/>
      <c r="E157" s="3046"/>
      <c r="F157" s="3046"/>
      <c r="G157" s="3046"/>
      <c r="H157" s="3046"/>
      <c r="I157" s="3046"/>
      <c r="J157" s="3046"/>
      <c r="K157" s="3046"/>
      <c r="L157" s="3046"/>
      <c r="M157" s="3046"/>
      <c r="N157" s="3046"/>
      <c r="O157" s="3046"/>
      <c r="P157" s="3046"/>
      <c r="Q157" s="3049"/>
      <c r="R157" s="3049"/>
      <c r="S157" s="3049"/>
      <c r="T157" s="3049"/>
      <c r="U157" s="3050"/>
      <c r="V157" s="3046"/>
      <c r="W157" s="3046"/>
      <c r="X157" s="3056">
        <f>IF(A157="","",IF(LEN(SUBSTITUTE(SUBSTITUTE(SUBSTITUTE(SUBSTITUTE(D157,".",""),"/",""),"-","")," ",""))&lt;&gt;14,"CNPJ INVALIDO","OK"))</f>
      </c>
      <c r="Y157" s="3056">
        <f>IF(A157="","",IF(R157="","REST PENDENTE","REST OK"))</f>
      </c>
      <c r="Z157" s="3056">
        <f>IF(A157="","",IF(AND(R157&lt;&gt;"",COUNTIFS($D$3:$D$164,D157,$R$3:$R$164,"&lt;&gt;")&gt;1),"DUPLICADO","OK"))</f>
      </c>
      <c r="AA157" s="3056">
        <f>IF(A157="","",IF(OR(LEN(Q157)&gt;180,LEN(R157)&gt;180,LEN(S157)&gt;180,LEN(T157)&gt;180),"CAMINHO LONGO","OK"))</f>
      </c>
      <c r="AB157" s="3056">
        <f>IF(A157="","",IF(U157="","",IFERROR(INT(U157-TODAY()),"")))</f>
      </c>
      <c r="AC157" s="3056">
        <f>IF(A157="","",IF(AND(T157="",U157=""),"",IF(T157="","SEM CAMINHO",IF(U157="","SEM DATA",IFERROR(IF(AB157&lt;15,"VERMELHO",IF(AB157&lt;=30,"AMARELO","VERDE")),"DATA INVALIDA")))))</f>
      </c>
      <c r="AD157" s="3056">
        <f>IF(OR(A157="",U157="",NOT(ISNUMBER(AB157))),"",RANK(AB157,$AB$3:$AB$164,1)+COUNTIFS($AB$3:AB157,AB157)-1)</f>
      </c>
      <c r="AE157" s="1736"/>
    </row>
    <row r="158" ht="22.0" customHeight="true" hidden="false">
      <c r="A158" s="3052"/>
      <c r="B158" s="3051"/>
      <c r="C158" s="3051"/>
      <c r="D158" s="3051"/>
      <c r="E158" s="3051"/>
      <c r="F158" s="3051"/>
      <c r="G158" s="3051"/>
      <c r="H158" s="3051"/>
      <c r="I158" s="3051"/>
      <c r="J158" s="3051"/>
      <c r="K158" s="3051"/>
      <c r="L158" s="3051"/>
      <c r="M158" s="3051"/>
      <c r="N158" s="3051"/>
      <c r="O158" s="3051"/>
      <c r="P158" s="3051"/>
      <c r="Q158" s="3054"/>
      <c r="R158" s="3054"/>
      <c r="S158" s="3054"/>
      <c r="T158" s="3054"/>
      <c r="U158" s="3055"/>
      <c r="V158" s="3051"/>
      <c r="W158" s="3051"/>
      <c r="X158" s="3056">
        <f>IF(A158="","",IF(LEN(SUBSTITUTE(SUBSTITUTE(SUBSTITUTE(SUBSTITUTE(D158,".",""),"/",""),"-","")," ",""))&lt;&gt;14,"CNPJ INVALIDO","OK"))</f>
      </c>
      <c r="Y158" s="3056">
        <f>IF(A158="","",IF(R158="","REST PENDENTE","REST OK"))</f>
      </c>
      <c r="Z158" s="3056">
        <f>IF(A158="","",IF(AND(R158&lt;&gt;"",COUNTIFS($D$3:$D$164,D158,$R$3:$R$164,"&lt;&gt;")&gt;1),"DUPLICADO","OK"))</f>
      </c>
      <c r="AA158" s="3056">
        <f>IF(A158="","",IF(OR(LEN(Q158)&gt;180,LEN(R158)&gt;180,LEN(S158)&gt;180,LEN(T158)&gt;180),"CAMINHO LONGO","OK"))</f>
      </c>
      <c r="AB158" s="3056">
        <f>IF(A158="","",IF(U158="","",IFERROR(INT(U158-TODAY()),"")))</f>
      </c>
      <c r="AC158" s="3056">
        <f>IF(A158="","",IF(AND(T158="",U158=""),"",IF(T158="","SEM CAMINHO",IF(U158="","SEM DATA",IFERROR(IF(AB158&lt;15,"VERMELHO",IF(AB158&lt;=30,"AMARELO","VERDE")),"DATA INVALIDA")))))</f>
      </c>
      <c r="AD158" s="3056">
        <f>IF(OR(A158="",U158="",NOT(ISNUMBER(AB158))),"",RANK(AB158,$AB$3:$AB$164,1)+COUNTIFS($AB$3:AB158,AB158)-1)</f>
      </c>
      <c r="AE158" s="1736"/>
    </row>
    <row r="159" ht="22.0" customHeight="true" hidden="false">
      <c r="A159" s="3047"/>
      <c r="B159" s="3046"/>
      <c r="C159" s="3046"/>
      <c r="D159" s="3046"/>
      <c r="E159" s="3046"/>
      <c r="F159" s="3046"/>
      <c r="G159" s="3046"/>
      <c r="H159" s="3046"/>
      <c r="I159" s="3046"/>
      <c r="J159" s="3046"/>
      <c r="K159" s="3046"/>
      <c r="L159" s="3046"/>
      <c r="M159" s="3046"/>
      <c r="N159" s="3046"/>
      <c r="O159" s="3046"/>
      <c r="P159" s="3046"/>
      <c r="Q159" s="3049"/>
      <c r="R159" s="3049"/>
      <c r="S159" s="3049"/>
      <c r="T159" s="3049"/>
      <c r="U159" s="3050"/>
      <c r="V159" s="3046"/>
      <c r="W159" s="3046"/>
      <c r="X159" s="3056">
        <f>IF(A159="","",IF(LEN(SUBSTITUTE(SUBSTITUTE(SUBSTITUTE(SUBSTITUTE(D159,".",""),"/",""),"-","")," ",""))&lt;&gt;14,"CNPJ INVALIDO","OK"))</f>
      </c>
      <c r="Y159" s="3056">
        <f>IF(A159="","",IF(R159="","REST PENDENTE","REST OK"))</f>
      </c>
      <c r="Z159" s="3056">
        <f>IF(A159="","",IF(AND(R159&lt;&gt;"",COUNTIFS($D$3:$D$164,D159,$R$3:$R$164,"&lt;&gt;")&gt;1),"DUPLICADO","OK"))</f>
      </c>
      <c r="AA159" s="3056">
        <f>IF(A159="","",IF(OR(LEN(Q159)&gt;180,LEN(R159)&gt;180,LEN(S159)&gt;180,LEN(T159)&gt;180),"CAMINHO LONGO","OK"))</f>
      </c>
      <c r="AB159" s="3056">
        <f>IF(A159="","",IF(U159="","",IFERROR(INT(U159-TODAY()),"")))</f>
      </c>
      <c r="AC159" s="3056">
        <f>IF(A159="","",IF(AND(T159="",U159=""),"",IF(T159="","SEM CAMINHO",IF(U159="","SEM DATA",IFERROR(IF(AB159&lt;15,"VERMELHO",IF(AB159&lt;=30,"AMARELO","VERDE")),"DATA INVALIDA")))))</f>
      </c>
      <c r="AD159" s="3056">
        <f>IF(OR(A159="",U159="",NOT(ISNUMBER(AB159))),"",RANK(AB159,$AB$3:$AB$164,1)+COUNTIFS($AB$3:AB159,AB159)-1)</f>
      </c>
      <c r="AE159" s="1736"/>
    </row>
    <row r="160" ht="22.0" customHeight="true" hidden="false">
      <c r="A160" s="3052"/>
      <c r="B160" s="3051"/>
      <c r="C160" s="3051"/>
      <c r="D160" s="3051"/>
      <c r="E160" s="3051"/>
      <c r="F160" s="3051"/>
      <c r="G160" s="3051"/>
      <c r="H160" s="3051"/>
      <c r="I160" s="3051"/>
      <c r="J160" s="3051"/>
      <c r="K160" s="3051"/>
      <c r="L160" s="3051"/>
      <c r="M160" s="3051"/>
      <c r="N160" s="3051"/>
      <c r="O160" s="3051"/>
      <c r="P160" s="3051"/>
      <c r="Q160" s="3054"/>
      <c r="R160" s="3054"/>
      <c r="S160" s="3054"/>
      <c r="T160" s="3054"/>
      <c r="U160" s="3055"/>
      <c r="V160" s="3051"/>
      <c r="W160" s="3051"/>
      <c r="X160" s="3056">
        <f>IF(A160="","",IF(LEN(SUBSTITUTE(SUBSTITUTE(SUBSTITUTE(SUBSTITUTE(D160,".",""),"/",""),"-","")," ",""))&lt;&gt;14,"CNPJ INVALIDO","OK"))</f>
      </c>
      <c r="Y160" s="3056">
        <f>IF(A160="","",IF(R160="","REST PENDENTE","REST OK"))</f>
      </c>
      <c r="Z160" s="3056">
        <f>IF(A160="","",IF(AND(R160&lt;&gt;"",COUNTIFS($D$3:$D$164,D160,$R$3:$R$164,"&lt;&gt;")&gt;1),"DUPLICADO","OK"))</f>
      </c>
      <c r="AA160" s="3056">
        <f>IF(A160="","",IF(OR(LEN(Q160)&gt;180,LEN(R160)&gt;180,LEN(S160)&gt;180,LEN(T160)&gt;180),"CAMINHO LONGO","OK"))</f>
      </c>
      <c r="AB160" s="3056">
        <f>IF(A160="","",IF(U160="","",IFERROR(INT(U160-TODAY()),"")))</f>
      </c>
      <c r="AC160" s="3056">
        <f>IF(A160="","",IF(AND(T160="",U160=""),"",IF(T160="","SEM CAMINHO",IF(U160="","SEM DATA",IFERROR(IF(AB160&lt;15,"VERMELHO",IF(AB160&lt;=30,"AMARELO","VERDE")),"DATA INVALIDA")))))</f>
      </c>
      <c r="AD160" s="3056">
        <f>IF(OR(A160="",U160="",NOT(ISNUMBER(AB160))),"",RANK(AB160,$AB$3:$AB$164,1)+COUNTIFS($AB$3:AB160,AB160)-1)</f>
      </c>
      <c r="AE160" s="1736"/>
    </row>
    <row r="161" ht="22.0" customHeight="true" hidden="false">
      <c r="A161" s="3047"/>
      <c r="B161" s="3046"/>
      <c r="C161" s="3046"/>
      <c r="D161" s="3046"/>
      <c r="E161" s="3046"/>
      <c r="F161" s="3046"/>
      <c r="G161" s="3046"/>
      <c r="H161" s="3046"/>
      <c r="I161" s="3046"/>
      <c r="J161" s="3046"/>
      <c r="K161" s="3046"/>
      <c r="L161" s="3046"/>
      <c r="M161" s="3046"/>
      <c r="N161" s="3046"/>
      <c r="O161" s="3046"/>
      <c r="P161" s="3046"/>
      <c r="Q161" s="3049"/>
      <c r="R161" s="3049"/>
      <c r="S161" s="3049"/>
      <c r="T161" s="3049"/>
      <c r="U161" s="3050"/>
      <c r="V161" s="3046"/>
      <c r="W161" s="3046"/>
      <c r="X161" s="3056">
        <f>IF(A161="","",IF(LEN(SUBSTITUTE(SUBSTITUTE(SUBSTITUTE(SUBSTITUTE(D161,".",""),"/",""),"-","")," ",""))&lt;&gt;14,"CNPJ INVALIDO","OK"))</f>
      </c>
      <c r="Y161" s="3056">
        <f>IF(A161="","",IF(R161="","REST PENDENTE","REST OK"))</f>
      </c>
      <c r="Z161" s="3056">
        <f>IF(A161="","",IF(AND(R161&lt;&gt;"",COUNTIFS($D$3:$D$164,D161,$R$3:$R$164,"&lt;&gt;")&gt;1),"DUPLICADO","OK"))</f>
      </c>
      <c r="AA161" s="3056">
        <f>IF(A161="","",IF(OR(LEN(Q161)&gt;180,LEN(R161)&gt;180,LEN(S161)&gt;180,LEN(T161)&gt;180),"CAMINHO LONGO","OK"))</f>
      </c>
      <c r="AB161" s="3056">
        <f>IF(A161="","",IF(U161="","",IFERROR(INT(U161-TODAY()),"")))</f>
      </c>
      <c r="AC161" s="3056">
        <f>IF(A161="","",IF(AND(T161="",U161=""),"",IF(T161="","SEM CAMINHO",IF(U161="","SEM DATA",IFERROR(IF(AB161&lt;15,"VERMELHO",IF(AB161&lt;=30,"AMARELO","VERDE")),"DATA INVALIDA")))))</f>
      </c>
      <c r="AD161" s="3056">
        <f>IF(OR(A161="",U161="",NOT(ISNUMBER(AB161))),"",RANK(AB161,$AB$3:$AB$164,1)+COUNTIFS($AB$3:AB161,AB161)-1)</f>
      </c>
      <c r="AE161" s="1736"/>
    </row>
    <row r="162" ht="22.0" customHeight="true" hidden="false">
      <c r="A162" s="3052"/>
      <c r="B162" s="3051"/>
      <c r="C162" s="3051"/>
      <c r="D162" s="3051"/>
      <c r="E162" s="3051"/>
      <c r="F162" s="3051"/>
      <c r="G162" s="3051"/>
      <c r="H162" s="3051"/>
      <c r="I162" s="3051"/>
      <c r="J162" s="3051"/>
      <c r="K162" s="3051"/>
      <c r="L162" s="3051"/>
      <c r="M162" s="3051"/>
      <c r="N162" s="3051"/>
      <c r="O162" s="3051"/>
      <c r="P162" s="3051"/>
      <c r="Q162" s="3054"/>
      <c r="R162" s="3054"/>
      <c r="S162" s="3054"/>
      <c r="T162" s="3054"/>
      <c r="U162" s="3055"/>
      <c r="V162" s="3051"/>
      <c r="W162" s="3051"/>
      <c r="X162" s="3056">
        <f>IF(A162="","",IF(LEN(SUBSTITUTE(SUBSTITUTE(SUBSTITUTE(SUBSTITUTE(D162,".",""),"/",""),"-","")," ",""))&lt;&gt;14,"CNPJ INVALIDO","OK"))</f>
      </c>
      <c r="Y162" s="3056">
        <f>IF(A162="","",IF(R162="","REST PENDENTE","REST OK"))</f>
      </c>
      <c r="Z162" s="3056">
        <f>IF(A162="","",IF(AND(R162&lt;&gt;"",COUNTIFS($D$3:$D$164,D162,$R$3:$R$164,"&lt;&gt;")&gt;1),"DUPLICADO","OK"))</f>
      </c>
      <c r="AA162" s="3056">
        <f>IF(A162="","",IF(OR(LEN(Q162)&gt;180,LEN(R162)&gt;180,LEN(S162)&gt;180,LEN(T162)&gt;180),"CAMINHO LONGO","OK"))</f>
      </c>
      <c r="AB162" s="3056">
        <f>IF(A162="","",IF(U162="","",IFERROR(INT(U162-TODAY()),"")))</f>
      </c>
      <c r="AC162" s="3056">
        <f>IF(A162="","",IF(AND(T162="",U162=""),"",IF(T162="","SEM CAMINHO",IF(U162="","SEM DATA",IFERROR(IF(AB162&lt;15,"VERMELHO",IF(AB162&lt;=30,"AMARELO","VERDE")),"DATA INVALIDA")))))</f>
      </c>
      <c r="AD162" s="3056">
        <f>IF(OR(A162="",U162="",NOT(ISNUMBER(AB162))),"",RANK(AB162,$AB$3:$AB$164,1)+COUNTIFS($AB$3:AB162,AB162)-1)</f>
      </c>
      <c r="AE162" s="1736"/>
    </row>
    <row r="163" ht="22.0" customHeight="true" hidden="false">
      <c r="A163" s="3047"/>
      <c r="B163" s="3046"/>
      <c r="C163" s="3046"/>
      <c r="D163" s="3046"/>
      <c r="E163" s="3046"/>
      <c r="F163" s="3046"/>
      <c r="G163" s="3046"/>
      <c r="H163" s="3046"/>
      <c r="I163" s="3046"/>
      <c r="J163" s="3046"/>
      <c r="K163" s="3046"/>
      <c r="L163" s="3046"/>
      <c r="M163" s="3046"/>
      <c r="N163" s="3046"/>
      <c r="O163" s="3046"/>
      <c r="P163" s="3046"/>
      <c r="Q163" s="3049"/>
      <c r="R163" s="3049"/>
      <c r="S163" s="3049"/>
      <c r="T163" s="3049"/>
      <c r="U163" s="3050"/>
      <c r="V163" s="3046"/>
      <c r="W163" s="3046"/>
      <c r="X163" s="3056">
        <f>IF(A163="","",IF(LEN(SUBSTITUTE(SUBSTITUTE(SUBSTITUTE(SUBSTITUTE(D163,".",""),"/",""),"-","")," ",""))&lt;&gt;14,"CNPJ INVALIDO","OK"))</f>
      </c>
      <c r="Y163" s="3056">
        <f>IF(A163="","",IF(R163="","REST PENDENTE","REST OK"))</f>
      </c>
      <c r="Z163" s="3056">
        <f>IF(A163="","",IF(AND(R163&lt;&gt;"",COUNTIFS($D$3:$D$164,D163,$R$3:$R$164,"&lt;&gt;")&gt;1),"DUPLICADO","OK"))</f>
      </c>
      <c r="AA163" s="3056">
        <f>IF(A163="","",IF(OR(LEN(Q163)&gt;180,LEN(R163)&gt;180,LEN(S163)&gt;180,LEN(T163)&gt;180),"CAMINHO LONGO","OK"))</f>
      </c>
      <c r="AB163" s="3056">
        <f>IF(A163="","",IF(U163="","",IFERROR(INT(U163-TODAY()),"")))</f>
      </c>
      <c r="AC163" s="3056">
        <f>IF(A163="","",IF(AND(T163="",U163=""),"",IF(T163="","SEM CAMINHO",IF(U163="","SEM DATA",IFERROR(IF(AB163&lt;15,"VERMELHO",IF(AB163&lt;=30,"AMARELO","VERDE")),"DATA INVALIDA")))))</f>
      </c>
      <c r="AD163" s="3056">
        <f>IF(OR(A163="",U163="",NOT(ISNUMBER(AB163))),"",RANK(AB163,$AB$3:$AB$164,1)+COUNTIFS($AB$3:AB163,AB163)-1)</f>
      </c>
      <c r="AE163" s="1736"/>
    </row>
    <row r="164" ht="22.0" customHeight="true" hidden="false">
      <c r="A164" s="3052"/>
      <c r="B164" s="3051"/>
      <c r="C164" s="3051"/>
      <c r="D164" s="3051"/>
      <c r="E164" s="3051"/>
      <c r="F164" s="3051"/>
      <c r="G164" s="3051"/>
      <c r="H164" s="3051"/>
      <c r="I164" s="3051"/>
      <c r="J164" s="3051"/>
      <c r="K164" s="3051"/>
      <c r="L164" s="3051"/>
      <c r="M164" s="3051"/>
      <c r="N164" s="3051"/>
      <c r="O164" s="3051"/>
      <c r="P164" s="3051"/>
      <c r="Q164" s="3054"/>
      <c r="R164" s="3054"/>
      <c r="S164" s="3054"/>
      <c r="T164" s="3054"/>
      <c r="U164" s="3055"/>
      <c r="V164" s="3051"/>
      <c r="W164" s="3051"/>
      <c r="X164" s="3056">
        <f>IF(A164="","",IF(LEN(SUBSTITUTE(SUBSTITUTE(SUBSTITUTE(SUBSTITUTE(D164,".",""),"/",""),"-","")," ",""))&lt;&gt;14,"CNPJ INVALIDO","OK"))</f>
      </c>
      <c r="Y164" s="3056">
        <f>IF(A164="","",IF(R164="","REST PENDENTE","REST OK"))</f>
      </c>
      <c r="Z164" s="3056">
        <f>IF(A164="","",IF(AND(R164&lt;&gt;"",COUNTIFS($D$3:$D$164,D164,$R$3:$R$164,"&lt;&gt;")&gt;1),"DUPLICADO","OK"))</f>
      </c>
      <c r="AA164" s="3056">
        <f>IF(A164="","",IF(OR(LEN(Q164)&gt;180,LEN(R164)&gt;180,LEN(S164)&gt;180,LEN(T164)&gt;180),"CAMINHO LONGO","OK"))</f>
      </c>
      <c r="AB164" s="3056">
        <f>IF(A164="","",IF(U164="","",IFERROR(INT(U164-TODAY()),"")))</f>
      </c>
      <c r="AC164" s="3056">
        <f>IF(A164="","",IF(AND(T164="",U164=""),"",IF(T164="","SEM CAMINHO",IF(U164="","SEM DATA",IFERROR(IF(AB164&lt;15,"VERMELHO",IF(AB164&lt;=30,"AMARELO","VERDE")),"DATA INVALIDA")))))</f>
      </c>
      <c r="AD164" s="3056">
        <f>IF(OR(A164="",U164="",NOT(ISNUMBER(AB164))),"",RANK(AB164,$AB$3:$AB$164,1)+COUNTIFS($AB$3:AB164,AB164)-1)</f>
      </c>
      <c r="AE164" s="1736"/>
    </row>
  </sheetData>
  <autoFilter ref="A2:W164"/>
  <mergeCells count="1">
    <mergeCell ref="A1:W1"/>
  </mergeCells>
  <phoneticPr fontId="6" type="noConversion"/>
  <printOptions gridLines="false"/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664CF-DAE5-4396-BA73-B978C471E6A7}">
  <sheetPr codeName="Planilha1" filterMode="1"/>
  <dimension ref="A1:AE164"/>
  <sheetViews>
    <sheetView tabSelected="false" workbookViewId="0" showGridLines="false" zoomScale="90">
      <pane ySplit="2.0" topLeftCell="A3" activePane="bottomLeft" state="frozen"/>
      <selection pane="bottomLeft"/>
    </sheetView>
  </sheetViews>
  <sheetFormatPr defaultRowHeight="15" x14ac:dyDescent="0.25"/>
  <cols>
    <col min="1" max="1" customWidth="true" hidden="false" width="52.0"/>
    <col min="2" max="2" customWidth="true" hidden="false" width="22.0"/>
    <col min="3" max="3" customWidth="true" hidden="false" width="26.0"/>
    <col min="4" max="4" customWidth="true" hidden="false" width="20.0"/>
    <col min="5" max="5" customWidth="true" hidden="false" width="17.7109375"/>
    <col min="6" max="6" customWidth="true" hidden="false" width="18.0"/>
    <col min="7" max="7" customWidth="true" hidden="false" width="20.0"/>
    <col min="8" max="8" customWidth="true" hidden="false" width="8.7109375"/>
    <col min="9" max="9" customWidth="true" hidden="false" width="16.7109375"/>
    <col min="10" max="10" customWidth="true" hidden="false" width="10.85546875"/>
    <col min="11" max="11" customWidth="true" hidden="false" width="16.7109375"/>
    <col min="12" max="12" customWidth="true" hidden="false" width="11.7109375"/>
    <col min="13" max="13" customWidth="true" hidden="false" width="16.7109375"/>
    <col min="14" max="14" customWidth="true" hidden="false" width="10.28515625"/>
    <col min="15" max="15" customWidth="true" hidden="false" width="16.7109375"/>
    <col min="16" max="16" customWidth="true" hidden="false" width="13.7109375"/>
    <col min="17" max="17" customWidth="true" hidden="false" width="44.0"/>
    <col min="18" max="18" customWidth="true" hidden="false" width="62.0"/>
    <col min="19" max="19" customWidth="true" hidden="false" width="42.0"/>
    <col min="20" max="20" customWidth="true" hidden="false" width="48.0"/>
    <col min="21" max="21" customWidth="true" hidden="false" width="18.0"/>
    <col min="22" max="22" customWidth="true" hidden="false" width="24.0"/>
    <col min="23" max="23" customWidth="true" hidden="false" width="18.0"/>
    <col min="24" max="24" customWidth="true" hidden="true" width="22.0"/>
    <col min="25" max="25" customWidth="true" hidden="true" width="22.0"/>
    <col min="26" max="26" customWidth="true" hidden="true" width="22.0"/>
    <col min="27" max="27" customWidth="true" hidden="true" width="22.0"/>
    <col min="28" max="28" customWidth="true" hidden="true" width="22.0"/>
    <col min="29" max="29" customWidth="true" hidden="true" width="22.0"/>
    <col min="30" max="30" customWidth="true" hidden="true" width="22.0"/>
    <col min="31" max="31" customWidth="true" hidden="true" width="22.0"/>
  </cols>
  <sheetData>
    <row r="1" spans="1:19" ht="42.0" customHeight="true" x14ac:dyDescent="0.25">
      <c r="A1" s="3037" t="s">
        <v>407</v>
      </c>
      <c r="B1" s="3037"/>
      <c r="C1" s="3037"/>
      <c r="D1" s="3037"/>
      <c r="E1" s="3037"/>
      <c r="F1" s="3037"/>
      <c r="G1" s="3037"/>
      <c r="H1" s="3037"/>
      <c r="I1" s="3037"/>
      <c r="J1" s="3037"/>
      <c r="K1" s="3037"/>
      <c r="L1" s="3037"/>
      <c r="M1" s="3037"/>
      <c r="N1" s="3037"/>
      <c r="O1" s="3037"/>
      <c r="P1" s="3037"/>
      <c r="Q1" s="3037"/>
      <c r="R1" s="3037"/>
      <c r="S1" s="3037"/>
      <c r="T1" s="3037"/>
      <c r="U1" s="3037"/>
      <c r="V1" s="3037"/>
      <c r="W1" s="3037"/>
      <c r="X1" s="1716"/>
      <c r="AE1" s="0"/>
    </row>
    <row r="2" spans="1:19" ht="32.0" customHeight="true" thickBot="1" x14ac:dyDescent="0.3">
      <c r="A2" s="3038" t="s">
        <v>325</v>
      </c>
      <c r="B2" s="3038" t="s">
        <v>326</v>
      </c>
      <c r="C2" s="3038" t="s">
        <v>408</v>
      </c>
      <c r="D2" s="3038" t="s">
        <v>328</v>
      </c>
      <c r="E2" s="3038" t="s">
        <v>329</v>
      </c>
      <c r="F2" s="3038" t="s">
        <v>330</v>
      </c>
      <c r="G2" s="3038" t="s">
        <v>331</v>
      </c>
      <c r="H2" s="3038" t="s">
        <v>332</v>
      </c>
      <c r="I2" s="3038" t="s">
        <v>333</v>
      </c>
      <c r="J2" s="3038" t="s">
        <v>334</v>
      </c>
      <c r="K2" s="3038" t="s">
        <v>335</v>
      </c>
      <c r="L2" s="3038" t="s">
        <v>336</v>
      </c>
      <c r="M2" s="3038" t="s">
        <v>337</v>
      </c>
      <c r="N2" s="3038" t="s">
        <v>338</v>
      </c>
      <c r="O2" s="3038" t="s">
        <v>339</v>
      </c>
      <c r="P2" s="3038" t="s">
        <v>340</v>
      </c>
      <c r="Q2" s="3039" t="s">
        <v>409</v>
      </c>
      <c r="R2" s="3040" t="s">
        <v>410</v>
      </c>
      <c r="S2" s="3041" t="s">
        <v>523</v>
      </c>
      <c r="T2" s="3042" t="s">
        <v>470</v>
      </c>
      <c r="U2" s="3043" t="s">
        <v>471</v>
      </c>
      <c r="V2" s="3044" t="s">
        <v>472</v>
      </c>
      <c r="W2" s="3045" t="s">
        <v>412</v>
      </c>
      <c r="X2" s="3038" t="s">
        <v>413</v>
      </c>
      <c r="Y2" s="3038" t="s">
        <v>414</v>
      </c>
      <c r="Z2" s="3038" t="s">
        <v>415</v>
      </c>
      <c r="AA2" s="3038" t="s">
        <v>416</v>
      </c>
      <c r="AB2" s="3038" t="s">
        <v>473</v>
      </c>
      <c r="AC2" s="3038" t="s">
        <v>474</v>
      </c>
      <c r="AD2" s="3038" t="s">
        <v>475</v>
      </c>
      <c r="AE2" s="1717"/>
    </row>
    <row r="3" spans="1:19" ht="22.0" hidden="false" customHeight="true" thickTop="1" x14ac:dyDescent="0.25">
      <c r="A3" s="3059" t="s">
        <v>0</v>
      </c>
      <c r="B3" s="3058" t="s">
        <v>1</v>
      </c>
      <c r="C3" s="3058" t="s">
        <v>2</v>
      </c>
      <c r="D3" s="3058">
        <v>35381421000194</v>
      </c>
      <c r="E3" s="3058"/>
      <c r="F3" s="3058" t="s">
        <v>3</v>
      </c>
      <c r="G3" s="3058" t="s">
        <v>4</v>
      </c>
      <c r="H3" s="3058" t="s">
        <v>5</v>
      </c>
      <c r="I3" s="3058" t="s">
        <v>344</v>
      </c>
      <c r="J3" s="3058"/>
      <c r="K3" s="3058"/>
      <c r="L3" s="3058"/>
      <c r="M3" s="3058"/>
      <c r="N3" s="3058"/>
      <c r="O3" s="3058"/>
      <c r="P3" s="3058"/>
      <c r="Q3" s="3061"/>
      <c r="R3" s="3061"/>
      <c r="S3" s="3061"/>
      <c r="T3" s="3061"/>
      <c r="U3" s="3062"/>
      <c r="V3" s="3058"/>
      <c r="W3" s="3058" t="s">
        <v>417</v>
      </c>
      <c r="X3" s="3056">
        <f>IF(A3="","",IF(LEN(SUBSTITUTE(SUBSTITUTE(SUBSTITUTE(SUBSTITUTE(D3,".",""),"/",""),"-","")," ",""))&lt;&gt;14,"CNPJ INVALIDO","OK"))</f>
      </c>
      <c r="Y3" s="3056">
        <f>IF(A3="","",IF(R3="","REST PENDENTE","REST OK"))</f>
      </c>
      <c r="Z3" s="3056">
        <f>IF(A3="","",IF(AND(R3&lt;&gt;"",COUNTIFS($D$3:$D$164,D3,$R$3:$R$164,"&lt;&gt;")&gt;1),"DUPLICADO","OK"))</f>
      </c>
      <c r="AA3" s="3056">
        <f>IF(A3="","",IF(OR(LEN(Q3)&gt;180,LEN(R3)&gt;180,LEN(S3)&gt;180,LEN(T3)&gt;180),"CAMINHO LONGO","OK"))</f>
      </c>
      <c r="AB3" s="3056">
        <f>IF(A3="","",IF(U3="","",IFERROR(INT(U3-TODAY()),"")))</f>
      </c>
      <c r="AC3" s="3056">
        <f>IF(A3="","",IF(AND(T3="",U3=""),"",IF(T3="","SEM CAMINHO",IF(U3="","SEM DATA",IFERROR(IF(AB3&lt;15,"VERMELHO",IF(AB3&lt;=30,"AMARELO","VERDE")),"DATA INVALIDA")))))</f>
      </c>
      <c r="AD3" s="3056">
        <f>IF(OR(A3="",U3="",NOT(ISNUMBER(AB3))),"",RANK(AB3,$AB$3:$AB$164,1)+COUNTIFS($AB$3:AB3,AB3)-1)</f>
      </c>
      <c r="AE3" s="1736"/>
    </row>
    <row r="4" spans="1:19" ht="22.0" hidden="false" customHeight="true" x14ac:dyDescent="0.25">
      <c r="A4" s="3064" t="s">
        <v>6</v>
      </c>
      <c r="B4" s="3063" t="s">
        <v>1</v>
      </c>
      <c r="C4" s="3063" t="s">
        <v>2</v>
      </c>
      <c r="D4" s="3063" t="s">
        <v>7</v>
      </c>
      <c r="E4" s="3063"/>
      <c r="F4" s="3063" t="s">
        <v>3</v>
      </c>
      <c r="G4" s="3063" t="s">
        <v>4</v>
      </c>
      <c r="H4" s="3063" t="s">
        <v>5</v>
      </c>
      <c r="I4" s="3063" t="s">
        <v>344</v>
      </c>
      <c r="J4" s="3063"/>
      <c r="K4" s="3063"/>
      <c r="L4" s="3063"/>
      <c r="M4" s="3063"/>
      <c r="N4" s="3063"/>
      <c r="O4" s="3063"/>
      <c r="P4" s="3063"/>
      <c r="Q4" s="3066"/>
      <c r="R4" s="3066"/>
      <c r="S4" s="3066"/>
      <c r="T4" s="3066"/>
      <c r="U4" s="3067"/>
      <c r="V4" s="3063"/>
      <c r="W4" s="3063"/>
      <c r="X4" s="3056">
        <f>IF(A4="","",IF(LEN(SUBSTITUTE(SUBSTITUTE(SUBSTITUTE(SUBSTITUTE(D4,".",""),"/",""),"-","")," ",""))&lt;&gt;14,"CNPJ INVALIDO","OK"))</f>
      </c>
      <c r="Y4" s="3056">
        <f>IF(A4="","",IF(R4="","REST PENDENTE","REST OK"))</f>
      </c>
      <c r="Z4" s="3056">
        <f>IF(A4="","",IF(AND(R4&lt;&gt;"",COUNTIFS($D$3:$D$164,D4,$R$3:$R$164,"&lt;&gt;")&gt;1),"DUPLICADO","OK"))</f>
      </c>
      <c r="AA4" s="3056">
        <f>IF(A4="","",IF(OR(LEN(Q4)&gt;180,LEN(R4)&gt;180,LEN(S4)&gt;180,LEN(T4)&gt;180),"CAMINHO LONGO","OK"))</f>
      </c>
      <c r="AB4" s="3056">
        <f>IF(A4="","",IF(U4="","",IFERROR(INT(U4-TODAY()),"")))</f>
      </c>
      <c r="AC4" s="3056">
        <f>IF(A4="","",IF(AND(T4="",U4=""),"",IF(T4="","SEM CAMINHO",IF(U4="","SEM DATA",IFERROR(IF(AB4&lt;15,"VERMELHO",IF(AB4&lt;=30,"AMARELO","VERDE")),"DATA INVALIDA")))))</f>
      </c>
      <c r="AD4" s="3056">
        <f>IF(OR(A4="",U4="",NOT(ISNUMBER(AB4))),"",RANK(AB4,$AB$3:$AB$164,1)+COUNTIFS($AB$3:AB4,AB4)-1)</f>
      </c>
      <c r="AE4" s="1736"/>
    </row>
    <row r="5" spans="1:19" ht="22.0" hidden="false" customHeight="true" x14ac:dyDescent="0.25">
      <c r="A5" s="3059" t="s">
        <v>8</v>
      </c>
      <c r="B5" s="3058" t="s">
        <v>9</v>
      </c>
      <c r="C5" s="3058" t="s">
        <v>10</v>
      </c>
      <c r="D5" s="3058" t="s">
        <v>11</v>
      </c>
      <c r="E5" s="3058"/>
      <c r="F5" s="3058" t="s">
        <v>12</v>
      </c>
      <c r="G5" s="3058" t="s">
        <v>13</v>
      </c>
      <c r="H5" s="3058" t="s">
        <v>14</v>
      </c>
      <c r="I5" s="3058" t="s">
        <v>344</v>
      </c>
      <c r="J5" s="3058"/>
      <c r="K5" s="3058"/>
      <c r="L5" s="3058"/>
      <c r="M5" s="3058"/>
      <c r="N5" s="3058"/>
      <c r="O5" s="3058"/>
      <c r="P5" s="3058"/>
      <c r="Q5" s="3061"/>
      <c r="R5" s="3061"/>
      <c r="S5" s="3061"/>
      <c r="T5" s="3061"/>
      <c r="U5" s="3062"/>
      <c r="V5" s="3058"/>
      <c r="W5" s="3058"/>
      <c r="X5" s="3056">
        <f>IF(A5="","",IF(LEN(SUBSTITUTE(SUBSTITUTE(SUBSTITUTE(SUBSTITUTE(D5,".",""),"/",""),"-","")," ",""))&lt;&gt;14,"CNPJ INVALIDO","OK"))</f>
      </c>
      <c r="Y5" s="3056">
        <f>IF(A5="","",IF(R5="","REST PENDENTE","REST OK"))</f>
      </c>
      <c r="Z5" s="3056">
        <f>IF(A5="","",IF(AND(R5&lt;&gt;"",COUNTIFS($D$3:$D$164,D5,$R$3:$R$164,"&lt;&gt;")&gt;1),"DUPLICADO","OK"))</f>
      </c>
      <c r="AA5" s="3056">
        <f>IF(A5="","",IF(OR(LEN(Q5)&gt;180,LEN(R5)&gt;180,LEN(S5)&gt;180,LEN(T5)&gt;180),"CAMINHO LONGO","OK"))</f>
      </c>
      <c r="AB5" s="3056">
        <f>IF(A5="","",IF(U5="","",IFERROR(INT(U5-TODAY()),"")))</f>
      </c>
      <c r="AC5" s="3056">
        <f>IF(A5="","",IF(AND(T5="",U5=""),"",IF(T5="","SEM CAMINHO",IF(U5="","SEM DATA",IFERROR(IF(AB5&lt;15,"VERMELHO",IF(AB5&lt;=30,"AMARELO","VERDE")),"DATA INVALIDA")))))</f>
      </c>
      <c r="AD5" s="3056">
        <f>IF(OR(A5="",U5="",NOT(ISNUMBER(AB5))),"",RANK(AB5,$AB$3:$AB$164,1)+COUNTIFS($AB$3:AB5,AB5)-1)</f>
      </c>
      <c r="AE5" s="1736"/>
    </row>
    <row r="6" spans="1:19" ht="22.0" hidden="false" customHeight="true" x14ac:dyDescent="0.25">
      <c r="A6" s="3064" t="s">
        <v>15</v>
      </c>
      <c r="B6" s="3063" t="s">
        <v>9</v>
      </c>
      <c r="C6" s="3063" t="s">
        <v>16</v>
      </c>
      <c r="D6" s="3063" t="s">
        <v>17</v>
      </c>
      <c r="E6" s="3063"/>
      <c r="F6" s="3063" t="s">
        <v>12</v>
      </c>
      <c r="G6" s="3063" t="s">
        <v>13</v>
      </c>
      <c r="H6" s="3063" t="s">
        <v>14</v>
      </c>
      <c r="I6" s="3063" t="s">
        <v>344</v>
      </c>
      <c r="J6" s="3063" t="s">
        <v>344</v>
      </c>
      <c r="K6" s="3063" t="s">
        <v>344</v>
      </c>
      <c r="L6" s="3063" t="s">
        <v>344</v>
      </c>
      <c r="M6" s="3063" t="s">
        <v>344</v>
      </c>
      <c r="N6" s="3063" t="s">
        <v>344</v>
      </c>
      <c r="O6" s="3063" t="s">
        <v>344</v>
      </c>
      <c r="P6" s="3063" t="s">
        <v>344</v>
      </c>
      <c r="Q6" s="3066"/>
      <c r="R6" s="3066"/>
      <c r="S6" s="3066"/>
      <c r="T6" s="3066"/>
      <c r="U6" s="3067"/>
      <c r="V6" s="3063"/>
      <c r="W6" s="3063"/>
      <c r="X6" s="3056">
        <f>IF(A6="","",IF(LEN(SUBSTITUTE(SUBSTITUTE(SUBSTITUTE(SUBSTITUTE(D6,".",""),"/",""),"-","")," ",""))&lt;&gt;14,"CNPJ INVALIDO","OK"))</f>
      </c>
      <c r="Y6" s="3056">
        <f>IF(A6="","",IF(R6="","REST PENDENTE","REST OK"))</f>
      </c>
      <c r="Z6" s="3056">
        <f>IF(A6="","",IF(AND(R6&lt;&gt;"",COUNTIFS($D$3:$D$164,D6,$R$3:$R$164,"&lt;&gt;")&gt;1),"DUPLICADO","OK"))</f>
      </c>
      <c r="AA6" s="3056">
        <f>IF(A6="","",IF(OR(LEN(Q6)&gt;180,LEN(R6)&gt;180,LEN(S6)&gt;180,LEN(T6)&gt;180),"CAMINHO LONGO","OK"))</f>
      </c>
      <c r="AB6" s="3056">
        <f>IF(A6="","",IF(U6="","",IFERROR(INT(U6-TODAY()),"")))</f>
      </c>
      <c r="AC6" s="3056">
        <f>IF(A6="","",IF(AND(T6="",U6=""),"",IF(T6="","SEM CAMINHO",IF(U6="","SEM DATA",IFERROR(IF(AB6&lt;15,"VERMELHO",IF(AB6&lt;=30,"AMARELO","VERDE")),"DATA INVALIDA")))))</f>
      </c>
      <c r="AD6" s="3056">
        <f>IF(OR(A6="",U6="",NOT(ISNUMBER(AB6))),"",RANK(AB6,$AB$3:$AB$164,1)+COUNTIFS($AB$3:AB6,AB6)-1)</f>
      </c>
      <c r="AE6" s="1736"/>
    </row>
    <row r="7" spans="1:19" ht="22.0" hidden="false" customHeight="true" x14ac:dyDescent="0.25">
      <c r="A7" s="3059" t="s">
        <v>18</v>
      </c>
      <c r="B7" s="3058" t="s">
        <v>9</v>
      </c>
      <c r="C7" s="3058" t="s">
        <v>19</v>
      </c>
      <c r="D7" s="3058" t="s">
        <v>20</v>
      </c>
      <c r="E7" s="3058"/>
      <c r="F7" s="3058" t="s">
        <v>12</v>
      </c>
      <c r="G7" s="3058" t="s">
        <v>13</v>
      </c>
      <c r="H7" s="3058" t="s">
        <v>14</v>
      </c>
      <c r="I7" s="3058" t="s">
        <v>344</v>
      </c>
      <c r="J7" s="3058" t="s">
        <v>344</v>
      </c>
      <c r="K7" s="3058" t="s">
        <v>344</v>
      </c>
      <c r="L7" s="3058" t="s">
        <v>344</v>
      </c>
      <c r="M7" s="3058" t="s">
        <v>344</v>
      </c>
      <c r="N7" s="3058" t="s">
        <v>344</v>
      </c>
      <c r="O7" s="3058" t="s">
        <v>344</v>
      </c>
      <c r="P7" s="3058" t="s">
        <v>344</v>
      </c>
      <c r="Q7" s="3061"/>
      <c r="R7" s="3061"/>
      <c r="S7" s="3061"/>
      <c r="T7" s="3061"/>
      <c r="U7" s="3062"/>
      <c r="V7" s="3058"/>
      <c r="W7" s="3058"/>
      <c r="X7" s="3056">
        <f>IF(A7="","",IF(LEN(SUBSTITUTE(SUBSTITUTE(SUBSTITUTE(SUBSTITUTE(D7,".",""),"/",""),"-","")," ",""))&lt;&gt;14,"CNPJ INVALIDO","OK"))</f>
      </c>
      <c r="Y7" s="3056">
        <f>IF(A7="","",IF(R7="","REST PENDENTE","REST OK"))</f>
      </c>
      <c r="Z7" s="3056">
        <f>IF(A7="","",IF(AND(R7&lt;&gt;"",COUNTIFS($D$3:$D$164,D7,$R$3:$R$164,"&lt;&gt;")&gt;1),"DUPLICADO","OK"))</f>
      </c>
      <c r="AA7" s="3056">
        <f>IF(A7="","",IF(OR(LEN(Q7)&gt;180,LEN(R7)&gt;180,LEN(S7)&gt;180,LEN(T7)&gt;180),"CAMINHO LONGO","OK"))</f>
      </c>
      <c r="AB7" s="3056">
        <f>IF(A7="","",IF(U7="","",IFERROR(INT(U7-TODAY()),"")))</f>
      </c>
      <c r="AC7" s="3056">
        <f>IF(A7="","",IF(AND(T7="",U7=""),"",IF(T7="","SEM CAMINHO",IF(U7="","SEM DATA",IFERROR(IF(AB7&lt;15,"VERMELHO",IF(AB7&lt;=30,"AMARELO","VERDE")),"DATA INVALIDA")))))</f>
      </c>
      <c r="AD7" s="3056">
        <f>IF(OR(A7="",U7="",NOT(ISNUMBER(AB7))),"",RANK(AB7,$AB$3:$AB$164,1)+COUNTIFS($AB$3:AB7,AB7)-1)</f>
      </c>
      <c r="AE7" s="1736"/>
    </row>
    <row r="8" spans="1:19" ht="22.0" hidden="false" customHeight="true" x14ac:dyDescent="0.25">
      <c r="A8" s="3064" t="s">
        <v>21</v>
      </c>
      <c r="B8" s="3063" t="s">
        <v>9</v>
      </c>
      <c r="C8" s="3063" t="s">
        <v>19</v>
      </c>
      <c r="D8" s="3063" t="s">
        <v>22</v>
      </c>
      <c r="E8" s="3063"/>
      <c r="F8" s="3063" t="s">
        <v>12</v>
      </c>
      <c r="G8" s="3063" t="s">
        <v>13</v>
      </c>
      <c r="H8" s="3063" t="s">
        <v>14</v>
      </c>
      <c r="I8" s="3063" t="s">
        <v>344</v>
      </c>
      <c r="J8" s="3063" t="s">
        <v>344</v>
      </c>
      <c r="K8" s="3063" t="s">
        <v>344</v>
      </c>
      <c r="L8" s="3063" t="s">
        <v>344</v>
      </c>
      <c r="M8" s="3063" t="s">
        <v>344</v>
      </c>
      <c r="N8" s="3063" t="s">
        <v>344</v>
      </c>
      <c r="O8" s="3063" t="s">
        <v>344</v>
      </c>
      <c r="P8" s="3063" t="s">
        <v>344</v>
      </c>
      <c r="Q8" s="3066"/>
      <c r="R8" s="3066"/>
      <c r="S8" s="3066"/>
      <c r="T8" s="3066"/>
      <c r="U8" s="3067"/>
      <c r="V8" s="3063"/>
      <c r="W8" s="3063"/>
      <c r="X8" s="3056">
        <f>IF(A8="","",IF(LEN(SUBSTITUTE(SUBSTITUTE(SUBSTITUTE(SUBSTITUTE(D8,".",""),"/",""),"-","")," ",""))&lt;&gt;14,"CNPJ INVALIDO","OK"))</f>
      </c>
      <c r="Y8" s="3056">
        <f>IF(A8="","",IF(R8="","REST PENDENTE","REST OK"))</f>
      </c>
      <c r="Z8" s="3056">
        <f>IF(A8="","",IF(AND(R8&lt;&gt;"",COUNTIFS($D$3:$D$164,D8,$R$3:$R$164,"&lt;&gt;")&gt;1),"DUPLICADO","OK"))</f>
      </c>
      <c r="AA8" s="3056">
        <f>IF(A8="","",IF(OR(LEN(Q8)&gt;180,LEN(R8)&gt;180,LEN(S8)&gt;180,LEN(T8)&gt;180),"CAMINHO LONGO","OK"))</f>
      </c>
      <c r="AB8" s="3056">
        <f>IF(A8="","",IF(U8="","",IFERROR(INT(U8-TODAY()),"")))</f>
      </c>
      <c r="AC8" s="3056">
        <f>IF(A8="","",IF(AND(T8="",U8=""),"",IF(T8="","SEM CAMINHO",IF(U8="","SEM DATA",IFERROR(IF(AB8&lt;15,"VERMELHO",IF(AB8&lt;=30,"AMARELO","VERDE")),"DATA INVALIDA")))))</f>
      </c>
      <c r="AD8" s="3056">
        <f>IF(OR(A8="",U8="",NOT(ISNUMBER(AB8))),"",RANK(AB8,$AB$3:$AB$164,1)+COUNTIFS($AB$3:AB8,AB8)-1)</f>
      </c>
      <c r="AE8" s="1736"/>
    </row>
    <row r="9" spans="1:19" ht="22.0" hidden="false" customHeight="true" x14ac:dyDescent="0.25">
      <c r="A9" s="3059" t="s">
        <v>23</v>
      </c>
      <c r="B9" s="3058" t="s">
        <v>9</v>
      </c>
      <c r="C9" s="3058" t="s">
        <v>24</v>
      </c>
      <c r="D9" s="3058" t="s">
        <v>25</v>
      </c>
      <c r="E9" s="3058"/>
      <c r="F9" s="3058" t="s">
        <v>12</v>
      </c>
      <c r="G9" s="3058" t="s">
        <v>13</v>
      </c>
      <c r="H9" s="3058" t="s">
        <v>14</v>
      </c>
      <c r="I9" s="3058" t="s">
        <v>344</v>
      </c>
      <c r="J9" s="3058" t="s">
        <v>344</v>
      </c>
      <c r="K9" s="3058" t="s">
        <v>344</v>
      </c>
      <c r="L9" s="3058" t="s">
        <v>344</v>
      </c>
      <c r="M9" s="3058" t="s">
        <v>344</v>
      </c>
      <c r="N9" s="3058" t="s">
        <v>344</v>
      </c>
      <c r="O9" s="3058" t="s">
        <v>344</v>
      </c>
      <c r="P9" s="3058" t="s">
        <v>344</v>
      </c>
      <c r="Q9" s="3061"/>
      <c r="R9" s="3061"/>
      <c r="S9" s="3061"/>
      <c r="T9" s="3061"/>
      <c r="U9" s="3062"/>
      <c r="V9" s="3058"/>
      <c r="W9" s="3058"/>
      <c r="X9" s="3056">
        <f>IF(A9="","",IF(LEN(SUBSTITUTE(SUBSTITUTE(SUBSTITUTE(SUBSTITUTE(D9,".",""),"/",""),"-","")," ",""))&lt;&gt;14,"CNPJ INVALIDO","OK"))</f>
      </c>
      <c r="Y9" s="3056">
        <f>IF(A9="","",IF(R9="","REST PENDENTE","REST OK"))</f>
      </c>
      <c r="Z9" s="3056">
        <f>IF(A9="","",IF(AND(R9&lt;&gt;"",COUNTIFS($D$3:$D$164,D9,$R$3:$R$164,"&lt;&gt;")&gt;1),"DUPLICADO","OK"))</f>
      </c>
      <c r="AA9" s="3056">
        <f>IF(A9="","",IF(OR(LEN(Q9)&gt;180,LEN(R9)&gt;180,LEN(S9)&gt;180,LEN(T9)&gt;180),"CAMINHO LONGO","OK"))</f>
      </c>
      <c r="AB9" s="3056">
        <f>IF(A9="","",IF(U9="","",IFERROR(INT(U9-TODAY()),"")))</f>
      </c>
      <c r="AC9" s="3056">
        <f>IF(A9="","",IF(AND(T9="",U9=""),"",IF(T9="","SEM CAMINHO",IF(U9="","SEM DATA",IFERROR(IF(AB9&lt;15,"VERMELHO",IF(AB9&lt;=30,"AMARELO","VERDE")),"DATA INVALIDA")))))</f>
      </c>
      <c r="AD9" s="3056">
        <f>IF(OR(A9="",U9="",NOT(ISNUMBER(AB9))),"",RANK(AB9,$AB$3:$AB$164,1)+COUNTIFS($AB$3:AB9,AB9)-1)</f>
      </c>
      <c r="AE9" s="1736"/>
    </row>
    <row r="10" spans="1:19" ht="22.0" hidden="false" customHeight="true" x14ac:dyDescent="0.25">
      <c r="A10" s="3064" t="s">
        <v>26</v>
      </c>
      <c r="B10" s="3063" t="s">
        <v>9</v>
      </c>
      <c r="C10" s="3063" t="s">
        <v>27</v>
      </c>
      <c r="D10" s="3063" t="s">
        <v>28</v>
      </c>
      <c r="E10" s="3063"/>
      <c r="F10" s="3063" t="s">
        <v>12</v>
      </c>
      <c r="G10" s="3063" t="s">
        <v>13</v>
      </c>
      <c r="H10" s="3063" t="s">
        <v>14</v>
      </c>
      <c r="I10" s="3063" t="s">
        <v>344</v>
      </c>
      <c r="J10" s="3063" t="s">
        <v>344</v>
      </c>
      <c r="K10" s="3063" t="s">
        <v>344</v>
      </c>
      <c r="L10" s="3063" t="s">
        <v>344</v>
      </c>
      <c r="M10" s="3063" t="s">
        <v>344</v>
      </c>
      <c r="N10" s="3063" t="s">
        <v>344</v>
      </c>
      <c r="O10" s="3063" t="s">
        <v>344</v>
      </c>
      <c r="P10" s="3063" t="s">
        <v>344</v>
      </c>
      <c r="Q10" s="3066"/>
      <c r="R10" s="3066"/>
      <c r="S10" s="3066"/>
      <c r="T10" s="3066"/>
      <c r="U10" s="3067"/>
      <c r="V10" s="3063"/>
      <c r="W10" s="3063"/>
      <c r="X10" s="3056">
        <f>IF(A10="","",IF(LEN(SUBSTITUTE(SUBSTITUTE(SUBSTITUTE(SUBSTITUTE(D10,".",""),"/",""),"-","")," ",""))&lt;&gt;14,"CNPJ INVALIDO","OK"))</f>
      </c>
      <c r="Y10" s="3056">
        <f>IF(A10="","",IF(R10="","REST PENDENTE","REST OK"))</f>
      </c>
      <c r="Z10" s="3056">
        <f>IF(A10="","",IF(AND(R10&lt;&gt;"",COUNTIFS($D$3:$D$164,D10,$R$3:$R$164,"&lt;&gt;")&gt;1),"DUPLICADO","OK"))</f>
      </c>
      <c r="AA10" s="3056">
        <f>IF(A10="","",IF(OR(LEN(Q10)&gt;180,LEN(R10)&gt;180,LEN(S10)&gt;180,LEN(T10)&gt;180),"CAMINHO LONGO","OK"))</f>
      </c>
      <c r="AB10" s="3056">
        <f>IF(A10="","",IF(U10="","",IFERROR(INT(U10-TODAY()),"")))</f>
      </c>
      <c r="AC10" s="3056">
        <f>IF(A10="","",IF(AND(T10="",U10=""),"",IF(T10="","SEM CAMINHO",IF(U10="","SEM DATA",IFERROR(IF(AB10&lt;15,"VERMELHO",IF(AB10&lt;=30,"AMARELO","VERDE")),"DATA INVALIDA")))))</f>
      </c>
      <c r="AD10" s="3056">
        <f>IF(OR(A10="",U10="",NOT(ISNUMBER(AB10))),"",RANK(AB10,$AB$3:$AB$164,1)+COUNTIFS($AB$3:AB10,AB10)-1)</f>
      </c>
      <c r="AE10" s="1736"/>
    </row>
    <row r="11" spans="1:19" ht="22.0" hidden="false" customHeight="true" x14ac:dyDescent="0.25">
      <c r="A11" s="3059" t="s">
        <v>29</v>
      </c>
      <c r="B11" s="3058" t="s">
        <v>9</v>
      </c>
      <c r="C11" s="3058" t="s">
        <v>16</v>
      </c>
      <c r="D11" s="3058" t="s">
        <v>30</v>
      </c>
      <c r="E11" s="3058"/>
      <c r="F11" s="3058" t="s">
        <v>12</v>
      </c>
      <c r="G11" s="3058" t="s">
        <v>13</v>
      </c>
      <c r="H11" s="3058" t="s">
        <v>14</v>
      </c>
      <c r="I11" s="3058" t="s">
        <v>344</v>
      </c>
      <c r="J11" s="3058" t="s">
        <v>344</v>
      </c>
      <c r="K11" s="3058" t="s">
        <v>344</v>
      </c>
      <c r="L11" s="3058" t="s">
        <v>344</v>
      </c>
      <c r="M11" s="3058" t="s">
        <v>344</v>
      </c>
      <c r="N11" s="3058" t="s">
        <v>344</v>
      </c>
      <c r="O11" s="3058" t="s">
        <v>344</v>
      </c>
      <c r="P11" s="3058" t="s">
        <v>344</v>
      </c>
      <c r="Q11" s="3061"/>
      <c r="R11" s="3061"/>
      <c r="S11" s="3061"/>
      <c r="T11" s="3061"/>
      <c r="U11" s="3062"/>
      <c r="V11" s="3058"/>
      <c r="W11" s="3058"/>
      <c r="X11" s="3056">
        <f>IF(A11="","",IF(LEN(SUBSTITUTE(SUBSTITUTE(SUBSTITUTE(SUBSTITUTE(D11,".",""),"/",""),"-","")," ",""))&lt;&gt;14,"CNPJ INVALIDO","OK"))</f>
      </c>
      <c r="Y11" s="3056">
        <f>IF(A11="","",IF(R11="","REST PENDENTE","REST OK"))</f>
      </c>
      <c r="Z11" s="3056">
        <f>IF(A11="","",IF(AND(R11&lt;&gt;"",COUNTIFS($D$3:$D$164,D11,$R$3:$R$164,"&lt;&gt;")&gt;1),"DUPLICADO","OK"))</f>
      </c>
      <c r="AA11" s="3056">
        <f>IF(A11="","",IF(OR(LEN(Q11)&gt;180,LEN(R11)&gt;180,LEN(S11)&gt;180,LEN(T11)&gt;180),"CAMINHO LONGO","OK"))</f>
      </c>
      <c r="AB11" s="3056">
        <f>IF(A11="","",IF(U11="","",IFERROR(INT(U11-TODAY()),"")))</f>
      </c>
      <c r="AC11" s="3056">
        <f>IF(A11="","",IF(AND(T11="",U11=""),"",IF(T11="","SEM CAMINHO",IF(U11="","SEM DATA",IFERROR(IF(AB11&lt;15,"VERMELHO",IF(AB11&lt;=30,"AMARELO","VERDE")),"DATA INVALIDA")))))</f>
      </c>
      <c r="AD11" s="3056">
        <f>IF(OR(A11="",U11="",NOT(ISNUMBER(AB11))),"",RANK(AB11,$AB$3:$AB$164,1)+COUNTIFS($AB$3:AB11,AB11)-1)</f>
      </c>
      <c r="AE11" s="1736"/>
    </row>
    <row r="12" spans="1:19" ht="22.0" hidden="false" customHeight="true" x14ac:dyDescent="0.25">
      <c r="A12" s="3064" t="s">
        <v>31</v>
      </c>
      <c r="B12" s="3063" t="s">
        <v>9</v>
      </c>
      <c r="C12" s="3063" t="s">
        <v>24</v>
      </c>
      <c r="D12" s="3063" t="s">
        <v>32</v>
      </c>
      <c r="E12" s="3063"/>
      <c r="F12" s="3063" t="s">
        <v>12</v>
      </c>
      <c r="G12" s="3063" t="s">
        <v>13</v>
      </c>
      <c r="H12" s="3063" t="s">
        <v>14</v>
      </c>
      <c r="I12" s="3063" t="s">
        <v>344</v>
      </c>
      <c r="J12" s="3063" t="s">
        <v>344</v>
      </c>
      <c r="K12" s="3063" t="s">
        <v>344</v>
      </c>
      <c r="L12" s="3063" t="s">
        <v>344</v>
      </c>
      <c r="M12" s="3063" t="s">
        <v>344</v>
      </c>
      <c r="N12" s="3063" t="s">
        <v>344</v>
      </c>
      <c r="O12" s="3063" t="s">
        <v>344</v>
      </c>
      <c r="P12" s="3063" t="s">
        <v>344</v>
      </c>
      <c r="Q12" s="3066"/>
      <c r="R12" s="3066"/>
      <c r="S12" s="3066"/>
      <c r="T12" s="3066"/>
      <c r="U12" s="3067"/>
      <c r="V12" s="3063"/>
      <c r="W12" s="3063"/>
      <c r="X12" s="3056">
        <f>IF(A12="","",IF(LEN(SUBSTITUTE(SUBSTITUTE(SUBSTITUTE(SUBSTITUTE(D12,".",""),"/",""),"-","")," ",""))&lt;&gt;14,"CNPJ INVALIDO","OK"))</f>
      </c>
      <c r="Y12" s="3056">
        <f>IF(A12="","",IF(R12="","REST PENDENTE","REST OK"))</f>
      </c>
      <c r="Z12" s="3056">
        <f>IF(A12="","",IF(AND(R12&lt;&gt;"",COUNTIFS($D$3:$D$164,D12,$R$3:$R$164,"&lt;&gt;")&gt;1),"DUPLICADO","OK"))</f>
      </c>
      <c r="AA12" s="3056">
        <f>IF(A12="","",IF(OR(LEN(Q12)&gt;180,LEN(R12)&gt;180,LEN(S12)&gt;180,LEN(T12)&gt;180),"CAMINHO LONGO","OK"))</f>
      </c>
      <c r="AB12" s="3056">
        <f>IF(A12="","",IF(U12="","",IFERROR(INT(U12-TODAY()),"")))</f>
      </c>
      <c r="AC12" s="3056">
        <f>IF(A12="","",IF(AND(T12="",U12=""),"",IF(T12="","SEM CAMINHO",IF(U12="","SEM DATA",IFERROR(IF(AB12&lt;15,"VERMELHO",IF(AB12&lt;=30,"AMARELO","VERDE")),"DATA INVALIDA")))))</f>
      </c>
      <c r="AD12" s="3056">
        <f>IF(OR(A12="",U12="",NOT(ISNUMBER(AB12))),"",RANK(AB12,$AB$3:$AB$164,1)+COUNTIFS($AB$3:AB12,AB12)-1)</f>
      </c>
      <c r="AE12" s="1736"/>
    </row>
    <row r="13" spans="1:19" ht="22.0" hidden="false" customHeight="true" x14ac:dyDescent="0.25">
      <c r="A13" s="3059" t="s">
        <v>33</v>
      </c>
      <c r="B13" s="3058" t="s">
        <v>9</v>
      </c>
      <c r="C13" s="3058" t="s">
        <v>24</v>
      </c>
      <c r="D13" s="3058" t="s">
        <v>34</v>
      </c>
      <c r="E13" s="3058"/>
      <c r="F13" s="3058" t="s">
        <v>12</v>
      </c>
      <c r="G13" s="3058" t="s">
        <v>13</v>
      </c>
      <c r="H13" s="3058" t="s">
        <v>14</v>
      </c>
      <c r="I13" s="3058" t="s">
        <v>344</v>
      </c>
      <c r="J13" s="3058" t="s">
        <v>344</v>
      </c>
      <c r="K13" s="3058" t="s">
        <v>344</v>
      </c>
      <c r="L13" s="3058" t="s">
        <v>344</v>
      </c>
      <c r="M13" s="3058" t="s">
        <v>344</v>
      </c>
      <c r="N13" s="3058" t="s">
        <v>344</v>
      </c>
      <c r="O13" s="3058" t="s">
        <v>344</v>
      </c>
      <c r="P13" s="3058" t="s">
        <v>344</v>
      </c>
      <c r="Q13" s="3061"/>
      <c r="R13" s="3061"/>
      <c r="S13" s="3061"/>
      <c r="T13" s="3061"/>
      <c r="U13" s="3062"/>
      <c r="V13" s="3058"/>
      <c r="W13" s="3058"/>
      <c r="X13" s="3056">
        <f>IF(A13="","",IF(LEN(SUBSTITUTE(SUBSTITUTE(SUBSTITUTE(SUBSTITUTE(D13,".",""),"/",""),"-","")," ",""))&lt;&gt;14,"CNPJ INVALIDO","OK"))</f>
      </c>
      <c r="Y13" s="3056">
        <f>IF(A13="","",IF(R13="","REST PENDENTE","REST OK"))</f>
      </c>
      <c r="Z13" s="3056">
        <f>IF(A13="","",IF(AND(R13&lt;&gt;"",COUNTIFS($D$3:$D$164,D13,$R$3:$R$164,"&lt;&gt;")&gt;1),"DUPLICADO","OK"))</f>
      </c>
      <c r="AA13" s="3056">
        <f>IF(A13="","",IF(OR(LEN(Q13)&gt;180,LEN(R13)&gt;180,LEN(S13)&gt;180,LEN(T13)&gt;180),"CAMINHO LONGO","OK"))</f>
      </c>
      <c r="AB13" s="3056">
        <f>IF(A13="","",IF(U13="","",IFERROR(INT(U13-TODAY()),"")))</f>
      </c>
      <c r="AC13" s="3056">
        <f>IF(A13="","",IF(AND(T13="",U13=""),"",IF(T13="","SEM CAMINHO",IF(U13="","SEM DATA",IFERROR(IF(AB13&lt;15,"VERMELHO",IF(AB13&lt;=30,"AMARELO","VERDE")),"DATA INVALIDA")))))</f>
      </c>
      <c r="AD13" s="3056">
        <f>IF(OR(A13="",U13="",NOT(ISNUMBER(AB13))),"",RANK(AB13,$AB$3:$AB$164,1)+COUNTIFS($AB$3:AB13,AB13)-1)</f>
      </c>
      <c r="AE13" s="1736"/>
    </row>
    <row r="14" spans="1:19" ht="22.0" hidden="false" customHeight="true" x14ac:dyDescent="0.25">
      <c r="A14" s="3064" t="s">
        <v>35</v>
      </c>
      <c r="B14" s="3063" t="s">
        <v>9</v>
      </c>
      <c r="C14" s="3063" t="s">
        <v>24</v>
      </c>
      <c r="D14" s="3063" t="s">
        <v>36</v>
      </c>
      <c r="E14" s="3063"/>
      <c r="F14" s="3063" t="s">
        <v>37</v>
      </c>
      <c r="G14" s="3063" t="s">
        <v>13</v>
      </c>
      <c r="H14" s="3063" t="s">
        <v>14</v>
      </c>
      <c r="I14" s="3063" t="s">
        <v>344</v>
      </c>
      <c r="J14" s="3063" t="s">
        <v>344</v>
      </c>
      <c r="K14" s="3063" t="s">
        <v>344</v>
      </c>
      <c r="L14" s="3063" t="s">
        <v>344</v>
      </c>
      <c r="M14" s="3063" t="s">
        <v>344</v>
      </c>
      <c r="N14" s="3063" t="s">
        <v>344</v>
      </c>
      <c r="O14" s="3063" t="s">
        <v>344</v>
      </c>
      <c r="P14" s="3063" t="s">
        <v>344</v>
      </c>
      <c r="Q14" s="3066"/>
      <c r="R14" s="3066"/>
      <c r="S14" s="3066"/>
      <c r="T14" s="3066"/>
      <c r="U14" s="3067"/>
      <c r="V14" s="3063"/>
      <c r="W14" s="3063"/>
      <c r="X14" s="3056">
        <f>IF(A14="","",IF(LEN(SUBSTITUTE(SUBSTITUTE(SUBSTITUTE(SUBSTITUTE(D14,".",""),"/",""),"-","")," ",""))&lt;&gt;14,"CNPJ INVALIDO","OK"))</f>
      </c>
      <c r="Y14" s="3056">
        <f>IF(A14="","",IF(R14="","REST PENDENTE","REST OK"))</f>
      </c>
      <c r="Z14" s="3056">
        <f>IF(A14="","",IF(AND(R14&lt;&gt;"",COUNTIFS($D$3:$D$164,D14,$R$3:$R$164,"&lt;&gt;")&gt;1),"DUPLICADO","OK"))</f>
      </c>
      <c r="AA14" s="3056">
        <f>IF(A14="","",IF(OR(LEN(Q14)&gt;180,LEN(R14)&gt;180,LEN(S14)&gt;180,LEN(T14)&gt;180),"CAMINHO LONGO","OK"))</f>
      </c>
      <c r="AB14" s="3056">
        <f>IF(A14="","",IF(U14="","",IFERROR(INT(U14-TODAY()),"")))</f>
      </c>
      <c r="AC14" s="3056">
        <f>IF(A14="","",IF(AND(T14="",U14=""),"",IF(T14="","SEM CAMINHO",IF(U14="","SEM DATA",IFERROR(IF(AB14&lt;15,"VERMELHO",IF(AB14&lt;=30,"AMARELO","VERDE")),"DATA INVALIDA")))))</f>
      </c>
      <c r="AD14" s="3056">
        <f>IF(OR(A14="",U14="",NOT(ISNUMBER(AB14))),"",RANK(AB14,$AB$3:$AB$164,1)+COUNTIFS($AB$3:AB14,AB14)-1)</f>
      </c>
      <c r="AE14" s="1736"/>
    </row>
    <row r="15" spans="1:19" ht="22.0" hidden="false" customHeight="true" x14ac:dyDescent="0.25">
      <c r="A15" s="3059" t="s">
        <v>38</v>
      </c>
      <c r="B15" s="3058" t="s">
        <v>9</v>
      </c>
      <c r="C15" s="3058" t="s">
        <v>16</v>
      </c>
      <c r="D15" s="3058" t="s">
        <v>39</v>
      </c>
      <c r="E15" s="3058"/>
      <c r="F15" s="3058" t="s">
        <v>37</v>
      </c>
      <c r="G15" s="3058" t="s">
        <v>13</v>
      </c>
      <c r="H15" s="3058" t="s">
        <v>14</v>
      </c>
      <c r="I15" s="3058" t="s">
        <v>344</v>
      </c>
      <c r="J15" s="3058" t="s">
        <v>344</v>
      </c>
      <c r="K15" s="3058" t="s">
        <v>344</v>
      </c>
      <c r="L15" s="3058" t="s">
        <v>344</v>
      </c>
      <c r="M15" s="3058" t="s">
        <v>344</v>
      </c>
      <c r="N15" s="3058" t="s">
        <v>344</v>
      </c>
      <c r="O15" s="3058" t="s">
        <v>344</v>
      </c>
      <c r="P15" s="3058" t="s">
        <v>344</v>
      </c>
      <c r="Q15" s="3061"/>
      <c r="R15" s="3061"/>
      <c r="S15" s="3061"/>
      <c r="T15" s="3061"/>
      <c r="U15" s="3062"/>
      <c r="V15" s="3058"/>
      <c r="W15" s="3058"/>
      <c r="X15" s="3056">
        <f>IF(A15="","",IF(LEN(SUBSTITUTE(SUBSTITUTE(SUBSTITUTE(SUBSTITUTE(D15,".",""),"/",""),"-","")," ",""))&lt;&gt;14,"CNPJ INVALIDO","OK"))</f>
      </c>
      <c r="Y15" s="3056">
        <f>IF(A15="","",IF(R15="","REST PENDENTE","REST OK"))</f>
      </c>
      <c r="Z15" s="3056">
        <f>IF(A15="","",IF(AND(R15&lt;&gt;"",COUNTIFS($D$3:$D$164,D15,$R$3:$R$164,"&lt;&gt;")&gt;1),"DUPLICADO","OK"))</f>
      </c>
      <c r="AA15" s="3056">
        <f>IF(A15="","",IF(OR(LEN(Q15)&gt;180,LEN(R15)&gt;180,LEN(S15)&gt;180,LEN(T15)&gt;180),"CAMINHO LONGO","OK"))</f>
      </c>
      <c r="AB15" s="3056">
        <f>IF(A15="","",IF(U15="","",IFERROR(INT(U15-TODAY()),"")))</f>
      </c>
      <c r="AC15" s="3056">
        <f>IF(A15="","",IF(AND(T15="",U15=""),"",IF(T15="","SEM CAMINHO",IF(U15="","SEM DATA",IFERROR(IF(AB15&lt;15,"VERMELHO",IF(AB15&lt;=30,"AMARELO","VERDE")),"DATA INVALIDA")))))</f>
      </c>
      <c r="AD15" s="3056">
        <f>IF(OR(A15="",U15="",NOT(ISNUMBER(AB15))),"",RANK(AB15,$AB$3:$AB$164,1)+COUNTIFS($AB$3:AB15,AB15)-1)</f>
      </c>
      <c r="AE15" s="1736"/>
    </row>
    <row r="16" spans="1:19" ht="22.0" hidden="false" customHeight="true" x14ac:dyDescent="0.25">
      <c r="A16" s="3064" t="s">
        <v>40</v>
      </c>
      <c r="B16" s="3063" t="s">
        <v>9</v>
      </c>
      <c r="C16" s="3063" t="s">
        <v>24</v>
      </c>
      <c r="D16" s="3063">
        <v>17608570000161</v>
      </c>
      <c r="E16" s="3063"/>
      <c r="F16" s="3063" t="s">
        <v>12</v>
      </c>
      <c r="G16" s="3063" t="s">
        <v>41</v>
      </c>
      <c r="H16" s="3063" t="s">
        <v>5</v>
      </c>
      <c r="I16" s="3063" t="s">
        <v>344</v>
      </c>
      <c r="J16" s="3063" t="s">
        <v>344</v>
      </c>
      <c r="K16" s="3063" t="s">
        <v>344</v>
      </c>
      <c r="L16" s="3063" t="s">
        <v>344</v>
      </c>
      <c r="M16" s="3063" t="s">
        <v>344</v>
      </c>
      <c r="N16" s="3063" t="s">
        <v>344</v>
      </c>
      <c r="O16" s="3063" t="s">
        <v>344</v>
      </c>
      <c r="P16" s="3063" t="s">
        <v>344</v>
      </c>
      <c r="Q16" s="3066"/>
      <c r="R16" s="3066"/>
      <c r="S16" s="3066"/>
      <c r="T16" s="3066"/>
      <c r="U16" s="3067"/>
      <c r="V16" s="3063"/>
      <c r="W16" s="3063"/>
      <c r="X16" s="3056">
        <f>IF(A16="","",IF(LEN(SUBSTITUTE(SUBSTITUTE(SUBSTITUTE(SUBSTITUTE(D16,".",""),"/",""),"-","")," ",""))&lt;&gt;14,"CNPJ INVALIDO","OK"))</f>
      </c>
      <c r="Y16" s="3056">
        <f>IF(A16="","",IF(R16="","REST PENDENTE","REST OK"))</f>
      </c>
      <c r="Z16" s="3056">
        <f>IF(A16="","",IF(AND(R16&lt;&gt;"",COUNTIFS($D$3:$D$164,D16,$R$3:$R$164,"&lt;&gt;")&gt;1),"DUPLICADO","OK"))</f>
      </c>
      <c r="AA16" s="3056">
        <f>IF(A16="","",IF(OR(LEN(Q16)&gt;180,LEN(R16)&gt;180,LEN(S16)&gt;180,LEN(T16)&gt;180),"CAMINHO LONGO","OK"))</f>
      </c>
      <c r="AB16" s="3056">
        <f>IF(A16="","",IF(U16="","",IFERROR(INT(U16-TODAY()),"")))</f>
      </c>
      <c r="AC16" s="3056">
        <f>IF(A16="","",IF(AND(T16="",U16=""),"",IF(T16="","SEM CAMINHO",IF(U16="","SEM DATA",IFERROR(IF(AB16&lt;15,"VERMELHO",IF(AB16&lt;=30,"AMARELO","VERDE")),"DATA INVALIDA")))))</f>
      </c>
      <c r="AD16" s="3056">
        <f>IF(OR(A16="",U16="",NOT(ISNUMBER(AB16))),"",RANK(AB16,$AB$3:$AB$164,1)+COUNTIFS($AB$3:AB16,AB16)-1)</f>
      </c>
      <c r="AE16" s="1736"/>
    </row>
    <row r="17" spans="1:19" ht="22.0" hidden="false" customHeight="true" x14ac:dyDescent="0.25">
      <c r="A17" s="3059" t="s">
        <v>42</v>
      </c>
      <c r="B17" s="3058" t="s">
        <v>9</v>
      </c>
      <c r="C17" s="3058" t="s">
        <v>24</v>
      </c>
      <c r="D17" s="3058" t="s">
        <v>43</v>
      </c>
      <c r="E17" s="3058"/>
      <c r="F17" s="3058" t="s">
        <v>12</v>
      </c>
      <c r="G17" s="3058" t="s">
        <v>41</v>
      </c>
      <c r="H17" s="3058" t="s">
        <v>5</v>
      </c>
      <c r="I17" s="3058"/>
      <c r="J17" s="3058"/>
      <c r="K17" s="3058"/>
      <c r="L17" s="3058"/>
      <c r="M17" s="3058" t="s">
        <v>376</v>
      </c>
      <c r="N17" s="3058"/>
      <c r="O17" s="3058" t="s">
        <v>345</v>
      </c>
      <c r="P17" s="3058" t="s">
        <v>346</v>
      </c>
      <c r="Q17" s="3061"/>
      <c r="R17" s="3061"/>
      <c r="S17" s="3061"/>
      <c r="T17" s="3061"/>
      <c r="U17" s="3062"/>
      <c r="V17" s="3058"/>
      <c r="W17" s="3058"/>
      <c r="X17" s="3056">
        <f>IF(A17="","",IF(LEN(SUBSTITUTE(SUBSTITUTE(SUBSTITUTE(SUBSTITUTE(D17,".",""),"/",""),"-","")," ",""))&lt;&gt;14,"CNPJ INVALIDO","OK"))</f>
      </c>
      <c r="Y17" s="3056">
        <f>IF(A17="","",IF(R17="","REST PENDENTE","REST OK"))</f>
      </c>
      <c r="Z17" s="3056">
        <f>IF(A17="","",IF(AND(R17&lt;&gt;"",COUNTIFS($D$3:$D$164,D17,$R$3:$R$164,"&lt;&gt;")&gt;1),"DUPLICADO","OK"))</f>
      </c>
      <c r="AA17" s="3056">
        <f>IF(A17="","",IF(OR(LEN(Q17)&gt;180,LEN(R17)&gt;180,LEN(S17)&gt;180,LEN(T17)&gt;180),"CAMINHO LONGO","OK"))</f>
      </c>
      <c r="AB17" s="3056">
        <f>IF(A17="","",IF(U17="","",IFERROR(INT(U17-TODAY()),"")))</f>
      </c>
      <c r="AC17" s="3056">
        <f>IF(A17="","",IF(AND(T17="",U17=""),"",IF(T17="","SEM CAMINHO",IF(U17="","SEM DATA",IFERROR(IF(AB17&lt;15,"VERMELHO",IF(AB17&lt;=30,"AMARELO","VERDE")),"DATA INVALIDA")))))</f>
      </c>
      <c r="AD17" s="3056">
        <f>IF(OR(A17="",U17="",NOT(ISNUMBER(AB17))),"",RANK(AB17,$AB$3:$AB$164,1)+COUNTIFS($AB$3:AB17,AB17)-1)</f>
      </c>
      <c r="AE17" s="1736"/>
    </row>
    <row r="18" spans="1:19" ht="22.0" hidden="false" customHeight="true" x14ac:dyDescent="0.25">
      <c r="A18" s="3064" t="s">
        <v>44</v>
      </c>
      <c r="B18" s="3063" t="s">
        <v>45</v>
      </c>
      <c r="C18" s="3063" t="s">
        <v>46</v>
      </c>
      <c r="D18" s="3063" t="s">
        <v>47</v>
      </c>
      <c r="E18" s="3063"/>
      <c r="F18" s="3063" t="s">
        <v>48</v>
      </c>
      <c r="G18" s="3063" t="s">
        <v>13</v>
      </c>
      <c r="H18" s="3063" t="s">
        <v>49</v>
      </c>
      <c r="I18" s="3063"/>
      <c r="J18" s="3063"/>
      <c r="K18" s="3063"/>
      <c r="L18" s="3063"/>
      <c r="M18" s="3063" t="s">
        <v>377</v>
      </c>
      <c r="N18" s="3063"/>
      <c r="O18" s="3063" t="s">
        <v>347</v>
      </c>
      <c r="P18" s="3063"/>
      <c r="Q18" s="3066"/>
      <c r="R18" s="3066"/>
      <c r="S18" s="3066"/>
      <c r="T18" s="3066"/>
      <c r="U18" s="3067"/>
      <c r="V18" s="3063"/>
      <c r="W18" s="3063"/>
      <c r="X18" s="3056">
        <f>IF(A18="","",IF(LEN(SUBSTITUTE(SUBSTITUTE(SUBSTITUTE(SUBSTITUTE(D18,".",""),"/",""),"-","")," ",""))&lt;&gt;14,"CNPJ INVALIDO","OK"))</f>
      </c>
      <c r="Y18" s="3056">
        <f>IF(A18="","",IF(R18="","REST PENDENTE","REST OK"))</f>
      </c>
      <c r="Z18" s="3056">
        <f>IF(A18="","",IF(AND(R18&lt;&gt;"",COUNTIFS($D$3:$D$164,D18,$R$3:$R$164,"&lt;&gt;")&gt;1),"DUPLICADO","OK"))</f>
      </c>
      <c r="AA18" s="3056">
        <f>IF(A18="","",IF(OR(LEN(Q18)&gt;180,LEN(R18)&gt;180,LEN(S18)&gt;180,LEN(T18)&gt;180),"CAMINHO LONGO","OK"))</f>
      </c>
      <c r="AB18" s="3056">
        <f>IF(A18="","",IF(U18="","",IFERROR(INT(U18-TODAY()),"")))</f>
      </c>
      <c r="AC18" s="3056">
        <f>IF(A18="","",IF(AND(T18="",U18=""),"",IF(T18="","SEM CAMINHO",IF(U18="","SEM DATA",IFERROR(IF(AB18&lt;15,"VERMELHO",IF(AB18&lt;=30,"AMARELO","VERDE")),"DATA INVALIDA")))))</f>
      </c>
      <c r="AD18" s="3056">
        <f>IF(OR(A18="",U18="",NOT(ISNUMBER(AB18))),"",RANK(AB18,$AB$3:$AB$164,1)+COUNTIFS($AB$3:AB18,AB18)-1)</f>
      </c>
      <c r="AE18" s="1736"/>
    </row>
    <row r="19" spans="1:19" ht="22.0" hidden="false" customHeight="true" x14ac:dyDescent="0.25">
      <c r="A19" s="3059" t="s">
        <v>50</v>
      </c>
      <c r="B19" s="3058" t="s">
        <v>45</v>
      </c>
      <c r="C19" s="3058" t="s">
        <v>46</v>
      </c>
      <c r="D19" s="3058" t="s">
        <v>51</v>
      </c>
      <c r="E19" s="3058"/>
      <c r="F19" s="3058" t="s">
        <v>48</v>
      </c>
      <c r="G19" s="3058" t="s">
        <v>13</v>
      </c>
      <c r="H19" s="3058" t="s">
        <v>49</v>
      </c>
      <c r="I19" s="3058"/>
      <c r="J19" s="3058"/>
      <c r="K19" s="3058"/>
      <c r="L19" s="3058"/>
      <c r="M19" s="3058" t="s">
        <v>377</v>
      </c>
      <c r="N19" s="3058"/>
      <c r="O19" s="3058" t="s">
        <v>347</v>
      </c>
      <c r="P19" s="3058"/>
      <c r="Q19" s="3061"/>
      <c r="R19" s="3061"/>
      <c r="S19" s="3061"/>
      <c r="T19" s="3061"/>
      <c r="U19" s="3062"/>
      <c r="V19" s="3058"/>
      <c r="W19" s="3058"/>
      <c r="X19" s="3056">
        <f>IF(A19="","",IF(LEN(SUBSTITUTE(SUBSTITUTE(SUBSTITUTE(SUBSTITUTE(D19,".",""),"/",""),"-","")," ",""))&lt;&gt;14,"CNPJ INVALIDO","OK"))</f>
      </c>
      <c r="Y19" s="3056">
        <f>IF(A19="","",IF(R19="","REST PENDENTE","REST OK"))</f>
      </c>
      <c r="Z19" s="3056">
        <f>IF(A19="","",IF(AND(R19&lt;&gt;"",COUNTIFS($D$3:$D$164,D19,$R$3:$R$164,"&lt;&gt;")&gt;1),"DUPLICADO","OK"))</f>
      </c>
      <c r="AA19" s="3056">
        <f>IF(A19="","",IF(OR(LEN(Q19)&gt;180,LEN(R19)&gt;180,LEN(S19)&gt;180,LEN(T19)&gt;180),"CAMINHO LONGO","OK"))</f>
      </c>
      <c r="AB19" s="3056">
        <f>IF(A19="","",IF(U19="","",IFERROR(INT(U19-TODAY()),"")))</f>
      </c>
      <c r="AC19" s="3056">
        <f>IF(A19="","",IF(AND(T19="",U19=""),"",IF(T19="","SEM CAMINHO",IF(U19="","SEM DATA",IFERROR(IF(AB19&lt;15,"VERMELHO",IF(AB19&lt;=30,"AMARELO","VERDE")),"DATA INVALIDA")))))</f>
      </c>
      <c r="AD19" s="3056">
        <f>IF(OR(A19="",U19="",NOT(ISNUMBER(AB19))),"",RANK(AB19,$AB$3:$AB$164,1)+COUNTIFS($AB$3:AB19,AB19)-1)</f>
      </c>
      <c r="AE19" s="1736"/>
    </row>
    <row r="20" spans="1:19" ht="22.0" hidden="false" customHeight="true" x14ac:dyDescent="0.25">
      <c r="A20" s="3064" t="s">
        <v>52</v>
      </c>
      <c r="B20" s="3063" t="s">
        <v>45</v>
      </c>
      <c r="C20" s="3063" t="s">
        <v>46</v>
      </c>
      <c r="D20" s="3063" t="s">
        <v>53</v>
      </c>
      <c r="E20" s="3063"/>
      <c r="F20" s="3063" t="s">
        <v>48</v>
      </c>
      <c r="G20" s="3063" t="s">
        <v>13</v>
      </c>
      <c r="H20" s="3063" t="s">
        <v>14</v>
      </c>
      <c r="I20" s="3063"/>
      <c r="J20" s="3063"/>
      <c r="K20" s="3063"/>
      <c r="L20" s="3063"/>
      <c r="M20" s="3063" t="s">
        <v>377</v>
      </c>
      <c r="N20" s="3063"/>
      <c r="O20" s="3063" t="s">
        <v>347</v>
      </c>
      <c r="P20" s="3063"/>
      <c r="Q20" s="3066"/>
      <c r="R20" s="3066"/>
      <c r="S20" s="3066"/>
      <c r="T20" s="3066"/>
      <c r="U20" s="3067"/>
      <c r="V20" s="3063"/>
      <c r="W20" s="3063"/>
      <c r="X20" s="3056">
        <f>IF(A20="","",IF(LEN(SUBSTITUTE(SUBSTITUTE(SUBSTITUTE(SUBSTITUTE(D20,".",""),"/",""),"-","")," ",""))&lt;&gt;14,"CNPJ INVALIDO","OK"))</f>
      </c>
      <c r="Y20" s="3056">
        <f>IF(A20="","",IF(R20="","REST PENDENTE","REST OK"))</f>
      </c>
      <c r="Z20" s="3056">
        <f>IF(A20="","",IF(AND(R20&lt;&gt;"",COUNTIFS($D$3:$D$164,D20,$R$3:$R$164,"&lt;&gt;")&gt;1),"DUPLICADO","OK"))</f>
      </c>
      <c r="AA20" s="3056">
        <f>IF(A20="","",IF(OR(LEN(Q20)&gt;180,LEN(R20)&gt;180,LEN(S20)&gt;180,LEN(T20)&gt;180),"CAMINHO LONGO","OK"))</f>
      </c>
      <c r="AB20" s="3056">
        <f>IF(A20="","",IF(U20="","",IFERROR(INT(U20-TODAY()),"")))</f>
      </c>
      <c r="AC20" s="3056">
        <f>IF(A20="","",IF(AND(T20="",U20=""),"",IF(T20="","SEM CAMINHO",IF(U20="","SEM DATA",IFERROR(IF(AB20&lt;15,"VERMELHO",IF(AB20&lt;=30,"AMARELO","VERDE")),"DATA INVALIDA")))))</f>
      </c>
      <c r="AD20" s="3056">
        <f>IF(OR(A20="",U20="",NOT(ISNUMBER(AB20))),"",RANK(AB20,$AB$3:$AB$164,1)+COUNTIFS($AB$3:AB20,AB20)-1)</f>
      </c>
      <c r="AE20" s="1736"/>
    </row>
    <row r="21" spans="1:19" ht="22.0" hidden="false" customHeight="true" x14ac:dyDescent="0.25">
      <c r="A21" s="3059" t="s">
        <v>54</v>
      </c>
      <c r="B21" s="3058" t="s">
        <v>55</v>
      </c>
      <c r="C21" s="3058" t="s">
        <v>56</v>
      </c>
      <c r="D21" s="3058">
        <v>57123358000129</v>
      </c>
      <c r="E21" s="3058"/>
      <c r="F21" s="3058" t="s">
        <v>57</v>
      </c>
      <c r="G21" s="3058" t="s">
        <v>4</v>
      </c>
      <c r="H21" s="3058" t="s">
        <v>14</v>
      </c>
      <c r="I21" s="3058"/>
      <c r="J21" s="3058"/>
      <c r="K21" s="3058"/>
      <c r="L21" s="3058"/>
      <c r="M21" s="3058" t="s">
        <v>376</v>
      </c>
      <c r="N21" s="3058"/>
      <c r="O21" s="3058" t="s">
        <v>349</v>
      </c>
      <c r="P21" s="3058"/>
      <c r="Q21" s="3061"/>
      <c r="R21" s="3061"/>
      <c r="S21" s="3061"/>
      <c r="T21" s="3061"/>
      <c r="U21" s="3062"/>
      <c r="V21" s="3058"/>
      <c r="W21" s="3058"/>
      <c r="X21" s="3056">
        <f>IF(A21="","",IF(LEN(SUBSTITUTE(SUBSTITUTE(SUBSTITUTE(SUBSTITUTE(D21,".",""),"/",""),"-","")," ",""))&lt;&gt;14,"CNPJ INVALIDO","OK"))</f>
      </c>
      <c r="Y21" s="3056">
        <f>IF(A21="","",IF(R21="","REST PENDENTE","REST OK"))</f>
      </c>
      <c r="Z21" s="3056">
        <f>IF(A21="","",IF(AND(R21&lt;&gt;"",COUNTIFS($D$3:$D$164,D21,$R$3:$R$164,"&lt;&gt;")&gt;1),"DUPLICADO","OK"))</f>
      </c>
      <c r="AA21" s="3056">
        <f>IF(A21="","",IF(OR(LEN(Q21)&gt;180,LEN(R21)&gt;180,LEN(S21)&gt;180,LEN(T21)&gt;180),"CAMINHO LONGO","OK"))</f>
      </c>
      <c r="AB21" s="3056">
        <f>IF(A21="","",IF(U21="","",IFERROR(INT(U21-TODAY()),"")))</f>
      </c>
      <c r="AC21" s="3056">
        <f>IF(A21="","",IF(AND(T21="",U21=""),"",IF(T21="","SEM CAMINHO",IF(U21="","SEM DATA",IFERROR(IF(AB21&lt;15,"VERMELHO",IF(AB21&lt;=30,"AMARELO","VERDE")),"DATA INVALIDA")))))</f>
      </c>
      <c r="AD21" s="3056">
        <f>IF(OR(A21="",U21="",NOT(ISNUMBER(AB21))),"",RANK(AB21,$AB$3:$AB$164,1)+COUNTIFS($AB$3:AB21,AB21)-1)</f>
      </c>
      <c r="AE21" s="1736"/>
    </row>
    <row r="22" spans="1:19" ht="22.0" hidden="false" customHeight="true" x14ac:dyDescent="0.25">
      <c r="A22" s="3064" t="s">
        <v>58</v>
      </c>
      <c r="B22" s="3063" t="s">
        <v>45</v>
      </c>
      <c r="C22" s="3063" t="s">
        <v>59</v>
      </c>
      <c r="D22" s="3063">
        <v>40870380000130</v>
      </c>
      <c r="E22" s="3063"/>
      <c r="F22" s="3063" t="s">
        <v>48</v>
      </c>
      <c r="G22" s="3063" t="s">
        <v>4</v>
      </c>
      <c r="H22" s="3063" t="s">
        <v>14</v>
      </c>
      <c r="I22" s="3063"/>
      <c r="J22" s="3063"/>
      <c r="K22" s="3063"/>
      <c r="L22" s="3063"/>
      <c r="M22" s="3063" t="s">
        <v>378</v>
      </c>
      <c r="N22" s="3063"/>
      <c r="O22" s="3063" t="s">
        <v>348</v>
      </c>
      <c r="P22" s="3063"/>
      <c r="Q22" s="3066"/>
      <c r="R22" s="3066"/>
      <c r="S22" s="3066"/>
      <c r="T22" s="3066"/>
      <c r="U22" s="3067"/>
      <c r="V22" s="3063"/>
      <c r="W22" s="3063"/>
      <c r="X22" s="3056">
        <f>IF(A22="","",IF(LEN(SUBSTITUTE(SUBSTITUTE(SUBSTITUTE(SUBSTITUTE(D22,".",""),"/",""),"-","")," ",""))&lt;&gt;14,"CNPJ INVALIDO","OK"))</f>
      </c>
      <c r="Y22" s="3056">
        <f>IF(A22="","",IF(R22="","REST PENDENTE","REST OK"))</f>
      </c>
      <c r="Z22" s="3056">
        <f>IF(A22="","",IF(AND(R22&lt;&gt;"",COUNTIFS($D$3:$D$164,D22,$R$3:$R$164,"&lt;&gt;")&gt;1),"DUPLICADO","OK"))</f>
      </c>
      <c r="AA22" s="3056">
        <f>IF(A22="","",IF(OR(LEN(Q22)&gt;180,LEN(R22)&gt;180,LEN(S22)&gt;180,LEN(T22)&gt;180),"CAMINHO LONGO","OK"))</f>
      </c>
      <c r="AB22" s="3056">
        <f>IF(A22="","",IF(U22="","",IFERROR(INT(U22-TODAY()),"")))</f>
      </c>
      <c r="AC22" s="3056">
        <f>IF(A22="","",IF(AND(T22="",U22=""),"",IF(T22="","SEM CAMINHO",IF(U22="","SEM DATA",IFERROR(IF(AB22&lt;15,"VERMELHO",IF(AB22&lt;=30,"AMARELO","VERDE")),"DATA INVALIDA")))))</f>
      </c>
      <c r="AD22" s="3056">
        <f>IF(OR(A22="",U22="",NOT(ISNUMBER(AB22))),"",RANK(AB22,$AB$3:$AB$164,1)+COUNTIFS($AB$3:AB22,AB22)-1)</f>
      </c>
      <c r="AE22" s="1736"/>
    </row>
    <row r="23" spans="1:19" ht="22.0" hidden="false" customHeight="true" x14ac:dyDescent="0.25">
      <c r="A23" s="3059" t="s">
        <v>60</v>
      </c>
      <c r="B23" s="3058" t="s">
        <v>61</v>
      </c>
      <c r="C23" s="3058" t="s">
        <v>62</v>
      </c>
      <c r="D23" s="3058">
        <v>26837949000134</v>
      </c>
      <c r="E23" s="3058"/>
      <c r="F23" s="3058" t="s">
        <v>63</v>
      </c>
      <c r="G23" s="3058" t="s">
        <v>41</v>
      </c>
      <c r="H23" s="3058" t="s">
        <v>5</v>
      </c>
      <c r="I23" s="3058"/>
      <c r="J23" s="3058"/>
      <c r="K23" s="3058"/>
      <c r="L23" s="3058"/>
      <c r="M23" s="3058" t="s">
        <v>379</v>
      </c>
      <c r="N23" s="3058"/>
      <c r="O23" s="3058"/>
      <c r="P23" s="3058"/>
      <c r="Q23" s="3061"/>
      <c r="R23" s="3061"/>
      <c r="S23" s="3061"/>
      <c r="T23" s="3061"/>
      <c r="U23" s="3062"/>
      <c r="V23" s="3058"/>
      <c r="W23" s="3058"/>
      <c r="X23" s="3056">
        <f>IF(A23="","",IF(LEN(SUBSTITUTE(SUBSTITUTE(SUBSTITUTE(SUBSTITUTE(D23,".",""),"/",""),"-","")," ",""))&lt;&gt;14,"CNPJ INVALIDO","OK"))</f>
      </c>
      <c r="Y23" s="3056">
        <f>IF(A23="","",IF(R23="","REST PENDENTE","REST OK"))</f>
      </c>
      <c r="Z23" s="3056">
        <f>IF(A23="","",IF(AND(R23&lt;&gt;"",COUNTIFS($D$3:$D$164,D23,$R$3:$R$164,"&lt;&gt;")&gt;1),"DUPLICADO","OK"))</f>
      </c>
      <c r="AA23" s="3056">
        <f>IF(A23="","",IF(OR(LEN(Q23)&gt;180,LEN(R23)&gt;180,LEN(S23)&gt;180,LEN(T23)&gt;180),"CAMINHO LONGO","OK"))</f>
      </c>
      <c r="AB23" s="3056">
        <f>IF(A23="","",IF(U23="","",IFERROR(INT(U23-TODAY()),"")))</f>
      </c>
      <c r="AC23" s="3056">
        <f>IF(A23="","",IF(AND(T23="",U23=""),"",IF(T23="","SEM CAMINHO",IF(U23="","SEM DATA",IFERROR(IF(AB23&lt;15,"VERMELHO",IF(AB23&lt;=30,"AMARELO","VERDE")),"DATA INVALIDA")))))</f>
      </c>
      <c r="AD23" s="3056">
        <f>IF(OR(A23="",U23="",NOT(ISNUMBER(AB23))),"",RANK(AB23,$AB$3:$AB$164,1)+COUNTIFS($AB$3:AB23,AB23)-1)</f>
      </c>
      <c r="AE23" s="1736"/>
    </row>
    <row r="24" spans="1:19" ht="22.0" hidden="false" customHeight="true" x14ac:dyDescent="0.25">
      <c r="A24" s="3064" t="s">
        <v>64</v>
      </c>
      <c r="B24" s="3063" t="s">
        <v>65</v>
      </c>
      <c r="C24" s="3063" t="s">
        <v>62</v>
      </c>
      <c r="D24" s="3063">
        <v>12923820000134</v>
      </c>
      <c r="E24" s="3063"/>
      <c r="F24" s="3063" t="s">
        <v>66</v>
      </c>
      <c r="G24" s="3063" t="s">
        <v>13</v>
      </c>
      <c r="H24" s="3063" t="s">
        <v>49</v>
      </c>
      <c r="I24" s="3063"/>
      <c r="J24" s="3063"/>
      <c r="K24" s="3063"/>
      <c r="L24" s="3063"/>
      <c r="M24" s="3063" t="s">
        <v>377</v>
      </c>
      <c r="N24" s="3063"/>
      <c r="O24" s="3063" t="s">
        <v>347</v>
      </c>
      <c r="P24" s="3063"/>
      <c r="Q24" s="3066"/>
      <c r="R24" s="3066"/>
      <c r="S24" s="3066"/>
      <c r="T24" s="3066"/>
      <c r="U24" s="3067"/>
      <c r="V24" s="3063"/>
      <c r="W24" s="3063"/>
      <c r="X24" s="3056">
        <f>IF(A24="","",IF(LEN(SUBSTITUTE(SUBSTITUTE(SUBSTITUTE(SUBSTITUTE(D24,".",""),"/",""),"-","")," ",""))&lt;&gt;14,"CNPJ INVALIDO","OK"))</f>
      </c>
      <c r="Y24" s="3056">
        <f>IF(A24="","",IF(R24="","REST PENDENTE","REST OK"))</f>
      </c>
      <c r="Z24" s="3056">
        <f>IF(A24="","",IF(AND(R24&lt;&gt;"",COUNTIFS($D$3:$D$164,D24,$R$3:$R$164,"&lt;&gt;")&gt;1),"DUPLICADO","OK"))</f>
      </c>
      <c r="AA24" s="3056">
        <f>IF(A24="","",IF(OR(LEN(Q24)&gt;180,LEN(R24)&gt;180,LEN(S24)&gt;180,LEN(T24)&gt;180),"CAMINHO LONGO","OK"))</f>
      </c>
      <c r="AB24" s="3056">
        <f>IF(A24="","",IF(U24="","",IFERROR(INT(U24-TODAY()),"")))</f>
      </c>
      <c r="AC24" s="3056">
        <f>IF(A24="","",IF(AND(T24="",U24=""),"",IF(T24="","SEM CAMINHO",IF(U24="","SEM DATA",IFERROR(IF(AB24&lt;15,"VERMELHO",IF(AB24&lt;=30,"AMARELO","VERDE")),"DATA INVALIDA")))))</f>
      </c>
      <c r="AD24" s="3056">
        <f>IF(OR(A24="",U24="",NOT(ISNUMBER(AB24))),"",RANK(AB24,$AB$3:$AB$164,1)+COUNTIFS($AB$3:AB24,AB24)-1)</f>
      </c>
      <c r="AE24" s="1736"/>
    </row>
    <row r="25" spans="1:19" ht="22.0" hidden="false" customHeight="true" x14ac:dyDescent="0.25">
      <c r="A25" s="3059" t="s">
        <v>67</v>
      </c>
      <c r="B25" s="3058" t="s">
        <v>68</v>
      </c>
      <c r="C25" s="3058" t="s">
        <v>69</v>
      </c>
      <c r="D25" s="3058" t="s">
        <v>70</v>
      </c>
      <c r="E25" s="3058"/>
      <c r="F25" s="3058" t="s">
        <v>71</v>
      </c>
      <c r="G25" s="3058" t="s">
        <v>4</v>
      </c>
      <c r="H25" s="3058" t="s">
        <v>49</v>
      </c>
      <c r="I25" s="3058"/>
      <c r="J25" s="3058"/>
      <c r="K25" s="3058"/>
      <c r="L25" s="3058"/>
      <c r="M25" s="3058" t="s">
        <v>379</v>
      </c>
      <c r="N25" s="3058"/>
      <c r="O25" s="3058" t="s">
        <v>349</v>
      </c>
      <c r="P25" s="3058"/>
      <c r="Q25" s="3061"/>
      <c r="R25" s="3061"/>
      <c r="S25" s="3061"/>
      <c r="T25" s="3061"/>
      <c r="U25" s="3062"/>
      <c r="V25" s="3058"/>
      <c r="W25" s="3058"/>
      <c r="X25" s="3056">
        <f>IF(A25="","",IF(LEN(SUBSTITUTE(SUBSTITUTE(SUBSTITUTE(SUBSTITUTE(D25,".",""),"/",""),"-","")," ",""))&lt;&gt;14,"CNPJ INVALIDO","OK"))</f>
      </c>
      <c r="Y25" s="3056">
        <f>IF(A25="","",IF(R25="","REST PENDENTE","REST OK"))</f>
      </c>
      <c r="Z25" s="3056">
        <f>IF(A25="","",IF(AND(R25&lt;&gt;"",COUNTIFS($D$3:$D$164,D25,$R$3:$R$164,"&lt;&gt;")&gt;1),"DUPLICADO","OK"))</f>
      </c>
      <c r="AA25" s="3056">
        <f>IF(A25="","",IF(OR(LEN(Q25)&gt;180,LEN(R25)&gt;180,LEN(S25)&gt;180,LEN(T25)&gt;180),"CAMINHO LONGO","OK"))</f>
      </c>
      <c r="AB25" s="3056">
        <f>IF(A25="","",IF(U25="","",IFERROR(INT(U25-TODAY()),"")))</f>
      </c>
      <c r="AC25" s="3056">
        <f>IF(A25="","",IF(AND(T25="",U25=""),"",IF(T25="","SEM CAMINHO",IF(U25="","SEM DATA",IFERROR(IF(AB25&lt;15,"VERMELHO",IF(AB25&lt;=30,"AMARELO","VERDE")),"DATA INVALIDA")))))</f>
      </c>
      <c r="AD25" s="3056">
        <f>IF(OR(A25="",U25="",NOT(ISNUMBER(AB25))),"",RANK(AB25,$AB$3:$AB$164,1)+COUNTIFS($AB$3:AB25,AB25)-1)</f>
      </c>
      <c r="AE25" s="1736"/>
    </row>
    <row r="26" spans="1:19" ht="22.0" hidden="false" customHeight="true" x14ac:dyDescent="0.25">
      <c r="A26" s="3064" t="s">
        <v>72</v>
      </c>
      <c r="B26" s="3063" t="s">
        <v>9</v>
      </c>
      <c r="C26" s="3063" t="s">
        <v>24</v>
      </c>
      <c r="D26" s="3063">
        <v>41597807000130</v>
      </c>
      <c r="E26" s="3063"/>
      <c r="F26" s="3063" t="s">
        <v>73</v>
      </c>
      <c r="G26" s="3063" t="s">
        <v>4</v>
      </c>
      <c r="H26" s="3063" t="s">
        <v>5</v>
      </c>
      <c r="I26" s="3063"/>
      <c r="J26" s="3063"/>
      <c r="K26" s="3063"/>
      <c r="L26" s="3063"/>
      <c r="M26" s="3063" t="s">
        <v>379</v>
      </c>
      <c r="N26" s="3063"/>
      <c r="O26" s="3063" t="s">
        <v>347</v>
      </c>
      <c r="P26" s="3063"/>
      <c r="Q26" s="3066"/>
      <c r="R26" s="3066"/>
      <c r="S26" s="3066"/>
      <c r="T26" s="3066"/>
      <c r="U26" s="3067"/>
      <c r="V26" s="3063"/>
      <c r="W26" s="3063"/>
      <c r="X26" s="3056">
        <f>IF(A26="","",IF(LEN(SUBSTITUTE(SUBSTITUTE(SUBSTITUTE(SUBSTITUTE(D26,".",""),"/",""),"-","")," ",""))&lt;&gt;14,"CNPJ INVALIDO","OK"))</f>
      </c>
      <c r="Y26" s="3056">
        <f>IF(A26="","",IF(R26="","REST PENDENTE","REST OK"))</f>
      </c>
      <c r="Z26" s="3056">
        <f>IF(A26="","",IF(AND(R26&lt;&gt;"",COUNTIFS($D$3:$D$164,D26,$R$3:$R$164,"&lt;&gt;")&gt;1),"DUPLICADO","OK"))</f>
      </c>
      <c r="AA26" s="3056">
        <f>IF(A26="","",IF(OR(LEN(Q26)&gt;180,LEN(R26)&gt;180,LEN(S26)&gt;180,LEN(T26)&gt;180),"CAMINHO LONGO","OK"))</f>
      </c>
      <c r="AB26" s="3056">
        <f>IF(A26="","",IF(U26="","",IFERROR(INT(U26-TODAY()),"")))</f>
      </c>
      <c r="AC26" s="3056">
        <f>IF(A26="","",IF(AND(T26="",U26=""),"",IF(T26="","SEM CAMINHO",IF(U26="","SEM DATA",IFERROR(IF(AB26&lt;15,"VERMELHO",IF(AB26&lt;=30,"AMARELO","VERDE")),"DATA INVALIDA")))))</f>
      </c>
      <c r="AD26" s="3056">
        <f>IF(OR(A26="",U26="",NOT(ISNUMBER(AB26))),"",RANK(AB26,$AB$3:$AB$164,1)+COUNTIFS($AB$3:AB26,AB26)-1)</f>
      </c>
      <c r="AE26" s="1736"/>
    </row>
    <row r="27" spans="1:19" ht="22.0" hidden="false" customHeight="true" x14ac:dyDescent="0.25">
      <c r="A27" s="3059" t="s">
        <v>74</v>
      </c>
      <c r="B27" s="3058" t="s">
        <v>75</v>
      </c>
      <c r="C27" s="3058" t="s">
        <v>62</v>
      </c>
      <c r="D27" s="3058">
        <v>21430001000146</v>
      </c>
      <c r="E27" s="3058"/>
      <c r="F27" s="3058" t="s">
        <v>76</v>
      </c>
      <c r="G27" s="3058" t="s">
        <v>4</v>
      </c>
      <c r="H27" s="3058" t="s">
        <v>5</v>
      </c>
      <c r="I27" s="3058"/>
      <c r="J27" s="3058"/>
      <c r="K27" s="3058"/>
      <c r="L27" s="3058"/>
      <c r="M27" s="3058" t="s">
        <v>377</v>
      </c>
      <c r="N27" s="3058"/>
      <c r="O27" s="3058" t="s">
        <v>347</v>
      </c>
      <c r="P27" s="3058"/>
      <c r="Q27" s="3061"/>
      <c r="R27" s="3061"/>
      <c r="S27" s="3061"/>
      <c r="T27" s="3061"/>
      <c r="U27" s="3062"/>
      <c r="V27" s="3058"/>
      <c r="W27" s="3058"/>
      <c r="X27" s="3056">
        <f>IF(A27="","",IF(LEN(SUBSTITUTE(SUBSTITUTE(SUBSTITUTE(SUBSTITUTE(D27,".",""),"/",""),"-","")," ",""))&lt;&gt;14,"CNPJ INVALIDO","OK"))</f>
      </c>
      <c r="Y27" s="3056">
        <f>IF(A27="","",IF(R27="","REST PENDENTE","REST OK"))</f>
      </c>
      <c r="Z27" s="3056">
        <f>IF(A27="","",IF(AND(R27&lt;&gt;"",COUNTIFS($D$3:$D$164,D27,$R$3:$R$164,"&lt;&gt;")&gt;1),"DUPLICADO","OK"))</f>
      </c>
      <c r="AA27" s="3056">
        <f>IF(A27="","",IF(OR(LEN(Q27)&gt;180,LEN(R27)&gt;180,LEN(S27)&gt;180,LEN(T27)&gt;180),"CAMINHO LONGO","OK"))</f>
      </c>
      <c r="AB27" s="3056">
        <f>IF(A27="","",IF(U27="","",IFERROR(INT(U27-TODAY()),"")))</f>
      </c>
      <c r="AC27" s="3056">
        <f>IF(A27="","",IF(AND(T27="",U27=""),"",IF(T27="","SEM CAMINHO",IF(U27="","SEM DATA",IFERROR(IF(AB27&lt;15,"VERMELHO",IF(AB27&lt;=30,"AMARELO","VERDE")),"DATA INVALIDA")))))</f>
      </c>
      <c r="AD27" s="3056">
        <f>IF(OR(A27="",U27="",NOT(ISNUMBER(AB27))),"",RANK(AB27,$AB$3:$AB$164,1)+COUNTIFS($AB$3:AB27,AB27)-1)</f>
      </c>
      <c r="AE27" s="1736"/>
    </row>
    <row r="28" spans="1:19" ht="22.0" hidden="false" customHeight="true" x14ac:dyDescent="0.25">
      <c r="A28" s="3064" t="s">
        <v>77</v>
      </c>
      <c r="B28" s="3063" t="s">
        <v>78</v>
      </c>
      <c r="C28" s="3063" t="s">
        <v>79</v>
      </c>
      <c r="D28" s="3063" t="s">
        <v>80</v>
      </c>
      <c r="E28" s="3063"/>
      <c r="F28" s="3063" t="s">
        <v>81</v>
      </c>
      <c r="G28" s="3063" t="s">
        <v>13</v>
      </c>
      <c r="H28" s="3063" t="s">
        <v>49</v>
      </c>
      <c r="I28" s="3063"/>
      <c r="J28" s="3063"/>
      <c r="K28" s="3063"/>
      <c r="L28" s="3063"/>
      <c r="M28" s="3063" t="s">
        <v>377</v>
      </c>
      <c r="N28" s="3063"/>
      <c r="O28" s="3063" t="s">
        <v>347</v>
      </c>
      <c r="P28" s="3063"/>
      <c r="Q28" s="3066"/>
      <c r="R28" s="3066"/>
      <c r="S28" s="3066"/>
      <c r="T28" s="3066"/>
      <c r="U28" s="3067"/>
      <c r="V28" s="3063"/>
      <c r="W28" s="3063"/>
      <c r="X28" s="3056">
        <f>IF(A28="","",IF(LEN(SUBSTITUTE(SUBSTITUTE(SUBSTITUTE(SUBSTITUTE(D28,".",""),"/",""),"-","")," ",""))&lt;&gt;14,"CNPJ INVALIDO","OK"))</f>
      </c>
      <c r="Y28" s="3056">
        <f>IF(A28="","",IF(R28="","REST PENDENTE","REST OK"))</f>
      </c>
      <c r="Z28" s="3056">
        <f>IF(A28="","",IF(AND(R28&lt;&gt;"",COUNTIFS($D$3:$D$164,D28,$R$3:$R$164,"&lt;&gt;")&gt;1),"DUPLICADO","OK"))</f>
      </c>
      <c r="AA28" s="3056">
        <f>IF(A28="","",IF(OR(LEN(Q28)&gt;180,LEN(R28)&gt;180,LEN(S28)&gt;180,LEN(T28)&gt;180),"CAMINHO LONGO","OK"))</f>
      </c>
      <c r="AB28" s="3056">
        <f>IF(A28="","",IF(U28="","",IFERROR(INT(U28-TODAY()),"")))</f>
      </c>
      <c r="AC28" s="3056">
        <f>IF(A28="","",IF(AND(T28="",U28=""),"",IF(T28="","SEM CAMINHO",IF(U28="","SEM DATA",IFERROR(IF(AB28&lt;15,"VERMELHO",IF(AB28&lt;=30,"AMARELO","VERDE")),"DATA INVALIDA")))))</f>
      </c>
      <c r="AD28" s="3056">
        <f>IF(OR(A28="",U28="",NOT(ISNUMBER(AB28))),"",RANK(AB28,$AB$3:$AB$164,1)+COUNTIFS($AB$3:AB28,AB28)-1)</f>
      </c>
      <c r="AE28" s="1736"/>
    </row>
    <row r="29" spans="1:19" ht="22.0" hidden="false" customHeight="true" x14ac:dyDescent="0.25">
      <c r="A29" s="3059" t="s">
        <v>82</v>
      </c>
      <c r="B29" s="3058" t="s">
        <v>78</v>
      </c>
      <c r="C29" s="3058" t="s">
        <v>83</v>
      </c>
      <c r="D29" s="3058">
        <v>62220305000166</v>
      </c>
      <c r="E29" s="3058"/>
      <c r="F29" s="3058" t="s">
        <v>81</v>
      </c>
      <c r="G29" s="3058" t="s">
        <v>4</v>
      </c>
      <c r="H29" s="3058" t="s">
        <v>5</v>
      </c>
      <c r="I29" s="3058"/>
      <c r="J29" s="3058"/>
      <c r="K29" s="3058"/>
      <c r="L29" s="3058"/>
      <c r="M29" s="3058" t="s">
        <v>378</v>
      </c>
      <c r="N29" s="3058"/>
      <c r="O29" s="3058" t="s">
        <v>349</v>
      </c>
      <c r="P29" s="3058"/>
      <c r="Q29" s="3061"/>
      <c r="R29" s="3061"/>
      <c r="S29" s="3061"/>
      <c r="T29" s="3061"/>
      <c r="U29" s="3062"/>
      <c r="V29" s="3058"/>
      <c r="W29" s="3058"/>
      <c r="X29" s="3056">
        <f>IF(A29="","",IF(LEN(SUBSTITUTE(SUBSTITUTE(SUBSTITUTE(SUBSTITUTE(D29,".",""),"/",""),"-","")," ",""))&lt;&gt;14,"CNPJ INVALIDO","OK"))</f>
      </c>
      <c r="Y29" s="3056">
        <f>IF(A29="","",IF(R29="","REST PENDENTE","REST OK"))</f>
      </c>
      <c r="Z29" s="3056">
        <f>IF(A29="","",IF(AND(R29&lt;&gt;"",COUNTIFS($D$3:$D$164,D29,$R$3:$R$164,"&lt;&gt;")&gt;1),"DUPLICADO","OK"))</f>
      </c>
      <c r="AA29" s="3056">
        <f>IF(A29="","",IF(OR(LEN(Q29)&gt;180,LEN(R29)&gt;180,LEN(S29)&gt;180,LEN(T29)&gt;180),"CAMINHO LONGO","OK"))</f>
      </c>
      <c r="AB29" s="3056">
        <f>IF(A29="","",IF(U29="","",IFERROR(INT(U29-TODAY()),"")))</f>
      </c>
      <c r="AC29" s="3056">
        <f>IF(A29="","",IF(AND(T29="",U29=""),"",IF(T29="","SEM CAMINHO",IF(U29="","SEM DATA",IFERROR(IF(AB29&lt;15,"VERMELHO",IF(AB29&lt;=30,"AMARELO","VERDE")),"DATA INVALIDA")))))</f>
      </c>
      <c r="AD29" s="3056">
        <f>IF(OR(A29="",U29="",NOT(ISNUMBER(AB29))),"",RANK(AB29,$AB$3:$AB$164,1)+COUNTIFS($AB$3:AB29,AB29)-1)</f>
      </c>
      <c r="AE29" s="1736"/>
    </row>
    <row r="30" spans="1:19" ht="22.0" hidden="false" customHeight="true" x14ac:dyDescent="0.25">
      <c r="A30" s="3064" t="s">
        <v>84</v>
      </c>
      <c r="B30" s="3063" t="s">
        <v>85</v>
      </c>
      <c r="C30" s="3063" t="s">
        <v>46</v>
      </c>
      <c r="D30" s="3063">
        <v>10712858000132</v>
      </c>
      <c r="E30" s="3063"/>
      <c r="F30" s="3063" t="s">
        <v>86</v>
      </c>
      <c r="G30" s="3063" t="s">
        <v>13</v>
      </c>
      <c r="H30" s="3063" t="s">
        <v>5</v>
      </c>
      <c r="I30" s="3063"/>
      <c r="J30" s="3063"/>
      <c r="K30" s="3063"/>
      <c r="L30" s="3063"/>
      <c r="M30" s="3063" t="s">
        <v>377</v>
      </c>
      <c r="N30" s="3063"/>
      <c r="O30" s="3063" t="s">
        <v>349</v>
      </c>
      <c r="P30" s="3063"/>
      <c r="Q30" s="3066"/>
      <c r="R30" s="3066"/>
      <c r="S30" s="3066"/>
      <c r="T30" s="3066"/>
      <c r="U30" s="3067"/>
      <c r="V30" s="3063"/>
      <c r="W30" s="3063"/>
      <c r="X30" s="3056">
        <f>IF(A30="","",IF(LEN(SUBSTITUTE(SUBSTITUTE(SUBSTITUTE(SUBSTITUTE(D30,".",""),"/",""),"-","")," ",""))&lt;&gt;14,"CNPJ INVALIDO","OK"))</f>
      </c>
      <c r="Y30" s="3056">
        <f>IF(A30="","",IF(R30="","REST PENDENTE","REST OK"))</f>
      </c>
      <c r="Z30" s="3056">
        <f>IF(A30="","",IF(AND(R30&lt;&gt;"",COUNTIFS($D$3:$D$164,D30,$R$3:$R$164,"&lt;&gt;")&gt;1),"DUPLICADO","OK"))</f>
      </c>
      <c r="AA30" s="3056">
        <f>IF(A30="","",IF(OR(LEN(Q30)&gt;180,LEN(R30)&gt;180,LEN(S30)&gt;180,LEN(T30)&gt;180),"CAMINHO LONGO","OK"))</f>
      </c>
      <c r="AB30" s="3056">
        <f>IF(A30="","",IF(U30="","",IFERROR(INT(U30-TODAY()),"")))</f>
      </c>
      <c r="AC30" s="3056">
        <f>IF(A30="","",IF(AND(T30="",U30=""),"",IF(T30="","SEM CAMINHO",IF(U30="","SEM DATA",IFERROR(IF(AB30&lt;15,"VERMELHO",IF(AB30&lt;=30,"AMARELO","VERDE")),"DATA INVALIDA")))))</f>
      </c>
      <c r="AD30" s="3056">
        <f>IF(OR(A30="",U30="",NOT(ISNUMBER(AB30))),"",RANK(AB30,$AB$3:$AB$164,1)+COUNTIFS($AB$3:AB30,AB30)-1)</f>
      </c>
      <c r="AE30" s="1736"/>
    </row>
    <row r="31" spans="1:19" ht="22.0" hidden="false" customHeight="true" x14ac:dyDescent="0.25">
      <c r="A31" s="3059" t="s">
        <v>87</v>
      </c>
      <c r="B31" s="3058" t="s">
        <v>61</v>
      </c>
      <c r="C31" s="3058" t="s">
        <v>62</v>
      </c>
      <c r="D31" s="3058">
        <v>53665434000177</v>
      </c>
      <c r="E31" s="3058"/>
      <c r="F31" s="3058" t="s">
        <v>63</v>
      </c>
      <c r="G31" s="3058" t="s">
        <v>4</v>
      </c>
      <c r="H31" s="3058" t="s">
        <v>5</v>
      </c>
      <c r="I31" s="3058"/>
      <c r="J31" s="3058"/>
      <c r="K31" s="3058"/>
      <c r="L31" s="3058"/>
      <c r="M31" s="3058" t="s">
        <v>379</v>
      </c>
      <c r="N31" s="3058"/>
      <c r="O31" s="3058" t="s">
        <v>349</v>
      </c>
      <c r="P31" s="3058"/>
      <c r="Q31" s="3061"/>
      <c r="R31" s="3061"/>
      <c r="S31" s="3061"/>
      <c r="T31" s="3061"/>
      <c r="U31" s="3062"/>
      <c r="V31" s="3058"/>
      <c r="W31" s="3058"/>
      <c r="X31" s="3056">
        <f>IF(A31="","",IF(LEN(SUBSTITUTE(SUBSTITUTE(SUBSTITUTE(SUBSTITUTE(D31,".",""),"/",""),"-","")," ",""))&lt;&gt;14,"CNPJ INVALIDO","OK"))</f>
      </c>
      <c r="Y31" s="3056">
        <f>IF(A31="","",IF(R31="","REST PENDENTE","REST OK"))</f>
      </c>
      <c r="Z31" s="3056">
        <f>IF(A31="","",IF(AND(R31&lt;&gt;"",COUNTIFS($D$3:$D$164,D31,$R$3:$R$164,"&lt;&gt;")&gt;1),"DUPLICADO","OK"))</f>
      </c>
      <c r="AA31" s="3056">
        <f>IF(A31="","",IF(OR(LEN(Q31)&gt;180,LEN(R31)&gt;180,LEN(S31)&gt;180,LEN(T31)&gt;180),"CAMINHO LONGO","OK"))</f>
      </c>
      <c r="AB31" s="3056">
        <f>IF(A31="","",IF(U31="","",IFERROR(INT(U31-TODAY()),"")))</f>
      </c>
      <c r="AC31" s="3056">
        <f>IF(A31="","",IF(AND(T31="",U31=""),"",IF(T31="","SEM CAMINHO",IF(U31="","SEM DATA",IFERROR(IF(AB31&lt;15,"VERMELHO",IF(AB31&lt;=30,"AMARELO","VERDE")),"DATA INVALIDA")))))</f>
      </c>
      <c r="AD31" s="3056">
        <f>IF(OR(A31="",U31="",NOT(ISNUMBER(AB31))),"",RANK(AB31,$AB$3:$AB$164,1)+COUNTIFS($AB$3:AB31,AB31)-1)</f>
      </c>
      <c r="AE31" s="1736"/>
    </row>
    <row r="32" spans="1:19" ht="22.0" hidden="false" customHeight="true" x14ac:dyDescent="0.25">
      <c r="A32" s="3064" t="s">
        <v>88</v>
      </c>
      <c r="B32" s="3063" t="s">
        <v>61</v>
      </c>
      <c r="C32" s="3063" t="s">
        <v>62</v>
      </c>
      <c r="D32" s="3063">
        <v>53665515000177</v>
      </c>
      <c r="E32" s="3063"/>
      <c r="F32" s="3063" t="s">
        <v>63</v>
      </c>
      <c r="G32" s="3063" t="s">
        <v>4</v>
      </c>
      <c r="H32" s="3063" t="s">
        <v>5</v>
      </c>
      <c r="I32" s="3063"/>
      <c r="J32" s="3063"/>
      <c r="K32" s="3063"/>
      <c r="L32" s="3063"/>
      <c r="M32" s="3063" t="s">
        <v>379</v>
      </c>
      <c r="N32" s="3063"/>
      <c r="O32" s="3063" t="s">
        <v>349</v>
      </c>
      <c r="P32" s="3063"/>
      <c r="Q32" s="3066"/>
      <c r="R32" s="3066"/>
      <c r="S32" s="3066"/>
      <c r="T32" s="3066"/>
      <c r="U32" s="3067"/>
      <c r="V32" s="3063"/>
      <c r="W32" s="3063"/>
      <c r="X32" s="3056">
        <f>IF(A32="","",IF(LEN(SUBSTITUTE(SUBSTITUTE(SUBSTITUTE(SUBSTITUTE(D32,".",""),"/",""),"-","")," ",""))&lt;&gt;14,"CNPJ INVALIDO","OK"))</f>
      </c>
      <c r="Y32" s="3056">
        <f>IF(A32="","",IF(R32="","REST PENDENTE","REST OK"))</f>
      </c>
      <c r="Z32" s="3056">
        <f>IF(A32="","",IF(AND(R32&lt;&gt;"",COUNTIFS($D$3:$D$164,D32,$R$3:$R$164,"&lt;&gt;")&gt;1),"DUPLICADO","OK"))</f>
      </c>
      <c r="AA32" s="3056">
        <f>IF(A32="","",IF(OR(LEN(Q32)&gt;180,LEN(R32)&gt;180,LEN(S32)&gt;180,LEN(T32)&gt;180),"CAMINHO LONGO","OK"))</f>
      </c>
      <c r="AB32" s="3056">
        <f>IF(A32="","",IF(U32="","",IFERROR(INT(U32-TODAY()),"")))</f>
      </c>
      <c r="AC32" s="3056">
        <f>IF(A32="","",IF(AND(T32="",U32=""),"",IF(T32="","SEM CAMINHO",IF(U32="","SEM DATA",IFERROR(IF(AB32&lt;15,"VERMELHO",IF(AB32&lt;=30,"AMARELO","VERDE")),"DATA INVALIDA")))))</f>
      </c>
      <c r="AD32" s="3056">
        <f>IF(OR(A32="",U32="",NOT(ISNUMBER(AB32))),"",RANK(AB32,$AB$3:$AB$164,1)+COUNTIFS($AB$3:AB32,AB32)-1)</f>
      </c>
      <c r="AE32" s="1736"/>
    </row>
    <row r="33" spans="1:19" ht="22.0" hidden="false" customHeight="true" x14ac:dyDescent="0.25">
      <c r="A33" s="3059" t="s">
        <v>89</v>
      </c>
      <c r="B33" s="3058" t="s">
        <v>61</v>
      </c>
      <c r="C33" s="3058" t="s">
        <v>62</v>
      </c>
      <c r="D33" s="3058">
        <v>53666225000148</v>
      </c>
      <c r="E33" s="3058"/>
      <c r="F33" s="3058" t="s">
        <v>63</v>
      </c>
      <c r="G33" s="3058" t="s">
        <v>4</v>
      </c>
      <c r="H33" s="3058" t="s">
        <v>5</v>
      </c>
      <c r="I33" s="3058"/>
      <c r="J33" s="3058"/>
      <c r="K33" s="3058"/>
      <c r="L33" s="3058"/>
      <c r="M33" s="3058" t="s">
        <v>379</v>
      </c>
      <c r="N33" s="3058"/>
      <c r="O33" s="3058" t="s">
        <v>349</v>
      </c>
      <c r="P33" s="3058"/>
      <c r="Q33" s="3061"/>
      <c r="R33" s="3061"/>
      <c r="S33" s="3061"/>
      <c r="T33" s="3061"/>
      <c r="U33" s="3062"/>
      <c r="V33" s="3058"/>
      <c r="W33" s="3058"/>
      <c r="X33" s="3056">
        <f>IF(A33="","",IF(LEN(SUBSTITUTE(SUBSTITUTE(SUBSTITUTE(SUBSTITUTE(D33,".",""),"/",""),"-","")," ",""))&lt;&gt;14,"CNPJ INVALIDO","OK"))</f>
      </c>
      <c r="Y33" s="3056">
        <f>IF(A33="","",IF(R33="","REST PENDENTE","REST OK"))</f>
      </c>
      <c r="Z33" s="3056">
        <f>IF(A33="","",IF(AND(R33&lt;&gt;"",COUNTIFS($D$3:$D$164,D33,$R$3:$R$164,"&lt;&gt;")&gt;1),"DUPLICADO","OK"))</f>
      </c>
      <c r="AA33" s="3056">
        <f>IF(A33="","",IF(OR(LEN(Q33)&gt;180,LEN(R33)&gt;180,LEN(S33)&gt;180,LEN(T33)&gt;180),"CAMINHO LONGO","OK"))</f>
      </c>
      <c r="AB33" s="3056">
        <f>IF(A33="","",IF(U33="","",IFERROR(INT(U33-TODAY()),"")))</f>
      </c>
      <c r="AC33" s="3056">
        <f>IF(A33="","",IF(AND(T33="",U33=""),"",IF(T33="","SEM CAMINHO",IF(U33="","SEM DATA",IFERROR(IF(AB33&lt;15,"VERMELHO",IF(AB33&lt;=30,"AMARELO","VERDE")),"DATA INVALIDA")))))</f>
      </c>
      <c r="AD33" s="3056">
        <f>IF(OR(A33="",U33="",NOT(ISNUMBER(AB33))),"",RANK(AB33,$AB$3:$AB$164,1)+COUNTIFS($AB$3:AB33,AB33)-1)</f>
      </c>
      <c r="AE33" s="1736"/>
    </row>
    <row r="34" spans="1:19" ht="22.0" hidden="false" customHeight="true" x14ac:dyDescent="0.25">
      <c r="A34" s="3064" t="s">
        <v>90</v>
      </c>
      <c r="B34" s="3063" t="s">
        <v>61</v>
      </c>
      <c r="C34" s="3063" t="s">
        <v>62</v>
      </c>
      <c r="D34" s="3063">
        <v>17845752000156</v>
      </c>
      <c r="E34" s="3063"/>
      <c r="F34" s="3063" t="s">
        <v>63</v>
      </c>
      <c r="G34" s="3063" t="s">
        <v>41</v>
      </c>
      <c r="H34" s="3063" t="s">
        <v>5</v>
      </c>
      <c r="I34" s="3063"/>
      <c r="J34" s="3063"/>
      <c r="K34" s="3063"/>
      <c r="L34" s="3063"/>
      <c r="M34" s="3063" t="s">
        <v>380</v>
      </c>
      <c r="N34" s="3063"/>
      <c r="O34" s="3063" t="s">
        <v>349</v>
      </c>
      <c r="P34" s="3063"/>
      <c r="Q34" s="3066"/>
      <c r="R34" s="3066"/>
      <c r="S34" s="3066"/>
      <c r="T34" s="3066"/>
      <c r="U34" s="3067"/>
      <c r="V34" s="3063"/>
      <c r="W34" s="3063"/>
      <c r="X34" s="3056">
        <f>IF(A34="","",IF(LEN(SUBSTITUTE(SUBSTITUTE(SUBSTITUTE(SUBSTITUTE(D34,".",""),"/",""),"-","")," ",""))&lt;&gt;14,"CNPJ INVALIDO","OK"))</f>
      </c>
      <c r="Y34" s="3056">
        <f>IF(A34="","",IF(R34="","REST PENDENTE","REST OK"))</f>
      </c>
      <c r="Z34" s="3056">
        <f>IF(A34="","",IF(AND(R34&lt;&gt;"",COUNTIFS($D$3:$D$164,D34,$R$3:$R$164,"&lt;&gt;")&gt;1),"DUPLICADO","OK"))</f>
      </c>
      <c r="AA34" s="3056">
        <f>IF(A34="","",IF(OR(LEN(Q34)&gt;180,LEN(R34)&gt;180,LEN(S34)&gt;180,LEN(T34)&gt;180),"CAMINHO LONGO","OK"))</f>
      </c>
      <c r="AB34" s="3056">
        <f>IF(A34="","",IF(U34="","",IFERROR(INT(U34-TODAY()),"")))</f>
      </c>
      <c r="AC34" s="3056">
        <f>IF(A34="","",IF(AND(T34="",U34=""),"",IF(T34="","SEM CAMINHO",IF(U34="","SEM DATA",IFERROR(IF(AB34&lt;15,"VERMELHO",IF(AB34&lt;=30,"AMARELO","VERDE")),"DATA INVALIDA")))))</f>
      </c>
      <c r="AD34" s="3056">
        <f>IF(OR(A34="",U34="",NOT(ISNUMBER(AB34))),"",RANK(AB34,$AB$3:$AB$164,1)+COUNTIFS($AB$3:AB34,AB34)-1)</f>
      </c>
      <c r="AE34" s="1736"/>
    </row>
    <row r="35" spans="1:19" ht="22.0" hidden="false" customHeight="true" x14ac:dyDescent="0.25">
      <c r="A35" s="3059" t="s">
        <v>91</v>
      </c>
      <c r="B35" s="3058" t="s">
        <v>61</v>
      </c>
      <c r="C35" s="3058" t="s">
        <v>62</v>
      </c>
      <c r="D35" s="3058">
        <v>17813257000165</v>
      </c>
      <c r="E35" s="3058"/>
      <c r="F35" s="3058" t="s">
        <v>63</v>
      </c>
      <c r="G35" s="3058" t="s">
        <v>13</v>
      </c>
      <c r="H35" s="3058" t="s">
        <v>5</v>
      </c>
      <c r="I35" s="3058"/>
      <c r="J35" s="3058"/>
      <c r="K35" s="3058"/>
      <c r="L35" s="3058"/>
      <c r="M35" s="3058" t="s">
        <v>381</v>
      </c>
      <c r="N35" s="3058"/>
      <c r="O35" s="3058" t="s">
        <v>349</v>
      </c>
      <c r="P35" s="3058"/>
      <c r="Q35" s="3061"/>
      <c r="R35" s="3061"/>
      <c r="S35" s="3061"/>
      <c r="T35" s="3061"/>
      <c r="U35" s="3062"/>
      <c r="V35" s="3058"/>
      <c r="W35" s="3058"/>
      <c r="X35" s="3056">
        <f>IF(A35="","",IF(LEN(SUBSTITUTE(SUBSTITUTE(SUBSTITUTE(SUBSTITUTE(D35,".",""),"/",""),"-","")," ",""))&lt;&gt;14,"CNPJ INVALIDO","OK"))</f>
      </c>
      <c r="Y35" s="3056">
        <f>IF(A35="","",IF(R35="","REST PENDENTE","REST OK"))</f>
      </c>
      <c r="Z35" s="3056">
        <f>IF(A35="","",IF(AND(R35&lt;&gt;"",COUNTIFS($D$3:$D$164,D35,$R$3:$R$164,"&lt;&gt;")&gt;1),"DUPLICADO","OK"))</f>
      </c>
      <c r="AA35" s="3056">
        <f>IF(A35="","",IF(OR(LEN(Q35)&gt;180,LEN(R35)&gt;180,LEN(S35)&gt;180,LEN(T35)&gt;180),"CAMINHO LONGO","OK"))</f>
      </c>
      <c r="AB35" s="3056">
        <f>IF(A35="","",IF(U35="","",IFERROR(INT(U35-TODAY()),"")))</f>
      </c>
      <c r="AC35" s="3056">
        <f>IF(A35="","",IF(AND(T35="",U35=""),"",IF(T35="","SEM CAMINHO",IF(U35="","SEM DATA",IFERROR(IF(AB35&lt;15,"VERMELHO",IF(AB35&lt;=30,"AMARELO","VERDE")),"DATA INVALIDA")))))</f>
      </c>
      <c r="AD35" s="3056">
        <f>IF(OR(A35="",U35="",NOT(ISNUMBER(AB35))),"",RANK(AB35,$AB$3:$AB$164,1)+COUNTIFS($AB$3:AB35,AB35)-1)</f>
      </c>
      <c r="AE35" s="1736"/>
    </row>
    <row r="36" spans="1:19" ht="22.0" hidden="false" customHeight="true" x14ac:dyDescent="0.25">
      <c r="A36" s="3064" t="s">
        <v>92</v>
      </c>
      <c r="B36" s="3063" t="s">
        <v>1</v>
      </c>
      <c r="C36" s="3063" t="s">
        <v>93</v>
      </c>
      <c r="D36" s="3063" t="s">
        <v>94</v>
      </c>
      <c r="E36" s="3063"/>
      <c r="F36" s="3063" t="s">
        <v>3</v>
      </c>
      <c r="G36" s="3063" t="s">
        <v>4</v>
      </c>
      <c r="H36" s="3063" t="s">
        <v>5</v>
      </c>
      <c r="I36" s="3063"/>
      <c r="J36" s="3063"/>
      <c r="K36" s="3063"/>
      <c r="L36" s="3063"/>
      <c r="M36" s="3063" t="s">
        <v>377</v>
      </c>
      <c r="N36" s="3063"/>
      <c r="O36" s="3063" t="s">
        <v>349</v>
      </c>
      <c r="P36" s="3063"/>
      <c r="Q36" s="3066"/>
      <c r="R36" s="3066"/>
      <c r="S36" s="3066"/>
      <c r="T36" s="3066"/>
      <c r="U36" s="3067"/>
      <c r="V36" s="3063"/>
      <c r="W36" s="3063"/>
      <c r="X36" s="3056">
        <f>IF(A36="","",IF(LEN(SUBSTITUTE(SUBSTITUTE(SUBSTITUTE(SUBSTITUTE(D36,".",""),"/",""),"-","")," ",""))&lt;&gt;14,"CNPJ INVALIDO","OK"))</f>
      </c>
      <c r="Y36" s="3056">
        <f>IF(A36="","",IF(R36="","REST PENDENTE","REST OK"))</f>
      </c>
      <c r="Z36" s="3056">
        <f>IF(A36="","",IF(AND(R36&lt;&gt;"",COUNTIFS($D$3:$D$164,D36,$R$3:$R$164,"&lt;&gt;")&gt;1),"DUPLICADO","OK"))</f>
      </c>
      <c r="AA36" s="3056">
        <f>IF(A36="","",IF(OR(LEN(Q36)&gt;180,LEN(R36)&gt;180,LEN(S36)&gt;180,LEN(T36)&gt;180),"CAMINHO LONGO","OK"))</f>
      </c>
      <c r="AB36" s="3056">
        <f>IF(A36="","",IF(U36="","",IFERROR(INT(U36-TODAY()),"")))</f>
      </c>
      <c r="AC36" s="3056">
        <f>IF(A36="","",IF(AND(T36="",U36=""),"",IF(T36="","SEM CAMINHO",IF(U36="","SEM DATA",IFERROR(IF(AB36&lt;15,"VERMELHO",IF(AB36&lt;=30,"AMARELO","VERDE")),"DATA INVALIDA")))))</f>
      </c>
      <c r="AD36" s="3056">
        <f>IF(OR(A36="",U36="",NOT(ISNUMBER(AB36))),"",RANK(AB36,$AB$3:$AB$164,1)+COUNTIFS($AB$3:AB36,AB36)-1)</f>
      </c>
      <c r="AE36" s="1736"/>
    </row>
    <row r="37" spans="1:19" ht="22.0" hidden="false" customHeight="true" x14ac:dyDescent="0.25">
      <c r="A37" s="3059" t="s">
        <v>95</v>
      </c>
      <c r="B37" s="3058" t="s">
        <v>96</v>
      </c>
      <c r="C37" s="3058" t="s">
        <v>97</v>
      </c>
      <c r="D37" s="3058" t="s">
        <v>98</v>
      </c>
      <c r="E37" s="3058"/>
      <c r="F37" s="3058" t="s">
        <v>99</v>
      </c>
      <c r="G37" s="3058" t="s">
        <v>41</v>
      </c>
      <c r="H37" s="3058" t="s">
        <v>14</v>
      </c>
      <c r="I37" s="3058"/>
      <c r="J37" s="3058"/>
      <c r="K37" s="3058"/>
      <c r="L37" s="3058"/>
      <c r="M37" s="3058" t="s">
        <v>383</v>
      </c>
      <c r="N37" s="3058" t="s">
        <v>362</v>
      </c>
      <c r="O37" s="3058" t="s">
        <v>349</v>
      </c>
      <c r="P37" s="3058"/>
      <c r="Q37" s="3061"/>
      <c r="R37" s="3061"/>
      <c r="S37" s="3061"/>
      <c r="T37" s="3061"/>
      <c r="U37" s="3062"/>
      <c r="V37" s="3058"/>
      <c r="W37" s="3058"/>
      <c r="X37" s="3056">
        <f>IF(A37="","",IF(LEN(SUBSTITUTE(SUBSTITUTE(SUBSTITUTE(SUBSTITUTE(D37,".",""),"/",""),"-","")," ",""))&lt;&gt;14,"CNPJ INVALIDO","OK"))</f>
      </c>
      <c r="Y37" s="3056">
        <f>IF(A37="","",IF(R37="","REST PENDENTE","REST OK"))</f>
      </c>
      <c r="Z37" s="3056">
        <f>IF(A37="","",IF(AND(R37&lt;&gt;"",COUNTIFS($D$3:$D$164,D37,$R$3:$R$164,"&lt;&gt;")&gt;1),"DUPLICADO","OK"))</f>
      </c>
      <c r="AA37" s="3056">
        <f>IF(A37="","",IF(OR(LEN(Q37)&gt;180,LEN(R37)&gt;180,LEN(S37)&gt;180,LEN(T37)&gt;180),"CAMINHO LONGO","OK"))</f>
      </c>
      <c r="AB37" s="3056">
        <f>IF(A37="","",IF(U37="","",IFERROR(INT(U37-TODAY()),"")))</f>
      </c>
      <c r="AC37" s="3056">
        <f>IF(A37="","",IF(AND(T37="",U37=""),"",IF(T37="","SEM CAMINHO",IF(U37="","SEM DATA",IFERROR(IF(AB37&lt;15,"VERMELHO",IF(AB37&lt;=30,"AMARELO","VERDE")),"DATA INVALIDA")))))</f>
      </c>
      <c r="AD37" s="3056">
        <f>IF(OR(A37="",U37="",NOT(ISNUMBER(AB37))),"",RANK(AB37,$AB$3:$AB$164,1)+COUNTIFS($AB$3:AB37,AB37)-1)</f>
      </c>
      <c r="AE37" s="1736"/>
    </row>
    <row r="38" spans="1:19" ht="22.0" hidden="false" customHeight="true" x14ac:dyDescent="0.25">
      <c r="A38" s="3064" t="s">
        <v>95</v>
      </c>
      <c r="B38" s="3063" t="s">
        <v>96</v>
      </c>
      <c r="C38" s="3063" t="s">
        <v>97</v>
      </c>
      <c r="D38" s="3063" t="s">
        <v>100</v>
      </c>
      <c r="E38" s="3063"/>
      <c r="F38" s="3063" t="s">
        <v>99</v>
      </c>
      <c r="G38" s="3063" t="s">
        <v>13</v>
      </c>
      <c r="H38" s="3063" t="s">
        <v>14</v>
      </c>
      <c r="I38" s="3063"/>
      <c r="J38" s="3063"/>
      <c r="K38" s="3063"/>
      <c r="L38" s="3063"/>
      <c r="M38" s="3063" t="s">
        <v>382</v>
      </c>
      <c r="N38" s="3063" t="s">
        <v>362</v>
      </c>
      <c r="O38" s="3063" t="s">
        <v>349</v>
      </c>
      <c r="P38" s="3063"/>
      <c r="Q38" s="3066"/>
      <c r="R38" s="3066"/>
      <c r="S38" s="3066"/>
      <c r="T38" s="3066"/>
      <c r="U38" s="3067"/>
      <c r="V38" s="3063"/>
      <c r="W38" s="3063"/>
      <c r="X38" s="3056">
        <f>IF(A38="","",IF(LEN(SUBSTITUTE(SUBSTITUTE(SUBSTITUTE(SUBSTITUTE(D38,".",""),"/",""),"-","")," ",""))&lt;&gt;14,"CNPJ INVALIDO","OK"))</f>
      </c>
      <c r="Y38" s="3056">
        <f>IF(A38="","",IF(R38="","REST PENDENTE","REST OK"))</f>
      </c>
      <c r="Z38" s="3056">
        <f>IF(A38="","",IF(AND(R38&lt;&gt;"",COUNTIFS($D$3:$D$164,D38,$R$3:$R$164,"&lt;&gt;")&gt;1),"DUPLICADO","OK"))</f>
      </c>
      <c r="AA38" s="3056">
        <f>IF(A38="","",IF(OR(LEN(Q38)&gt;180,LEN(R38)&gt;180,LEN(S38)&gt;180,LEN(T38)&gt;180),"CAMINHO LONGO","OK"))</f>
      </c>
      <c r="AB38" s="3056">
        <f>IF(A38="","",IF(U38="","",IFERROR(INT(U38-TODAY()),"")))</f>
      </c>
      <c r="AC38" s="3056">
        <f>IF(A38="","",IF(AND(T38="",U38=""),"",IF(T38="","SEM CAMINHO",IF(U38="","SEM DATA",IFERROR(IF(AB38&lt;15,"VERMELHO",IF(AB38&lt;=30,"AMARELO","VERDE")),"DATA INVALIDA")))))</f>
      </c>
      <c r="AD38" s="3056">
        <f>IF(OR(A38="",U38="",NOT(ISNUMBER(AB38))),"",RANK(AB38,$AB$3:$AB$164,1)+COUNTIFS($AB$3:AB38,AB38)-1)</f>
      </c>
      <c r="AE38" s="1736"/>
    </row>
    <row r="39" spans="1:19" ht="22.0" hidden="false" customHeight="true" x14ac:dyDescent="0.25">
      <c r="A39" s="3059" t="s">
        <v>95</v>
      </c>
      <c r="B39" s="3058" t="s">
        <v>96</v>
      </c>
      <c r="C39" s="3058" t="s">
        <v>97</v>
      </c>
      <c r="D39" s="3058" t="s">
        <v>101</v>
      </c>
      <c r="E39" s="3058"/>
      <c r="F39" s="3058" t="s">
        <v>99</v>
      </c>
      <c r="G39" s="3058" t="s">
        <v>13</v>
      </c>
      <c r="H39" s="3058" t="s">
        <v>14</v>
      </c>
      <c r="I39" s="3058"/>
      <c r="J39" s="3058"/>
      <c r="K39" s="3058"/>
      <c r="L39" s="3058"/>
      <c r="M39" s="3058" t="s">
        <v>382</v>
      </c>
      <c r="N39" s="3058" t="s">
        <v>362</v>
      </c>
      <c r="O39" s="3058" t="s">
        <v>349</v>
      </c>
      <c r="P39" s="3058"/>
      <c r="Q39" s="3061"/>
      <c r="R39" s="3061"/>
      <c r="S39" s="3061"/>
      <c r="T39" s="3061"/>
      <c r="U39" s="3062"/>
      <c r="V39" s="3058"/>
      <c r="W39" s="3058"/>
      <c r="X39" s="3056">
        <f>IF(A39="","",IF(LEN(SUBSTITUTE(SUBSTITUTE(SUBSTITUTE(SUBSTITUTE(D39,".",""),"/",""),"-","")," ",""))&lt;&gt;14,"CNPJ INVALIDO","OK"))</f>
      </c>
      <c r="Y39" s="3056">
        <f>IF(A39="","",IF(R39="","REST PENDENTE","REST OK"))</f>
      </c>
      <c r="Z39" s="3056">
        <f>IF(A39="","",IF(AND(R39&lt;&gt;"",COUNTIFS($D$3:$D$164,D39,$R$3:$R$164,"&lt;&gt;")&gt;1),"DUPLICADO","OK"))</f>
      </c>
      <c r="AA39" s="3056">
        <f>IF(A39="","",IF(OR(LEN(Q39)&gt;180,LEN(R39)&gt;180,LEN(S39)&gt;180,LEN(T39)&gt;180),"CAMINHO LONGO","OK"))</f>
      </c>
      <c r="AB39" s="3056">
        <f>IF(A39="","",IF(U39="","",IFERROR(INT(U39-TODAY()),"")))</f>
      </c>
      <c r="AC39" s="3056">
        <f>IF(A39="","",IF(AND(T39="",U39=""),"",IF(T39="","SEM CAMINHO",IF(U39="","SEM DATA",IFERROR(IF(AB39&lt;15,"VERMELHO",IF(AB39&lt;=30,"AMARELO","VERDE")),"DATA INVALIDA")))))</f>
      </c>
      <c r="AD39" s="3056">
        <f>IF(OR(A39="",U39="",NOT(ISNUMBER(AB39))),"",RANK(AB39,$AB$3:$AB$164,1)+COUNTIFS($AB$3:AB39,AB39)-1)</f>
      </c>
      <c r="AE39" s="1736"/>
    </row>
    <row r="40" spans="1:19" ht="22.0" hidden="false" customHeight="true" x14ac:dyDescent="0.25">
      <c r="A40" s="3064" t="s">
        <v>95</v>
      </c>
      <c r="B40" s="3063" t="s">
        <v>96</v>
      </c>
      <c r="C40" s="3063" t="s">
        <v>97</v>
      </c>
      <c r="D40" s="3063" t="s">
        <v>102</v>
      </c>
      <c r="E40" s="3063"/>
      <c r="F40" s="3063" t="s">
        <v>99</v>
      </c>
      <c r="G40" s="3063" t="s">
        <v>13</v>
      </c>
      <c r="H40" s="3063" t="s">
        <v>14</v>
      </c>
      <c r="I40" s="3063"/>
      <c r="J40" s="3063"/>
      <c r="K40" s="3063"/>
      <c r="L40" s="3063"/>
      <c r="M40" s="3063" t="s">
        <v>382</v>
      </c>
      <c r="N40" s="3063" t="s">
        <v>362</v>
      </c>
      <c r="O40" s="3063" t="s">
        <v>349</v>
      </c>
      <c r="P40" s="3063"/>
      <c r="Q40" s="3066"/>
      <c r="R40" s="3066"/>
      <c r="S40" s="3066"/>
      <c r="T40" s="3066"/>
      <c r="U40" s="3067"/>
      <c r="V40" s="3063"/>
      <c r="W40" s="3063"/>
      <c r="X40" s="3056">
        <f>IF(A40="","",IF(LEN(SUBSTITUTE(SUBSTITUTE(SUBSTITUTE(SUBSTITUTE(D40,".",""),"/",""),"-","")," ",""))&lt;&gt;14,"CNPJ INVALIDO","OK"))</f>
      </c>
      <c r="Y40" s="3056">
        <f>IF(A40="","",IF(R40="","REST PENDENTE","REST OK"))</f>
      </c>
      <c r="Z40" s="3056">
        <f>IF(A40="","",IF(AND(R40&lt;&gt;"",COUNTIFS($D$3:$D$164,D40,$R$3:$R$164,"&lt;&gt;")&gt;1),"DUPLICADO","OK"))</f>
      </c>
      <c r="AA40" s="3056">
        <f>IF(A40="","",IF(OR(LEN(Q40)&gt;180,LEN(R40)&gt;180,LEN(S40)&gt;180,LEN(T40)&gt;180),"CAMINHO LONGO","OK"))</f>
      </c>
      <c r="AB40" s="3056">
        <f>IF(A40="","",IF(U40="","",IFERROR(INT(U40-TODAY()),"")))</f>
      </c>
      <c r="AC40" s="3056">
        <f>IF(A40="","",IF(AND(T40="",U40=""),"",IF(T40="","SEM CAMINHO",IF(U40="","SEM DATA",IFERROR(IF(AB40&lt;15,"VERMELHO",IF(AB40&lt;=30,"AMARELO","VERDE")),"DATA INVALIDA")))))</f>
      </c>
      <c r="AD40" s="3056">
        <f>IF(OR(A40="",U40="",NOT(ISNUMBER(AB40))),"",RANK(AB40,$AB$3:$AB$164,1)+COUNTIFS($AB$3:AB40,AB40)-1)</f>
      </c>
      <c r="AE40" s="1736"/>
    </row>
    <row r="41" spans="1:19" ht="22.0" hidden="false" customHeight="true" x14ac:dyDescent="0.25">
      <c r="A41" s="3059" t="s">
        <v>95</v>
      </c>
      <c r="B41" s="3058" t="s">
        <v>96</v>
      </c>
      <c r="C41" s="3058" t="s">
        <v>97</v>
      </c>
      <c r="D41" s="3058" t="s">
        <v>103</v>
      </c>
      <c r="E41" s="3058"/>
      <c r="F41" s="3058" t="s">
        <v>99</v>
      </c>
      <c r="G41" s="3058" t="s">
        <v>13</v>
      </c>
      <c r="H41" s="3058" t="s">
        <v>14</v>
      </c>
      <c r="I41" s="3058"/>
      <c r="J41" s="3058"/>
      <c r="K41" s="3058"/>
      <c r="L41" s="3058"/>
      <c r="M41" s="3058" t="s">
        <v>382</v>
      </c>
      <c r="N41" s="3058" t="s">
        <v>362</v>
      </c>
      <c r="O41" s="3058" t="s">
        <v>349</v>
      </c>
      <c r="P41" s="3058"/>
      <c r="Q41" s="3061"/>
      <c r="R41" s="3061"/>
      <c r="S41" s="3061"/>
      <c r="T41" s="3061"/>
      <c r="U41" s="3062"/>
      <c r="V41" s="3058"/>
      <c r="W41" s="3058"/>
      <c r="X41" s="3056">
        <f>IF(A41="","",IF(LEN(SUBSTITUTE(SUBSTITUTE(SUBSTITUTE(SUBSTITUTE(D41,".",""),"/",""),"-","")," ",""))&lt;&gt;14,"CNPJ INVALIDO","OK"))</f>
      </c>
      <c r="Y41" s="3056">
        <f>IF(A41="","",IF(R41="","REST PENDENTE","REST OK"))</f>
      </c>
      <c r="Z41" s="3056">
        <f>IF(A41="","",IF(AND(R41&lt;&gt;"",COUNTIFS($D$3:$D$164,D41,$R$3:$R$164,"&lt;&gt;")&gt;1),"DUPLICADO","OK"))</f>
      </c>
      <c r="AA41" s="3056">
        <f>IF(A41="","",IF(OR(LEN(Q41)&gt;180,LEN(R41)&gt;180,LEN(S41)&gt;180,LEN(T41)&gt;180),"CAMINHO LONGO","OK"))</f>
      </c>
      <c r="AB41" s="3056">
        <f>IF(A41="","",IF(U41="","",IFERROR(INT(U41-TODAY()),"")))</f>
      </c>
      <c r="AC41" s="3056">
        <f>IF(A41="","",IF(AND(T41="",U41=""),"",IF(T41="","SEM CAMINHO",IF(U41="","SEM DATA",IFERROR(IF(AB41&lt;15,"VERMELHO",IF(AB41&lt;=30,"AMARELO","VERDE")),"DATA INVALIDA")))))</f>
      </c>
      <c r="AD41" s="3056">
        <f>IF(OR(A41="",U41="",NOT(ISNUMBER(AB41))),"",RANK(AB41,$AB$3:$AB$164,1)+COUNTIFS($AB$3:AB41,AB41)-1)</f>
      </c>
      <c r="AE41" s="1736"/>
    </row>
    <row r="42" spans="1:19" ht="22.0" hidden="false" customHeight="true" x14ac:dyDescent="0.25">
      <c r="A42" s="3064" t="s">
        <v>95</v>
      </c>
      <c r="B42" s="3063" t="s">
        <v>96</v>
      </c>
      <c r="C42" s="3063" t="s">
        <v>104</v>
      </c>
      <c r="D42" s="3063" t="s">
        <v>105</v>
      </c>
      <c r="E42" s="3063"/>
      <c r="F42" s="3063" t="s">
        <v>99</v>
      </c>
      <c r="G42" s="3063" t="s">
        <v>13</v>
      </c>
      <c r="H42" s="3063" t="s">
        <v>14</v>
      </c>
      <c r="I42" s="3063"/>
      <c r="J42" s="3063"/>
      <c r="K42" s="3063"/>
      <c r="L42" s="3063"/>
      <c r="M42" s="3063" t="s">
        <v>382</v>
      </c>
      <c r="N42" s="3063" t="s">
        <v>362</v>
      </c>
      <c r="O42" s="3063" t="s">
        <v>349</v>
      </c>
      <c r="P42" s="3063"/>
      <c r="Q42" s="3066"/>
      <c r="R42" s="3066"/>
      <c r="S42" s="3066"/>
      <c r="T42" s="3066"/>
      <c r="U42" s="3067"/>
      <c r="V42" s="3063"/>
      <c r="W42" s="3063"/>
      <c r="X42" s="3056">
        <f>IF(A42="","",IF(LEN(SUBSTITUTE(SUBSTITUTE(SUBSTITUTE(SUBSTITUTE(D42,".",""),"/",""),"-","")," ",""))&lt;&gt;14,"CNPJ INVALIDO","OK"))</f>
      </c>
      <c r="Y42" s="3056">
        <f>IF(A42="","",IF(R42="","REST PENDENTE","REST OK"))</f>
      </c>
      <c r="Z42" s="3056">
        <f>IF(A42="","",IF(AND(R42&lt;&gt;"",COUNTIFS($D$3:$D$164,D42,$R$3:$R$164,"&lt;&gt;")&gt;1),"DUPLICADO","OK"))</f>
      </c>
      <c r="AA42" s="3056">
        <f>IF(A42="","",IF(OR(LEN(Q42)&gt;180,LEN(R42)&gt;180,LEN(S42)&gt;180,LEN(T42)&gt;180),"CAMINHO LONGO","OK"))</f>
      </c>
      <c r="AB42" s="3056">
        <f>IF(A42="","",IF(U42="","",IFERROR(INT(U42-TODAY()),"")))</f>
      </c>
      <c r="AC42" s="3056">
        <f>IF(A42="","",IF(AND(T42="",U42=""),"",IF(T42="","SEM CAMINHO",IF(U42="","SEM DATA",IFERROR(IF(AB42&lt;15,"VERMELHO",IF(AB42&lt;=30,"AMARELO","VERDE")),"DATA INVALIDA")))))</f>
      </c>
      <c r="AD42" s="3056">
        <f>IF(OR(A42="",U42="",NOT(ISNUMBER(AB42))),"",RANK(AB42,$AB$3:$AB$164,1)+COUNTIFS($AB$3:AB42,AB42)-1)</f>
      </c>
      <c r="AE42" s="1736"/>
    </row>
    <row r="43" spans="1:19" ht="22.0" hidden="false" customHeight="true" x14ac:dyDescent="0.25">
      <c r="A43" s="3059" t="s">
        <v>95</v>
      </c>
      <c r="B43" s="3058" t="s">
        <v>96</v>
      </c>
      <c r="C43" s="3058" t="s">
        <v>104</v>
      </c>
      <c r="D43" s="3058" t="s">
        <v>106</v>
      </c>
      <c r="E43" s="3058"/>
      <c r="F43" s="3058" t="s">
        <v>99</v>
      </c>
      <c r="G43" s="3058" t="s">
        <v>13</v>
      </c>
      <c r="H43" s="3058" t="s">
        <v>14</v>
      </c>
      <c r="I43" s="3058"/>
      <c r="J43" s="3058"/>
      <c r="K43" s="3058"/>
      <c r="L43" s="3058"/>
      <c r="M43" s="3058" t="s">
        <v>382</v>
      </c>
      <c r="N43" s="3058" t="s">
        <v>362</v>
      </c>
      <c r="O43" s="3058" t="s">
        <v>349</v>
      </c>
      <c r="P43" s="3058"/>
      <c r="Q43" s="3061"/>
      <c r="R43" s="3061"/>
      <c r="S43" s="3061"/>
      <c r="T43" s="3061"/>
      <c r="U43" s="3062"/>
      <c r="V43" s="3058"/>
      <c r="W43" s="3058"/>
      <c r="X43" s="3056">
        <f>IF(A43="","",IF(LEN(SUBSTITUTE(SUBSTITUTE(SUBSTITUTE(SUBSTITUTE(D43,".",""),"/",""),"-","")," ",""))&lt;&gt;14,"CNPJ INVALIDO","OK"))</f>
      </c>
      <c r="Y43" s="3056">
        <f>IF(A43="","",IF(R43="","REST PENDENTE","REST OK"))</f>
      </c>
      <c r="Z43" s="3056">
        <f>IF(A43="","",IF(AND(R43&lt;&gt;"",COUNTIFS($D$3:$D$164,D43,$R$3:$R$164,"&lt;&gt;")&gt;1),"DUPLICADO","OK"))</f>
      </c>
      <c r="AA43" s="3056">
        <f>IF(A43="","",IF(OR(LEN(Q43)&gt;180,LEN(R43)&gt;180,LEN(S43)&gt;180,LEN(T43)&gt;180),"CAMINHO LONGO","OK"))</f>
      </c>
      <c r="AB43" s="3056">
        <f>IF(A43="","",IF(U43="","",IFERROR(INT(U43-TODAY()),"")))</f>
      </c>
      <c r="AC43" s="3056">
        <f>IF(A43="","",IF(AND(T43="",U43=""),"",IF(T43="","SEM CAMINHO",IF(U43="","SEM DATA",IFERROR(IF(AB43&lt;15,"VERMELHO",IF(AB43&lt;=30,"AMARELO","VERDE")),"DATA INVALIDA")))))</f>
      </c>
      <c r="AD43" s="3056">
        <f>IF(OR(A43="",U43="",NOT(ISNUMBER(AB43))),"",RANK(AB43,$AB$3:$AB$164,1)+COUNTIFS($AB$3:AB43,AB43)-1)</f>
      </c>
      <c r="AE43" s="1736"/>
    </row>
    <row r="44" spans="1:19" ht="22.0" hidden="false" customHeight="true" x14ac:dyDescent="0.25">
      <c r="A44" s="3064" t="s">
        <v>107</v>
      </c>
      <c r="B44" s="3063" t="s">
        <v>108</v>
      </c>
      <c r="C44" s="3063" t="s">
        <v>62</v>
      </c>
      <c r="D44" s="3063">
        <v>50056304000149</v>
      </c>
      <c r="E44" s="3063"/>
      <c r="F44" s="3063" t="s">
        <v>109</v>
      </c>
      <c r="G44" s="3063" t="s">
        <v>4</v>
      </c>
      <c r="H44" s="3063" t="s">
        <v>49</v>
      </c>
      <c r="I44" s="3063"/>
      <c r="J44" s="3063"/>
      <c r="K44" s="3063"/>
      <c r="L44" s="3063"/>
      <c r="M44" s="3063" t="s">
        <v>379</v>
      </c>
      <c r="N44" s="3063"/>
      <c r="O44" s="3063" t="s">
        <v>349</v>
      </c>
      <c r="P44" s="3063"/>
      <c r="Q44" s="3066"/>
      <c r="R44" s="3066"/>
      <c r="S44" s="3066"/>
      <c r="T44" s="3066"/>
      <c r="U44" s="3067"/>
      <c r="V44" s="3063"/>
      <c r="W44" s="3063"/>
      <c r="X44" s="3056">
        <f>IF(A44="","",IF(LEN(SUBSTITUTE(SUBSTITUTE(SUBSTITUTE(SUBSTITUTE(D44,".",""),"/",""),"-","")," ",""))&lt;&gt;14,"CNPJ INVALIDO","OK"))</f>
      </c>
      <c r="Y44" s="3056">
        <f>IF(A44="","",IF(R44="","REST PENDENTE","REST OK"))</f>
      </c>
      <c r="Z44" s="3056">
        <f>IF(A44="","",IF(AND(R44&lt;&gt;"",COUNTIFS($D$3:$D$164,D44,$R$3:$R$164,"&lt;&gt;")&gt;1),"DUPLICADO","OK"))</f>
      </c>
      <c r="AA44" s="3056">
        <f>IF(A44="","",IF(OR(LEN(Q44)&gt;180,LEN(R44)&gt;180,LEN(S44)&gt;180,LEN(T44)&gt;180),"CAMINHO LONGO","OK"))</f>
      </c>
      <c r="AB44" s="3056">
        <f>IF(A44="","",IF(U44="","",IFERROR(INT(U44-TODAY()),"")))</f>
      </c>
      <c r="AC44" s="3056">
        <f>IF(A44="","",IF(AND(T44="",U44=""),"",IF(T44="","SEM CAMINHO",IF(U44="","SEM DATA",IFERROR(IF(AB44&lt;15,"VERMELHO",IF(AB44&lt;=30,"AMARELO","VERDE")),"DATA INVALIDA")))))</f>
      </c>
      <c r="AD44" s="3056">
        <f>IF(OR(A44="",U44="",NOT(ISNUMBER(AB44))),"",RANK(AB44,$AB$3:$AB$164,1)+COUNTIFS($AB$3:AB44,AB44)-1)</f>
      </c>
      <c r="AE44" s="1736"/>
    </row>
    <row r="45" spans="1:19" ht="22.0" hidden="false" customHeight="true" x14ac:dyDescent="0.25">
      <c r="A45" s="3059" t="s">
        <v>110</v>
      </c>
      <c r="B45" s="3058" t="s">
        <v>108</v>
      </c>
      <c r="C45" s="3058" t="s">
        <v>62</v>
      </c>
      <c r="D45" s="3058">
        <v>59971731000127</v>
      </c>
      <c r="E45" s="3058"/>
      <c r="F45" s="3058" t="s">
        <v>109</v>
      </c>
      <c r="G45" s="3058" t="s">
        <v>4</v>
      </c>
      <c r="H45" s="3058" t="s">
        <v>49</v>
      </c>
      <c r="I45" s="3058"/>
      <c r="J45" s="3058"/>
      <c r="K45" s="3058"/>
      <c r="L45" s="3058"/>
      <c r="M45" s="3058" t="s">
        <v>379</v>
      </c>
      <c r="N45" s="3058"/>
      <c r="O45" s="3058" t="s">
        <v>349</v>
      </c>
      <c r="P45" s="3058"/>
      <c r="Q45" s="3061"/>
      <c r="R45" s="3061"/>
      <c r="S45" s="3061"/>
      <c r="T45" s="3061"/>
      <c r="U45" s="3062"/>
      <c r="V45" s="3058"/>
      <c r="W45" s="3058"/>
      <c r="X45" s="3056">
        <f>IF(A45="","",IF(LEN(SUBSTITUTE(SUBSTITUTE(SUBSTITUTE(SUBSTITUTE(D45,".",""),"/",""),"-","")," ",""))&lt;&gt;14,"CNPJ INVALIDO","OK"))</f>
      </c>
      <c r="Y45" s="3056">
        <f>IF(A45="","",IF(R45="","REST PENDENTE","REST OK"))</f>
      </c>
      <c r="Z45" s="3056">
        <f>IF(A45="","",IF(AND(R45&lt;&gt;"",COUNTIFS($D$3:$D$164,D45,$R$3:$R$164,"&lt;&gt;")&gt;1),"DUPLICADO","OK"))</f>
      </c>
      <c r="AA45" s="3056">
        <f>IF(A45="","",IF(OR(LEN(Q45)&gt;180,LEN(R45)&gt;180,LEN(S45)&gt;180,LEN(T45)&gt;180),"CAMINHO LONGO","OK"))</f>
      </c>
      <c r="AB45" s="3056">
        <f>IF(A45="","",IF(U45="","",IFERROR(INT(U45-TODAY()),"")))</f>
      </c>
      <c r="AC45" s="3056">
        <f>IF(A45="","",IF(AND(T45="",U45=""),"",IF(T45="","SEM CAMINHO",IF(U45="","SEM DATA",IFERROR(IF(AB45&lt;15,"VERMELHO",IF(AB45&lt;=30,"AMARELO","VERDE")),"DATA INVALIDA")))))</f>
      </c>
      <c r="AD45" s="3056">
        <f>IF(OR(A45="",U45="",NOT(ISNUMBER(AB45))),"",RANK(AB45,$AB$3:$AB$164,1)+COUNTIFS($AB$3:AB45,AB45)-1)</f>
      </c>
      <c r="AE45" s="1736"/>
    </row>
    <row r="46" spans="1:19" ht="22.0" hidden="false" customHeight="true" x14ac:dyDescent="0.25">
      <c r="A46" s="3064" t="s">
        <v>111</v>
      </c>
      <c r="B46" s="3063" t="s">
        <v>108</v>
      </c>
      <c r="C46" s="3063" t="s">
        <v>69</v>
      </c>
      <c r="D46" s="3063" t="s">
        <v>112</v>
      </c>
      <c r="E46" s="3063"/>
      <c r="F46" s="3063" t="s">
        <v>113</v>
      </c>
      <c r="G46" s="3063" t="s">
        <v>13</v>
      </c>
      <c r="H46" s="3063" t="s">
        <v>49</v>
      </c>
      <c r="I46" s="3063"/>
      <c r="J46" s="3063"/>
      <c r="K46" s="3063"/>
      <c r="L46" s="3063"/>
      <c r="M46" s="3063" t="s">
        <v>377</v>
      </c>
      <c r="N46" s="3063"/>
      <c r="O46" s="3063" t="s">
        <v>347</v>
      </c>
      <c r="P46" s="3063"/>
      <c r="Q46" s="3066"/>
      <c r="R46" s="3066"/>
      <c r="S46" s="3066"/>
      <c r="T46" s="3066"/>
      <c r="U46" s="3067"/>
      <c r="V46" s="3063"/>
      <c r="W46" s="3063"/>
      <c r="X46" s="3056">
        <f>IF(A46="","",IF(LEN(SUBSTITUTE(SUBSTITUTE(SUBSTITUTE(SUBSTITUTE(D46,".",""),"/",""),"-","")," ",""))&lt;&gt;14,"CNPJ INVALIDO","OK"))</f>
      </c>
      <c r="Y46" s="3056">
        <f>IF(A46="","",IF(R46="","REST PENDENTE","REST OK"))</f>
      </c>
      <c r="Z46" s="3056">
        <f>IF(A46="","",IF(AND(R46&lt;&gt;"",COUNTIFS($D$3:$D$164,D46,$R$3:$R$164,"&lt;&gt;")&gt;1),"DUPLICADO","OK"))</f>
      </c>
      <c r="AA46" s="3056">
        <f>IF(A46="","",IF(OR(LEN(Q46)&gt;180,LEN(R46)&gt;180,LEN(S46)&gt;180,LEN(T46)&gt;180),"CAMINHO LONGO","OK"))</f>
      </c>
      <c r="AB46" s="3056">
        <f>IF(A46="","",IF(U46="","",IFERROR(INT(U46-TODAY()),"")))</f>
      </c>
      <c r="AC46" s="3056">
        <f>IF(A46="","",IF(AND(T46="",U46=""),"",IF(T46="","SEM CAMINHO",IF(U46="","SEM DATA",IFERROR(IF(AB46&lt;15,"VERMELHO",IF(AB46&lt;=30,"AMARELO","VERDE")),"DATA INVALIDA")))))</f>
      </c>
      <c r="AD46" s="3056">
        <f>IF(OR(A46="",U46="",NOT(ISNUMBER(AB46))),"",RANK(AB46,$AB$3:$AB$164,1)+COUNTIFS($AB$3:AB46,AB46)-1)</f>
      </c>
      <c r="AE46" s="1736"/>
    </row>
    <row r="47" spans="1:19" ht="22.0" hidden="false" customHeight="true" x14ac:dyDescent="0.25">
      <c r="A47" s="3059" t="s">
        <v>114</v>
      </c>
      <c r="B47" s="3058" t="s">
        <v>115</v>
      </c>
      <c r="C47" s="3058" t="s">
        <v>116</v>
      </c>
      <c r="D47" s="3058" t="s">
        <v>117</v>
      </c>
      <c r="E47" s="3058"/>
      <c r="F47" s="3058" t="s">
        <v>118</v>
      </c>
      <c r="G47" s="3058" t="s">
        <v>13</v>
      </c>
      <c r="H47" s="3058" t="s">
        <v>14</v>
      </c>
      <c r="I47" s="3058"/>
      <c r="J47" s="3058"/>
      <c r="K47" s="3058"/>
      <c r="L47" s="3058"/>
      <c r="M47" s="3058" t="s">
        <v>377</v>
      </c>
      <c r="N47" s="3058"/>
      <c r="O47" s="3058" t="s">
        <v>350</v>
      </c>
      <c r="P47" s="3058"/>
      <c r="Q47" s="3061"/>
      <c r="R47" s="3061"/>
      <c r="S47" s="3061"/>
      <c r="T47" s="3061"/>
      <c r="U47" s="3062"/>
      <c r="V47" s="3058"/>
      <c r="W47" s="3058"/>
      <c r="X47" s="3056">
        <f>IF(A47="","",IF(LEN(SUBSTITUTE(SUBSTITUTE(SUBSTITUTE(SUBSTITUTE(D47,".",""),"/",""),"-","")," ",""))&lt;&gt;14,"CNPJ INVALIDO","OK"))</f>
      </c>
      <c r="Y47" s="3056">
        <f>IF(A47="","",IF(R47="","REST PENDENTE","REST OK"))</f>
      </c>
      <c r="Z47" s="3056">
        <f>IF(A47="","",IF(AND(R47&lt;&gt;"",COUNTIFS($D$3:$D$164,D47,$R$3:$R$164,"&lt;&gt;")&gt;1),"DUPLICADO","OK"))</f>
      </c>
      <c r="AA47" s="3056">
        <f>IF(A47="","",IF(OR(LEN(Q47)&gt;180,LEN(R47)&gt;180,LEN(S47)&gt;180,LEN(T47)&gt;180),"CAMINHO LONGO","OK"))</f>
      </c>
      <c r="AB47" s="3056">
        <f>IF(A47="","",IF(U47="","",IFERROR(INT(U47-TODAY()),"")))</f>
      </c>
      <c r="AC47" s="3056">
        <f>IF(A47="","",IF(AND(T47="",U47=""),"",IF(T47="","SEM CAMINHO",IF(U47="","SEM DATA",IFERROR(IF(AB47&lt;15,"VERMELHO",IF(AB47&lt;=30,"AMARELO","VERDE")),"DATA INVALIDA")))))</f>
      </c>
      <c r="AD47" s="3056">
        <f>IF(OR(A47="",U47="",NOT(ISNUMBER(AB47))),"",RANK(AB47,$AB$3:$AB$164,1)+COUNTIFS($AB$3:AB47,AB47)-1)</f>
      </c>
      <c r="AE47" s="1736"/>
    </row>
    <row r="48" spans="1:19" ht="22.0" hidden="false" customHeight="true" x14ac:dyDescent="0.25">
      <c r="A48" s="3064" t="s">
        <v>119</v>
      </c>
      <c r="B48" s="3063" t="s">
        <v>115</v>
      </c>
      <c r="C48" s="3063" t="s">
        <v>116</v>
      </c>
      <c r="D48" s="3063" t="s">
        <v>120</v>
      </c>
      <c r="E48" s="3063"/>
      <c r="F48" s="3063" t="s">
        <v>118</v>
      </c>
      <c r="G48" s="3063" t="s">
        <v>13</v>
      </c>
      <c r="H48" s="3063" t="s">
        <v>14</v>
      </c>
      <c r="I48" s="3063"/>
      <c r="J48" s="3063"/>
      <c r="K48" s="3063"/>
      <c r="L48" s="3063"/>
      <c r="M48" s="3063" t="s">
        <v>376</v>
      </c>
      <c r="N48" s="3063"/>
      <c r="O48" s="3063" t="s">
        <v>347</v>
      </c>
      <c r="P48" s="3063"/>
      <c r="Q48" s="3066"/>
      <c r="R48" s="3066"/>
      <c r="S48" s="3066"/>
      <c r="T48" s="3066"/>
      <c r="U48" s="3067"/>
      <c r="V48" s="3063"/>
      <c r="W48" s="3063"/>
      <c r="X48" s="3056">
        <f>IF(A48="","",IF(LEN(SUBSTITUTE(SUBSTITUTE(SUBSTITUTE(SUBSTITUTE(D48,".",""),"/",""),"-","")," ",""))&lt;&gt;14,"CNPJ INVALIDO","OK"))</f>
      </c>
      <c r="Y48" s="3056">
        <f>IF(A48="","",IF(R48="","REST PENDENTE","REST OK"))</f>
      </c>
      <c r="Z48" s="3056">
        <f>IF(A48="","",IF(AND(R48&lt;&gt;"",COUNTIFS($D$3:$D$164,D48,$R$3:$R$164,"&lt;&gt;")&gt;1),"DUPLICADO","OK"))</f>
      </c>
      <c r="AA48" s="3056">
        <f>IF(A48="","",IF(OR(LEN(Q48)&gt;180,LEN(R48)&gt;180,LEN(S48)&gt;180,LEN(T48)&gt;180),"CAMINHO LONGO","OK"))</f>
      </c>
      <c r="AB48" s="3056">
        <f>IF(A48="","",IF(U48="","",IFERROR(INT(U48-TODAY()),"")))</f>
      </c>
      <c r="AC48" s="3056">
        <f>IF(A48="","",IF(AND(T48="",U48=""),"",IF(T48="","SEM CAMINHO",IF(U48="","SEM DATA",IFERROR(IF(AB48&lt;15,"VERMELHO",IF(AB48&lt;=30,"AMARELO","VERDE")),"DATA INVALIDA")))))</f>
      </c>
      <c r="AD48" s="3056">
        <f>IF(OR(A48="",U48="",NOT(ISNUMBER(AB48))),"",RANK(AB48,$AB$3:$AB$164,1)+COUNTIFS($AB$3:AB48,AB48)-1)</f>
      </c>
      <c r="AE48" s="1736"/>
    </row>
    <row r="49" spans="1:19" ht="22.0" hidden="false" customHeight="true" x14ac:dyDescent="0.25">
      <c r="A49" s="3059" t="s">
        <v>121</v>
      </c>
      <c r="B49" s="3058" t="s">
        <v>115</v>
      </c>
      <c r="C49" s="3058" t="s">
        <v>122</v>
      </c>
      <c r="D49" s="3058">
        <v>44742752000101</v>
      </c>
      <c r="E49" s="3058"/>
      <c r="F49" s="3058" t="s">
        <v>118</v>
      </c>
      <c r="G49" s="3058" t="s">
        <v>4</v>
      </c>
      <c r="H49" s="3058" t="s">
        <v>5</v>
      </c>
      <c r="I49" s="3058"/>
      <c r="J49" s="3058"/>
      <c r="K49" s="3058"/>
      <c r="L49" s="3058"/>
      <c r="M49" s="3058" t="s">
        <v>376</v>
      </c>
      <c r="N49" s="3058"/>
      <c r="O49" s="3058" t="s">
        <v>349</v>
      </c>
      <c r="P49" s="3058"/>
      <c r="Q49" s="3061"/>
      <c r="R49" s="3061"/>
      <c r="S49" s="3061"/>
      <c r="T49" s="3061"/>
      <c r="U49" s="3062"/>
      <c r="V49" s="3058"/>
      <c r="W49" s="3058"/>
      <c r="X49" s="3056">
        <f>IF(A49="","",IF(LEN(SUBSTITUTE(SUBSTITUTE(SUBSTITUTE(SUBSTITUTE(D49,".",""),"/",""),"-","")," ",""))&lt;&gt;14,"CNPJ INVALIDO","OK"))</f>
      </c>
      <c r="Y49" s="3056">
        <f>IF(A49="","",IF(R49="","REST PENDENTE","REST OK"))</f>
      </c>
      <c r="Z49" s="3056">
        <f>IF(A49="","",IF(AND(R49&lt;&gt;"",COUNTIFS($D$3:$D$164,D49,$R$3:$R$164,"&lt;&gt;")&gt;1),"DUPLICADO","OK"))</f>
      </c>
      <c r="AA49" s="3056">
        <f>IF(A49="","",IF(OR(LEN(Q49)&gt;180,LEN(R49)&gt;180,LEN(S49)&gt;180,LEN(T49)&gt;180),"CAMINHO LONGO","OK"))</f>
      </c>
      <c r="AB49" s="3056">
        <f>IF(A49="","",IF(U49="","",IFERROR(INT(U49-TODAY()),"")))</f>
      </c>
      <c r="AC49" s="3056">
        <f>IF(A49="","",IF(AND(T49="",U49=""),"",IF(T49="","SEM CAMINHO",IF(U49="","SEM DATA",IFERROR(IF(AB49&lt;15,"VERMELHO",IF(AB49&lt;=30,"AMARELO","VERDE")),"DATA INVALIDA")))))</f>
      </c>
      <c r="AD49" s="3056">
        <f>IF(OR(A49="",U49="",NOT(ISNUMBER(AB49))),"",RANK(AB49,$AB$3:$AB$164,1)+COUNTIFS($AB$3:AB49,AB49)-1)</f>
      </c>
      <c r="AE49" s="1736"/>
    </row>
    <row r="50" spans="1:19" ht="22.0" hidden="false" customHeight="true" x14ac:dyDescent="0.25">
      <c r="A50" s="3064" t="s">
        <v>123</v>
      </c>
      <c r="B50" s="3063" t="s">
        <v>115</v>
      </c>
      <c r="C50" s="3063" t="s">
        <v>116</v>
      </c>
      <c r="D50" s="3063" t="s">
        <v>124</v>
      </c>
      <c r="E50" s="3063"/>
      <c r="F50" s="3063" t="s">
        <v>125</v>
      </c>
      <c r="G50" s="3063" t="s">
        <v>13</v>
      </c>
      <c r="H50" s="3063" t="s">
        <v>14</v>
      </c>
      <c r="I50" s="3063"/>
      <c r="J50" s="3063"/>
      <c r="K50" s="3063"/>
      <c r="L50" s="3063"/>
      <c r="M50" s="3063" t="s">
        <v>379</v>
      </c>
      <c r="N50" s="3063"/>
      <c r="O50" s="3063" t="s">
        <v>349</v>
      </c>
      <c r="P50" s="3063"/>
      <c r="Q50" s="3066"/>
      <c r="R50" s="3066"/>
      <c r="S50" s="3066"/>
      <c r="T50" s="3066"/>
      <c r="U50" s="3067"/>
      <c r="V50" s="3063"/>
      <c r="W50" s="3063"/>
      <c r="X50" s="3056">
        <f>IF(A50="","",IF(LEN(SUBSTITUTE(SUBSTITUTE(SUBSTITUTE(SUBSTITUTE(D50,".",""),"/",""),"-","")," ",""))&lt;&gt;14,"CNPJ INVALIDO","OK"))</f>
      </c>
      <c r="Y50" s="3056">
        <f>IF(A50="","",IF(R50="","REST PENDENTE","REST OK"))</f>
      </c>
      <c r="Z50" s="3056">
        <f>IF(A50="","",IF(AND(R50&lt;&gt;"",COUNTIFS($D$3:$D$164,D50,$R$3:$R$164,"&lt;&gt;")&gt;1),"DUPLICADO","OK"))</f>
      </c>
      <c r="AA50" s="3056">
        <f>IF(A50="","",IF(OR(LEN(Q50)&gt;180,LEN(R50)&gt;180,LEN(S50)&gt;180,LEN(T50)&gt;180),"CAMINHO LONGO","OK"))</f>
      </c>
      <c r="AB50" s="3056">
        <f>IF(A50="","",IF(U50="","",IFERROR(INT(U50-TODAY()),"")))</f>
      </c>
      <c r="AC50" s="3056">
        <f>IF(A50="","",IF(AND(T50="",U50=""),"",IF(T50="","SEM CAMINHO",IF(U50="","SEM DATA",IFERROR(IF(AB50&lt;15,"VERMELHO",IF(AB50&lt;=30,"AMARELO","VERDE")),"DATA INVALIDA")))))</f>
      </c>
      <c r="AD50" s="3056">
        <f>IF(OR(A50="",U50="",NOT(ISNUMBER(AB50))),"",RANK(AB50,$AB$3:$AB$164,1)+COUNTIFS($AB$3:AB50,AB50)-1)</f>
      </c>
      <c r="AE50" s="1736"/>
    </row>
    <row r="51" spans="1:19" ht="22.0" hidden="false" customHeight="true" x14ac:dyDescent="0.25">
      <c r="A51" s="3059" t="s">
        <v>126</v>
      </c>
      <c r="B51" s="3058" t="s">
        <v>115</v>
      </c>
      <c r="C51" s="3058" t="s">
        <v>122</v>
      </c>
      <c r="D51" s="3058">
        <v>44777527000100</v>
      </c>
      <c r="E51" s="3058"/>
      <c r="F51" s="3058" t="s">
        <v>125</v>
      </c>
      <c r="G51" s="3058" t="s">
        <v>4</v>
      </c>
      <c r="H51" s="3058" t="s">
        <v>5</v>
      </c>
      <c r="I51" s="3058"/>
      <c r="J51" s="3058"/>
      <c r="K51" s="3058"/>
      <c r="L51" s="3058"/>
      <c r="M51" s="3058" t="s">
        <v>379</v>
      </c>
      <c r="N51" s="3058"/>
      <c r="O51" s="3058" t="s">
        <v>349</v>
      </c>
      <c r="P51" s="3058"/>
      <c r="Q51" s="3061"/>
      <c r="R51" s="3061"/>
      <c r="S51" s="3061"/>
      <c r="T51" s="3061"/>
      <c r="U51" s="3062"/>
      <c r="V51" s="3058"/>
      <c r="W51" s="3058"/>
      <c r="X51" s="3056">
        <f>IF(A51="","",IF(LEN(SUBSTITUTE(SUBSTITUTE(SUBSTITUTE(SUBSTITUTE(D51,".",""),"/",""),"-","")," ",""))&lt;&gt;14,"CNPJ INVALIDO","OK"))</f>
      </c>
      <c r="Y51" s="3056">
        <f>IF(A51="","",IF(R51="","REST PENDENTE","REST OK"))</f>
      </c>
      <c r="Z51" s="3056">
        <f>IF(A51="","",IF(AND(R51&lt;&gt;"",COUNTIFS($D$3:$D$164,D51,$R$3:$R$164,"&lt;&gt;")&gt;1),"DUPLICADO","OK"))</f>
      </c>
      <c r="AA51" s="3056">
        <f>IF(A51="","",IF(OR(LEN(Q51)&gt;180,LEN(R51)&gt;180,LEN(S51)&gt;180,LEN(T51)&gt;180),"CAMINHO LONGO","OK"))</f>
      </c>
      <c r="AB51" s="3056">
        <f>IF(A51="","",IF(U51="","",IFERROR(INT(U51-TODAY()),"")))</f>
      </c>
      <c r="AC51" s="3056">
        <f>IF(A51="","",IF(AND(T51="",U51=""),"",IF(T51="","SEM CAMINHO",IF(U51="","SEM DATA",IFERROR(IF(AB51&lt;15,"VERMELHO",IF(AB51&lt;=30,"AMARELO","VERDE")),"DATA INVALIDA")))))</f>
      </c>
      <c r="AD51" s="3056">
        <f>IF(OR(A51="",U51="",NOT(ISNUMBER(AB51))),"",RANK(AB51,$AB$3:$AB$164,1)+COUNTIFS($AB$3:AB51,AB51)-1)</f>
      </c>
      <c r="AE51" s="1736"/>
    </row>
    <row r="52" spans="1:19" ht="22.0" hidden="false" customHeight="true" x14ac:dyDescent="0.25">
      <c r="A52" s="3064" t="s">
        <v>127</v>
      </c>
      <c r="B52" s="3063" t="s">
        <v>115</v>
      </c>
      <c r="C52" s="3063" t="s">
        <v>122</v>
      </c>
      <c r="D52" s="3063">
        <v>44796284000140</v>
      </c>
      <c r="E52" s="3063"/>
      <c r="F52" s="3063" t="s">
        <v>125</v>
      </c>
      <c r="G52" s="3063" t="s">
        <v>4</v>
      </c>
      <c r="H52" s="3063" t="s">
        <v>5</v>
      </c>
      <c r="I52" s="3063"/>
      <c r="J52" s="3063"/>
      <c r="K52" s="3063"/>
      <c r="L52" s="3063"/>
      <c r="M52" s="3063" t="s">
        <v>379</v>
      </c>
      <c r="N52" s="3063"/>
      <c r="O52" s="3063" t="s">
        <v>349</v>
      </c>
      <c r="P52" s="3063"/>
      <c r="Q52" s="3066"/>
      <c r="R52" s="3066"/>
      <c r="S52" s="3066"/>
      <c r="T52" s="3066"/>
      <c r="U52" s="3067"/>
      <c r="V52" s="3063"/>
      <c r="W52" s="3063"/>
      <c r="X52" s="3056">
        <f>IF(A52="","",IF(LEN(SUBSTITUTE(SUBSTITUTE(SUBSTITUTE(SUBSTITUTE(D52,".",""),"/",""),"-","")," ",""))&lt;&gt;14,"CNPJ INVALIDO","OK"))</f>
      </c>
      <c r="Y52" s="3056">
        <f>IF(A52="","",IF(R52="","REST PENDENTE","REST OK"))</f>
      </c>
      <c r="Z52" s="3056">
        <f>IF(A52="","",IF(AND(R52&lt;&gt;"",COUNTIFS($D$3:$D$164,D52,$R$3:$R$164,"&lt;&gt;")&gt;1),"DUPLICADO","OK"))</f>
      </c>
      <c r="AA52" s="3056">
        <f>IF(A52="","",IF(OR(LEN(Q52)&gt;180,LEN(R52)&gt;180,LEN(S52)&gt;180,LEN(T52)&gt;180),"CAMINHO LONGO","OK"))</f>
      </c>
      <c r="AB52" s="3056">
        <f>IF(A52="","",IF(U52="","",IFERROR(INT(U52-TODAY()),"")))</f>
      </c>
      <c r="AC52" s="3056">
        <f>IF(A52="","",IF(AND(T52="",U52=""),"",IF(T52="","SEM CAMINHO",IF(U52="","SEM DATA",IFERROR(IF(AB52&lt;15,"VERMELHO",IF(AB52&lt;=30,"AMARELO","VERDE")),"DATA INVALIDA")))))</f>
      </c>
      <c r="AD52" s="3056">
        <f>IF(OR(A52="",U52="",NOT(ISNUMBER(AB52))),"",RANK(AB52,$AB$3:$AB$164,1)+COUNTIFS($AB$3:AB52,AB52)-1)</f>
      </c>
      <c r="AE52" s="1736"/>
    </row>
    <row r="53" spans="1:19" ht="22.0" customHeight="true" thickTop="1" x14ac:dyDescent="0.25" hidden="false">
      <c r="A53" s="3059" t="s">
        <v>128</v>
      </c>
      <c r="B53" s="3058" t="s">
        <v>129</v>
      </c>
      <c r="C53" s="3058" t="s">
        <v>16</v>
      </c>
      <c r="D53" s="3058" t="s">
        <v>130</v>
      </c>
      <c r="E53" s="3058"/>
      <c r="F53" s="3058" t="s">
        <v>109</v>
      </c>
      <c r="G53" s="3058" t="s">
        <v>13</v>
      </c>
      <c r="H53" s="3058" t="s">
        <v>14</v>
      </c>
      <c r="I53" s="3058"/>
      <c r="J53" s="3058"/>
      <c r="K53" s="3058"/>
      <c r="L53" s="3058"/>
      <c r="M53" s="3058" t="s">
        <v>384</v>
      </c>
      <c r="N53" s="3058"/>
      <c r="O53" s="3058"/>
      <c r="P53" s="3058"/>
      <c r="Q53" s="3061"/>
      <c r="R53" s="3061"/>
      <c r="S53" s="3061"/>
      <c r="T53" s="3061"/>
      <c r="U53" s="3062"/>
      <c r="V53" s="3058"/>
      <c r="W53" s="3058"/>
      <c r="X53" s="3056">
        <f>IF(A53="","",IF(LEN(SUBSTITUTE(SUBSTITUTE(SUBSTITUTE(SUBSTITUTE(D53,".",""),"/",""),"-","")," ",""))&lt;&gt;14,"CNPJ INVALIDO","OK"))</f>
      </c>
      <c r="Y53" s="3056">
        <f>IF(A53="","",IF(R53="","REST PENDENTE","REST OK"))</f>
      </c>
      <c r="Z53" s="3056">
        <f>IF(A53="","",IF(AND(R53&lt;&gt;"",COUNTIFS($D$3:$D$164,D53,$R$3:$R$164,"&lt;&gt;")&gt;1),"DUPLICADO","OK"))</f>
      </c>
      <c r="AA53" s="3056">
        <f>IF(A53="","",IF(OR(LEN(Q53)&gt;180,LEN(R53)&gt;180,LEN(S53)&gt;180,LEN(T53)&gt;180),"CAMINHO LONGO","OK"))</f>
      </c>
      <c r="AB53" s="3056">
        <f>IF(A53="","",IF(U53="","",IFERROR(INT(U53-TODAY()),"")))</f>
      </c>
      <c r="AC53" s="3056">
        <f>IF(A53="","",IF(AND(T53="",U53=""),"",IF(T53="","SEM CAMINHO",IF(U53="","SEM DATA",IFERROR(IF(AB53&lt;15,"VERMELHO",IF(AB53&lt;=30,"AMARELO","VERDE")),"DATA INVALIDA")))))</f>
      </c>
      <c r="AD53" s="3056">
        <f>IF(OR(A53="",U53="",NOT(ISNUMBER(AB53))),"",RANK(AB53,$AB$3:$AB$164,1)+COUNTIFS($AB$3:AB53,AB53)-1)</f>
      </c>
      <c r="AE53" s="1736"/>
    </row>
    <row r="54" spans="1:19" ht="22.0" hidden="false" customHeight="true" x14ac:dyDescent="0.25">
      <c r="A54" s="3064" t="s">
        <v>131</v>
      </c>
      <c r="B54" s="3063" t="s">
        <v>132</v>
      </c>
      <c r="C54" s="3063" t="s">
        <v>62</v>
      </c>
      <c r="D54" s="3063">
        <v>19318532000108</v>
      </c>
      <c r="E54" s="3063"/>
      <c r="F54" s="3063" t="s">
        <v>66</v>
      </c>
      <c r="G54" s="3063" t="s">
        <v>4</v>
      </c>
      <c r="H54" s="3063" t="s">
        <v>5</v>
      </c>
      <c r="I54" s="3063"/>
      <c r="J54" s="3063"/>
      <c r="K54" s="3063"/>
      <c r="L54" s="3063"/>
      <c r="M54" s="3063" t="s">
        <v>377</v>
      </c>
      <c r="N54" s="3063"/>
      <c r="O54" s="3063" t="s">
        <v>347</v>
      </c>
      <c r="P54" s="3063"/>
      <c r="Q54" s="3066"/>
      <c r="R54" s="3066"/>
      <c r="S54" s="3066"/>
      <c r="T54" s="3066"/>
      <c r="U54" s="3067"/>
      <c r="V54" s="3063"/>
      <c r="W54" s="3063"/>
      <c r="X54" s="3056">
        <f>IF(A54="","",IF(LEN(SUBSTITUTE(SUBSTITUTE(SUBSTITUTE(SUBSTITUTE(D54,".",""),"/",""),"-","")," ",""))&lt;&gt;14,"CNPJ INVALIDO","OK"))</f>
      </c>
      <c r="Y54" s="3056">
        <f>IF(A54="","",IF(R54="","REST PENDENTE","REST OK"))</f>
      </c>
      <c r="Z54" s="3056">
        <f>IF(A54="","",IF(AND(R54&lt;&gt;"",COUNTIFS($D$3:$D$164,D54,$R$3:$R$164,"&lt;&gt;")&gt;1),"DUPLICADO","OK"))</f>
      </c>
      <c r="AA54" s="3056">
        <f>IF(A54="","",IF(OR(LEN(Q54)&gt;180,LEN(R54)&gt;180,LEN(S54)&gt;180,LEN(T54)&gt;180),"CAMINHO LONGO","OK"))</f>
      </c>
      <c r="AB54" s="3056">
        <f>IF(A54="","",IF(U54="","",IFERROR(INT(U54-TODAY()),"")))</f>
      </c>
      <c r="AC54" s="3056">
        <f>IF(A54="","",IF(AND(T54="",U54=""),"",IF(T54="","SEM CAMINHO",IF(U54="","SEM DATA",IFERROR(IF(AB54&lt;15,"VERMELHO",IF(AB54&lt;=30,"AMARELO","VERDE")),"DATA INVALIDA")))))</f>
      </c>
      <c r="AD54" s="3056">
        <f>IF(OR(A54="",U54="",NOT(ISNUMBER(AB54))),"",RANK(AB54,$AB$3:$AB$164,1)+COUNTIFS($AB$3:AB54,AB54)-1)</f>
      </c>
      <c r="AE54" s="1736"/>
    </row>
    <row r="55" spans="1:19" ht="22.0" hidden="false" customHeight="true" x14ac:dyDescent="0.25">
      <c r="A55" s="3059" t="s">
        <v>133</v>
      </c>
      <c r="B55" s="3058" t="s">
        <v>134</v>
      </c>
      <c r="C55" s="3058" t="s">
        <v>116</v>
      </c>
      <c r="D55" s="3058" t="s">
        <v>135</v>
      </c>
      <c r="E55" s="3058"/>
      <c r="F55" s="3058" t="s">
        <v>136</v>
      </c>
      <c r="G55" s="3058" t="s">
        <v>41</v>
      </c>
      <c r="H55" s="3058" t="s">
        <v>5</v>
      </c>
      <c r="I55" s="3058"/>
      <c r="J55" s="3058"/>
      <c r="K55" s="3058"/>
      <c r="L55" s="3058"/>
      <c r="M55" s="3058" t="s">
        <v>379</v>
      </c>
      <c r="N55" s="3058"/>
      <c r="O55" s="3058" t="s">
        <v>351</v>
      </c>
      <c r="P55" s="3058"/>
      <c r="Q55" s="3061"/>
      <c r="R55" s="3061"/>
      <c r="S55" s="3061"/>
      <c r="T55" s="3061"/>
      <c r="U55" s="3062"/>
      <c r="V55" s="3058"/>
      <c r="W55" s="3058"/>
      <c r="X55" s="3056">
        <f>IF(A55="","",IF(LEN(SUBSTITUTE(SUBSTITUTE(SUBSTITUTE(SUBSTITUTE(D55,".",""),"/",""),"-","")," ",""))&lt;&gt;14,"CNPJ INVALIDO","OK"))</f>
      </c>
      <c r="Y55" s="3056">
        <f>IF(A55="","",IF(R55="","REST PENDENTE","REST OK"))</f>
      </c>
      <c r="Z55" s="3056">
        <f>IF(A55="","",IF(AND(R55&lt;&gt;"",COUNTIFS($D$3:$D$164,D55,$R$3:$R$164,"&lt;&gt;")&gt;1),"DUPLICADO","OK"))</f>
      </c>
      <c r="AA55" s="3056">
        <f>IF(A55="","",IF(OR(LEN(Q55)&gt;180,LEN(R55)&gt;180,LEN(S55)&gt;180,LEN(T55)&gt;180),"CAMINHO LONGO","OK"))</f>
      </c>
      <c r="AB55" s="3056">
        <f>IF(A55="","",IF(U55="","",IFERROR(INT(U55-TODAY()),"")))</f>
      </c>
      <c r="AC55" s="3056">
        <f>IF(A55="","",IF(AND(T55="",U55=""),"",IF(T55="","SEM CAMINHO",IF(U55="","SEM DATA",IFERROR(IF(AB55&lt;15,"VERMELHO",IF(AB55&lt;=30,"AMARELO","VERDE")),"DATA INVALIDA")))))</f>
      </c>
      <c r="AD55" s="3056">
        <f>IF(OR(A55="",U55="",NOT(ISNUMBER(AB55))),"",RANK(AB55,$AB$3:$AB$164,1)+COUNTIFS($AB$3:AB55,AB55)-1)</f>
      </c>
      <c r="AE55" s="1736"/>
    </row>
    <row r="56" spans="1:19" ht="22.0" hidden="false" customHeight="true" x14ac:dyDescent="0.25">
      <c r="A56" s="3064" t="s">
        <v>137</v>
      </c>
      <c r="B56" s="3063" t="s">
        <v>134</v>
      </c>
      <c r="C56" s="3063" t="s">
        <v>122</v>
      </c>
      <c r="D56" s="3063">
        <v>34046667000147</v>
      </c>
      <c r="E56" s="3063"/>
      <c r="F56" s="3063" t="s">
        <v>138</v>
      </c>
      <c r="G56" s="3063" t="s">
        <v>4</v>
      </c>
      <c r="H56" s="3063" t="s">
        <v>5</v>
      </c>
      <c r="I56" s="3063"/>
      <c r="J56" s="3063"/>
      <c r="K56" s="3063"/>
      <c r="L56" s="3063"/>
      <c r="M56" s="3063" t="s">
        <v>385</v>
      </c>
      <c r="N56" s="3063"/>
      <c r="O56" s="3063" t="s">
        <v>351</v>
      </c>
      <c r="P56" s="3063"/>
      <c r="Q56" s="3066"/>
      <c r="R56" s="3066"/>
      <c r="S56" s="3066"/>
      <c r="T56" s="3066"/>
      <c r="U56" s="3067"/>
      <c r="V56" s="3063"/>
      <c r="W56" s="3063"/>
      <c r="X56" s="3056">
        <f>IF(A56="","",IF(LEN(SUBSTITUTE(SUBSTITUTE(SUBSTITUTE(SUBSTITUTE(D56,".",""),"/",""),"-","")," ",""))&lt;&gt;14,"CNPJ INVALIDO","OK"))</f>
      </c>
      <c r="Y56" s="3056">
        <f>IF(A56="","",IF(R56="","REST PENDENTE","REST OK"))</f>
      </c>
      <c r="Z56" s="3056">
        <f>IF(A56="","",IF(AND(R56&lt;&gt;"",COUNTIFS($D$3:$D$164,D56,$R$3:$R$164,"&lt;&gt;")&gt;1),"DUPLICADO","OK"))</f>
      </c>
      <c r="AA56" s="3056">
        <f>IF(A56="","",IF(OR(LEN(Q56)&gt;180,LEN(R56)&gt;180,LEN(S56)&gt;180,LEN(T56)&gt;180),"CAMINHO LONGO","OK"))</f>
      </c>
      <c r="AB56" s="3056">
        <f>IF(A56="","",IF(U56="","",IFERROR(INT(U56-TODAY()),"")))</f>
      </c>
      <c r="AC56" s="3056">
        <f>IF(A56="","",IF(AND(T56="",U56=""),"",IF(T56="","SEM CAMINHO",IF(U56="","SEM DATA",IFERROR(IF(AB56&lt;15,"VERMELHO",IF(AB56&lt;=30,"AMARELO","VERDE")),"DATA INVALIDA")))))</f>
      </c>
      <c r="AD56" s="3056">
        <f>IF(OR(A56="",U56="",NOT(ISNUMBER(AB56))),"",RANK(AB56,$AB$3:$AB$164,1)+COUNTIFS($AB$3:AB56,AB56)-1)</f>
      </c>
      <c r="AE56" s="1736"/>
    </row>
    <row r="57" spans="1:19" ht="22.0" hidden="false" customHeight="true" x14ac:dyDescent="0.25">
      <c r="A57" s="3059" t="s">
        <v>139</v>
      </c>
      <c r="B57" s="3058" t="s">
        <v>134</v>
      </c>
      <c r="C57" s="3058" t="s">
        <v>122</v>
      </c>
      <c r="D57" s="3058">
        <v>40932575000167</v>
      </c>
      <c r="E57" s="3058"/>
      <c r="F57" s="3058" t="s">
        <v>140</v>
      </c>
      <c r="G57" s="3058" t="s">
        <v>4</v>
      </c>
      <c r="H57" s="3058" t="s">
        <v>5</v>
      </c>
      <c r="I57" s="3058"/>
      <c r="J57" s="3058"/>
      <c r="K57" s="3058"/>
      <c r="L57" s="3058"/>
      <c r="M57" s="3058" t="s">
        <v>379</v>
      </c>
      <c r="N57" s="3058"/>
      <c r="O57" s="3058" t="s">
        <v>351</v>
      </c>
      <c r="P57" s="3058"/>
      <c r="Q57" s="3061"/>
      <c r="R57" s="3061"/>
      <c r="S57" s="3061"/>
      <c r="T57" s="3061"/>
      <c r="U57" s="3062"/>
      <c r="V57" s="3058"/>
      <c r="W57" s="3058"/>
      <c r="X57" s="3056">
        <f>IF(A57="","",IF(LEN(SUBSTITUTE(SUBSTITUTE(SUBSTITUTE(SUBSTITUTE(D57,".",""),"/",""),"-","")," ",""))&lt;&gt;14,"CNPJ INVALIDO","OK"))</f>
      </c>
      <c r="Y57" s="3056">
        <f>IF(A57="","",IF(R57="","REST PENDENTE","REST OK"))</f>
      </c>
      <c r="Z57" s="3056">
        <f>IF(A57="","",IF(AND(R57&lt;&gt;"",COUNTIFS($D$3:$D$164,D57,$R$3:$R$164,"&lt;&gt;")&gt;1),"DUPLICADO","OK"))</f>
      </c>
      <c r="AA57" s="3056">
        <f>IF(A57="","",IF(OR(LEN(Q57)&gt;180,LEN(R57)&gt;180,LEN(S57)&gt;180,LEN(T57)&gt;180),"CAMINHO LONGO","OK"))</f>
      </c>
      <c r="AB57" s="3056">
        <f>IF(A57="","",IF(U57="","",IFERROR(INT(U57-TODAY()),"")))</f>
      </c>
      <c r="AC57" s="3056">
        <f>IF(A57="","",IF(AND(T57="",U57=""),"",IF(T57="","SEM CAMINHO",IF(U57="","SEM DATA",IFERROR(IF(AB57&lt;15,"VERMELHO",IF(AB57&lt;=30,"AMARELO","VERDE")),"DATA INVALIDA")))))</f>
      </c>
      <c r="AD57" s="3056">
        <f>IF(OR(A57="",U57="",NOT(ISNUMBER(AB57))),"",RANK(AB57,$AB$3:$AB$164,1)+COUNTIFS($AB$3:AB57,AB57)-1)</f>
      </c>
      <c r="AE57" s="1736"/>
    </row>
    <row r="58" spans="1:19" ht="22.0" hidden="false" customHeight="true" x14ac:dyDescent="0.25">
      <c r="A58" s="3064" t="s">
        <v>141</v>
      </c>
      <c r="B58" s="3063" t="s">
        <v>142</v>
      </c>
      <c r="C58" s="3063" t="s">
        <v>62</v>
      </c>
      <c r="D58" s="3063" t="s">
        <v>143</v>
      </c>
      <c r="E58" s="3063"/>
      <c r="F58" s="3063" t="s">
        <v>144</v>
      </c>
      <c r="G58" s="3063" t="s">
        <v>13</v>
      </c>
      <c r="H58" s="3063" t="s">
        <v>49</v>
      </c>
      <c r="I58" s="3063"/>
      <c r="J58" s="3063"/>
      <c r="K58" s="3063"/>
      <c r="L58" s="3063"/>
      <c r="M58" s="3063" t="s">
        <v>385</v>
      </c>
      <c r="N58" s="3063"/>
      <c r="O58" s="3063" t="s">
        <v>347</v>
      </c>
      <c r="P58" s="3063"/>
      <c r="Q58" s="3066"/>
      <c r="R58" s="3066"/>
      <c r="S58" s="3066"/>
      <c r="T58" s="3066"/>
      <c r="U58" s="3067"/>
      <c r="V58" s="3063"/>
      <c r="W58" s="3063"/>
      <c r="X58" s="3056">
        <f>IF(A58="","",IF(LEN(SUBSTITUTE(SUBSTITUTE(SUBSTITUTE(SUBSTITUTE(D58,".",""),"/",""),"-","")," ",""))&lt;&gt;14,"CNPJ INVALIDO","OK"))</f>
      </c>
      <c r="Y58" s="3056">
        <f>IF(A58="","",IF(R58="","REST PENDENTE","REST OK"))</f>
      </c>
      <c r="Z58" s="3056">
        <f>IF(A58="","",IF(AND(R58&lt;&gt;"",COUNTIFS($D$3:$D$164,D58,$R$3:$R$164,"&lt;&gt;")&gt;1),"DUPLICADO","OK"))</f>
      </c>
      <c r="AA58" s="3056">
        <f>IF(A58="","",IF(OR(LEN(Q58)&gt;180,LEN(R58)&gt;180,LEN(S58)&gt;180,LEN(T58)&gt;180),"CAMINHO LONGO","OK"))</f>
      </c>
      <c r="AB58" s="3056">
        <f>IF(A58="","",IF(U58="","",IFERROR(INT(U58-TODAY()),"")))</f>
      </c>
      <c r="AC58" s="3056">
        <f>IF(A58="","",IF(AND(T58="",U58=""),"",IF(T58="","SEM CAMINHO",IF(U58="","SEM DATA",IFERROR(IF(AB58&lt;15,"VERMELHO",IF(AB58&lt;=30,"AMARELO","VERDE")),"DATA INVALIDA")))))</f>
      </c>
      <c r="AD58" s="3056">
        <f>IF(OR(A58="",U58="",NOT(ISNUMBER(AB58))),"",RANK(AB58,$AB$3:$AB$164,1)+COUNTIFS($AB$3:AB58,AB58)-1)</f>
      </c>
      <c r="AE58" s="1736"/>
    </row>
    <row r="59" spans="1:19" ht="22.0" hidden="false" customHeight="true" x14ac:dyDescent="0.25">
      <c r="A59" s="3059" t="s">
        <v>145</v>
      </c>
      <c r="B59" s="3058" t="s">
        <v>142</v>
      </c>
      <c r="C59" s="3058" t="s">
        <v>62</v>
      </c>
      <c r="D59" s="3058">
        <v>60906391000130</v>
      </c>
      <c r="E59" s="3058"/>
      <c r="F59" s="3058" t="s">
        <v>144</v>
      </c>
      <c r="G59" s="3058" t="s">
        <v>4</v>
      </c>
      <c r="H59" s="3058" t="s">
        <v>49</v>
      </c>
      <c r="I59" s="3058"/>
      <c r="J59" s="3058"/>
      <c r="K59" s="3058"/>
      <c r="L59" s="3058"/>
      <c r="M59" s="3058" t="s">
        <v>385</v>
      </c>
      <c r="N59" s="3058"/>
      <c r="O59" s="3058" t="s">
        <v>351</v>
      </c>
      <c r="P59" s="3058"/>
      <c r="Q59" s="3061"/>
      <c r="R59" s="3061"/>
      <c r="S59" s="3061"/>
      <c r="T59" s="3061"/>
      <c r="U59" s="3062"/>
      <c r="V59" s="3058"/>
      <c r="W59" s="3058"/>
      <c r="X59" s="3056">
        <f>IF(A59="","",IF(LEN(SUBSTITUTE(SUBSTITUTE(SUBSTITUTE(SUBSTITUTE(D59,".",""),"/",""),"-","")," ",""))&lt;&gt;14,"CNPJ INVALIDO","OK"))</f>
      </c>
      <c r="Y59" s="3056">
        <f>IF(A59="","",IF(R59="","REST PENDENTE","REST OK"))</f>
      </c>
      <c r="Z59" s="3056">
        <f>IF(A59="","",IF(AND(R59&lt;&gt;"",COUNTIFS($D$3:$D$164,D59,$R$3:$R$164,"&lt;&gt;")&gt;1),"DUPLICADO","OK"))</f>
      </c>
      <c r="AA59" s="3056">
        <f>IF(A59="","",IF(OR(LEN(Q59)&gt;180,LEN(R59)&gt;180,LEN(S59)&gt;180,LEN(T59)&gt;180),"CAMINHO LONGO","OK"))</f>
      </c>
      <c r="AB59" s="3056">
        <f>IF(A59="","",IF(U59="","",IFERROR(INT(U59-TODAY()),"")))</f>
      </c>
      <c r="AC59" s="3056">
        <f>IF(A59="","",IF(AND(T59="",U59=""),"",IF(T59="","SEM CAMINHO",IF(U59="","SEM DATA",IFERROR(IF(AB59&lt;15,"VERMELHO",IF(AB59&lt;=30,"AMARELO","VERDE")),"DATA INVALIDA")))))</f>
      </c>
      <c r="AD59" s="3056">
        <f>IF(OR(A59="",U59="",NOT(ISNUMBER(AB59))),"",RANK(AB59,$AB$3:$AB$164,1)+COUNTIFS($AB$3:AB59,AB59)-1)</f>
      </c>
      <c r="AE59" s="1736"/>
    </row>
    <row r="60" spans="1:19" ht="22.0" hidden="false" customHeight="true" x14ac:dyDescent="0.25">
      <c r="A60" s="3064" t="s">
        <v>146</v>
      </c>
      <c r="B60" s="3063" t="s">
        <v>75</v>
      </c>
      <c r="C60" s="3063" t="s">
        <v>62</v>
      </c>
      <c r="D60" s="3063">
        <v>41762299000107</v>
      </c>
      <c r="E60" s="3063"/>
      <c r="F60" s="3063" t="s">
        <v>147</v>
      </c>
      <c r="G60" s="3063" t="s">
        <v>4</v>
      </c>
      <c r="H60" s="3063" t="s">
        <v>5</v>
      </c>
      <c r="I60" s="3063"/>
      <c r="J60" s="3063"/>
      <c r="K60" s="3063"/>
      <c r="L60" s="3063"/>
      <c r="M60" s="3063" t="s">
        <v>379</v>
      </c>
      <c r="N60" s="3063"/>
      <c r="O60" s="3063" t="s">
        <v>352</v>
      </c>
      <c r="P60" s="3063"/>
      <c r="Q60" s="3066"/>
      <c r="R60" s="3066"/>
      <c r="S60" s="3066"/>
      <c r="T60" s="3066"/>
      <c r="U60" s="3067"/>
      <c r="V60" s="3063"/>
      <c r="W60" s="3063"/>
      <c r="X60" s="3056">
        <f>IF(A60="","",IF(LEN(SUBSTITUTE(SUBSTITUTE(SUBSTITUTE(SUBSTITUTE(D60,".",""),"/",""),"-","")," ",""))&lt;&gt;14,"CNPJ INVALIDO","OK"))</f>
      </c>
      <c r="Y60" s="3056">
        <f>IF(A60="","",IF(R60="","REST PENDENTE","REST OK"))</f>
      </c>
      <c r="Z60" s="3056">
        <f>IF(A60="","",IF(AND(R60&lt;&gt;"",COUNTIFS($D$3:$D$164,D60,$R$3:$R$164,"&lt;&gt;")&gt;1),"DUPLICADO","OK"))</f>
      </c>
      <c r="AA60" s="3056">
        <f>IF(A60="","",IF(OR(LEN(Q60)&gt;180,LEN(R60)&gt;180,LEN(S60)&gt;180,LEN(T60)&gt;180),"CAMINHO LONGO","OK"))</f>
      </c>
      <c r="AB60" s="3056">
        <f>IF(A60="","",IF(U60="","",IFERROR(INT(U60-TODAY()),"")))</f>
      </c>
      <c r="AC60" s="3056">
        <f>IF(A60="","",IF(AND(T60="",U60=""),"",IF(T60="","SEM CAMINHO",IF(U60="","SEM DATA",IFERROR(IF(AB60&lt;15,"VERMELHO",IF(AB60&lt;=30,"AMARELO","VERDE")),"DATA INVALIDA")))))</f>
      </c>
      <c r="AD60" s="3056">
        <f>IF(OR(A60="",U60="",NOT(ISNUMBER(AB60))),"",RANK(AB60,$AB$3:$AB$164,1)+COUNTIFS($AB$3:AB60,AB60)-1)</f>
      </c>
      <c r="AE60" s="1736"/>
    </row>
    <row r="61" spans="1:19" ht="22.0" hidden="false" customHeight="true" x14ac:dyDescent="0.25">
      <c r="A61" s="3059" t="s">
        <v>148</v>
      </c>
      <c r="B61" s="3058" t="s">
        <v>149</v>
      </c>
      <c r="C61" s="3058" t="s">
        <v>59</v>
      </c>
      <c r="D61" s="3058">
        <v>52090662000101</v>
      </c>
      <c r="E61" s="3058"/>
      <c r="F61" s="3058" t="s">
        <v>150</v>
      </c>
      <c r="G61" s="3058" t="s">
        <v>4</v>
      </c>
      <c r="H61" s="3058" t="s">
        <v>5</v>
      </c>
      <c r="I61" s="3058"/>
      <c r="J61" s="3058"/>
      <c r="K61" s="3058"/>
      <c r="L61" s="3058"/>
      <c r="M61" s="3058" t="s">
        <v>379</v>
      </c>
      <c r="N61" s="3058"/>
      <c r="O61" s="3058" t="s">
        <v>351</v>
      </c>
      <c r="P61" s="3058"/>
      <c r="Q61" s="3061"/>
      <c r="R61" s="3061"/>
      <c r="S61" s="3061"/>
      <c r="T61" s="3061"/>
      <c r="U61" s="3062"/>
      <c r="V61" s="3058"/>
      <c r="W61" s="3058"/>
      <c r="X61" s="3056">
        <f>IF(A61="","",IF(LEN(SUBSTITUTE(SUBSTITUTE(SUBSTITUTE(SUBSTITUTE(D61,".",""),"/",""),"-","")," ",""))&lt;&gt;14,"CNPJ INVALIDO","OK"))</f>
      </c>
      <c r="Y61" s="3056">
        <f>IF(A61="","",IF(R61="","REST PENDENTE","REST OK"))</f>
      </c>
      <c r="Z61" s="3056">
        <f>IF(A61="","",IF(AND(R61&lt;&gt;"",COUNTIFS($D$3:$D$164,D61,$R$3:$R$164,"&lt;&gt;")&gt;1),"DUPLICADO","OK"))</f>
      </c>
      <c r="AA61" s="3056">
        <f>IF(A61="","",IF(OR(LEN(Q61)&gt;180,LEN(R61)&gt;180,LEN(S61)&gt;180,LEN(T61)&gt;180),"CAMINHO LONGO","OK"))</f>
      </c>
      <c r="AB61" s="3056">
        <f>IF(A61="","",IF(U61="","",IFERROR(INT(U61-TODAY()),"")))</f>
      </c>
      <c r="AC61" s="3056">
        <f>IF(A61="","",IF(AND(T61="",U61=""),"",IF(T61="","SEM CAMINHO",IF(U61="","SEM DATA",IFERROR(IF(AB61&lt;15,"VERMELHO",IF(AB61&lt;=30,"AMARELO","VERDE")),"DATA INVALIDA")))))</f>
      </c>
      <c r="AD61" s="3056">
        <f>IF(OR(A61="",U61="",NOT(ISNUMBER(AB61))),"",RANK(AB61,$AB$3:$AB$164,1)+COUNTIFS($AB$3:AB61,AB61)-1)</f>
      </c>
      <c r="AE61" s="1736"/>
    </row>
    <row r="62" spans="1:19" ht="22.0" hidden="false" customHeight="true" x14ac:dyDescent="0.25">
      <c r="A62" s="3064" t="s">
        <v>151</v>
      </c>
      <c r="B62" s="3063" t="s">
        <v>149</v>
      </c>
      <c r="C62" s="3063" t="s">
        <v>46</v>
      </c>
      <c r="D62" s="3063" t="s">
        <v>152</v>
      </c>
      <c r="E62" s="3063"/>
      <c r="F62" s="3063" t="s">
        <v>150</v>
      </c>
      <c r="G62" s="3063" t="s">
        <v>13</v>
      </c>
      <c r="H62" s="3063" t="s">
        <v>49</v>
      </c>
      <c r="I62" s="3063"/>
      <c r="J62" s="3063"/>
      <c r="K62" s="3063"/>
      <c r="L62" s="3063"/>
      <c r="M62" s="3063" t="s">
        <v>377</v>
      </c>
      <c r="N62" s="3063"/>
      <c r="O62" s="3063" t="s">
        <v>347</v>
      </c>
      <c r="P62" s="3063"/>
      <c r="Q62" s="3066"/>
      <c r="R62" s="3066"/>
      <c r="S62" s="3066"/>
      <c r="T62" s="3066"/>
      <c r="U62" s="3067"/>
      <c r="V62" s="3063"/>
      <c r="W62" s="3063"/>
      <c r="X62" s="3056">
        <f>IF(A62="","",IF(LEN(SUBSTITUTE(SUBSTITUTE(SUBSTITUTE(SUBSTITUTE(D62,".",""),"/",""),"-","")," ",""))&lt;&gt;14,"CNPJ INVALIDO","OK"))</f>
      </c>
      <c r="Y62" s="3056">
        <f>IF(A62="","",IF(R62="","REST PENDENTE","REST OK"))</f>
      </c>
      <c r="Z62" s="3056">
        <f>IF(A62="","",IF(AND(R62&lt;&gt;"",COUNTIFS($D$3:$D$164,D62,$R$3:$R$164,"&lt;&gt;")&gt;1),"DUPLICADO","OK"))</f>
      </c>
      <c r="AA62" s="3056">
        <f>IF(A62="","",IF(OR(LEN(Q62)&gt;180,LEN(R62)&gt;180,LEN(S62)&gt;180,LEN(T62)&gt;180),"CAMINHO LONGO","OK"))</f>
      </c>
      <c r="AB62" s="3056">
        <f>IF(A62="","",IF(U62="","",IFERROR(INT(U62-TODAY()),"")))</f>
      </c>
      <c r="AC62" s="3056">
        <f>IF(A62="","",IF(AND(T62="",U62=""),"",IF(T62="","SEM CAMINHO",IF(U62="","SEM DATA",IFERROR(IF(AB62&lt;15,"VERMELHO",IF(AB62&lt;=30,"AMARELO","VERDE")),"DATA INVALIDA")))))</f>
      </c>
      <c r="AD62" s="3056">
        <f>IF(OR(A62="",U62="",NOT(ISNUMBER(AB62))),"",RANK(AB62,$AB$3:$AB$164,1)+COUNTIFS($AB$3:AB62,AB62)-1)</f>
      </c>
      <c r="AE62" s="1736"/>
    </row>
    <row r="63" spans="1:19" ht="22.0" hidden="false" customHeight="true" x14ac:dyDescent="0.25">
      <c r="A63" s="3059" t="s">
        <v>153</v>
      </c>
      <c r="B63" s="3058" t="s">
        <v>149</v>
      </c>
      <c r="C63" s="3058" t="s">
        <v>46</v>
      </c>
      <c r="D63" s="3058" t="s">
        <v>154</v>
      </c>
      <c r="E63" s="3058"/>
      <c r="F63" s="3058" t="s">
        <v>150</v>
      </c>
      <c r="G63" s="3058" t="s">
        <v>13</v>
      </c>
      <c r="H63" s="3058" t="s">
        <v>49</v>
      </c>
      <c r="I63" s="3058"/>
      <c r="J63" s="3058"/>
      <c r="K63" s="3058"/>
      <c r="L63" s="3058"/>
      <c r="M63" s="3058" t="s">
        <v>377</v>
      </c>
      <c r="N63" s="3058"/>
      <c r="O63" s="3058" t="s">
        <v>347</v>
      </c>
      <c r="P63" s="3058"/>
      <c r="Q63" s="3061"/>
      <c r="R63" s="3061"/>
      <c r="S63" s="3061"/>
      <c r="T63" s="3061"/>
      <c r="U63" s="3062"/>
      <c r="V63" s="3058"/>
      <c r="W63" s="3058"/>
      <c r="X63" s="3056">
        <f>IF(A63="","",IF(LEN(SUBSTITUTE(SUBSTITUTE(SUBSTITUTE(SUBSTITUTE(D63,".",""),"/",""),"-","")," ",""))&lt;&gt;14,"CNPJ INVALIDO","OK"))</f>
      </c>
      <c r="Y63" s="3056">
        <f>IF(A63="","",IF(R63="","REST PENDENTE","REST OK"))</f>
      </c>
      <c r="Z63" s="3056">
        <f>IF(A63="","",IF(AND(R63&lt;&gt;"",COUNTIFS($D$3:$D$164,D63,$R$3:$R$164,"&lt;&gt;")&gt;1),"DUPLICADO","OK"))</f>
      </c>
      <c r="AA63" s="3056">
        <f>IF(A63="","",IF(OR(LEN(Q63)&gt;180,LEN(R63)&gt;180,LEN(S63)&gt;180,LEN(T63)&gt;180),"CAMINHO LONGO","OK"))</f>
      </c>
      <c r="AB63" s="3056">
        <f>IF(A63="","",IF(U63="","",IFERROR(INT(U63-TODAY()),"")))</f>
      </c>
      <c r="AC63" s="3056">
        <f>IF(A63="","",IF(AND(T63="",U63=""),"",IF(T63="","SEM CAMINHO",IF(U63="","SEM DATA",IFERROR(IF(AB63&lt;15,"VERMELHO",IF(AB63&lt;=30,"AMARELO","VERDE")),"DATA INVALIDA")))))</f>
      </c>
      <c r="AD63" s="3056">
        <f>IF(OR(A63="",U63="",NOT(ISNUMBER(AB63))),"",RANK(AB63,$AB$3:$AB$164,1)+COUNTIFS($AB$3:AB63,AB63)-1)</f>
      </c>
      <c r="AE63" s="1736"/>
    </row>
    <row r="64" spans="1:19" ht="22.0" hidden="false" customHeight="true" x14ac:dyDescent="0.25">
      <c r="A64" s="3064" t="s">
        <v>155</v>
      </c>
      <c r="B64" s="3063" t="s">
        <v>61</v>
      </c>
      <c r="C64" s="3063" t="s">
        <v>62</v>
      </c>
      <c r="D64" s="3063">
        <v>8587897000103</v>
      </c>
      <c r="E64" s="3063"/>
      <c r="F64" s="3063" t="s">
        <v>63</v>
      </c>
      <c r="G64" s="3063" t="s">
        <v>41</v>
      </c>
      <c r="H64" s="3063" t="s">
        <v>5</v>
      </c>
      <c r="I64" s="3063"/>
      <c r="J64" s="3063"/>
      <c r="K64" s="3063"/>
      <c r="L64" s="3063"/>
      <c r="M64" s="3063" t="s">
        <v>379</v>
      </c>
      <c r="N64" s="3063"/>
      <c r="O64" s="3063" t="s">
        <v>351</v>
      </c>
      <c r="P64" s="3063"/>
      <c r="Q64" s="3066"/>
      <c r="R64" s="3066"/>
      <c r="S64" s="3066"/>
      <c r="T64" s="3066"/>
      <c r="U64" s="3067"/>
      <c r="V64" s="3063"/>
      <c r="W64" s="3063"/>
      <c r="X64" s="3056">
        <f>IF(A64="","",IF(LEN(SUBSTITUTE(SUBSTITUTE(SUBSTITUTE(SUBSTITUTE(D64,".",""),"/",""),"-","")," ",""))&lt;&gt;14,"CNPJ INVALIDO","OK"))</f>
      </c>
      <c r="Y64" s="3056">
        <f>IF(A64="","",IF(R64="","REST PENDENTE","REST OK"))</f>
      </c>
      <c r="Z64" s="3056">
        <f>IF(A64="","",IF(AND(R64&lt;&gt;"",COUNTIFS($D$3:$D$164,D64,$R$3:$R$164,"&lt;&gt;")&gt;1),"DUPLICADO","OK"))</f>
      </c>
      <c r="AA64" s="3056">
        <f>IF(A64="","",IF(OR(LEN(Q64)&gt;180,LEN(R64)&gt;180,LEN(S64)&gt;180,LEN(T64)&gt;180),"CAMINHO LONGO","OK"))</f>
      </c>
      <c r="AB64" s="3056">
        <f>IF(A64="","",IF(U64="","",IFERROR(INT(U64-TODAY()),"")))</f>
      </c>
      <c r="AC64" s="3056">
        <f>IF(A64="","",IF(AND(T64="",U64=""),"",IF(T64="","SEM CAMINHO",IF(U64="","SEM DATA",IFERROR(IF(AB64&lt;15,"VERMELHO",IF(AB64&lt;=30,"AMARELO","VERDE")),"DATA INVALIDA")))))</f>
      </c>
      <c r="AD64" s="3056">
        <f>IF(OR(A64="",U64="",NOT(ISNUMBER(AB64))),"",RANK(AB64,$AB$3:$AB$164,1)+COUNTIFS($AB$3:AB64,AB64)-1)</f>
      </c>
      <c r="AE64" s="1736"/>
    </row>
    <row r="65" spans="1:19" ht="22.0" hidden="false" customHeight="true" x14ac:dyDescent="0.25">
      <c r="A65" s="3059" t="s">
        <v>156</v>
      </c>
      <c r="B65" s="3058" t="s">
        <v>61</v>
      </c>
      <c r="C65" s="3058" t="s">
        <v>62</v>
      </c>
      <c r="D65" s="3058">
        <v>17845713000159</v>
      </c>
      <c r="E65" s="3058"/>
      <c r="F65" s="3058" t="s">
        <v>63</v>
      </c>
      <c r="G65" s="3058" t="s">
        <v>41</v>
      </c>
      <c r="H65" s="3058" t="s">
        <v>5</v>
      </c>
      <c r="I65" s="3058"/>
      <c r="J65" s="3058"/>
      <c r="K65" s="3058"/>
      <c r="L65" s="3058"/>
      <c r="M65" s="3058" t="s">
        <v>379</v>
      </c>
      <c r="N65" s="3058"/>
      <c r="O65" s="3058" t="s">
        <v>351</v>
      </c>
      <c r="P65" s="3058"/>
      <c r="Q65" s="3061"/>
      <c r="R65" s="3061"/>
      <c r="S65" s="3061"/>
      <c r="T65" s="3061"/>
      <c r="U65" s="3062"/>
      <c r="V65" s="3058"/>
      <c r="W65" s="3058"/>
      <c r="X65" s="3056">
        <f>IF(A65="","",IF(LEN(SUBSTITUTE(SUBSTITUTE(SUBSTITUTE(SUBSTITUTE(D65,".",""),"/",""),"-","")," ",""))&lt;&gt;14,"CNPJ INVALIDO","OK"))</f>
      </c>
      <c r="Y65" s="3056">
        <f>IF(A65="","",IF(R65="","REST PENDENTE","REST OK"))</f>
      </c>
      <c r="Z65" s="3056">
        <f>IF(A65="","",IF(AND(R65&lt;&gt;"",COUNTIFS($D$3:$D$164,D65,$R$3:$R$164,"&lt;&gt;")&gt;1),"DUPLICADO","OK"))</f>
      </c>
      <c r="AA65" s="3056">
        <f>IF(A65="","",IF(OR(LEN(Q65)&gt;180,LEN(R65)&gt;180,LEN(S65)&gt;180,LEN(T65)&gt;180),"CAMINHO LONGO","OK"))</f>
      </c>
      <c r="AB65" s="3056">
        <f>IF(A65="","",IF(U65="","",IFERROR(INT(U65-TODAY()),"")))</f>
      </c>
      <c r="AC65" s="3056">
        <f>IF(A65="","",IF(AND(T65="",U65=""),"",IF(T65="","SEM CAMINHO",IF(U65="","SEM DATA",IFERROR(IF(AB65&lt;15,"VERMELHO",IF(AB65&lt;=30,"AMARELO","VERDE")),"DATA INVALIDA")))))</f>
      </c>
      <c r="AD65" s="3056">
        <f>IF(OR(A65="",U65="",NOT(ISNUMBER(AB65))),"",RANK(AB65,$AB$3:$AB$164,1)+COUNTIFS($AB$3:AB65,AB65)-1)</f>
      </c>
      <c r="AE65" s="1736"/>
    </row>
    <row r="66" spans="1:19" ht="22.0" hidden="false" customHeight="true" x14ac:dyDescent="0.25">
      <c r="A66" s="3064" t="s">
        <v>157</v>
      </c>
      <c r="B66" s="3063" t="s">
        <v>61</v>
      </c>
      <c r="C66" s="3063" t="s">
        <v>62</v>
      </c>
      <c r="D66" s="3063">
        <v>37646098000169</v>
      </c>
      <c r="E66" s="3063"/>
      <c r="F66" s="3063" t="s">
        <v>63</v>
      </c>
      <c r="G66" s="3063" t="s">
        <v>41</v>
      </c>
      <c r="H66" s="3063" t="s">
        <v>5</v>
      </c>
      <c r="I66" s="3063"/>
      <c r="J66" s="3063"/>
      <c r="K66" s="3063"/>
      <c r="L66" s="3063"/>
      <c r="M66" s="3063" t="s">
        <v>379</v>
      </c>
      <c r="N66" s="3063"/>
      <c r="O66" s="3063" t="s">
        <v>353</v>
      </c>
      <c r="P66" s="3063"/>
      <c r="Q66" s="3066"/>
      <c r="R66" s="3066"/>
      <c r="S66" s="3066"/>
      <c r="T66" s="3066"/>
      <c r="U66" s="3067"/>
      <c r="V66" s="3063"/>
      <c r="W66" s="3063"/>
      <c r="X66" s="3056">
        <f>IF(A66="","",IF(LEN(SUBSTITUTE(SUBSTITUTE(SUBSTITUTE(SUBSTITUTE(D66,".",""),"/",""),"-","")," ",""))&lt;&gt;14,"CNPJ INVALIDO","OK"))</f>
      </c>
      <c r="Y66" s="3056">
        <f>IF(A66="","",IF(R66="","REST PENDENTE","REST OK"))</f>
      </c>
      <c r="Z66" s="3056">
        <f>IF(A66="","",IF(AND(R66&lt;&gt;"",COUNTIFS($D$3:$D$164,D66,$R$3:$R$164,"&lt;&gt;")&gt;1),"DUPLICADO","OK"))</f>
      </c>
      <c r="AA66" s="3056">
        <f>IF(A66="","",IF(OR(LEN(Q66)&gt;180,LEN(R66)&gt;180,LEN(S66)&gt;180,LEN(T66)&gt;180),"CAMINHO LONGO","OK"))</f>
      </c>
      <c r="AB66" s="3056">
        <f>IF(A66="","",IF(U66="","",IFERROR(INT(U66-TODAY()),"")))</f>
      </c>
      <c r="AC66" s="3056">
        <f>IF(A66="","",IF(AND(T66="",U66=""),"",IF(T66="","SEM CAMINHO",IF(U66="","SEM DATA",IFERROR(IF(AB66&lt;15,"VERMELHO",IF(AB66&lt;=30,"AMARELO","VERDE")),"DATA INVALIDA")))))</f>
      </c>
      <c r="AD66" s="3056">
        <f>IF(OR(A66="",U66="",NOT(ISNUMBER(AB66))),"",RANK(AB66,$AB$3:$AB$164,1)+COUNTIFS($AB$3:AB66,AB66)-1)</f>
      </c>
      <c r="AE66" s="1736"/>
    </row>
    <row r="67" spans="1:19" ht="22.0" hidden="false" customHeight="true" x14ac:dyDescent="0.25">
      <c r="A67" s="3059" t="s">
        <v>158</v>
      </c>
      <c r="B67" s="3058" t="s">
        <v>159</v>
      </c>
      <c r="C67" s="3058" t="s">
        <v>62</v>
      </c>
      <c r="D67" s="3058">
        <v>44470328000147</v>
      </c>
      <c r="E67" s="3058"/>
      <c r="F67" s="3058" t="s">
        <v>160</v>
      </c>
      <c r="G67" s="3058" t="s">
        <v>4</v>
      </c>
      <c r="H67" s="3058" t="s">
        <v>5</v>
      </c>
      <c r="I67" s="3058"/>
      <c r="J67" s="3058"/>
      <c r="K67" s="3058"/>
      <c r="L67" s="3058"/>
      <c r="M67" s="3058" t="s">
        <v>377</v>
      </c>
      <c r="N67" s="3058"/>
      <c r="O67" s="3058" t="s">
        <v>347</v>
      </c>
      <c r="P67" s="3058"/>
      <c r="Q67" s="3061"/>
      <c r="R67" s="3061"/>
      <c r="S67" s="3061"/>
      <c r="T67" s="3061"/>
      <c r="U67" s="3062"/>
      <c r="V67" s="3058"/>
      <c r="W67" s="3058"/>
      <c r="X67" s="3056">
        <f>IF(A67="","",IF(LEN(SUBSTITUTE(SUBSTITUTE(SUBSTITUTE(SUBSTITUTE(D67,".",""),"/",""),"-","")," ",""))&lt;&gt;14,"CNPJ INVALIDO","OK"))</f>
      </c>
      <c r="Y67" s="3056">
        <f>IF(A67="","",IF(R67="","REST PENDENTE","REST OK"))</f>
      </c>
      <c r="Z67" s="3056">
        <f>IF(A67="","",IF(AND(R67&lt;&gt;"",COUNTIFS($D$3:$D$164,D67,$R$3:$R$164,"&lt;&gt;")&gt;1),"DUPLICADO","OK"))</f>
      </c>
      <c r="AA67" s="3056">
        <f>IF(A67="","",IF(OR(LEN(Q67)&gt;180,LEN(R67)&gt;180,LEN(S67)&gt;180,LEN(T67)&gt;180),"CAMINHO LONGO","OK"))</f>
      </c>
      <c r="AB67" s="3056">
        <f>IF(A67="","",IF(U67="","",IFERROR(INT(U67-TODAY()),"")))</f>
      </c>
      <c r="AC67" s="3056">
        <f>IF(A67="","",IF(AND(T67="",U67=""),"",IF(T67="","SEM CAMINHO",IF(U67="","SEM DATA",IFERROR(IF(AB67&lt;15,"VERMELHO",IF(AB67&lt;=30,"AMARELO","VERDE")),"DATA INVALIDA")))))</f>
      </c>
      <c r="AD67" s="3056">
        <f>IF(OR(A67="",U67="",NOT(ISNUMBER(AB67))),"",RANK(AB67,$AB$3:$AB$164,1)+COUNTIFS($AB$3:AB67,AB67)-1)</f>
      </c>
      <c r="AE67" s="1736"/>
    </row>
    <row r="68" spans="1:19" ht="22.0" hidden="false" customHeight="true" x14ac:dyDescent="0.25">
      <c r="A68" s="3064" t="s">
        <v>161</v>
      </c>
      <c r="B68" s="3063" t="s">
        <v>162</v>
      </c>
      <c r="C68" s="3063" t="s">
        <v>163</v>
      </c>
      <c r="D68" s="3063" t="s">
        <v>164</v>
      </c>
      <c r="E68" s="3063"/>
      <c r="F68" s="3063"/>
      <c r="G68" s="3063" t="s">
        <v>41</v>
      </c>
      <c r="H68" s="3063" t="s">
        <v>14</v>
      </c>
      <c r="I68" s="3063"/>
      <c r="J68" s="3063"/>
      <c r="K68" s="3063"/>
      <c r="L68" s="3063"/>
      <c r="M68" s="3063" t="s">
        <v>385</v>
      </c>
      <c r="N68" s="3063" t="s">
        <v>362</v>
      </c>
      <c r="O68" s="3063" t="s">
        <v>362</v>
      </c>
      <c r="P68" s="3063"/>
      <c r="Q68" s="3066"/>
      <c r="R68" s="3066"/>
      <c r="S68" s="3066"/>
      <c r="T68" s="3066"/>
      <c r="U68" s="3067"/>
      <c r="V68" s="3063"/>
      <c r="W68" s="3063"/>
      <c r="X68" s="3056">
        <f>IF(A68="","",IF(LEN(SUBSTITUTE(SUBSTITUTE(SUBSTITUTE(SUBSTITUTE(D68,".",""),"/",""),"-","")," ",""))&lt;&gt;14,"CNPJ INVALIDO","OK"))</f>
      </c>
      <c r="Y68" s="3056">
        <f>IF(A68="","",IF(R68="","REST PENDENTE","REST OK"))</f>
      </c>
      <c r="Z68" s="3056">
        <f>IF(A68="","",IF(AND(R68&lt;&gt;"",COUNTIFS($D$3:$D$164,D68,$R$3:$R$164,"&lt;&gt;")&gt;1),"DUPLICADO","OK"))</f>
      </c>
      <c r="AA68" s="3056">
        <f>IF(A68="","",IF(OR(LEN(Q68)&gt;180,LEN(R68)&gt;180,LEN(S68)&gt;180,LEN(T68)&gt;180),"CAMINHO LONGO","OK"))</f>
      </c>
      <c r="AB68" s="3056">
        <f>IF(A68="","",IF(U68="","",IFERROR(INT(U68-TODAY()),"")))</f>
      </c>
      <c r="AC68" s="3056">
        <f>IF(A68="","",IF(AND(T68="",U68=""),"",IF(T68="","SEM CAMINHO",IF(U68="","SEM DATA",IFERROR(IF(AB68&lt;15,"VERMELHO",IF(AB68&lt;=30,"AMARELO","VERDE")),"DATA INVALIDA")))))</f>
      </c>
      <c r="AD68" s="3056">
        <f>IF(OR(A68="",U68="",NOT(ISNUMBER(AB68))),"",RANK(AB68,$AB$3:$AB$164,1)+COUNTIFS($AB$3:AB68,AB68)-1)</f>
      </c>
      <c r="AE68" s="1736"/>
    </row>
    <row r="69" spans="1:19" ht="22.0" hidden="false" customHeight="true" x14ac:dyDescent="0.25">
      <c r="A69" s="3059" t="s">
        <v>165</v>
      </c>
      <c r="B69" s="3058" t="s">
        <v>162</v>
      </c>
      <c r="C69" s="3058" t="s">
        <v>163</v>
      </c>
      <c r="D69" s="3058" t="s">
        <v>166</v>
      </c>
      <c r="E69" s="3058"/>
      <c r="F69" s="3058" t="s">
        <v>167</v>
      </c>
      <c r="G69" s="3058" t="s">
        <v>13</v>
      </c>
      <c r="H69" s="3058" t="s">
        <v>14</v>
      </c>
      <c r="I69" s="3058"/>
      <c r="J69" s="3058"/>
      <c r="K69" s="3058"/>
      <c r="L69" s="3058"/>
      <c r="M69" s="3058" t="s">
        <v>385</v>
      </c>
      <c r="N69" s="3058" t="s">
        <v>362</v>
      </c>
      <c r="O69" s="3058" t="s">
        <v>362</v>
      </c>
      <c r="P69" s="3058"/>
      <c r="Q69" s="3061"/>
      <c r="R69" s="3061"/>
      <c r="S69" s="3061"/>
      <c r="T69" s="3061"/>
      <c r="U69" s="3062"/>
      <c r="V69" s="3058"/>
      <c r="W69" s="3058"/>
      <c r="X69" s="3056">
        <f>IF(A69="","",IF(LEN(SUBSTITUTE(SUBSTITUTE(SUBSTITUTE(SUBSTITUTE(D69,".",""),"/",""),"-","")," ",""))&lt;&gt;14,"CNPJ INVALIDO","OK"))</f>
      </c>
      <c r="Y69" s="3056">
        <f>IF(A69="","",IF(R69="","REST PENDENTE","REST OK"))</f>
      </c>
      <c r="Z69" s="3056">
        <f>IF(A69="","",IF(AND(R69&lt;&gt;"",COUNTIFS($D$3:$D$164,D69,$R$3:$R$164,"&lt;&gt;")&gt;1),"DUPLICADO","OK"))</f>
      </c>
      <c r="AA69" s="3056">
        <f>IF(A69="","",IF(OR(LEN(Q69)&gt;180,LEN(R69)&gt;180,LEN(S69)&gt;180,LEN(T69)&gt;180),"CAMINHO LONGO","OK"))</f>
      </c>
      <c r="AB69" s="3056">
        <f>IF(A69="","",IF(U69="","",IFERROR(INT(U69-TODAY()),"")))</f>
      </c>
      <c r="AC69" s="3056">
        <f>IF(A69="","",IF(AND(T69="",U69=""),"",IF(T69="","SEM CAMINHO",IF(U69="","SEM DATA",IFERROR(IF(AB69&lt;15,"VERMELHO",IF(AB69&lt;=30,"AMARELO","VERDE")),"DATA INVALIDA")))))</f>
      </c>
      <c r="AD69" s="3056">
        <f>IF(OR(A69="",U69="",NOT(ISNUMBER(AB69))),"",RANK(AB69,$AB$3:$AB$164,1)+COUNTIFS($AB$3:AB69,AB69)-1)</f>
      </c>
      <c r="AE69" s="1736"/>
    </row>
    <row r="70" spans="1:19" ht="22.0" hidden="false" customHeight="true" x14ac:dyDescent="0.25">
      <c r="A70" s="3064" t="s">
        <v>168</v>
      </c>
      <c r="B70" s="3063" t="s">
        <v>162</v>
      </c>
      <c r="C70" s="3063" t="s">
        <v>163</v>
      </c>
      <c r="D70" s="3063" t="s">
        <v>169</v>
      </c>
      <c r="E70" s="3063"/>
      <c r="F70" s="3063" t="s">
        <v>167</v>
      </c>
      <c r="G70" s="3063" t="s">
        <v>13</v>
      </c>
      <c r="H70" s="3063" t="s">
        <v>14</v>
      </c>
      <c r="I70" s="3063"/>
      <c r="J70" s="3063"/>
      <c r="K70" s="3063"/>
      <c r="L70" s="3063"/>
      <c r="M70" s="3063" t="s">
        <v>385</v>
      </c>
      <c r="N70" s="3063" t="s">
        <v>362</v>
      </c>
      <c r="O70" s="3063" t="s">
        <v>362</v>
      </c>
      <c r="P70" s="3063"/>
      <c r="Q70" s="3066"/>
      <c r="R70" s="3066"/>
      <c r="S70" s="3066"/>
      <c r="T70" s="3066"/>
      <c r="U70" s="3067"/>
      <c r="V70" s="3063"/>
      <c r="W70" s="3063"/>
      <c r="X70" s="3056">
        <f>IF(A70="","",IF(LEN(SUBSTITUTE(SUBSTITUTE(SUBSTITUTE(SUBSTITUTE(D70,".",""),"/",""),"-","")," ",""))&lt;&gt;14,"CNPJ INVALIDO","OK"))</f>
      </c>
      <c r="Y70" s="3056">
        <f>IF(A70="","",IF(R70="","REST PENDENTE","REST OK"))</f>
      </c>
      <c r="Z70" s="3056">
        <f>IF(A70="","",IF(AND(R70&lt;&gt;"",COUNTIFS($D$3:$D$164,D70,$R$3:$R$164,"&lt;&gt;")&gt;1),"DUPLICADO","OK"))</f>
      </c>
      <c r="AA70" s="3056">
        <f>IF(A70="","",IF(OR(LEN(Q70)&gt;180,LEN(R70)&gt;180,LEN(S70)&gt;180,LEN(T70)&gt;180),"CAMINHO LONGO","OK"))</f>
      </c>
      <c r="AB70" s="3056">
        <f>IF(A70="","",IF(U70="","",IFERROR(INT(U70-TODAY()),"")))</f>
      </c>
      <c r="AC70" s="3056">
        <f>IF(A70="","",IF(AND(T70="",U70=""),"",IF(T70="","SEM CAMINHO",IF(U70="","SEM DATA",IFERROR(IF(AB70&lt;15,"VERMELHO",IF(AB70&lt;=30,"AMARELO","VERDE")),"DATA INVALIDA")))))</f>
      </c>
      <c r="AD70" s="3056">
        <f>IF(OR(A70="",U70="",NOT(ISNUMBER(AB70))),"",RANK(AB70,$AB$3:$AB$164,1)+COUNTIFS($AB$3:AB70,AB70)-1)</f>
      </c>
      <c r="AE70" s="1736"/>
    </row>
    <row r="71" spans="1:19" ht="22.0" hidden="false" customHeight="true" x14ac:dyDescent="0.25">
      <c r="A71" s="3059" t="s">
        <v>170</v>
      </c>
      <c r="B71" s="3058" t="s">
        <v>162</v>
      </c>
      <c r="C71" s="3058" t="s">
        <v>163</v>
      </c>
      <c r="D71" s="3058" t="s">
        <v>171</v>
      </c>
      <c r="E71" s="3058"/>
      <c r="F71" s="3058" t="s">
        <v>167</v>
      </c>
      <c r="G71" s="3058" t="s">
        <v>13</v>
      </c>
      <c r="H71" s="3058" t="s">
        <v>14</v>
      </c>
      <c r="I71" s="3058"/>
      <c r="J71" s="3058"/>
      <c r="K71" s="3058"/>
      <c r="L71" s="3058"/>
      <c r="M71" s="3058" t="s">
        <v>385</v>
      </c>
      <c r="N71" s="3058" t="s">
        <v>362</v>
      </c>
      <c r="O71" s="3058" t="s">
        <v>362</v>
      </c>
      <c r="P71" s="3058"/>
      <c r="Q71" s="3061"/>
      <c r="R71" s="3061"/>
      <c r="S71" s="3061"/>
      <c r="T71" s="3061"/>
      <c r="U71" s="3062"/>
      <c r="V71" s="3058"/>
      <c r="W71" s="3058"/>
      <c r="X71" s="3056">
        <f>IF(A71="","",IF(LEN(SUBSTITUTE(SUBSTITUTE(SUBSTITUTE(SUBSTITUTE(D71,".",""),"/",""),"-","")," ",""))&lt;&gt;14,"CNPJ INVALIDO","OK"))</f>
      </c>
      <c r="Y71" s="3056">
        <f>IF(A71="","",IF(R71="","REST PENDENTE","REST OK"))</f>
      </c>
      <c r="Z71" s="3056">
        <f>IF(A71="","",IF(AND(R71&lt;&gt;"",COUNTIFS($D$3:$D$164,D71,$R$3:$R$164,"&lt;&gt;")&gt;1),"DUPLICADO","OK"))</f>
      </c>
      <c r="AA71" s="3056">
        <f>IF(A71="","",IF(OR(LEN(Q71)&gt;180,LEN(R71)&gt;180,LEN(S71)&gt;180,LEN(T71)&gt;180),"CAMINHO LONGO","OK"))</f>
      </c>
      <c r="AB71" s="3056">
        <f>IF(A71="","",IF(U71="","",IFERROR(INT(U71-TODAY()),"")))</f>
      </c>
      <c r="AC71" s="3056">
        <f>IF(A71="","",IF(AND(T71="",U71=""),"",IF(T71="","SEM CAMINHO",IF(U71="","SEM DATA",IFERROR(IF(AB71&lt;15,"VERMELHO",IF(AB71&lt;=30,"AMARELO","VERDE")),"DATA INVALIDA")))))</f>
      </c>
      <c r="AD71" s="3056">
        <f>IF(OR(A71="",U71="",NOT(ISNUMBER(AB71))),"",RANK(AB71,$AB$3:$AB$164,1)+COUNTIFS($AB$3:AB71,AB71)-1)</f>
      </c>
      <c r="AE71" s="1736"/>
    </row>
    <row r="72" spans="1:19" ht="22.0" hidden="false" customHeight="true" x14ac:dyDescent="0.25">
      <c r="A72" s="3064" t="s">
        <v>172</v>
      </c>
      <c r="B72" s="3063" t="s">
        <v>162</v>
      </c>
      <c r="C72" s="3063" t="s">
        <v>163</v>
      </c>
      <c r="D72" s="3063" t="s">
        <v>173</v>
      </c>
      <c r="E72" s="3063"/>
      <c r="F72" s="3063" t="s">
        <v>167</v>
      </c>
      <c r="G72" s="3063" t="s">
        <v>13</v>
      </c>
      <c r="H72" s="3063" t="s">
        <v>14</v>
      </c>
      <c r="I72" s="3063"/>
      <c r="J72" s="3063"/>
      <c r="K72" s="3063"/>
      <c r="L72" s="3063"/>
      <c r="M72" s="3063" t="s">
        <v>385</v>
      </c>
      <c r="N72" s="3063" t="s">
        <v>362</v>
      </c>
      <c r="O72" s="3063" t="s">
        <v>362</v>
      </c>
      <c r="P72" s="3063"/>
      <c r="Q72" s="3066"/>
      <c r="R72" s="3066"/>
      <c r="S72" s="3066"/>
      <c r="T72" s="3066"/>
      <c r="U72" s="3067"/>
      <c r="V72" s="3063"/>
      <c r="W72" s="3063"/>
      <c r="X72" s="3056">
        <f>IF(A72="","",IF(LEN(SUBSTITUTE(SUBSTITUTE(SUBSTITUTE(SUBSTITUTE(D72,".",""),"/",""),"-","")," ",""))&lt;&gt;14,"CNPJ INVALIDO","OK"))</f>
      </c>
      <c r="Y72" s="3056">
        <f>IF(A72="","",IF(R72="","REST PENDENTE","REST OK"))</f>
      </c>
      <c r="Z72" s="3056">
        <f>IF(A72="","",IF(AND(R72&lt;&gt;"",COUNTIFS($D$3:$D$164,D72,$R$3:$R$164,"&lt;&gt;")&gt;1),"DUPLICADO","OK"))</f>
      </c>
      <c r="AA72" s="3056">
        <f>IF(A72="","",IF(OR(LEN(Q72)&gt;180,LEN(R72)&gt;180,LEN(S72)&gt;180,LEN(T72)&gt;180),"CAMINHO LONGO","OK"))</f>
      </c>
      <c r="AB72" s="3056">
        <f>IF(A72="","",IF(U72="","",IFERROR(INT(U72-TODAY()),"")))</f>
      </c>
      <c r="AC72" s="3056">
        <f>IF(A72="","",IF(AND(T72="",U72=""),"",IF(T72="","SEM CAMINHO",IF(U72="","SEM DATA",IFERROR(IF(AB72&lt;15,"VERMELHO",IF(AB72&lt;=30,"AMARELO","VERDE")),"DATA INVALIDA")))))</f>
      </c>
      <c r="AD72" s="3056">
        <f>IF(OR(A72="",U72="",NOT(ISNUMBER(AB72))),"",RANK(AB72,$AB$3:$AB$164,1)+COUNTIFS($AB$3:AB72,AB72)-1)</f>
      </c>
      <c r="AE72" s="1736"/>
    </row>
    <row r="73" spans="1:19" ht="22.0" hidden="false" customHeight="true" x14ac:dyDescent="0.25">
      <c r="A73" s="3059" t="s">
        <v>174</v>
      </c>
      <c r="B73" s="3058" t="s">
        <v>162</v>
      </c>
      <c r="C73" s="3058" t="s">
        <v>163</v>
      </c>
      <c r="D73" s="3058" t="s">
        <v>175</v>
      </c>
      <c r="E73" s="3058"/>
      <c r="F73" s="3058" t="s">
        <v>167</v>
      </c>
      <c r="G73" s="3058" t="s">
        <v>13</v>
      </c>
      <c r="H73" s="3058" t="s">
        <v>14</v>
      </c>
      <c r="I73" s="3058"/>
      <c r="J73" s="3058"/>
      <c r="K73" s="3058"/>
      <c r="L73" s="3058"/>
      <c r="M73" s="3058" t="s">
        <v>385</v>
      </c>
      <c r="N73" s="3058" t="s">
        <v>362</v>
      </c>
      <c r="O73" s="3058" t="s">
        <v>362</v>
      </c>
      <c r="P73" s="3058"/>
      <c r="Q73" s="3061"/>
      <c r="R73" s="3061"/>
      <c r="S73" s="3061"/>
      <c r="T73" s="3061"/>
      <c r="U73" s="3062"/>
      <c r="V73" s="3058"/>
      <c r="W73" s="3058"/>
      <c r="X73" s="3056">
        <f>IF(A73="","",IF(LEN(SUBSTITUTE(SUBSTITUTE(SUBSTITUTE(SUBSTITUTE(D73,".",""),"/",""),"-","")," ",""))&lt;&gt;14,"CNPJ INVALIDO","OK"))</f>
      </c>
      <c r="Y73" s="3056">
        <f>IF(A73="","",IF(R73="","REST PENDENTE","REST OK"))</f>
      </c>
      <c r="Z73" s="3056">
        <f>IF(A73="","",IF(AND(R73&lt;&gt;"",COUNTIFS($D$3:$D$164,D73,$R$3:$R$164,"&lt;&gt;")&gt;1),"DUPLICADO","OK"))</f>
      </c>
      <c r="AA73" s="3056">
        <f>IF(A73="","",IF(OR(LEN(Q73)&gt;180,LEN(R73)&gt;180,LEN(S73)&gt;180,LEN(T73)&gt;180),"CAMINHO LONGO","OK"))</f>
      </c>
      <c r="AB73" s="3056">
        <f>IF(A73="","",IF(U73="","",IFERROR(INT(U73-TODAY()),"")))</f>
      </c>
      <c r="AC73" s="3056">
        <f>IF(A73="","",IF(AND(T73="",U73=""),"",IF(T73="","SEM CAMINHO",IF(U73="","SEM DATA",IFERROR(IF(AB73&lt;15,"VERMELHO",IF(AB73&lt;=30,"AMARELO","VERDE")),"DATA INVALIDA")))))</f>
      </c>
      <c r="AD73" s="3056">
        <f>IF(OR(A73="",U73="",NOT(ISNUMBER(AB73))),"",RANK(AB73,$AB$3:$AB$164,1)+COUNTIFS($AB$3:AB73,AB73)-1)</f>
      </c>
      <c r="AE73" s="1736"/>
    </row>
    <row r="74" spans="1:19" ht="22.0" hidden="false" customHeight="true" x14ac:dyDescent="0.25">
      <c r="A74" s="3064" t="s">
        <v>176</v>
      </c>
      <c r="B74" s="3063" t="s">
        <v>162</v>
      </c>
      <c r="C74" s="3063" t="s">
        <v>163</v>
      </c>
      <c r="D74" s="3063" t="s">
        <v>177</v>
      </c>
      <c r="E74" s="3063"/>
      <c r="F74" s="3063"/>
      <c r="G74" s="3063" t="s">
        <v>4</v>
      </c>
      <c r="H74" s="3063" t="s">
        <v>14</v>
      </c>
      <c r="I74" s="3063"/>
      <c r="J74" s="3063"/>
      <c r="K74" s="3063"/>
      <c r="L74" s="3063"/>
      <c r="M74" s="3063" t="s">
        <v>385</v>
      </c>
      <c r="N74" s="3063" t="s">
        <v>362</v>
      </c>
      <c r="O74" s="3063" t="s">
        <v>350</v>
      </c>
      <c r="P74" s="3063"/>
      <c r="Q74" s="3066"/>
      <c r="R74" s="3066"/>
      <c r="S74" s="3066"/>
      <c r="T74" s="3066"/>
      <c r="U74" s="3067"/>
      <c r="V74" s="3063"/>
      <c r="W74" s="3063"/>
      <c r="X74" s="3056">
        <f>IF(A74="","",IF(LEN(SUBSTITUTE(SUBSTITUTE(SUBSTITUTE(SUBSTITUTE(D74,".",""),"/",""),"-","")," ",""))&lt;&gt;14,"CNPJ INVALIDO","OK"))</f>
      </c>
      <c r="Y74" s="3056">
        <f>IF(A74="","",IF(R74="","REST PENDENTE","REST OK"))</f>
      </c>
      <c r="Z74" s="3056">
        <f>IF(A74="","",IF(AND(R74&lt;&gt;"",COUNTIFS($D$3:$D$164,D74,$R$3:$R$164,"&lt;&gt;")&gt;1),"DUPLICADO","OK"))</f>
      </c>
      <c r="AA74" s="3056">
        <f>IF(A74="","",IF(OR(LEN(Q74)&gt;180,LEN(R74)&gt;180,LEN(S74)&gt;180,LEN(T74)&gt;180),"CAMINHO LONGO","OK"))</f>
      </c>
      <c r="AB74" s="3056">
        <f>IF(A74="","",IF(U74="","",IFERROR(INT(U74-TODAY()),"")))</f>
      </c>
      <c r="AC74" s="3056">
        <f>IF(A74="","",IF(AND(T74="",U74=""),"",IF(T74="","SEM CAMINHO",IF(U74="","SEM DATA",IFERROR(IF(AB74&lt;15,"VERMELHO",IF(AB74&lt;=30,"AMARELO","VERDE")),"DATA INVALIDA")))))</f>
      </c>
      <c r="AD74" s="3056">
        <f>IF(OR(A74="",U74="",NOT(ISNUMBER(AB74))),"",RANK(AB74,$AB$3:$AB$164,1)+COUNTIFS($AB$3:AB74,AB74)-1)</f>
      </c>
      <c r="AE74" s="1736"/>
    </row>
    <row r="75" spans="1:19" ht="22.0" hidden="false" customHeight="true" x14ac:dyDescent="0.25">
      <c r="A75" s="3059" t="s">
        <v>178</v>
      </c>
      <c r="B75" s="3058" t="s">
        <v>162</v>
      </c>
      <c r="C75" s="3058" t="s">
        <v>163</v>
      </c>
      <c r="D75" s="3058" t="s">
        <v>179</v>
      </c>
      <c r="E75" s="3058"/>
      <c r="F75" s="3058"/>
      <c r="G75" s="3058" t="s">
        <v>4</v>
      </c>
      <c r="H75" s="3058" t="s">
        <v>14</v>
      </c>
      <c r="I75" s="3058"/>
      <c r="J75" s="3058"/>
      <c r="K75" s="3058"/>
      <c r="L75" s="3058"/>
      <c r="M75" s="3058" t="s">
        <v>385</v>
      </c>
      <c r="N75" s="3058" t="s">
        <v>362</v>
      </c>
      <c r="O75" s="3058" t="s">
        <v>350</v>
      </c>
      <c r="P75" s="3058"/>
      <c r="Q75" s="3061"/>
      <c r="R75" s="3061"/>
      <c r="S75" s="3061"/>
      <c r="T75" s="3061"/>
      <c r="U75" s="3062"/>
      <c r="V75" s="3058"/>
      <c r="W75" s="3058"/>
      <c r="X75" s="3056">
        <f>IF(A75="","",IF(LEN(SUBSTITUTE(SUBSTITUTE(SUBSTITUTE(SUBSTITUTE(D75,".",""),"/",""),"-","")," ",""))&lt;&gt;14,"CNPJ INVALIDO","OK"))</f>
      </c>
      <c r="Y75" s="3056">
        <f>IF(A75="","",IF(R75="","REST PENDENTE","REST OK"))</f>
      </c>
      <c r="Z75" s="3056">
        <f>IF(A75="","",IF(AND(R75&lt;&gt;"",COUNTIFS($D$3:$D$164,D75,$R$3:$R$164,"&lt;&gt;")&gt;1),"DUPLICADO","OK"))</f>
      </c>
      <c r="AA75" s="3056">
        <f>IF(A75="","",IF(OR(LEN(Q75)&gt;180,LEN(R75)&gt;180,LEN(S75)&gt;180,LEN(T75)&gt;180),"CAMINHO LONGO","OK"))</f>
      </c>
      <c r="AB75" s="3056">
        <f>IF(A75="","",IF(U75="","",IFERROR(INT(U75-TODAY()),"")))</f>
      </c>
      <c r="AC75" s="3056">
        <f>IF(A75="","",IF(AND(T75="",U75=""),"",IF(T75="","SEM CAMINHO",IF(U75="","SEM DATA",IFERROR(IF(AB75&lt;15,"VERMELHO",IF(AB75&lt;=30,"AMARELO","VERDE")),"DATA INVALIDA")))))</f>
      </c>
      <c r="AD75" s="3056">
        <f>IF(OR(A75="",U75="",NOT(ISNUMBER(AB75))),"",RANK(AB75,$AB$3:$AB$164,1)+COUNTIFS($AB$3:AB75,AB75)-1)</f>
      </c>
      <c r="AE75" s="1736"/>
    </row>
    <row r="76" spans="1:19" ht="22.0" hidden="false" customHeight="true" x14ac:dyDescent="0.25">
      <c r="A76" s="3064" t="s">
        <v>180</v>
      </c>
      <c r="B76" s="3063" t="s">
        <v>9</v>
      </c>
      <c r="C76" s="3063" t="s">
        <v>24</v>
      </c>
      <c r="D76" s="3063">
        <v>10977876000146</v>
      </c>
      <c r="E76" s="3063"/>
      <c r="F76" s="3063" t="s">
        <v>12</v>
      </c>
      <c r="G76" s="3063" t="s">
        <v>4</v>
      </c>
      <c r="H76" s="3063" t="s">
        <v>5</v>
      </c>
      <c r="I76" s="3063"/>
      <c r="J76" s="3063"/>
      <c r="K76" s="3063"/>
      <c r="L76" s="3063"/>
      <c r="M76" s="3063" t="s">
        <v>385</v>
      </c>
      <c r="N76" s="3063"/>
      <c r="O76" s="3063" t="s">
        <v>351</v>
      </c>
      <c r="P76" s="3063"/>
      <c r="Q76" s="3066"/>
      <c r="R76" s="3066"/>
      <c r="S76" s="3066"/>
      <c r="T76" s="3066"/>
      <c r="U76" s="3067"/>
      <c r="V76" s="3063"/>
      <c r="W76" s="3063"/>
      <c r="X76" s="3056">
        <f>IF(A76="","",IF(LEN(SUBSTITUTE(SUBSTITUTE(SUBSTITUTE(SUBSTITUTE(D76,".",""),"/",""),"-","")," ",""))&lt;&gt;14,"CNPJ INVALIDO","OK"))</f>
      </c>
      <c r="Y76" s="3056">
        <f>IF(A76="","",IF(R76="","REST PENDENTE","REST OK"))</f>
      </c>
      <c r="Z76" s="3056">
        <f>IF(A76="","",IF(AND(R76&lt;&gt;"",COUNTIFS($D$3:$D$164,D76,$R$3:$R$164,"&lt;&gt;")&gt;1),"DUPLICADO","OK"))</f>
      </c>
      <c r="AA76" s="3056">
        <f>IF(A76="","",IF(OR(LEN(Q76)&gt;180,LEN(R76)&gt;180,LEN(S76)&gt;180,LEN(T76)&gt;180),"CAMINHO LONGO","OK"))</f>
      </c>
      <c r="AB76" s="3056">
        <f>IF(A76="","",IF(U76="","",IFERROR(INT(U76-TODAY()),"")))</f>
      </c>
      <c r="AC76" s="3056">
        <f>IF(A76="","",IF(AND(T76="",U76=""),"",IF(T76="","SEM CAMINHO",IF(U76="","SEM DATA",IFERROR(IF(AB76&lt;15,"VERMELHO",IF(AB76&lt;=30,"AMARELO","VERDE")),"DATA INVALIDA")))))</f>
      </c>
      <c r="AD76" s="3056">
        <f>IF(OR(A76="",U76="",NOT(ISNUMBER(AB76))),"",RANK(AB76,$AB$3:$AB$164,1)+COUNTIFS($AB$3:AB76,AB76)-1)</f>
      </c>
      <c r="AE76" s="1736"/>
    </row>
    <row r="77" spans="1:19" ht="22.0" hidden="false" customHeight="true" x14ac:dyDescent="0.25">
      <c r="A77" s="3059" t="s">
        <v>181</v>
      </c>
      <c r="B77" s="3058" t="s">
        <v>182</v>
      </c>
      <c r="C77" s="3058" t="s">
        <v>79</v>
      </c>
      <c r="D77" s="3058" t="s">
        <v>183</v>
      </c>
      <c r="E77" s="3058"/>
      <c r="F77" s="3058" t="s">
        <v>184</v>
      </c>
      <c r="G77" s="3058" t="s">
        <v>13</v>
      </c>
      <c r="H77" s="3058" t="s">
        <v>5</v>
      </c>
      <c r="I77" s="3058"/>
      <c r="J77" s="3058"/>
      <c r="K77" s="3058"/>
      <c r="L77" s="3058"/>
      <c r="M77" s="3058" t="s">
        <v>375</v>
      </c>
      <c r="N77" s="3058"/>
      <c r="O77" s="3058" t="s">
        <v>351</v>
      </c>
      <c r="P77" s="3058"/>
      <c r="Q77" s="3061"/>
      <c r="R77" s="3061"/>
      <c r="S77" s="3061"/>
      <c r="T77" s="3061"/>
      <c r="U77" s="3062"/>
      <c r="V77" s="3058"/>
      <c r="W77" s="3058"/>
      <c r="X77" s="3056">
        <f>IF(A77="","",IF(LEN(SUBSTITUTE(SUBSTITUTE(SUBSTITUTE(SUBSTITUTE(D77,".",""),"/",""),"-","")," ",""))&lt;&gt;14,"CNPJ INVALIDO","OK"))</f>
      </c>
      <c r="Y77" s="3056">
        <f>IF(A77="","",IF(R77="","REST PENDENTE","REST OK"))</f>
      </c>
      <c r="Z77" s="3056">
        <f>IF(A77="","",IF(AND(R77&lt;&gt;"",COUNTIFS($D$3:$D$164,D77,$R$3:$R$164,"&lt;&gt;")&gt;1),"DUPLICADO","OK"))</f>
      </c>
      <c r="AA77" s="3056">
        <f>IF(A77="","",IF(OR(LEN(Q77)&gt;180,LEN(R77)&gt;180,LEN(S77)&gt;180,LEN(T77)&gt;180),"CAMINHO LONGO","OK"))</f>
      </c>
      <c r="AB77" s="3056">
        <f>IF(A77="","",IF(U77="","",IFERROR(INT(U77-TODAY()),"")))</f>
      </c>
      <c r="AC77" s="3056">
        <f>IF(A77="","",IF(AND(T77="",U77=""),"",IF(T77="","SEM CAMINHO",IF(U77="","SEM DATA",IFERROR(IF(AB77&lt;15,"VERMELHO",IF(AB77&lt;=30,"AMARELO","VERDE")),"DATA INVALIDA")))))</f>
      </c>
      <c r="AD77" s="3056">
        <f>IF(OR(A77="",U77="",NOT(ISNUMBER(AB77))),"",RANK(AB77,$AB$3:$AB$164,1)+COUNTIFS($AB$3:AB77,AB77)-1)</f>
      </c>
      <c r="AE77" s="1736"/>
    </row>
    <row r="78" spans="1:19" ht="22.0" hidden="false" customHeight="true" x14ac:dyDescent="0.25">
      <c r="A78" s="3064" t="s">
        <v>185</v>
      </c>
      <c r="B78" s="3063" t="s">
        <v>182</v>
      </c>
      <c r="C78" s="3063" t="s">
        <v>79</v>
      </c>
      <c r="D78" s="3063" t="s">
        <v>186</v>
      </c>
      <c r="E78" s="3063"/>
      <c r="F78" s="3063" t="s">
        <v>184</v>
      </c>
      <c r="G78" s="3063" t="s">
        <v>13</v>
      </c>
      <c r="H78" s="3063" t="s">
        <v>14</v>
      </c>
      <c r="I78" s="3063"/>
      <c r="J78" s="3063"/>
      <c r="K78" s="3063"/>
      <c r="L78" s="3063"/>
      <c r="M78" s="3063" t="s">
        <v>355</v>
      </c>
      <c r="N78" s="3063"/>
      <c r="O78" s="3063" t="s">
        <v>354</v>
      </c>
      <c r="P78" s="3063"/>
      <c r="Q78" s="3066"/>
      <c r="R78" s="3066"/>
      <c r="S78" s="3066"/>
      <c r="T78" s="3066"/>
      <c r="U78" s="3067"/>
      <c r="V78" s="3063"/>
      <c r="W78" s="3063"/>
      <c r="X78" s="3056">
        <f>IF(A78="","",IF(LEN(SUBSTITUTE(SUBSTITUTE(SUBSTITUTE(SUBSTITUTE(D78,".",""),"/",""),"-","")," ",""))&lt;&gt;14,"CNPJ INVALIDO","OK"))</f>
      </c>
      <c r="Y78" s="3056">
        <f>IF(A78="","",IF(R78="","REST PENDENTE","REST OK"))</f>
      </c>
      <c r="Z78" s="3056">
        <f>IF(A78="","",IF(AND(R78&lt;&gt;"",COUNTIFS($D$3:$D$164,D78,$R$3:$R$164,"&lt;&gt;")&gt;1),"DUPLICADO","OK"))</f>
      </c>
      <c r="AA78" s="3056">
        <f>IF(A78="","",IF(OR(LEN(Q78)&gt;180,LEN(R78)&gt;180,LEN(S78)&gt;180,LEN(T78)&gt;180),"CAMINHO LONGO","OK"))</f>
      </c>
      <c r="AB78" s="3056">
        <f>IF(A78="","",IF(U78="","",IFERROR(INT(U78-TODAY()),"")))</f>
      </c>
      <c r="AC78" s="3056">
        <f>IF(A78="","",IF(AND(T78="",U78=""),"",IF(T78="","SEM CAMINHO",IF(U78="","SEM DATA",IFERROR(IF(AB78&lt;15,"VERMELHO",IF(AB78&lt;=30,"AMARELO","VERDE")),"DATA INVALIDA")))))</f>
      </c>
      <c r="AD78" s="3056">
        <f>IF(OR(A78="",U78="",NOT(ISNUMBER(AB78))),"",RANK(AB78,$AB$3:$AB$164,1)+COUNTIFS($AB$3:AB78,AB78)-1)</f>
      </c>
      <c r="AE78" s="1736"/>
    </row>
    <row r="79" spans="1:19" ht="22.0" hidden="false" customHeight="true" x14ac:dyDescent="0.25">
      <c r="A79" s="3059" t="s">
        <v>187</v>
      </c>
      <c r="B79" s="3058" t="s">
        <v>188</v>
      </c>
      <c r="C79" s="3058" t="s">
        <v>62</v>
      </c>
      <c r="D79" s="3058">
        <v>40920539000183</v>
      </c>
      <c r="E79" s="3058"/>
      <c r="F79" s="3058" t="s">
        <v>189</v>
      </c>
      <c r="G79" s="3058" t="s">
        <v>4</v>
      </c>
      <c r="H79" s="3058" t="s">
        <v>5</v>
      </c>
      <c r="I79" s="3058"/>
      <c r="J79" s="3058"/>
      <c r="K79" s="3058"/>
      <c r="L79" s="3058"/>
      <c r="M79" s="3058" t="s">
        <v>385</v>
      </c>
      <c r="N79" s="3058"/>
      <c r="O79" s="3058"/>
      <c r="P79" s="3058"/>
      <c r="Q79" s="3061"/>
      <c r="R79" s="3061"/>
      <c r="S79" s="3061"/>
      <c r="T79" s="3061"/>
      <c r="U79" s="3062"/>
      <c r="V79" s="3058"/>
      <c r="W79" s="3058"/>
      <c r="X79" s="3056">
        <f>IF(A79="","",IF(LEN(SUBSTITUTE(SUBSTITUTE(SUBSTITUTE(SUBSTITUTE(D79,".",""),"/",""),"-","")," ",""))&lt;&gt;14,"CNPJ INVALIDO","OK"))</f>
      </c>
      <c r="Y79" s="3056">
        <f>IF(A79="","",IF(R79="","REST PENDENTE","REST OK"))</f>
      </c>
      <c r="Z79" s="3056">
        <f>IF(A79="","",IF(AND(R79&lt;&gt;"",COUNTIFS($D$3:$D$164,D79,$R$3:$R$164,"&lt;&gt;")&gt;1),"DUPLICADO","OK"))</f>
      </c>
      <c r="AA79" s="3056">
        <f>IF(A79="","",IF(OR(LEN(Q79)&gt;180,LEN(R79)&gt;180,LEN(S79)&gt;180,LEN(T79)&gt;180),"CAMINHO LONGO","OK"))</f>
      </c>
      <c r="AB79" s="3056">
        <f>IF(A79="","",IF(U79="","",IFERROR(INT(U79-TODAY()),"")))</f>
      </c>
      <c r="AC79" s="3056">
        <f>IF(A79="","",IF(AND(T79="",U79=""),"",IF(T79="","SEM CAMINHO",IF(U79="","SEM DATA",IFERROR(IF(AB79&lt;15,"VERMELHO",IF(AB79&lt;=30,"AMARELO","VERDE")),"DATA INVALIDA")))))</f>
      </c>
      <c r="AD79" s="3056">
        <f>IF(OR(A79="",U79="",NOT(ISNUMBER(AB79))),"",RANK(AB79,$AB$3:$AB$164,1)+COUNTIFS($AB$3:AB79,AB79)-1)</f>
      </c>
      <c r="AE79" s="1736"/>
    </row>
    <row r="80" spans="1:19" ht="22.0" hidden="false" customHeight="true" x14ac:dyDescent="0.25">
      <c r="A80" s="3064" t="s">
        <v>190</v>
      </c>
      <c r="B80" s="3063" t="s">
        <v>188</v>
      </c>
      <c r="C80" s="3063" t="s">
        <v>69</v>
      </c>
      <c r="D80" s="3063" t="s">
        <v>191</v>
      </c>
      <c r="E80" s="3063"/>
      <c r="F80" s="3063" t="s">
        <v>189</v>
      </c>
      <c r="G80" s="3063" t="s">
        <v>41</v>
      </c>
      <c r="H80" s="3063" t="s">
        <v>5</v>
      </c>
      <c r="I80" s="3063"/>
      <c r="J80" s="3063"/>
      <c r="K80" s="3063"/>
      <c r="L80" s="3063"/>
      <c r="M80" s="3063" t="s">
        <v>379</v>
      </c>
      <c r="N80" s="3063"/>
      <c r="O80" s="3063" t="s">
        <v>350</v>
      </c>
      <c r="P80" s="3063"/>
      <c r="Q80" s="3066"/>
      <c r="R80" s="3066"/>
      <c r="S80" s="3066"/>
      <c r="T80" s="3066"/>
      <c r="U80" s="3067"/>
      <c r="V80" s="3063"/>
      <c r="W80" s="3063"/>
      <c r="X80" s="3056">
        <f>IF(A80="","",IF(LEN(SUBSTITUTE(SUBSTITUTE(SUBSTITUTE(SUBSTITUTE(D80,".",""),"/",""),"-","")," ",""))&lt;&gt;14,"CNPJ INVALIDO","OK"))</f>
      </c>
      <c r="Y80" s="3056">
        <f>IF(A80="","",IF(R80="","REST PENDENTE","REST OK"))</f>
      </c>
      <c r="Z80" s="3056">
        <f>IF(A80="","",IF(AND(R80&lt;&gt;"",COUNTIFS($D$3:$D$164,D80,$R$3:$R$164,"&lt;&gt;")&gt;1),"DUPLICADO","OK"))</f>
      </c>
      <c r="AA80" s="3056">
        <f>IF(A80="","",IF(OR(LEN(Q80)&gt;180,LEN(R80)&gt;180,LEN(S80)&gt;180,LEN(T80)&gt;180),"CAMINHO LONGO","OK"))</f>
      </c>
      <c r="AB80" s="3056">
        <f>IF(A80="","",IF(U80="","",IFERROR(INT(U80-TODAY()),"")))</f>
      </c>
      <c r="AC80" s="3056">
        <f>IF(A80="","",IF(AND(T80="",U80=""),"",IF(T80="","SEM CAMINHO",IF(U80="","SEM DATA",IFERROR(IF(AB80&lt;15,"VERMELHO",IF(AB80&lt;=30,"AMARELO","VERDE")),"DATA INVALIDA")))))</f>
      </c>
      <c r="AD80" s="3056">
        <f>IF(OR(A80="",U80="",NOT(ISNUMBER(AB80))),"",RANK(AB80,$AB$3:$AB$164,1)+COUNTIFS($AB$3:AB80,AB80)-1)</f>
      </c>
      <c r="AE80" s="1736"/>
    </row>
    <row r="81" spans="1:19" ht="22.0" hidden="false" customHeight="true" x14ac:dyDescent="0.25">
      <c r="A81" s="3059" t="s">
        <v>192</v>
      </c>
      <c r="B81" s="3058" t="s">
        <v>188</v>
      </c>
      <c r="C81" s="3058" t="s">
        <v>69</v>
      </c>
      <c r="D81" s="3058" t="s">
        <v>193</v>
      </c>
      <c r="E81" s="3058"/>
      <c r="F81" s="3058" t="s">
        <v>189</v>
      </c>
      <c r="G81" s="3058" t="s">
        <v>13</v>
      </c>
      <c r="H81" s="3058" t="s">
        <v>14</v>
      </c>
      <c r="I81" s="3058"/>
      <c r="J81" s="3058"/>
      <c r="K81" s="3058"/>
      <c r="L81" s="3058"/>
      <c r="M81" s="3058" t="s">
        <v>386</v>
      </c>
      <c r="N81" s="3058"/>
      <c r="O81" s="3058" t="s">
        <v>347</v>
      </c>
      <c r="P81" s="3058"/>
      <c r="Q81" s="3061"/>
      <c r="R81" s="3061"/>
      <c r="S81" s="3061"/>
      <c r="T81" s="3061"/>
      <c r="U81" s="3062"/>
      <c r="V81" s="3058"/>
      <c r="W81" s="3058"/>
      <c r="X81" s="3056">
        <f>IF(A81="","",IF(LEN(SUBSTITUTE(SUBSTITUTE(SUBSTITUTE(SUBSTITUTE(D81,".",""),"/",""),"-","")," ",""))&lt;&gt;14,"CNPJ INVALIDO","OK"))</f>
      </c>
      <c r="Y81" s="3056">
        <f>IF(A81="","",IF(R81="","REST PENDENTE","REST OK"))</f>
      </c>
      <c r="Z81" s="3056">
        <f>IF(A81="","",IF(AND(R81&lt;&gt;"",COUNTIFS($D$3:$D$164,D81,$R$3:$R$164,"&lt;&gt;")&gt;1),"DUPLICADO","OK"))</f>
      </c>
      <c r="AA81" s="3056">
        <f>IF(A81="","",IF(OR(LEN(Q81)&gt;180,LEN(R81)&gt;180,LEN(S81)&gt;180,LEN(T81)&gt;180),"CAMINHO LONGO","OK"))</f>
      </c>
      <c r="AB81" s="3056">
        <f>IF(A81="","",IF(U81="","",IFERROR(INT(U81-TODAY()),"")))</f>
      </c>
      <c r="AC81" s="3056">
        <f>IF(A81="","",IF(AND(T81="",U81=""),"",IF(T81="","SEM CAMINHO",IF(U81="","SEM DATA",IFERROR(IF(AB81&lt;15,"VERMELHO",IF(AB81&lt;=30,"AMARELO","VERDE")),"DATA INVALIDA")))))</f>
      </c>
      <c r="AD81" s="3056">
        <f>IF(OR(A81="",U81="",NOT(ISNUMBER(AB81))),"",RANK(AB81,$AB$3:$AB$164,1)+COUNTIFS($AB$3:AB81,AB81)-1)</f>
      </c>
      <c r="AE81" s="1736"/>
    </row>
    <row r="82" spans="1:19" ht="22.0" hidden="false" customHeight="true" x14ac:dyDescent="0.25">
      <c r="A82" s="3064" t="s">
        <v>194</v>
      </c>
      <c r="B82" s="3063" t="s">
        <v>1</v>
      </c>
      <c r="C82" s="3063" t="s">
        <v>195</v>
      </c>
      <c r="D82" s="3063" t="s">
        <v>196</v>
      </c>
      <c r="E82" s="3063"/>
      <c r="F82" s="3063" t="s">
        <v>3</v>
      </c>
      <c r="G82" s="3063" t="s">
        <v>197</v>
      </c>
      <c r="H82" s="3063" t="s">
        <v>49</v>
      </c>
      <c r="I82" s="3063"/>
      <c r="J82" s="3063"/>
      <c r="K82" s="3063"/>
      <c r="L82" s="3063"/>
      <c r="M82" s="3063" t="s">
        <v>376</v>
      </c>
      <c r="N82" s="3063" t="s">
        <v>361</v>
      </c>
      <c r="O82" s="3063" t="s">
        <v>351</v>
      </c>
      <c r="P82" s="3063"/>
      <c r="Q82" s="3066"/>
      <c r="R82" s="3066"/>
      <c r="S82" s="3066"/>
      <c r="T82" s="3066"/>
      <c r="U82" s="3067"/>
      <c r="V82" s="3063"/>
      <c r="W82" s="3063"/>
      <c r="X82" s="3056">
        <f>IF(A82="","",IF(LEN(SUBSTITUTE(SUBSTITUTE(SUBSTITUTE(SUBSTITUTE(D82,".",""),"/",""),"-","")," ",""))&lt;&gt;14,"CNPJ INVALIDO","OK"))</f>
      </c>
      <c r="Y82" s="3056">
        <f>IF(A82="","",IF(R82="","REST PENDENTE","REST OK"))</f>
      </c>
      <c r="Z82" s="3056">
        <f>IF(A82="","",IF(AND(R82&lt;&gt;"",COUNTIFS($D$3:$D$164,D82,$R$3:$R$164,"&lt;&gt;")&gt;1),"DUPLICADO","OK"))</f>
      </c>
      <c r="AA82" s="3056">
        <f>IF(A82="","",IF(OR(LEN(Q82)&gt;180,LEN(R82)&gt;180,LEN(S82)&gt;180,LEN(T82)&gt;180),"CAMINHO LONGO","OK"))</f>
      </c>
      <c r="AB82" s="3056">
        <f>IF(A82="","",IF(U82="","",IFERROR(INT(U82-TODAY()),"")))</f>
      </c>
      <c r="AC82" s="3056">
        <f>IF(A82="","",IF(AND(T82="",U82=""),"",IF(T82="","SEM CAMINHO",IF(U82="","SEM DATA",IFERROR(IF(AB82&lt;15,"VERMELHO",IF(AB82&lt;=30,"AMARELO","VERDE")),"DATA INVALIDA")))))</f>
      </c>
      <c r="AD82" s="3056">
        <f>IF(OR(A82="",U82="",NOT(ISNUMBER(AB82))),"",RANK(AB82,$AB$3:$AB$164,1)+COUNTIFS($AB$3:AB82,AB82)-1)</f>
      </c>
      <c r="AE82" s="1736"/>
    </row>
    <row r="83" spans="1:19" ht="22.0" hidden="false" customHeight="true" x14ac:dyDescent="0.25">
      <c r="A83" s="3059" t="s">
        <v>198</v>
      </c>
      <c r="B83" s="3058" t="s">
        <v>1</v>
      </c>
      <c r="C83" s="3058" t="s">
        <v>195</v>
      </c>
      <c r="D83" s="3058" t="s">
        <v>199</v>
      </c>
      <c r="E83" s="3058"/>
      <c r="F83" s="3058" t="s">
        <v>3</v>
      </c>
      <c r="G83" s="3058" t="s">
        <v>4</v>
      </c>
      <c r="H83" s="3058" t="s">
        <v>49</v>
      </c>
      <c r="I83" s="3058"/>
      <c r="J83" s="3058"/>
      <c r="K83" s="3058"/>
      <c r="L83" s="3058"/>
      <c r="M83" s="3058" t="s">
        <v>376</v>
      </c>
      <c r="N83" s="3058" t="s">
        <v>361</v>
      </c>
      <c r="O83" s="3058" t="s">
        <v>351</v>
      </c>
      <c r="P83" s="3058"/>
      <c r="Q83" s="3061"/>
      <c r="R83" s="3061"/>
      <c r="S83" s="3061"/>
      <c r="T83" s="3061"/>
      <c r="U83" s="3062"/>
      <c r="V83" s="3058"/>
      <c r="W83" s="3058"/>
      <c r="X83" s="3056">
        <f>IF(A83="","",IF(LEN(SUBSTITUTE(SUBSTITUTE(SUBSTITUTE(SUBSTITUTE(D83,".",""),"/",""),"-","")," ",""))&lt;&gt;14,"CNPJ INVALIDO","OK"))</f>
      </c>
      <c r="Y83" s="3056">
        <f>IF(A83="","",IF(R83="","REST PENDENTE","REST OK"))</f>
      </c>
      <c r="Z83" s="3056">
        <f>IF(A83="","",IF(AND(R83&lt;&gt;"",COUNTIFS($D$3:$D$164,D83,$R$3:$R$164,"&lt;&gt;")&gt;1),"DUPLICADO","OK"))</f>
      </c>
      <c r="AA83" s="3056">
        <f>IF(A83="","",IF(OR(LEN(Q83)&gt;180,LEN(R83)&gt;180,LEN(S83)&gt;180,LEN(T83)&gt;180),"CAMINHO LONGO","OK"))</f>
      </c>
      <c r="AB83" s="3056">
        <f>IF(A83="","",IF(U83="","",IFERROR(INT(U83-TODAY()),"")))</f>
      </c>
      <c r="AC83" s="3056">
        <f>IF(A83="","",IF(AND(T83="",U83=""),"",IF(T83="","SEM CAMINHO",IF(U83="","SEM DATA",IFERROR(IF(AB83&lt;15,"VERMELHO",IF(AB83&lt;=30,"AMARELO","VERDE")),"DATA INVALIDA")))))</f>
      </c>
      <c r="AD83" s="3056">
        <f>IF(OR(A83="",U83="",NOT(ISNUMBER(AB83))),"",RANK(AB83,$AB$3:$AB$164,1)+COUNTIFS($AB$3:AB83,AB83)-1)</f>
      </c>
      <c r="AE83" s="1736"/>
    </row>
    <row r="84" spans="1:19" ht="22.0" hidden="false" customHeight="true" x14ac:dyDescent="0.25">
      <c r="A84" s="3064" t="s">
        <v>200</v>
      </c>
      <c r="B84" s="3063" t="s">
        <v>1</v>
      </c>
      <c r="C84" s="3063" t="s">
        <v>195</v>
      </c>
      <c r="D84" s="3063" t="s">
        <v>201</v>
      </c>
      <c r="E84" s="3063"/>
      <c r="F84" s="3063" t="s">
        <v>3</v>
      </c>
      <c r="G84" s="3063" t="s">
        <v>4</v>
      </c>
      <c r="H84" s="3063" t="s">
        <v>49</v>
      </c>
      <c r="I84" s="3063"/>
      <c r="J84" s="3063"/>
      <c r="K84" s="3063"/>
      <c r="L84" s="3063"/>
      <c r="M84" s="3063" t="s">
        <v>376</v>
      </c>
      <c r="N84" s="3063" t="s">
        <v>361</v>
      </c>
      <c r="O84" s="3063" t="s">
        <v>351</v>
      </c>
      <c r="P84" s="3063"/>
      <c r="Q84" s="3066"/>
      <c r="R84" s="3066"/>
      <c r="S84" s="3066"/>
      <c r="T84" s="3066"/>
      <c r="U84" s="3067"/>
      <c r="V84" s="3063"/>
      <c r="W84" s="3063"/>
      <c r="X84" s="3056">
        <f>IF(A84="","",IF(LEN(SUBSTITUTE(SUBSTITUTE(SUBSTITUTE(SUBSTITUTE(D84,".",""),"/",""),"-","")," ",""))&lt;&gt;14,"CNPJ INVALIDO","OK"))</f>
      </c>
      <c r="Y84" s="3056">
        <f>IF(A84="","",IF(R84="","REST PENDENTE","REST OK"))</f>
      </c>
      <c r="Z84" s="3056">
        <f>IF(A84="","",IF(AND(R84&lt;&gt;"",COUNTIFS($D$3:$D$164,D84,$R$3:$R$164,"&lt;&gt;")&gt;1),"DUPLICADO","OK"))</f>
      </c>
      <c r="AA84" s="3056">
        <f>IF(A84="","",IF(OR(LEN(Q84)&gt;180,LEN(R84)&gt;180,LEN(S84)&gt;180,LEN(T84)&gt;180),"CAMINHO LONGO","OK"))</f>
      </c>
      <c r="AB84" s="3056">
        <f>IF(A84="","",IF(U84="","",IFERROR(INT(U84-TODAY()),"")))</f>
      </c>
      <c r="AC84" s="3056">
        <f>IF(A84="","",IF(AND(T84="",U84=""),"",IF(T84="","SEM CAMINHO",IF(U84="","SEM DATA",IFERROR(IF(AB84&lt;15,"VERMELHO",IF(AB84&lt;=30,"AMARELO","VERDE")),"DATA INVALIDA")))))</f>
      </c>
      <c r="AD84" s="3056">
        <f>IF(OR(A84="",U84="",NOT(ISNUMBER(AB84))),"",RANK(AB84,$AB$3:$AB$164,1)+COUNTIFS($AB$3:AB84,AB84)-1)</f>
      </c>
      <c r="AE84" s="1736"/>
    </row>
    <row r="85" spans="1:19" ht="22.0" hidden="false" customHeight="true" x14ac:dyDescent="0.25">
      <c r="A85" s="3059" t="s">
        <v>202</v>
      </c>
      <c r="B85" s="3058" t="s">
        <v>203</v>
      </c>
      <c r="C85" s="3058" t="s">
        <v>204</v>
      </c>
      <c r="D85" s="3058">
        <v>48579725000102</v>
      </c>
      <c r="E85" s="3058"/>
      <c r="F85" s="3058" t="s">
        <v>205</v>
      </c>
      <c r="G85" s="3058" t="s">
        <v>13</v>
      </c>
      <c r="H85" s="3058" t="s">
        <v>5</v>
      </c>
      <c r="I85" s="3058"/>
      <c r="J85" s="3058"/>
      <c r="K85" s="3058"/>
      <c r="L85" s="3058"/>
      <c r="M85" s="3058" t="s">
        <v>379</v>
      </c>
      <c r="N85" s="3058"/>
      <c r="O85" s="3058" t="s">
        <v>356</v>
      </c>
      <c r="P85" s="3058"/>
      <c r="Q85" s="3061"/>
      <c r="R85" s="3061"/>
      <c r="S85" s="3061"/>
      <c r="T85" s="3061"/>
      <c r="U85" s="3062"/>
      <c r="V85" s="3058"/>
      <c r="W85" s="3058"/>
      <c r="X85" s="3056">
        <f>IF(A85="","",IF(LEN(SUBSTITUTE(SUBSTITUTE(SUBSTITUTE(SUBSTITUTE(D85,".",""),"/",""),"-","")," ",""))&lt;&gt;14,"CNPJ INVALIDO","OK"))</f>
      </c>
      <c r="Y85" s="3056">
        <f>IF(A85="","",IF(R85="","REST PENDENTE","REST OK"))</f>
      </c>
      <c r="Z85" s="3056">
        <f>IF(A85="","",IF(AND(R85&lt;&gt;"",COUNTIFS($D$3:$D$164,D85,$R$3:$R$164,"&lt;&gt;")&gt;1),"DUPLICADO","OK"))</f>
      </c>
      <c r="AA85" s="3056">
        <f>IF(A85="","",IF(OR(LEN(Q85)&gt;180,LEN(R85)&gt;180,LEN(S85)&gt;180,LEN(T85)&gt;180),"CAMINHO LONGO","OK"))</f>
      </c>
      <c r="AB85" s="3056">
        <f>IF(A85="","",IF(U85="","",IFERROR(INT(U85-TODAY()),"")))</f>
      </c>
      <c r="AC85" s="3056">
        <f>IF(A85="","",IF(AND(T85="",U85=""),"",IF(T85="","SEM CAMINHO",IF(U85="","SEM DATA",IFERROR(IF(AB85&lt;15,"VERMELHO",IF(AB85&lt;=30,"AMARELO","VERDE")),"DATA INVALIDA")))))</f>
      </c>
      <c r="AD85" s="3056">
        <f>IF(OR(A85="",U85="",NOT(ISNUMBER(AB85))),"",RANK(AB85,$AB$3:$AB$164,1)+COUNTIFS($AB$3:AB85,AB85)-1)</f>
      </c>
      <c r="AE85" s="1736"/>
    </row>
    <row r="86" spans="1:19" ht="22.0" hidden="false" customHeight="true" x14ac:dyDescent="0.25">
      <c r="A86" s="3064" t="s">
        <v>206</v>
      </c>
      <c r="B86" s="3063" t="s">
        <v>207</v>
      </c>
      <c r="C86" s="3063" t="s">
        <v>62</v>
      </c>
      <c r="D86" s="3063">
        <v>21879417000146</v>
      </c>
      <c r="E86" s="3063"/>
      <c r="F86" s="3063" t="s">
        <v>208</v>
      </c>
      <c r="G86" s="3063" t="s">
        <v>41</v>
      </c>
      <c r="H86" s="3063" t="s">
        <v>5</v>
      </c>
      <c r="I86" s="3063"/>
      <c r="J86" s="3063"/>
      <c r="K86" s="3063"/>
      <c r="L86" s="3063"/>
      <c r="M86" s="3063" t="s">
        <v>379</v>
      </c>
      <c r="N86" s="3063"/>
      <c r="O86" s="3063" t="s">
        <v>349</v>
      </c>
      <c r="P86" s="3063"/>
      <c r="Q86" s="3066"/>
      <c r="R86" s="3066"/>
      <c r="S86" s="3066"/>
      <c r="T86" s="3066"/>
      <c r="U86" s="3067"/>
      <c r="V86" s="3063"/>
      <c r="W86" s="3063"/>
      <c r="X86" s="3056">
        <f>IF(A86="","",IF(LEN(SUBSTITUTE(SUBSTITUTE(SUBSTITUTE(SUBSTITUTE(D86,".",""),"/",""),"-","")," ",""))&lt;&gt;14,"CNPJ INVALIDO","OK"))</f>
      </c>
      <c r="Y86" s="3056">
        <f>IF(A86="","",IF(R86="","REST PENDENTE","REST OK"))</f>
      </c>
      <c r="Z86" s="3056">
        <f>IF(A86="","",IF(AND(R86&lt;&gt;"",COUNTIFS($D$3:$D$164,D86,$R$3:$R$164,"&lt;&gt;")&gt;1),"DUPLICADO","OK"))</f>
      </c>
      <c r="AA86" s="3056">
        <f>IF(A86="","",IF(OR(LEN(Q86)&gt;180,LEN(R86)&gt;180,LEN(S86)&gt;180,LEN(T86)&gt;180),"CAMINHO LONGO","OK"))</f>
      </c>
      <c r="AB86" s="3056">
        <f>IF(A86="","",IF(U86="","",IFERROR(INT(U86-TODAY()),"")))</f>
      </c>
      <c r="AC86" s="3056">
        <f>IF(A86="","",IF(AND(T86="",U86=""),"",IF(T86="","SEM CAMINHO",IF(U86="","SEM DATA",IFERROR(IF(AB86&lt;15,"VERMELHO",IF(AB86&lt;=30,"AMARELO","VERDE")),"DATA INVALIDA")))))</f>
      </c>
      <c r="AD86" s="3056">
        <f>IF(OR(A86="",U86="",NOT(ISNUMBER(AB86))),"",RANK(AB86,$AB$3:$AB$164,1)+COUNTIFS($AB$3:AB86,AB86)-1)</f>
      </c>
      <c r="AE86" s="1736"/>
    </row>
    <row r="87" spans="1:19" ht="22.0" hidden="false" customHeight="true" x14ac:dyDescent="0.25">
      <c r="A87" s="3059" t="s">
        <v>209</v>
      </c>
      <c r="B87" s="3058" t="s">
        <v>207</v>
      </c>
      <c r="C87" s="3058" t="s">
        <v>62</v>
      </c>
      <c r="D87" s="3058" t="s">
        <v>388</v>
      </c>
      <c r="E87" s="3058"/>
      <c r="F87" s="3058" t="s">
        <v>208</v>
      </c>
      <c r="G87" s="3058" t="s">
        <v>4</v>
      </c>
      <c r="H87" s="3058" t="s">
        <v>5</v>
      </c>
      <c r="I87" s="3058"/>
      <c r="J87" s="3058"/>
      <c r="K87" s="3058"/>
      <c r="L87" s="3058"/>
      <c r="M87" s="3058" t="s">
        <v>379</v>
      </c>
      <c r="N87" s="3058"/>
      <c r="O87" s="3058" t="s">
        <v>349</v>
      </c>
      <c r="P87" s="3058"/>
      <c r="Q87" s="3061"/>
      <c r="R87" s="3061"/>
      <c r="S87" s="3061"/>
      <c r="T87" s="3061"/>
      <c r="U87" s="3062"/>
      <c r="V87" s="3058"/>
      <c r="W87" s="3058"/>
      <c r="X87" s="3056">
        <f>IF(A87="","",IF(LEN(SUBSTITUTE(SUBSTITUTE(SUBSTITUTE(SUBSTITUTE(D87,".",""),"/",""),"-","")," ",""))&lt;&gt;14,"CNPJ INVALIDO","OK"))</f>
      </c>
      <c r="Y87" s="3056">
        <f>IF(A87="","",IF(R87="","REST PENDENTE","REST OK"))</f>
      </c>
      <c r="Z87" s="3056">
        <f>IF(A87="","",IF(AND(R87&lt;&gt;"",COUNTIFS($D$3:$D$164,D87,$R$3:$R$164,"&lt;&gt;")&gt;1),"DUPLICADO","OK"))</f>
      </c>
      <c r="AA87" s="3056">
        <f>IF(A87="","",IF(OR(LEN(Q87)&gt;180,LEN(R87)&gt;180,LEN(S87)&gt;180,LEN(T87)&gt;180),"CAMINHO LONGO","OK"))</f>
      </c>
      <c r="AB87" s="3056">
        <f>IF(A87="","",IF(U87="","",IFERROR(INT(U87-TODAY()),"")))</f>
      </c>
      <c r="AC87" s="3056">
        <f>IF(A87="","",IF(AND(T87="",U87=""),"",IF(T87="","SEM CAMINHO",IF(U87="","SEM DATA",IFERROR(IF(AB87&lt;15,"VERMELHO",IF(AB87&lt;=30,"AMARELO","VERDE")),"DATA INVALIDA")))))</f>
      </c>
      <c r="AD87" s="3056">
        <f>IF(OR(A87="",U87="",NOT(ISNUMBER(AB87))),"",RANK(AB87,$AB$3:$AB$164,1)+COUNTIFS($AB$3:AB87,AB87)-1)</f>
      </c>
      <c r="AE87" s="1736"/>
    </row>
    <row r="88" spans="1:19" ht="22.0" hidden="false" customHeight="true" x14ac:dyDescent="0.25">
      <c r="A88" s="3064" t="s">
        <v>210</v>
      </c>
      <c r="B88" s="3063" t="s">
        <v>211</v>
      </c>
      <c r="C88" s="3063" t="s">
        <v>69</v>
      </c>
      <c r="D88" s="3063" t="s">
        <v>387</v>
      </c>
      <c r="E88" s="3063"/>
      <c r="F88" s="3063"/>
      <c r="G88" s="3063" t="s">
        <v>4</v>
      </c>
      <c r="H88" s="3063" t="s">
        <v>49</v>
      </c>
      <c r="I88" s="3063"/>
      <c r="J88" s="3063"/>
      <c r="K88" s="3063"/>
      <c r="L88" s="3063"/>
      <c r="M88" s="3063" t="s">
        <v>379</v>
      </c>
      <c r="N88" s="3063"/>
      <c r="O88" s="3063" t="s">
        <v>349</v>
      </c>
      <c r="P88" s="3063"/>
      <c r="Q88" s="3066"/>
      <c r="R88" s="3066"/>
      <c r="S88" s="3066"/>
      <c r="T88" s="3066"/>
      <c r="U88" s="3067"/>
      <c r="V88" s="3063"/>
      <c r="W88" s="3063"/>
      <c r="X88" s="3056">
        <f>IF(A88="","",IF(LEN(SUBSTITUTE(SUBSTITUTE(SUBSTITUTE(SUBSTITUTE(D88,".",""),"/",""),"-","")," ",""))&lt;&gt;14,"CNPJ INVALIDO","OK"))</f>
      </c>
      <c r="Y88" s="3056">
        <f>IF(A88="","",IF(R88="","REST PENDENTE","REST OK"))</f>
      </c>
      <c r="Z88" s="3056">
        <f>IF(A88="","",IF(AND(R88&lt;&gt;"",COUNTIFS($D$3:$D$164,D88,$R$3:$R$164,"&lt;&gt;")&gt;1),"DUPLICADO","OK"))</f>
      </c>
      <c r="AA88" s="3056">
        <f>IF(A88="","",IF(OR(LEN(Q88)&gt;180,LEN(R88)&gt;180,LEN(S88)&gt;180,LEN(T88)&gt;180),"CAMINHO LONGO","OK"))</f>
      </c>
      <c r="AB88" s="3056">
        <f>IF(A88="","",IF(U88="","",IFERROR(INT(U88-TODAY()),"")))</f>
      </c>
      <c r="AC88" s="3056">
        <f>IF(A88="","",IF(AND(T88="",U88=""),"",IF(T88="","SEM CAMINHO",IF(U88="","SEM DATA",IFERROR(IF(AB88&lt;15,"VERMELHO",IF(AB88&lt;=30,"AMARELO","VERDE")),"DATA INVALIDA")))))</f>
      </c>
      <c r="AD88" s="3056">
        <f>IF(OR(A88="",U88="",NOT(ISNUMBER(AB88))),"",RANK(AB88,$AB$3:$AB$164,1)+COUNTIFS($AB$3:AB88,AB88)-1)</f>
      </c>
      <c r="AE88" s="1736"/>
    </row>
    <row r="89" spans="1:19" ht="22.0" hidden="false" customHeight="true" x14ac:dyDescent="0.25">
      <c r="A89" s="3059" t="s">
        <v>212</v>
      </c>
      <c r="B89" s="3058" t="s">
        <v>211</v>
      </c>
      <c r="C89" s="3058" t="s">
        <v>69</v>
      </c>
      <c r="D89" s="3058"/>
      <c r="E89" s="3058"/>
      <c r="F89" s="3058"/>
      <c r="G89" s="3058" t="s">
        <v>4</v>
      </c>
      <c r="H89" s="3058" t="s">
        <v>49</v>
      </c>
      <c r="I89" s="3058"/>
      <c r="J89" s="3058"/>
      <c r="K89" s="3058"/>
      <c r="L89" s="3058"/>
      <c r="M89" s="3058" t="s">
        <v>379</v>
      </c>
      <c r="N89" s="3058"/>
      <c r="O89" s="3058" t="s">
        <v>349</v>
      </c>
      <c r="P89" s="3058"/>
      <c r="Q89" s="3061"/>
      <c r="R89" s="3061"/>
      <c r="S89" s="3061"/>
      <c r="T89" s="3061"/>
      <c r="U89" s="3062"/>
      <c r="V89" s="3058"/>
      <c r="W89" s="3058"/>
      <c r="X89" s="3056">
        <f>IF(A89="","",IF(LEN(SUBSTITUTE(SUBSTITUTE(SUBSTITUTE(SUBSTITUTE(D89,".",""),"/",""),"-","")," ",""))&lt;&gt;14,"CNPJ INVALIDO","OK"))</f>
      </c>
      <c r="Y89" s="3056">
        <f>IF(A89="","",IF(R89="","REST PENDENTE","REST OK"))</f>
      </c>
      <c r="Z89" s="3056">
        <f>IF(A89="","",IF(AND(R89&lt;&gt;"",COUNTIFS($D$3:$D$164,D89,$R$3:$R$164,"&lt;&gt;")&gt;1),"DUPLICADO","OK"))</f>
      </c>
      <c r="AA89" s="3056">
        <f>IF(A89="","",IF(OR(LEN(Q89)&gt;180,LEN(R89)&gt;180,LEN(S89)&gt;180,LEN(T89)&gt;180),"CAMINHO LONGO","OK"))</f>
      </c>
      <c r="AB89" s="3056">
        <f>IF(A89="","",IF(U89="","",IFERROR(INT(U89-TODAY()),"")))</f>
      </c>
      <c r="AC89" s="3056">
        <f>IF(A89="","",IF(AND(T89="",U89=""),"",IF(T89="","SEM CAMINHO",IF(U89="","SEM DATA",IFERROR(IF(AB89&lt;15,"VERMELHO",IF(AB89&lt;=30,"AMARELO","VERDE")),"DATA INVALIDA")))))</f>
      </c>
      <c r="AD89" s="3056">
        <f>IF(OR(A89="",U89="",NOT(ISNUMBER(AB89))),"",RANK(AB89,$AB$3:$AB$164,1)+COUNTIFS($AB$3:AB89,AB89)-1)</f>
      </c>
      <c r="AE89" s="1736"/>
    </row>
    <row r="90" spans="1:19" ht="22.0" hidden="false" customHeight="true" x14ac:dyDescent="0.25">
      <c r="A90" s="3064" t="s">
        <v>213</v>
      </c>
      <c r="B90" s="3063" t="s">
        <v>214</v>
      </c>
      <c r="C90" s="3063" t="s">
        <v>62</v>
      </c>
      <c r="D90" s="3063">
        <v>44868733000118</v>
      </c>
      <c r="E90" s="3063"/>
      <c r="F90" s="3063" t="s">
        <v>215</v>
      </c>
      <c r="G90" s="3063" t="s">
        <v>4</v>
      </c>
      <c r="H90" s="3063" t="s">
        <v>5</v>
      </c>
      <c r="I90" s="3063"/>
      <c r="J90" s="3063"/>
      <c r="K90" s="3063"/>
      <c r="L90" s="3063"/>
      <c r="M90" s="3063" t="s">
        <v>379</v>
      </c>
      <c r="N90" s="3063"/>
      <c r="O90" s="3063" t="s">
        <v>350</v>
      </c>
      <c r="P90" s="3063"/>
      <c r="Q90" s="3066"/>
      <c r="R90" s="3066"/>
      <c r="S90" s="3066"/>
      <c r="T90" s="3066"/>
      <c r="U90" s="3067"/>
      <c r="V90" s="3063"/>
      <c r="W90" s="3063"/>
      <c r="X90" s="3056">
        <f>IF(A90="","",IF(LEN(SUBSTITUTE(SUBSTITUTE(SUBSTITUTE(SUBSTITUTE(D90,".",""),"/",""),"-","")," ",""))&lt;&gt;14,"CNPJ INVALIDO","OK"))</f>
      </c>
      <c r="Y90" s="3056">
        <f>IF(A90="","",IF(R90="","REST PENDENTE","REST OK"))</f>
      </c>
      <c r="Z90" s="3056">
        <f>IF(A90="","",IF(AND(R90&lt;&gt;"",COUNTIFS($D$3:$D$164,D90,$R$3:$R$164,"&lt;&gt;")&gt;1),"DUPLICADO","OK"))</f>
      </c>
      <c r="AA90" s="3056">
        <f>IF(A90="","",IF(OR(LEN(Q90)&gt;180,LEN(R90)&gt;180,LEN(S90)&gt;180,LEN(T90)&gt;180),"CAMINHO LONGO","OK"))</f>
      </c>
      <c r="AB90" s="3056">
        <f>IF(A90="","",IF(U90="","",IFERROR(INT(U90-TODAY()),"")))</f>
      </c>
      <c r="AC90" s="3056">
        <f>IF(A90="","",IF(AND(T90="",U90=""),"",IF(T90="","SEM CAMINHO",IF(U90="","SEM DATA",IFERROR(IF(AB90&lt;15,"VERMELHO",IF(AB90&lt;=30,"AMARELO","VERDE")),"DATA INVALIDA")))))</f>
      </c>
      <c r="AD90" s="3056">
        <f>IF(OR(A90="",U90="",NOT(ISNUMBER(AB90))),"",RANK(AB90,$AB$3:$AB$164,1)+COUNTIFS($AB$3:AB90,AB90)-1)</f>
      </c>
      <c r="AE90" s="1736"/>
    </row>
    <row r="91" spans="1:19" ht="22.0" hidden="false" customHeight="true" x14ac:dyDescent="0.25">
      <c r="A91" s="3059" t="s">
        <v>216</v>
      </c>
      <c r="B91" s="3058" t="s">
        <v>9</v>
      </c>
      <c r="C91" s="3058" t="s">
        <v>69</v>
      </c>
      <c r="D91" s="3058" t="s">
        <v>217</v>
      </c>
      <c r="E91" s="3058"/>
      <c r="F91" s="3058" t="s">
        <v>12</v>
      </c>
      <c r="G91" s="3058" t="s">
        <v>13</v>
      </c>
      <c r="H91" s="3058" t="s">
        <v>49</v>
      </c>
      <c r="I91" s="3058"/>
      <c r="J91" s="3058"/>
      <c r="K91" s="3058"/>
      <c r="L91" s="3058"/>
      <c r="M91" s="3058" t="s">
        <v>379</v>
      </c>
      <c r="N91" s="3058"/>
      <c r="O91" s="3058" t="s">
        <v>349</v>
      </c>
      <c r="P91" s="3058"/>
      <c r="Q91" s="3061"/>
      <c r="R91" s="3061"/>
      <c r="S91" s="3061"/>
      <c r="T91" s="3061"/>
      <c r="U91" s="3062"/>
      <c r="V91" s="3058"/>
      <c r="W91" s="3058"/>
      <c r="X91" s="3056">
        <f>IF(A91="","",IF(LEN(SUBSTITUTE(SUBSTITUTE(SUBSTITUTE(SUBSTITUTE(D91,".",""),"/",""),"-","")," ",""))&lt;&gt;14,"CNPJ INVALIDO","OK"))</f>
      </c>
      <c r="Y91" s="3056">
        <f>IF(A91="","",IF(R91="","REST PENDENTE","REST OK"))</f>
      </c>
      <c r="Z91" s="3056">
        <f>IF(A91="","",IF(AND(R91&lt;&gt;"",COUNTIFS($D$3:$D$164,D91,$R$3:$R$164,"&lt;&gt;")&gt;1),"DUPLICADO","OK"))</f>
      </c>
      <c r="AA91" s="3056">
        <f>IF(A91="","",IF(OR(LEN(Q91)&gt;180,LEN(R91)&gt;180,LEN(S91)&gt;180,LEN(T91)&gt;180),"CAMINHO LONGO","OK"))</f>
      </c>
      <c r="AB91" s="3056">
        <f>IF(A91="","",IF(U91="","",IFERROR(INT(U91-TODAY()),"")))</f>
      </c>
      <c r="AC91" s="3056">
        <f>IF(A91="","",IF(AND(T91="",U91=""),"",IF(T91="","SEM CAMINHO",IF(U91="","SEM DATA",IFERROR(IF(AB91&lt;15,"VERMELHO",IF(AB91&lt;=30,"AMARELO","VERDE")),"DATA INVALIDA")))))</f>
      </c>
      <c r="AD91" s="3056">
        <f>IF(OR(A91="",U91="",NOT(ISNUMBER(AB91))),"",RANK(AB91,$AB$3:$AB$164,1)+COUNTIFS($AB$3:AB91,AB91)-1)</f>
      </c>
      <c r="AE91" s="1736"/>
    </row>
    <row r="92" spans="1:19" ht="22.0" hidden="false" customHeight="true" x14ac:dyDescent="0.25">
      <c r="A92" s="3064" t="s">
        <v>218</v>
      </c>
      <c r="B92" s="3063" t="s">
        <v>219</v>
      </c>
      <c r="C92" s="3063" t="s">
        <v>62</v>
      </c>
      <c r="D92" s="3063">
        <v>51987426000111</v>
      </c>
      <c r="E92" s="3063"/>
      <c r="F92" s="3063" t="s">
        <v>220</v>
      </c>
      <c r="G92" s="3063" t="s">
        <v>4</v>
      </c>
      <c r="H92" s="3063" t="s">
        <v>5</v>
      </c>
      <c r="I92" s="3063"/>
      <c r="J92" s="3063"/>
      <c r="K92" s="3063"/>
      <c r="L92" s="3063"/>
      <c r="M92" s="3063" t="s">
        <v>389</v>
      </c>
      <c r="N92" s="3063"/>
      <c r="O92" s="3063" t="s">
        <v>350</v>
      </c>
      <c r="P92" s="3063"/>
      <c r="Q92" s="3066"/>
      <c r="R92" s="3066"/>
      <c r="S92" s="3066"/>
      <c r="T92" s="3066"/>
      <c r="U92" s="3067"/>
      <c r="V92" s="3063"/>
      <c r="W92" s="3063"/>
      <c r="X92" s="3056">
        <f>IF(A92="","",IF(LEN(SUBSTITUTE(SUBSTITUTE(SUBSTITUTE(SUBSTITUTE(D92,".",""),"/",""),"-","")," ",""))&lt;&gt;14,"CNPJ INVALIDO","OK"))</f>
      </c>
      <c r="Y92" s="3056">
        <f>IF(A92="","",IF(R92="","REST PENDENTE","REST OK"))</f>
      </c>
      <c r="Z92" s="3056">
        <f>IF(A92="","",IF(AND(R92&lt;&gt;"",COUNTIFS($D$3:$D$164,D92,$R$3:$R$164,"&lt;&gt;")&gt;1),"DUPLICADO","OK"))</f>
      </c>
      <c r="AA92" s="3056">
        <f>IF(A92="","",IF(OR(LEN(Q92)&gt;180,LEN(R92)&gt;180,LEN(S92)&gt;180,LEN(T92)&gt;180),"CAMINHO LONGO","OK"))</f>
      </c>
      <c r="AB92" s="3056">
        <f>IF(A92="","",IF(U92="","",IFERROR(INT(U92-TODAY()),"")))</f>
      </c>
      <c r="AC92" s="3056">
        <f>IF(A92="","",IF(AND(T92="",U92=""),"",IF(T92="","SEM CAMINHO",IF(U92="","SEM DATA",IFERROR(IF(AB92&lt;15,"VERMELHO",IF(AB92&lt;=30,"AMARELO","VERDE")),"DATA INVALIDA")))))</f>
      </c>
      <c r="AD92" s="3056">
        <f>IF(OR(A92="",U92="",NOT(ISNUMBER(AB92))),"",RANK(AB92,$AB$3:$AB$164,1)+COUNTIFS($AB$3:AB92,AB92)-1)</f>
      </c>
      <c r="AE92" s="1736"/>
    </row>
    <row r="93" spans="1:19" ht="22.0" hidden="false" customHeight="true" x14ac:dyDescent="0.25">
      <c r="A93" s="3059" t="s">
        <v>221</v>
      </c>
      <c r="B93" s="3058" t="s">
        <v>222</v>
      </c>
      <c r="C93" s="3058" t="s">
        <v>62</v>
      </c>
      <c r="D93" s="3058" t="s">
        <v>390</v>
      </c>
      <c r="E93" s="3058"/>
      <c r="F93" s="3058" t="s">
        <v>223</v>
      </c>
      <c r="G93" s="3058" t="s">
        <v>13</v>
      </c>
      <c r="H93" s="3058" t="s">
        <v>49</v>
      </c>
      <c r="I93" s="3058"/>
      <c r="J93" s="3058"/>
      <c r="K93" s="3058"/>
      <c r="L93" s="3058"/>
      <c r="M93" s="3058" t="s">
        <v>389</v>
      </c>
      <c r="N93" s="3058"/>
      <c r="O93" s="3058" t="s">
        <v>350</v>
      </c>
      <c r="P93" s="3058"/>
      <c r="Q93" s="3061"/>
      <c r="R93" s="3061"/>
      <c r="S93" s="3061"/>
      <c r="T93" s="3061"/>
      <c r="U93" s="3062"/>
      <c r="V93" s="3058"/>
      <c r="W93" s="3058"/>
      <c r="X93" s="3056">
        <f>IF(A93="","",IF(LEN(SUBSTITUTE(SUBSTITUTE(SUBSTITUTE(SUBSTITUTE(D93,".",""),"/",""),"-","")," ",""))&lt;&gt;14,"CNPJ INVALIDO","OK"))</f>
      </c>
      <c r="Y93" s="3056">
        <f>IF(A93="","",IF(R93="","REST PENDENTE","REST OK"))</f>
      </c>
      <c r="Z93" s="3056">
        <f>IF(A93="","",IF(AND(R93&lt;&gt;"",COUNTIFS($D$3:$D$164,D93,$R$3:$R$164,"&lt;&gt;")&gt;1),"DUPLICADO","OK"))</f>
      </c>
      <c r="AA93" s="3056">
        <f>IF(A93="","",IF(OR(LEN(Q93)&gt;180,LEN(R93)&gt;180,LEN(S93)&gt;180,LEN(T93)&gt;180),"CAMINHO LONGO","OK"))</f>
      </c>
      <c r="AB93" s="3056">
        <f>IF(A93="","",IF(U93="","",IFERROR(INT(U93-TODAY()),"")))</f>
      </c>
      <c r="AC93" s="3056">
        <f>IF(A93="","",IF(AND(T93="",U93=""),"",IF(T93="","SEM CAMINHO",IF(U93="","SEM DATA",IFERROR(IF(AB93&lt;15,"VERMELHO",IF(AB93&lt;=30,"AMARELO","VERDE")),"DATA INVALIDA")))))</f>
      </c>
      <c r="AD93" s="3056">
        <f>IF(OR(A93="",U93="",NOT(ISNUMBER(AB93))),"",RANK(AB93,$AB$3:$AB$164,1)+COUNTIFS($AB$3:AB93,AB93)-1)</f>
      </c>
      <c r="AE93" s="1736"/>
    </row>
    <row r="94" spans="1:19" ht="22.0" hidden="false" customHeight="true" x14ac:dyDescent="0.25">
      <c r="A94" s="3064" t="s">
        <v>224</v>
      </c>
      <c r="B94" s="3063" t="s">
        <v>182</v>
      </c>
      <c r="C94" s="3063" t="s">
        <v>83</v>
      </c>
      <c r="D94" s="3063">
        <v>21371431000134</v>
      </c>
      <c r="E94" s="3063"/>
      <c r="F94" s="3063" t="s">
        <v>225</v>
      </c>
      <c r="G94" s="3063" t="s">
        <v>4</v>
      </c>
      <c r="H94" s="3063" t="s">
        <v>5</v>
      </c>
      <c r="I94" s="3063"/>
      <c r="J94" s="3063"/>
      <c r="K94" s="3063"/>
      <c r="L94" s="3063"/>
      <c r="M94" s="3063" t="s">
        <v>375</v>
      </c>
      <c r="N94" s="3063"/>
      <c r="O94" s="3063" t="s">
        <v>357</v>
      </c>
      <c r="P94" s="3063"/>
      <c r="Q94" s="3066"/>
      <c r="R94" s="3066"/>
      <c r="S94" s="3066"/>
      <c r="T94" s="3066"/>
      <c r="U94" s="3067"/>
      <c r="V94" s="3063"/>
      <c r="W94" s="3063"/>
      <c r="X94" s="3056">
        <f>IF(A94="","",IF(LEN(SUBSTITUTE(SUBSTITUTE(SUBSTITUTE(SUBSTITUTE(D94,".",""),"/",""),"-","")," ",""))&lt;&gt;14,"CNPJ INVALIDO","OK"))</f>
      </c>
      <c r="Y94" s="3056">
        <f>IF(A94="","",IF(R94="","REST PENDENTE","REST OK"))</f>
      </c>
      <c r="Z94" s="3056">
        <f>IF(A94="","",IF(AND(R94&lt;&gt;"",COUNTIFS($D$3:$D$164,D94,$R$3:$R$164,"&lt;&gt;")&gt;1),"DUPLICADO","OK"))</f>
      </c>
      <c r="AA94" s="3056">
        <f>IF(A94="","",IF(OR(LEN(Q94)&gt;180,LEN(R94)&gt;180,LEN(S94)&gt;180,LEN(T94)&gt;180),"CAMINHO LONGO","OK"))</f>
      </c>
      <c r="AB94" s="3056">
        <f>IF(A94="","",IF(U94="","",IFERROR(INT(U94-TODAY()),"")))</f>
      </c>
      <c r="AC94" s="3056">
        <f>IF(A94="","",IF(AND(T94="",U94=""),"",IF(T94="","SEM CAMINHO",IF(U94="","SEM DATA",IFERROR(IF(AB94&lt;15,"VERMELHO",IF(AB94&lt;=30,"AMARELO","VERDE")),"DATA INVALIDA")))))</f>
      </c>
      <c r="AD94" s="3056">
        <f>IF(OR(A94="",U94="",NOT(ISNUMBER(AB94))),"",RANK(AB94,$AB$3:$AB$164,1)+COUNTIFS($AB$3:AB94,AB94)-1)</f>
      </c>
      <c r="AE94" s="1736"/>
    </row>
    <row r="95" spans="1:19" ht="22.0" hidden="false" customHeight="true" x14ac:dyDescent="0.25">
      <c r="A95" s="3059" t="s">
        <v>226</v>
      </c>
      <c r="B95" s="3058" t="s">
        <v>227</v>
      </c>
      <c r="C95" s="3058" t="s">
        <v>122</v>
      </c>
      <c r="D95" s="3058">
        <v>9421791000106</v>
      </c>
      <c r="E95" s="3058"/>
      <c r="F95" s="3058" t="s">
        <v>228</v>
      </c>
      <c r="G95" s="3058" t="s">
        <v>4</v>
      </c>
      <c r="H95" s="3058" t="s">
        <v>5</v>
      </c>
      <c r="I95" s="3058"/>
      <c r="J95" s="3058"/>
      <c r="K95" s="3058"/>
      <c r="L95" s="3058"/>
      <c r="M95" s="3058" t="s">
        <v>379</v>
      </c>
      <c r="N95" s="3058"/>
      <c r="O95" s="3058" t="s">
        <v>349</v>
      </c>
      <c r="P95" s="3058"/>
      <c r="Q95" s="3061"/>
      <c r="R95" s="3061"/>
      <c r="S95" s="3061"/>
      <c r="T95" s="3061"/>
      <c r="U95" s="3062"/>
      <c r="V95" s="3058"/>
      <c r="W95" s="3058"/>
      <c r="X95" s="3056">
        <f>IF(A95="","",IF(LEN(SUBSTITUTE(SUBSTITUTE(SUBSTITUTE(SUBSTITUTE(D95,".",""),"/",""),"-","")," ",""))&lt;&gt;14,"CNPJ INVALIDO","OK"))</f>
      </c>
      <c r="Y95" s="3056">
        <f>IF(A95="","",IF(R95="","REST PENDENTE","REST OK"))</f>
      </c>
      <c r="Z95" s="3056">
        <f>IF(A95="","",IF(AND(R95&lt;&gt;"",COUNTIFS($D$3:$D$164,D95,$R$3:$R$164,"&lt;&gt;")&gt;1),"DUPLICADO","OK"))</f>
      </c>
      <c r="AA95" s="3056">
        <f>IF(A95="","",IF(OR(LEN(Q95)&gt;180,LEN(R95)&gt;180,LEN(S95)&gt;180,LEN(T95)&gt;180),"CAMINHO LONGO","OK"))</f>
      </c>
      <c r="AB95" s="3056">
        <f>IF(A95="","",IF(U95="","",IFERROR(INT(U95-TODAY()),"")))</f>
      </c>
      <c r="AC95" s="3056">
        <f>IF(A95="","",IF(AND(T95="",U95=""),"",IF(T95="","SEM CAMINHO",IF(U95="","SEM DATA",IFERROR(IF(AB95&lt;15,"VERMELHO",IF(AB95&lt;=30,"AMARELO","VERDE")),"DATA INVALIDA")))))</f>
      </c>
      <c r="AD95" s="3056">
        <f>IF(OR(A95="",U95="",NOT(ISNUMBER(AB95))),"",RANK(AB95,$AB$3:$AB$164,1)+COUNTIFS($AB$3:AB95,AB95)-1)</f>
      </c>
      <c r="AE95" s="1736"/>
    </row>
    <row r="96" spans="1:19" ht="22.0" hidden="false" customHeight="true" x14ac:dyDescent="0.25">
      <c r="A96" s="3064" t="s">
        <v>229</v>
      </c>
      <c r="B96" s="3063" t="s">
        <v>96</v>
      </c>
      <c r="C96" s="3063" t="s">
        <v>230</v>
      </c>
      <c r="D96" s="3063" t="s">
        <v>391</v>
      </c>
      <c r="E96" s="3063"/>
      <c r="F96" s="3063" t="s">
        <v>99</v>
      </c>
      <c r="G96" s="3063" t="s">
        <v>4</v>
      </c>
      <c r="H96" s="3063" t="s">
        <v>14</v>
      </c>
      <c r="I96" s="3063"/>
      <c r="J96" s="3063"/>
      <c r="K96" s="3063"/>
      <c r="L96" s="3063"/>
      <c r="M96" s="3063" t="s">
        <v>376</v>
      </c>
      <c r="N96" s="3063"/>
      <c r="O96" s="3063" t="s">
        <v>349</v>
      </c>
      <c r="P96" s="3063"/>
      <c r="Q96" s="3066"/>
      <c r="R96" s="3066"/>
      <c r="S96" s="3066"/>
      <c r="T96" s="3066"/>
      <c r="U96" s="3067"/>
      <c r="V96" s="3063"/>
      <c r="W96" s="3063"/>
      <c r="X96" s="3056">
        <f>IF(A96="","",IF(LEN(SUBSTITUTE(SUBSTITUTE(SUBSTITUTE(SUBSTITUTE(D96,".",""),"/",""),"-","")," ",""))&lt;&gt;14,"CNPJ INVALIDO","OK"))</f>
      </c>
      <c r="Y96" s="3056">
        <f>IF(A96="","",IF(R96="","REST PENDENTE","REST OK"))</f>
      </c>
      <c r="Z96" s="3056">
        <f>IF(A96="","",IF(AND(R96&lt;&gt;"",COUNTIFS($D$3:$D$164,D96,$R$3:$R$164,"&lt;&gt;")&gt;1),"DUPLICADO","OK"))</f>
      </c>
      <c r="AA96" s="3056">
        <f>IF(A96="","",IF(OR(LEN(Q96)&gt;180,LEN(R96)&gt;180,LEN(S96)&gt;180,LEN(T96)&gt;180),"CAMINHO LONGO","OK"))</f>
      </c>
      <c r="AB96" s="3056">
        <f>IF(A96="","",IF(U96="","",IFERROR(INT(U96-TODAY()),"")))</f>
      </c>
      <c r="AC96" s="3056">
        <f>IF(A96="","",IF(AND(T96="",U96=""),"",IF(T96="","SEM CAMINHO",IF(U96="","SEM DATA",IFERROR(IF(AB96&lt;15,"VERMELHO",IF(AB96&lt;=30,"AMARELO","VERDE")),"DATA INVALIDA")))))</f>
      </c>
      <c r="AD96" s="3056">
        <f>IF(OR(A96="",U96="",NOT(ISNUMBER(AB96))),"",RANK(AB96,$AB$3:$AB$164,1)+COUNTIFS($AB$3:AB96,AB96)-1)</f>
      </c>
      <c r="AE96" s="1736"/>
    </row>
    <row r="97" spans="1:19" ht="22.0" hidden="false" customHeight="true" x14ac:dyDescent="0.25">
      <c r="A97" s="3059" t="s">
        <v>231</v>
      </c>
      <c r="B97" s="3058" t="s">
        <v>211</v>
      </c>
      <c r="C97" s="3058" t="s">
        <v>69</v>
      </c>
      <c r="D97" s="3058" t="s">
        <v>232</v>
      </c>
      <c r="E97" s="3058"/>
      <c r="F97" s="3058"/>
      <c r="G97" s="3058" t="s">
        <v>4</v>
      </c>
      <c r="H97" s="3058" t="s">
        <v>49</v>
      </c>
      <c r="I97" s="3058"/>
      <c r="J97" s="3058"/>
      <c r="K97" s="3058"/>
      <c r="L97" s="3058"/>
      <c r="M97" s="3058" t="s">
        <v>379</v>
      </c>
      <c r="N97" s="3058"/>
      <c r="O97" s="3058" t="s">
        <v>349</v>
      </c>
      <c r="P97" s="3058"/>
      <c r="Q97" s="3061"/>
      <c r="R97" s="3061"/>
      <c r="S97" s="3061"/>
      <c r="T97" s="3061"/>
      <c r="U97" s="3062"/>
      <c r="V97" s="3058"/>
      <c r="W97" s="3058"/>
      <c r="X97" s="3056">
        <f>IF(A97="","",IF(LEN(SUBSTITUTE(SUBSTITUTE(SUBSTITUTE(SUBSTITUTE(D97,".",""),"/",""),"-","")," ",""))&lt;&gt;14,"CNPJ INVALIDO","OK"))</f>
      </c>
      <c r="Y97" s="3056">
        <f>IF(A97="","",IF(R97="","REST PENDENTE","REST OK"))</f>
      </c>
      <c r="Z97" s="3056">
        <f>IF(A97="","",IF(AND(R97&lt;&gt;"",COUNTIFS($D$3:$D$164,D97,$R$3:$R$164,"&lt;&gt;")&gt;1),"DUPLICADO","OK"))</f>
      </c>
      <c r="AA97" s="3056">
        <f>IF(A97="","",IF(OR(LEN(Q97)&gt;180,LEN(R97)&gt;180,LEN(S97)&gt;180,LEN(T97)&gt;180),"CAMINHO LONGO","OK"))</f>
      </c>
      <c r="AB97" s="3056">
        <f>IF(A97="","",IF(U97="","",IFERROR(INT(U97-TODAY()),"")))</f>
      </c>
      <c r="AC97" s="3056">
        <f>IF(A97="","",IF(AND(T97="",U97=""),"",IF(T97="","SEM CAMINHO",IF(U97="","SEM DATA",IFERROR(IF(AB97&lt;15,"VERMELHO",IF(AB97&lt;=30,"AMARELO","VERDE")),"DATA INVALIDA")))))</f>
      </c>
      <c r="AD97" s="3056">
        <f>IF(OR(A97="",U97="",NOT(ISNUMBER(AB97))),"",RANK(AB97,$AB$3:$AB$164,1)+COUNTIFS($AB$3:AB97,AB97)-1)</f>
      </c>
      <c r="AE97" s="1736"/>
    </row>
    <row r="98" spans="1:19" ht="22.0" hidden="false" customHeight="true" x14ac:dyDescent="0.25">
      <c r="A98" s="3064" t="s">
        <v>233</v>
      </c>
      <c r="B98" s="3063" t="s">
        <v>134</v>
      </c>
      <c r="C98" s="3063" t="s">
        <v>116</v>
      </c>
      <c r="D98" s="3063" t="s">
        <v>234</v>
      </c>
      <c r="E98" s="3063"/>
      <c r="F98" s="3063" t="s">
        <v>138</v>
      </c>
      <c r="G98" s="3063" t="s">
        <v>13</v>
      </c>
      <c r="H98" s="3063" t="s">
        <v>14</v>
      </c>
      <c r="I98" s="3063"/>
      <c r="J98" s="3063"/>
      <c r="K98" s="3063"/>
      <c r="L98" s="3063"/>
      <c r="M98" s="3063" t="s">
        <v>359</v>
      </c>
      <c r="N98" s="3063"/>
      <c r="O98" s="3063" t="s">
        <v>358</v>
      </c>
      <c r="P98" s="3063"/>
      <c r="Q98" s="3066"/>
      <c r="R98" s="3066"/>
      <c r="S98" s="3066"/>
      <c r="T98" s="3066"/>
      <c r="U98" s="3067"/>
      <c r="V98" s="3063"/>
      <c r="W98" s="3063"/>
      <c r="X98" s="3056">
        <f>IF(A98="","",IF(LEN(SUBSTITUTE(SUBSTITUTE(SUBSTITUTE(SUBSTITUTE(D98,".",""),"/",""),"-","")," ",""))&lt;&gt;14,"CNPJ INVALIDO","OK"))</f>
      </c>
      <c r="Y98" s="3056">
        <f>IF(A98="","",IF(R98="","REST PENDENTE","REST OK"))</f>
      </c>
      <c r="Z98" s="3056">
        <f>IF(A98="","",IF(AND(R98&lt;&gt;"",COUNTIFS($D$3:$D$164,D98,$R$3:$R$164,"&lt;&gt;")&gt;1),"DUPLICADO","OK"))</f>
      </c>
      <c r="AA98" s="3056">
        <f>IF(A98="","",IF(OR(LEN(Q98)&gt;180,LEN(R98)&gt;180,LEN(S98)&gt;180,LEN(T98)&gt;180),"CAMINHO LONGO","OK"))</f>
      </c>
      <c r="AB98" s="3056">
        <f>IF(A98="","",IF(U98="","",IFERROR(INT(U98-TODAY()),"")))</f>
      </c>
      <c r="AC98" s="3056">
        <f>IF(A98="","",IF(AND(T98="",U98=""),"",IF(T98="","SEM CAMINHO",IF(U98="","SEM DATA",IFERROR(IF(AB98&lt;15,"VERMELHO",IF(AB98&lt;=30,"AMARELO","VERDE")),"DATA INVALIDA")))))</f>
      </c>
      <c r="AD98" s="3056">
        <f>IF(OR(A98="",U98="",NOT(ISNUMBER(AB98))),"",RANK(AB98,$AB$3:$AB$164,1)+COUNTIFS($AB$3:AB98,AB98)-1)</f>
      </c>
      <c r="AE98" s="1736"/>
    </row>
    <row r="99" spans="1:19" ht="22.0" hidden="false" customHeight="true" x14ac:dyDescent="0.25">
      <c r="A99" s="3059" t="s">
        <v>235</v>
      </c>
      <c r="B99" s="3058" t="s">
        <v>134</v>
      </c>
      <c r="C99" s="3058" t="s">
        <v>116</v>
      </c>
      <c r="D99" s="3058" t="s">
        <v>236</v>
      </c>
      <c r="E99" s="3058"/>
      <c r="F99" s="3058" t="s">
        <v>138</v>
      </c>
      <c r="G99" s="3058" t="s">
        <v>13</v>
      </c>
      <c r="H99" s="3058" t="s">
        <v>14</v>
      </c>
      <c r="I99" s="3058"/>
      <c r="J99" s="3058"/>
      <c r="K99" s="3058"/>
      <c r="L99" s="3058"/>
      <c r="M99" s="3058" t="s">
        <v>359</v>
      </c>
      <c r="N99" s="3058"/>
      <c r="O99" s="3058" t="s">
        <v>358</v>
      </c>
      <c r="P99" s="3058"/>
      <c r="Q99" s="3061"/>
      <c r="R99" s="3061"/>
      <c r="S99" s="3061"/>
      <c r="T99" s="3061"/>
      <c r="U99" s="3062"/>
      <c r="V99" s="3058"/>
      <c r="W99" s="3058"/>
      <c r="X99" s="3056">
        <f>IF(A99="","",IF(LEN(SUBSTITUTE(SUBSTITUTE(SUBSTITUTE(SUBSTITUTE(D99,".",""),"/",""),"-","")," ",""))&lt;&gt;14,"CNPJ INVALIDO","OK"))</f>
      </c>
      <c r="Y99" s="3056">
        <f>IF(A99="","",IF(R99="","REST PENDENTE","REST OK"))</f>
      </c>
      <c r="Z99" s="3056">
        <f>IF(A99="","",IF(AND(R99&lt;&gt;"",COUNTIFS($D$3:$D$164,D99,$R$3:$R$164,"&lt;&gt;")&gt;1),"DUPLICADO","OK"))</f>
      </c>
      <c r="AA99" s="3056">
        <f>IF(A99="","",IF(OR(LEN(Q99)&gt;180,LEN(R99)&gt;180,LEN(S99)&gt;180,LEN(T99)&gt;180),"CAMINHO LONGO","OK"))</f>
      </c>
      <c r="AB99" s="3056">
        <f>IF(A99="","",IF(U99="","",IFERROR(INT(U99-TODAY()),"")))</f>
      </c>
      <c r="AC99" s="3056">
        <f>IF(A99="","",IF(AND(T99="",U99=""),"",IF(T99="","SEM CAMINHO",IF(U99="","SEM DATA",IFERROR(IF(AB99&lt;15,"VERMELHO",IF(AB99&lt;=30,"AMARELO","VERDE")),"DATA INVALIDA")))))</f>
      </c>
      <c r="AD99" s="3056">
        <f>IF(OR(A99="",U99="",NOT(ISNUMBER(AB99))),"",RANK(AB99,$AB$3:$AB$164,1)+COUNTIFS($AB$3:AB99,AB99)-1)</f>
      </c>
      <c r="AE99" s="1736"/>
    </row>
    <row r="100" spans="1:19" ht="22.0" hidden="false" customHeight="true" x14ac:dyDescent="0.25">
      <c r="A100" s="3064" t="s">
        <v>237</v>
      </c>
      <c r="B100" s="3063" t="s">
        <v>134</v>
      </c>
      <c r="C100" s="3063" t="s">
        <v>116</v>
      </c>
      <c r="D100" s="3063" t="s">
        <v>238</v>
      </c>
      <c r="E100" s="3063"/>
      <c r="F100" s="3063" t="s">
        <v>138</v>
      </c>
      <c r="G100" s="3063" t="s">
        <v>13</v>
      </c>
      <c r="H100" s="3063" t="s">
        <v>14</v>
      </c>
      <c r="I100" s="3063"/>
      <c r="J100" s="3063"/>
      <c r="K100" s="3063"/>
      <c r="L100" s="3063"/>
      <c r="M100" s="3063" t="s">
        <v>359</v>
      </c>
      <c r="N100" s="3063"/>
      <c r="O100" s="3063" t="s">
        <v>358</v>
      </c>
      <c r="P100" s="3063"/>
      <c r="Q100" s="3066"/>
      <c r="R100" s="3066"/>
      <c r="S100" s="3066"/>
      <c r="T100" s="3066"/>
      <c r="U100" s="3067"/>
      <c r="V100" s="3063"/>
      <c r="W100" s="3063"/>
      <c r="X100" s="3056">
        <f>IF(A100="","",IF(LEN(SUBSTITUTE(SUBSTITUTE(SUBSTITUTE(SUBSTITUTE(D100,".",""),"/",""),"-","")," ",""))&lt;&gt;14,"CNPJ INVALIDO","OK"))</f>
      </c>
      <c r="Y100" s="3056">
        <f>IF(A100="","",IF(R100="","REST PENDENTE","REST OK"))</f>
      </c>
      <c r="Z100" s="3056">
        <f>IF(A100="","",IF(AND(R100&lt;&gt;"",COUNTIFS($D$3:$D$164,D100,$R$3:$R$164,"&lt;&gt;")&gt;1),"DUPLICADO","OK"))</f>
      </c>
      <c r="AA100" s="3056">
        <f>IF(A100="","",IF(OR(LEN(Q100)&gt;180,LEN(R100)&gt;180,LEN(S100)&gt;180,LEN(T100)&gt;180),"CAMINHO LONGO","OK"))</f>
      </c>
      <c r="AB100" s="3056">
        <f>IF(A100="","",IF(U100="","",IFERROR(INT(U100-TODAY()),"")))</f>
      </c>
      <c r="AC100" s="3056">
        <f>IF(A100="","",IF(AND(T100="",U100=""),"",IF(T100="","SEM CAMINHO",IF(U100="","SEM DATA",IFERROR(IF(AB100&lt;15,"VERMELHO",IF(AB100&lt;=30,"AMARELO","VERDE")),"DATA INVALIDA")))))</f>
      </c>
      <c r="AD100" s="3056">
        <f>IF(OR(A100="",U100="",NOT(ISNUMBER(AB100))),"",RANK(AB100,$AB$3:$AB$164,1)+COUNTIFS($AB$3:AB100,AB100)-1)</f>
      </c>
      <c r="AE100" s="1736"/>
    </row>
    <row r="101" spans="1:19" ht="22.0" hidden="false" customHeight="true" x14ac:dyDescent="0.25">
      <c r="A101" s="3059" t="s">
        <v>239</v>
      </c>
      <c r="B101" s="3058" t="s">
        <v>55</v>
      </c>
      <c r="C101" s="3058" t="s">
        <v>56</v>
      </c>
      <c r="D101" s="3058" t="s">
        <v>240</v>
      </c>
      <c r="E101" s="3058"/>
      <c r="F101" s="3058" t="s">
        <v>57</v>
      </c>
      <c r="G101" s="3058" t="s">
        <v>13</v>
      </c>
      <c r="H101" s="3058" t="s">
        <v>5</v>
      </c>
      <c r="I101" s="3058"/>
      <c r="J101" s="3058"/>
      <c r="K101" s="3058"/>
      <c r="L101" s="3058"/>
      <c r="M101" s="3058" t="s">
        <v>376</v>
      </c>
      <c r="N101" s="3058" t="s">
        <v>361</v>
      </c>
      <c r="O101" s="3058" t="s">
        <v>349</v>
      </c>
      <c r="P101" s="3058"/>
      <c r="Q101" s="3061"/>
      <c r="R101" s="3061"/>
      <c r="S101" s="3061"/>
      <c r="T101" s="3061"/>
      <c r="U101" s="3062"/>
      <c r="V101" s="3058"/>
      <c r="W101" s="3058"/>
      <c r="X101" s="3056">
        <f>IF(A101="","",IF(LEN(SUBSTITUTE(SUBSTITUTE(SUBSTITUTE(SUBSTITUTE(D101,".",""),"/",""),"-","")," ",""))&lt;&gt;14,"CNPJ INVALIDO","OK"))</f>
      </c>
      <c r="Y101" s="3056">
        <f>IF(A101="","",IF(R101="","REST PENDENTE","REST OK"))</f>
      </c>
      <c r="Z101" s="3056">
        <f>IF(A101="","",IF(AND(R101&lt;&gt;"",COUNTIFS($D$3:$D$164,D101,$R$3:$R$164,"&lt;&gt;")&gt;1),"DUPLICADO","OK"))</f>
      </c>
      <c r="AA101" s="3056">
        <f>IF(A101="","",IF(OR(LEN(Q101)&gt;180,LEN(R101)&gt;180,LEN(S101)&gt;180,LEN(T101)&gt;180),"CAMINHO LONGO","OK"))</f>
      </c>
      <c r="AB101" s="3056">
        <f>IF(A101="","",IF(U101="","",IFERROR(INT(U101-TODAY()),"")))</f>
      </c>
      <c r="AC101" s="3056">
        <f>IF(A101="","",IF(AND(T101="",U101=""),"",IF(T101="","SEM CAMINHO",IF(U101="","SEM DATA",IFERROR(IF(AB101&lt;15,"VERMELHO",IF(AB101&lt;=30,"AMARELO","VERDE")),"DATA INVALIDA")))))</f>
      </c>
      <c r="AD101" s="3056">
        <f>IF(OR(A101="",U101="",NOT(ISNUMBER(AB101))),"",RANK(AB101,$AB$3:$AB$164,1)+COUNTIFS($AB$3:AB101,AB101)-1)</f>
      </c>
      <c r="AE101" s="1736"/>
    </row>
    <row r="102" spans="1:19" ht="22.0" hidden="false" customHeight="true" x14ac:dyDescent="0.25">
      <c r="A102" s="3064" t="s">
        <v>241</v>
      </c>
      <c r="B102" s="3063" t="s">
        <v>55</v>
      </c>
      <c r="C102" s="3063" t="s">
        <v>242</v>
      </c>
      <c r="D102" s="3063" t="s">
        <v>243</v>
      </c>
      <c r="E102" s="3063"/>
      <c r="F102" s="3063" t="s">
        <v>57</v>
      </c>
      <c r="G102" s="3063" t="s">
        <v>13</v>
      </c>
      <c r="H102" s="3063" t="s">
        <v>5</v>
      </c>
      <c r="I102" s="3063"/>
      <c r="J102" s="3063"/>
      <c r="K102" s="3063"/>
      <c r="L102" s="3063"/>
      <c r="M102" s="3063" t="s">
        <v>376</v>
      </c>
      <c r="N102" s="3063" t="s">
        <v>372</v>
      </c>
      <c r="O102" s="3063" t="s">
        <v>349</v>
      </c>
      <c r="P102" s="3063"/>
      <c r="Q102" s="3066"/>
      <c r="R102" s="3066"/>
      <c r="S102" s="3066"/>
      <c r="T102" s="3066"/>
      <c r="U102" s="3067"/>
      <c r="V102" s="3063"/>
      <c r="W102" s="3063"/>
      <c r="X102" s="3056">
        <f>IF(A102="","",IF(LEN(SUBSTITUTE(SUBSTITUTE(SUBSTITUTE(SUBSTITUTE(D102,".",""),"/",""),"-","")," ",""))&lt;&gt;14,"CNPJ INVALIDO","OK"))</f>
      </c>
      <c r="Y102" s="3056">
        <f>IF(A102="","",IF(R102="","REST PENDENTE","REST OK"))</f>
      </c>
      <c r="Z102" s="3056">
        <f>IF(A102="","",IF(AND(R102&lt;&gt;"",COUNTIFS($D$3:$D$164,D102,$R$3:$R$164,"&lt;&gt;")&gt;1),"DUPLICADO","OK"))</f>
      </c>
      <c r="AA102" s="3056">
        <f>IF(A102="","",IF(OR(LEN(Q102)&gt;180,LEN(R102)&gt;180,LEN(S102)&gt;180,LEN(T102)&gt;180),"CAMINHO LONGO","OK"))</f>
      </c>
      <c r="AB102" s="3056">
        <f>IF(A102="","",IF(U102="","",IFERROR(INT(U102-TODAY()),"")))</f>
      </c>
      <c r="AC102" s="3056">
        <f>IF(A102="","",IF(AND(T102="",U102=""),"",IF(T102="","SEM CAMINHO",IF(U102="","SEM DATA",IFERROR(IF(AB102&lt;15,"VERMELHO",IF(AB102&lt;=30,"AMARELO","VERDE")),"DATA INVALIDA")))))</f>
      </c>
      <c r="AD102" s="3056">
        <f>IF(OR(A102="",U102="",NOT(ISNUMBER(AB102))),"",RANK(AB102,$AB$3:$AB$164,1)+COUNTIFS($AB$3:AB102,AB102)-1)</f>
      </c>
      <c r="AE102" s="1736"/>
    </row>
    <row r="103" spans="1:19" ht="22.0" hidden="false" customHeight="true" x14ac:dyDescent="0.25">
      <c r="A103" s="3059" t="s">
        <v>244</v>
      </c>
      <c r="B103" s="3058" t="s">
        <v>55</v>
      </c>
      <c r="C103" s="3058" t="s">
        <v>245</v>
      </c>
      <c r="D103" s="3058" t="s">
        <v>246</v>
      </c>
      <c r="E103" s="3058"/>
      <c r="F103" s="3058" t="s">
        <v>57</v>
      </c>
      <c r="G103" s="3058" t="s">
        <v>13</v>
      </c>
      <c r="H103" s="3058" t="s">
        <v>5</v>
      </c>
      <c r="I103" s="3058"/>
      <c r="J103" s="3058"/>
      <c r="K103" s="3058"/>
      <c r="L103" s="3058"/>
      <c r="M103" s="3058" t="s">
        <v>376</v>
      </c>
      <c r="N103" s="3058" t="s">
        <v>361</v>
      </c>
      <c r="O103" s="3058" t="s">
        <v>349</v>
      </c>
      <c r="P103" s="3058"/>
      <c r="Q103" s="3061"/>
      <c r="R103" s="3061"/>
      <c r="S103" s="3061"/>
      <c r="T103" s="3061"/>
      <c r="U103" s="3062"/>
      <c r="V103" s="3058"/>
      <c r="W103" s="3058"/>
      <c r="X103" s="3056">
        <f>IF(A103="","",IF(LEN(SUBSTITUTE(SUBSTITUTE(SUBSTITUTE(SUBSTITUTE(D103,".",""),"/",""),"-","")," ",""))&lt;&gt;14,"CNPJ INVALIDO","OK"))</f>
      </c>
      <c r="Y103" s="3056">
        <f>IF(A103="","",IF(R103="","REST PENDENTE","REST OK"))</f>
      </c>
      <c r="Z103" s="3056">
        <f>IF(A103="","",IF(AND(R103&lt;&gt;"",COUNTIFS($D$3:$D$164,D103,$R$3:$R$164,"&lt;&gt;")&gt;1),"DUPLICADO","OK"))</f>
      </c>
      <c r="AA103" s="3056">
        <f>IF(A103="","",IF(OR(LEN(Q103)&gt;180,LEN(R103)&gt;180,LEN(S103)&gt;180,LEN(T103)&gt;180),"CAMINHO LONGO","OK"))</f>
      </c>
      <c r="AB103" s="3056">
        <f>IF(A103="","",IF(U103="","",IFERROR(INT(U103-TODAY()),"")))</f>
      </c>
      <c r="AC103" s="3056">
        <f>IF(A103="","",IF(AND(T103="",U103=""),"",IF(T103="","SEM CAMINHO",IF(U103="","SEM DATA",IFERROR(IF(AB103&lt;15,"VERMELHO",IF(AB103&lt;=30,"AMARELO","VERDE")),"DATA INVALIDA")))))</f>
      </c>
      <c r="AD103" s="3056">
        <f>IF(OR(A103="",U103="",NOT(ISNUMBER(AB103))),"",RANK(AB103,$AB$3:$AB$164,1)+COUNTIFS($AB$3:AB103,AB103)-1)</f>
      </c>
      <c r="AE103" s="1736"/>
    </row>
    <row r="104" spans="1:19" ht="22.0" hidden="false" customHeight="true" x14ac:dyDescent="0.25">
      <c r="A104" s="3064" t="s">
        <v>247</v>
      </c>
      <c r="B104" s="3063" t="s">
        <v>55</v>
      </c>
      <c r="C104" s="3063" t="s">
        <v>248</v>
      </c>
      <c r="D104" s="3063" t="s">
        <v>249</v>
      </c>
      <c r="E104" s="3063"/>
      <c r="F104" s="3063" t="s">
        <v>57</v>
      </c>
      <c r="G104" s="3063" t="s">
        <v>13</v>
      </c>
      <c r="H104" s="3063" t="s">
        <v>49</v>
      </c>
      <c r="I104" s="3063"/>
      <c r="J104" s="3063"/>
      <c r="K104" s="3063"/>
      <c r="L104" s="3063"/>
      <c r="M104" s="3063" t="s">
        <v>376</v>
      </c>
      <c r="N104" s="3063" t="s">
        <v>373</v>
      </c>
      <c r="O104" s="3063" t="s">
        <v>349</v>
      </c>
      <c r="P104" s="3063"/>
      <c r="Q104" s="3066"/>
      <c r="R104" s="3066"/>
      <c r="S104" s="3066"/>
      <c r="T104" s="3066"/>
      <c r="U104" s="3067"/>
      <c r="V104" s="3063"/>
      <c r="W104" s="3063"/>
      <c r="X104" s="3056">
        <f>IF(A104="","",IF(LEN(SUBSTITUTE(SUBSTITUTE(SUBSTITUTE(SUBSTITUTE(D104,".",""),"/",""),"-","")," ",""))&lt;&gt;14,"CNPJ INVALIDO","OK"))</f>
      </c>
      <c r="Y104" s="3056">
        <f>IF(A104="","",IF(R104="","REST PENDENTE","REST OK"))</f>
      </c>
      <c r="Z104" s="3056">
        <f>IF(A104="","",IF(AND(R104&lt;&gt;"",COUNTIFS($D$3:$D$164,D104,$R$3:$R$164,"&lt;&gt;")&gt;1),"DUPLICADO","OK"))</f>
      </c>
      <c r="AA104" s="3056">
        <f>IF(A104="","",IF(OR(LEN(Q104)&gt;180,LEN(R104)&gt;180,LEN(S104)&gt;180,LEN(T104)&gt;180),"CAMINHO LONGO","OK"))</f>
      </c>
      <c r="AB104" s="3056">
        <f>IF(A104="","",IF(U104="","",IFERROR(INT(U104-TODAY()),"")))</f>
      </c>
      <c r="AC104" s="3056">
        <f>IF(A104="","",IF(AND(T104="",U104=""),"",IF(T104="","SEM CAMINHO",IF(U104="","SEM DATA",IFERROR(IF(AB104&lt;15,"VERMELHO",IF(AB104&lt;=30,"AMARELO","VERDE")),"DATA INVALIDA")))))</f>
      </c>
      <c r="AD104" s="3056">
        <f>IF(OR(A104="",U104="",NOT(ISNUMBER(AB104))),"",RANK(AB104,$AB$3:$AB$164,1)+COUNTIFS($AB$3:AB104,AB104)-1)</f>
      </c>
      <c r="AE104" s="1736"/>
    </row>
    <row r="105" spans="1:19" ht="22.0" hidden="false" customHeight="true" x14ac:dyDescent="0.25">
      <c r="A105" s="3059" t="s">
        <v>250</v>
      </c>
      <c r="B105" s="3058" t="s">
        <v>1</v>
      </c>
      <c r="C105" s="3058" t="s">
        <v>2</v>
      </c>
      <c r="D105" s="3058" t="s">
        <v>251</v>
      </c>
      <c r="E105" s="3058"/>
      <c r="F105" s="3058" t="s">
        <v>252</v>
      </c>
      <c r="G105" s="3058" t="s">
        <v>4</v>
      </c>
      <c r="H105" s="3058" t="s">
        <v>49</v>
      </c>
      <c r="I105" s="3058"/>
      <c r="J105" s="3058"/>
      <c r="K105" s="3058"/>
      <c r="L105" s="3058"/>
      <c r="M105" s="3058" t="s">
        <v>371</v>
      </c>
      <c r="N105" s="3058" t="s">
        <v>361</v>
      </c>
      <c r="O105" s="3058" t="s">
        <v>349</v>
      </c>
      <c r="P105" s="3058"/>
      <c r="Q105" s="3061"/>
      <c r="R105" s="3061"/>
      <c r="S105" s="3061"/>
      <c r="T105" s="3061"/>
      <c r="U105" s="3062"/>
      <c r="V105" s="3058"/>
      <c r="W105" s="3058"/>
      <c r="X105" s="3056">
        <f>IF(A105="","",IF(LEN(SUBSTITUTE(SUBSTITUTE(SUBSTITUTE(SUBSTITUTE(D105,".",""),"/",""),"-","")," ",""))&lt;&gt;14,"CNPJ INVALIDO","OK"))</f>
      </c>
      <c r="Y105" s="3056">
        <f>IF(A105="","",IF(R105="","REST PENDENTE","REST OK"))</f>
      </c>
      <c r="Z105" s="3056">
        <f>IF(A105="","",IF(AND(R105&lt;&gt;"",COUNTIFS($D$3:$D$164,D105,$R$3:$R$164,"&lt;&gt;")&gt;1),"DUPLICADO","OK"))</f>
      </c>
      <c r="AA105" s="3056">
        <f>IF(A105="","",IF(OR(LEN(Q105)&gt;180,LEN(R105)&gt;180,LEN(S105)&gt;180,LEN(T105)&gt;180),"CAMINHO LONGO","OK"))</f>
      </c>
      <c r="AB105" s="3056">
        <f>IF(A105="","",IF(U105="","",IFERROR(INT(U105-TODAY()),"")))</f>
      </c>
      <c r="AC105" s="3056">
        <f>IF(A105="","",IF(AND(T105="",U105=""),"",IF(T105="","SEM CAMINHO",IF(U105="","SEM DATA",IFERROR(IF(AB105&lt;15,"VERMELHO",IF(AB105&lt;=30,"AMARELO","VERDE")),"DATA INVALIDA")))))</f>
      </c>
      <c r="AD105" s="3056">
        <f>IF(OR(A105="",U105="",NOT(ISNUMBER(AB105))),"",RANK(AB105,$AB$3:$AB$164,1)+COUNTIFS($AB$3:AB105,AB105)-1)</f>
      </c>
      <c r="AE105" s="1736"/>
    </row>
    <row r="106" spans="1:19" ht="22.0" hidden="false" customHeight="true" x14ac:dyDescent="0.25">
      <c r="A106" s="3064" t="s">
        <v>253</v>
      </c>
      <c r="B106" s="3063" t="s">
        <v>214</v>
      </c>
      <c r="C106" s="3063" t="s">
        <v>62</v>
      </c>
      <c r="D106" s="3063" t="s">
        <v>392</v>
      </c>
      <c r="E106" s="3063"/>
      <c r="F106" s="3063" t="s">
        <v>254</v>
      </c>
      <c r="G106" s="3063" t="s">
        <v>13</v>
      </c>
      <c r="H106" s="3063" t="s">
        <v>5</v>
      </c>
      <c r="I106" s="3063"/>
      <c r="J106" s="3063"/>
      <c r="K106" s="3063"/>
      <c r="L106" s="3063"/>
      <c r="M106" s="3063" t="s">
        <v>376</v>
      </c>
      <c r="N106" s="3063"/>
      <c r="O106" s="3063" t="s">
        <v>349</v>
      </c>
      <c r="P106" s="3063"/>
      <c r="Q106" s="3066"/>
      <c r="R106" s="3066"/>
      <c r="S106" s="3066"/>
      <c r="T106" s="3066"/>
      <c r="U106" s="3067"/>
      <c r="V106" s="3063"/>
      <c r="W106" s="3063"/>
      <c r="X106" s="3056">
        <f>IF(A106="","",IF(LEN(SUBSTITUTE(SUBSTITUTE(SUBSTITUTE(SUBSTITUTE(D106,".",""),"/",""),"-","")," ",""))&lt;&gt;14,"CNPJ INVALIDO","OK"))</f>
      </c>
      <c r="Y106" s="3056">
        <f>IF(A106="","",IF(R106="","REST PENDENTE","REST OK"))</f>
      </c>
      <c r="Z106" s="3056">
        <f>IF(A106="","",IF(AND(R106&lt;&gt;"",COUNTIFS($D$3:$D$164,D106,$R$3:$R$164,"&lt;&gt;")&gt;1),"DUPLICADO","OK"))</f>
      </c>
      <c r="AA106" s="3056">
        <f>IF(A106="","",IF(OR(LEN(Q106)&gt;180,LEN(R106)&gt;180,LEN(S106)&gt;180,LEN(T106)&gt;180),"CAMINHO LONGO","OK"))</f>
      </c>
      <c r="AB106" s="3056">
        <f>IF(A106="","",IF(U106="","",IFERROR(INT(U106-TODAY()),"")))</f>
      </c>
      <c r="AC106" s="3056">
        <f>IF(A106="","",IF(AND(T106="",U106=""),"",IF(T106="","SEM CAMINHO",IF(U106="","SEM DATA",IFERROR(IF(AB106&lt;15,"VERMELHO",IF(AB106&lt;=30,"AMARELO","VERDE")),"DATA INVALIDA")))))</f>
      </c>
      <c r="AD106" s="3056">
        <f>IF(OR(A106="",U106="",NOT(ISNUMBER(AB106))),"",RANK(AB106,$AB$3:$AB$164,1)+COUNTIFS($AB$3:AB106,AB106)-1)</f>
      </c>
      <c r="AE106" s="1736"/>
    </row>
    <row r="107" spans="1:19" ht="22.0" hidden="false" customHeight="true" x14ac:dyDescent="0.25">
      <c r="A107" s="3059" t="s">
        <v>255</v>
      </c>
      <c r="B107" s="3058" t="s">
        <v>214</v>
      </c>
      <c r="C107" s="3058" t="s">
        <v>62</v>
      </c>
      <c r="D107" s="3058" t="s">
        <v>393</v>
      </c>
      <c r="E107" s="3058"/>
      <c r="F107" s="3058" t="s">
        <v>254</v>
      </c>
      <c r="G107" s="3058" t="s">
        <v>13</v>
      </c>
      <c r="H107" s="3058" t="s">
        <v>49</v>
      </c>
      <c r="I107" s="3058"/>
      <c r="J107" s="3058"/>
      <c r="K107" s="3058"/>
      <c r="L107" s="3058"/>
      <c r="M107" s="3058" t="s">
        <v>389</v>
      </c>
      <c r="N107" s="3058"/>
      <c r="O107" s="3058" t="s">
        <v>349</v>
      </c>
      <c r="P107" s="3058"/>
      <c r="Q107" s="3061"/>
      <c r="R107" s="3061"/>
      <c r="S107" s="3061"/>
      <c r="T107" s="3061"/>
      <c r="U107" s="3062"/>
      <c r="V107" s="3058"/>
      <c r="W107" s="3058"/>
      <c r="X107" s="3056">
        <f>IF(A107="","",IF(LEN(SUBSTITUTE(SUBSTITUTE(SUBSTITUTE(SUBSTITUTE(D107,".",""),"/",""),"-","")," ",""))&lt;&gt;14,"CNPJ INVALIDO","OK"))</f>
      </c>
      <c r="Y107" s="3056">
        <f>IF(A107="","",IF(R107="","REST PENDENTE","REST OK"))</f>
      </c>
      <c r="Z107" s="3056">
        <f>IF(A107="","",IF(AND(R107&lt;&gt;"",COUNTIFS($D$3:$D$164,D107,$R$3:$R$164,"&lt;&gt;")&gt;1),"DUPLICADO","OK"))</f>
      </c>
      <c r="AA107" s="3056">
        <f>IF(A107="","",IF(OR(LEN(Q107)&gt;180,LEN(R107)&gt;180,LEN(S107)&gt;180,LEN(T107)&gt;180),"CAMINHO LONGO","OK"))</f>
      </c>
      <c r="AB107" s="3056">
        <f>IF(A107="","",IF(U107="","",IFERROR(INT(U107-TODAY()),"")))</f>
      </c>
      <c r="AC107" s="3056">
        <f>IF(A107="","",IF(AND(T107="",U107=""),"",IF(T107="","SEM CAMINHO",IF(U107="","SEM DATA",IFERROR(IF(AB107&lt;15,"VERMELHO",IF(AB107&lt;=30,"AMARELO","VERDE")),"DATA INVALIDA")))))</f>
      </c>
      <c r="AD107" s="3056">
        <f>IF(OR(A107="",U107="",NOT(ISNUMBER(AB107))),"",RANK(AB107,$AB$3:$AB$164,1)+COUNTIFS($AB$3:AB107,AB107)-1)</f>
      </c>
      <c r="AE107" s="1736"/>
    </row>
    <row r="108" spans="1:19" ht="22.0" hidden="false" customHeight="true" x14ac:dyDescent="0.25">
      <c r="A108" s="3064" t="s">
        <v>256</v>
      </c>
      <c r="B108" s="3063" t="s">
        <v>214</v>
      </c>
      <c r="C108" s="3063" t="s">
        <v>62</v>
      </c>
      <c r="D108" s="3063" t="s">
        <v>394</v>
      </c>
      <c r="E108" s="3063"/>
      <c r="F108" s="3063" t="s">
        <v>257</v>
      </c>
      <c r="G108" s="3063" t="s">
        <v>4</v>
      </c>
      <c r="H108" s="3063" t="s">
        <v>5</v>
      </c>
      <c r="I108" s="3063"/>
      <c r="J108" s="3063"/>
      <c r="K108" s="3063"/>
      <c r="L108" s="3063"/>
      <c r="M108" s="3063" t="s">
        <v>379</v>
      </c>
      <c r="N108" s="3063"/>
      <c r="O108" s="3063" t="s">
        <v>349</v>
      </c>
      <c r="P108" s="3063"/>
      <c r="Q108" s="3066"/>
      <c r="R108" s="3066"/>
      <c r="S108" s="3066"/>
      <c r="T108" s="3066"/>
      <c r="U108" s="3067"/>
      <c r="V108" s="3063"/>
      <c r="W108" s="3063"/>
      <c r="X108" s="3056">
        <f>IF(A108="","",IF(LEN(SUBSTITUTE(SUBSTITUTE(SUBSTITUTE(SUBSTITUTE(D108,".",""),"/",""),"-","")," ",""))&lt;&gt;14,"CNPJ INVALIDO","OK"))</f>
      </c>
      <c r="Y108" s="3056">
        <f>IF(A108="","",IF(R108="","REST PENDENTE","REST OK"))</f>
      </c>
      <c r="Z108" s="3056">
        <f>IF(A108="","",IF(AND(R108&lt;&gt;"",COUNTIFS($D$3:$D$164,D108,$R$3:$R$164,"&lt;&gt;")&gt;1),"DUPLICADO","OK"))</f>
      </c>
      <c r="AA108" s="3056">
        <f>IF(A108="","",IF(OR(LEN(Q108)&gt;180,LEN(R108)&gt;180,LEN(S108)&gt;180,LEN(T108)&gt;180),"CAMINHO LONGO","OK"))</f>
      </c>
      <c r="AB108" s="3056">
        <f>IF(A108="","",IF(U108="","",IFERROR(INT(U108-TODAY()),"")))</f>
      </c>
      <c r="AC108" s="3056">
        <f>IF(A108="","",IF(AND(T108="",U108=""),"",IF(T108="","SEM CAMINHO",IF(U108="","SEM DATA",IFERROR(IF(AB108&lt;15,"VERMELHO",IF(AB108&lt;=30,"AMARELO","VERDE")),"DATA INVALIDA")))))</f>
      </c>
      <c r="AD108" s="3056">
        <f>IF(OR(A108="",U108="",NOT(ISNUMBER(AB108))),"",RANK(AB108,$AB$3:$AB$164,1)+COUNTIFS($AB$3:AB108,AB108)-1)</f>
      </c>
      <c r="AE108" s="1736"/>
    </row>
    <row r="109" spans="1:19" ht="22.0" hidden="false" customHeight="true" x14ac:dyDescent="0.25">
      <c r="A109" s="3059" t="s">
        <v>258</v>
      </c>
      <c r="B109" s="3058" t="s">
        <v>259</v>
      </c>
      <c r="C109" s="3058" t="s">
        <v>69</v>
      </c>
      <c r="D109" s="3058" t="s">
        <v>260</v>
      </c>
      <c r="E109" s="3058"/>
      <c r="F109" s="3058" t="s">
        <v>261</v>
      </c>
      <c r="G109" s="3058" t="s">
        <v>4</v>
      </c>
      <c r="H109" s="3058" t="s">
        <v>5</v>
      </c>
      <c r="I109" s="3058"/>
      <c r="J109" s="3058"/>
      <c r="K109" s="3058"/>
      <c r="L109" s="3058"/>
      <c r="M109" s="3058" t="s">
        <v>371</v>
      </c>
      <c r="N109" s="3058"/>
      <c r="O109" s="3058"/>
      <c r="P109" s="3058"/>
      <c r="Q109" s="3061"/>
      <c r="R109" s="3061"/>
      <c r="S109" s="3061"/>
      <c r="T109" s="3061"/>
      <c r="U109" s="3062"/>
      <c r="V109" s="3058"/>
      <c r="W109" s="3058"/>
      <c r="X109" s="3056">
        <f>IF(A109="","",IF(LEN(SUBSTITUTE(SUBSTITUTE(SUBSTITUTE(SUBSTITUTE(D109,".",""),"/",""),"-","")," ",""))&lt;&gt;14,"CNPJ INVALIDO","OK"))</f>
      </c>
      <c r="Y109" s="3056">
        <f>IF(A109="","",IF(R109="","REST PENDENTE","REST OK"))</f>
      </c>
      <c r="Z109" s="3056">
        <f>IF(A109="","",IF(AND(R109&lt;&gt;"",COUNTIFS($D$3:$D$164,D109,$R$3:$R$164,"&lt;&gt;")&gt;1),"DUPLICADO","OK"))</f>
      </c>
      <c r="AA109" s="3056">
        <f>IF(A109="","",IF(OR(LEN(Q109)&gt;180,LEN(R109)&gt;180,LEN(S109)&gt;180,LEN(T109)&gt;180),"CAMINHO LONGO","OK"))</f>
      </c>
      <c r="AB109" s="3056">
        <f>IF(A109="","",IF(U109="","",IFERROR(INT(U109-TODAY()),"")))</f>
      </c>
      <c r="AC109" s="3056">
        <f>IF(A109="","",IF(AND(T109="",U109=""),"",IF(T109="","SEM CAMINHO",IF(U109="","SEM DATA",IFERROR(IF(AB109&lt;15,"VERMELHO",IF(AB109&lt;=30,"AMARELO","VERDE")),"DATA INVALIDA")))))</f>
      </c>
      <c r="AD109" s="3056">
        <f>IF(OR(A109="",U109="",NOT(ISNUMBER(AB109))),"",RANK(AB109,$AB$3:$AB$164,1)+COUNTIFS($AB$3:AB109,AB109)-1)</f>
      </c>
      <c r="AE109" s="1736"/>
    </row>
    <row r="110" spans="1:19" ht="22.0" hidden="false" customHeight="true" x14ac:dyDescent="0.25">
      <c r="A110" s="3064" t="s">
        <v>262</v>
      </c>
      <c r="B110" s="3063" t="s">
        <v>259</v>
      </c>
      <c r="C110" s="3063" t="s">
        <v>69</v>
      </c>
      <c r="D110" s="3063" t="s">
        <v>263</v>
      </c>
      <c r="E110" s="3063"/>
      <c r="F110" s="3063" t="s">
        <v>261</v>
      </c>
      <c r="G110" s="3063" t="s">
        <v>13</v>
      </c>
      <c r="H110" s="3063" t="s">
        <v>5</v>
      </c>
      <c r="I110" s="3063"/>
      <c r="J110" s="3063"/>
      <c r="K110" s="3063"/>
      <c r="L110" s="3063"/>
      <c r="M110" s="3063" t="s">
        <v>371</v>
      </c>
      <c r="N110" s="3063"/>
      <c r="O110" s="3063"/>
      <c r="P110" s="3063"/>
      <c r="Q110" s="3066"/>
      <c r="R110" s="3066"/>
      <c r="S110" s="3066"/>
      <c r="T110" s="3066"/>
      <c r="U110" s="3067"/>
      <c r="V110" s="3063"/>
      <c r="W110" s="3063"/>
      <c r="X110" s="3056">
        <f>IF(A110="","",IF(LEN(SUBSTITUTE(SUBSTITUTE(SUBSTITUTE(SUBSTITUTE(D110,".",""),"/",""),"-","")," ",""))&lt;&gt;14,"CNPJ INVALIDO","OK"))</f>
      </c>
      <c r="Y110" s="3056">
        <f>IF(A110="","",IF(R110="","REST PENDENTE","REST OK"))</f>
      </c>
      <c r="Z110" s="3056">
        <f>IF(A110="","",IF(AND(R110&lt;&gt;"",COUNTIFS($D$3:$D$164,D110,$R$3:$R$164,"&lt;&gt;")&gt;1),"DUPLICADO","OK"))</f>
      </c>
      <c r="AA110" s="3056">
        <f>IF(A110="","",IF(OR(LEN(Q110)&gt;180,LEN(R110)&gt;180,LEN(S110)&gt;180,LEN(T110)&gt;180),"CAMINHO LONGO","OK"))</f>
      </c>
      <c r="AB110" s="3056">
        <f>IF(A110="","",IF(U110="","",IFERROR(INT(U110-TODAY()),"")))</f>
      </c>
      <c r="AC110" s="3056">
        <f>IF(A110="","",IF(AND(T110="",U110=""),"",IF(T110="","SEM CAMINHO",IF(U110="","SEM DATA",IFERROR(IF(AB110&lt;15,"VERMELHO",IF(AB110&lt;=30,"AMARELO","VERDE")),"DATA INVALIDA")))))</f>
      </c>
      <c r="AD110" s="3056">
        <f>IF(OR(A110="",U110="",NOT(ISNUMBER(AB110))),"",RANK(AB110,$AB$3:$AB$164,1)+COUNTIFS($AB$3:AB110,AB110)-1)</f>
      </c>
      <c r="AE110" s="1736"/>
    </row>
    <row r="111" spans="1:19" ht="22.0" hidden="false" customHeight="true" x14ac:dyDescent="0.25">
      <c r="A111" s="3059" t="s">
        <v>264</v>
      </c>
      <c r="B111" s="3058" t="s">
        <v>159</v>
      </c>
      <c r="C111" s="3058" t="s">
        <v>69</v>
      </c>
      <c r="D111" s="3058" t="s">
        <v>265</v>
      </c>
      <c r="E111" s="3058"/>
      <c r="F111" s="3058" t="s">
        <v>266</v>
      </c>
      <c r="G111" s="3058" t="s">
        <v>13</v>
      </c>
      <c r="H111" s="3058" t="s">
        <v>5</v>
      </c>
      <c r="I111" s="3058"/>
      <c r="J111" s="3058"/>
      <c r="K111" s="3058"/>
      <c r="L111" s="3058"/>
      <c r="M111" s="3058" t="s">
        <v>389</v>
      </c>
      <c r="N111" s="3058"/>
      <c r="O111" s="3058" t="s">
        <v>363</v>
      </c>
      <c r="P111" s="3058"/>
      <c r="Q111" s="3061"/>
      <c r="R111" s="3061"/>
      <c r="S111" s="3061"/>
      <c r="T111" s="3061"/>
      <c r="U111" s="3062"/>
      <c r="V111" s="3058"/>
      <c r="W111" s="3058"/>
      <c r="X111" s="3056">
        <f>IF(A111="","",IF(LEN(SUBSTITUTE(SUBSTITUTE(SUBSTITUTE(SUBSTITUTE(D111,".",""),"/",""),"-","")," ",""))&lt;&gt;14,"CNPJ INVALIDO","OK"))</f>
      </c>
      <c r="Y111" s="3056">
        <f>IF(A111="","",IF(R111="","REST PENDENTE","REST OK"))</f>
      </c>
      <c r="Z111" s="3056">
        <f>IF(A111="","",IF(AND(R111&lt;&gt;"",COUNTIFS($D$3:$D$164,D111,$R$3:$R$164,"&lt;&gt;")&gt;1),"DUPLICADO","OK"))</f>
      </c>
      <c r="AA111" s="3056">
        <f>IF(A111="","",IF(OR(LEN(Q111)&gt;180,LEN(R111)&gt;180,LEN(S111)&gt;180,LEN(T111)&gt;180),"CAMINHO LONGO","OK"))</f>
      </c>
      <c r="AB111" s="3056">
        <f>IF(A111="","",IF(U111="","",IFERROR(INT(U111-TODAY()),"")))</f>
      </c>
      <c r="AC111" s="3056">
        <f>IF(A111="","",IF(AND(T111="",U111=""),"",IF(T111="","SEM CAMINHO",IF(U111="","SEM DATA",IFERROR(IF(AB111&lt;15,"VERMELHO",IF(AB111&lt;=30,"AMARELO","VERDE")),"DATA INVALIDA")))))</f>
      </c>
      <c r="AD111" s="3056">
        <f>IF(OR(A111="",U111="",NOT(ISNUMBER(AB111))),"",RANK(AB111,$AB$3:$AB$164,1)+COUNTIFS($AB$3:AB111,AB111)-1)</f>
      </c>
      <c r="AE111" s="1736"/>
    </row>
    <row r="112" spans="1:19" ht="22.0" hidden="false" customHeight="true" x14ac:dyDescent="0.25">
      <c r="A112" s="3064" t="s">
        <v>267</v>
      </c>
      <c r="B112" s="3063" t="s">
        <v>159</v>
      </c>
      <c r="C112" s="3063" t="s">
        <v>268</v>
      </c>
      <c r="D112" s="3063" t="s">
        <v>269</v>
      </c>
      <c r="E112" s="3063"/>
      <c r="F112" s="3063" t="s">
        <v>266</v>
      </c>
      <c r="G112" s="3063" t="s">
        <v>13</v>
      </c>
      <c r="H112" s="3063" t="s">
        <v>14</v>
      </c>
      <c r="I112" s="3063"/>
      <c r="J112" s="3063"/>
      <c r="K112" s="3063"/>
      <c r="L112" s="3063"/>
      <c r="M112" s="3063" t="s">
        <v>376</v>
      </c>
      <c r="N112" s="3063"/>
      <c r="O112" s="3063" t="s">
        <v>349</v>
      </c>
      <c r="P112" s="3063"/>
      <c r="Q112" s="3066"/>
      <c r="R112" s="3066"/>
      <c r="S112" s="3066"/>
      <c r="T112" s="3066"/>
      <c r="U112" s="3067"/>
      <c r="V112" s="3063"/>
      <c r="W112" s="3063"/>
      <c r="X112" s="3056">
        <f>IF(A112="","",IF(LEN(SUBSTITUTE(SUBSTITUTE(SUBSTITUTE(SUBSTITUTE(D112,".",""),"/",""),"-","")," ",""))&lt;&gt;14,"CNPJ INVALIDO","OK"))</f>
      </c>
      <c r="Y112" s="3056">
        <f>IF(A112="","",IF(R112="","REST PENDENTE","REST OK"))</f>
      </c>
      <c r="Z112" s="3056">
        <f>IF(A112="","",IF(AND(R112&lt;&gt;"",COUNTIFS($D$3:$D$164,D112,$R$3:$R$164,"&lt;&gt;")&gt;1),"DUPLICADO","OK"))</f>
      </c>
      <c r="AA112" s="3056">
        <f>IF(A112="","",IF(OR(LEN(Q112)&gt;180,LEN(R112)&gt;180,LEN(S112)&gt;180,LEN(T112)&gt;180),"CAMINHO LONGO","OK"))</f>
      </c>
      <c r="AB112" s="3056">
        <f>IF(A112="","",IF(U112="","",IFERROR(INT(U112-TODAY()),"")))</f>
      </c>
      <c r="AC112" s="3056">
        <f>IF(A112="","",IF(AND(T112="",U112=""),"",IF(T112="","SEM CAMINHO",IF(U112="","SEM DATA",IFERROR(IF(AB112&lt;15,"VERMELHO",IF(AB112&lt;=30,"AMARELO","VERDE")),"DATA INVALIDA")))))</f>
      </c>
      <c r="AD112" s="3056">
        <f>IF(OR(A112="",U112="",NOT(ISNUMBER(AB112))),"",RANK(AB112,$AB$3:$AB$164,1)+COUNTIFS($AB$3:AB112,AB112)-1)</f>
      </c>
      <c r="AE112" s="1736"/>
    </row>
    <row r="113" spans="1:19" ht="22.0" hidden="false" customHeight="true" x14ac:dyDescent="0.25">
      <c r="A113" s="3059" t="s">
        <v>270</v>
      </c>
      <c r="B113" s="3058" t="s">
        <v>271</v>
      </c>
      <c r="C113" s="3058"/>
      <c r="D113" s="3058" t="s">
        <v>272</v>
      </c>
      <c r="E113" s="3058"/>
      <c r="F113" s="3058" t="s">
        <v>273</v>
      </c>
      <c r="G113" s="3058" t="s">
        <v>41</v>
      </c>
      <c r="H113" s="3058" t="s">
        <v>49</v>
      </c>
      <c r="I113" s="3058"/>
      <c r="J113" s="3058"/>
      <c r="K113" s="3058"/>
      <c r="L113" s="3058"/>
      <c r="M113" s="3058" t="s">
        <v>379</v>
      </c>
      <c r="N113" s="3058"/>
      <c r="O113" s="3058" t="s">
        <v>364</v>
      </c>
      <c r="P113" s="3058"/>
      <c r="Q113" s="3061"/>
      <c r="R113" s="3061"/>
      <c r="S113" s="3061"/>
      <c r="T113" s="3061"/>
      <c r="U113" s="3062"/>
      <c r="V113" s="3058"/>
      <c r="W113" s="3058"/>
      <c r="X113" s="3056">
        <f>IF(A113="","",IF(LEN(SUBSTITUTE(SUBSTITUTE(SUBSTITUTE(SUBSTITUTE(D113,".",""),"/",""),"-","")," ",""))&lt;&gt;14,"CNPJ INVALIDO","OK"))</f>
      </c>
      <c r="Y113" s="3056">
        <f>IF(A113="","",IF(R113="","REST PENDENTE","REST OK"))</f>
      </c>
      <c r="Z113" s="3056">
        <f>IF(A113="","",IF(AND(R113&lt;&gt;"",COUNTIFS($D$3:$D$164,D113,$R$3:$R$164,"&lt;&gt;")&gt;1),"DUPLICADO","OK"))</f>
      </c>
      <c r="AA113" s="3056">
        <f>IF(A113="","",IF(OR(LEN(Q113)&gt;180,LEN(R113)&gt;180,LEN(S113)&gt;180,LEN(T113)&gt;180),"CAMINHO LONGO","OK"))</f>
      </c>
      <c r="AB113" s="3056">
        <f>IF(A113="","",IF(U113="","",IFERROR(INT(U113-TODAY()),"")))</f>
      </c>
      <c r="AC113" s="3056">
        <f>IF(A113="","",IF(AND(T113="",U113=""),"",IF(T113="","SEM CAMINHO",IF(U113="","SEM DATA",IFERROR(IF(AB113&lt;15,"VERMELHO",IF(AB113&lt;=30,"AMARELO","VERDE")),"DATA INVALIDA")))))</f>
      </c>
      <c r="AD113" s="3056">
        <f>IF(OR(A113="",U113="",NOT(ISNUMBER(AB113))),"",RANK(AB113,$AB$3:$AB$164,1)+COUNTIFS($AB$3:AB113,AB113)-1)</f>
      </c>
      <c r="AE113" s="1736"/>
    </row>
    <row r="114" spans="1:19" ht="22.0" hidden="false" customHeight="true" x14ac:dyDescent="0.25">
      <c r="A114" s="3064" t="s">
        <v>274</v>
      </c>
      <c r="B114" s="3063" t="s">
        <v>134</v>
      </c>
      <c r="C114" s="3063" t="s">
        <v>122</v>
      </c>
      <c r="D114" s="3063" t="s">
        <v>395</v>
      </c>
      <c r="E114" s="3063"/>
      <c r="F114" s="3063" t="s">
        <v>275</v>
      </c>
      <c r="G114" s="3063" t="s">
        <v>4</v>
      </c>
      <c r="H114" s="3063" t="s">
        <v>5</v>
      </c>
      <c r="I114" s="3063"/>
      <c r="J114" s="3063"/>
      <c r="K114" s="3063"/>
      <c r="L114" s="3063"/>
      <c r="M114" s="3063" t="s">
        <v>379</v>
      </c>
      <c r="N114" s="3063"/>
      <c r="O114" s="3063" t="s">
        <v>365</v>
      </c>
      <c r="P114" s="3063"/>
      <c r="Q114" s="3066"/>
      <c r="R114" s="3066"/>
      <c r="S114" s="3066"/>
      <c r="T114" s="3066"/>
      <c r="U114" s="3067"/>
      <c r="V114" s="3063"/>
      <c r="W114" s="3063"/>
      <c r="X114" s="3056">
        <f>IF(A114="","",IF(LEN(SUBSTITUTE(SUBSTITUTE(SUBSTITUTE(SUBSTITUTE(D114,".",""),"/",""),"-","")," ",""))&lt;&gt;14,"CNPJ INVALIDO","OK"))</f>
      </c>
      <c r="Y114" s="3056">
        <f>IF(A114="","",IF(R114="","REST PENDENTE","REST OK"))</f>
      </c>
      <c r="Z114" s="3056">
        <f>IF(A114="","",IF(AND(R114&lt;&gt;"",COUNTIFS($D$3:$D$164,D114,$R$3:$R$164,"&lt;&gt;")&gt;1),"DUPLICADO","OK"))</f>
      </c>
      <c r="AA114" s="3056">
        <f>IF(A114="","",IF(OR(LEN(Q114)&gt;180,LEN(R114)&gt;180,LEN(S114)&gt;180,LEN(T114)&gt;180),"CAMINHO LONGO","OK"))</f>
      </c>
      <c r="AB114" s="3056">
        <f>IF(A114="","",IF(U114="","",IFERROR(INT(U114-TODAY()),"")))</f>
      </c>
      <c r="AC114" s="3056">
        <f>IF(A114="","",IF(AND(T114="",U114=""),"",IF(T114="","SEM CAMINHO",IF(U114="","SEM DATA",IFERROR(IF(AB114&lt;15,"VERMELHO",IF(AB114&lt;=30,"AMARELO","VERDE")),"DATA INVALIDA")))))</f>
      </c>
      <c r="AD114" s="3056">
        <f>IF(OR(A114="",U114="",NOT(ISNUMBER(AB114))),"",RANK(AB114,$AB$3:$AB$164,1)+COUNTIFS($AB$3:AB114,AB114)-1)</f>
      </c>
      <c r="AE114" s="1736"/>
    </row>
    <row r="115" spans="1:19" ht="22.0" hidden="false" customHeight="true" x14ac:dyDescent="0.25">
      <c r="A115" s="3059" t="s">
        <v>276</v>
      </c>
      <c r="B115" s="3058" t="s">
        <v>182</v>
      </c>
      <c r="C115" s="3058" t="s">
        <v>83</v>
      </c>
      <c r="D115" s="3058" t="s">
        <v>396</v>
      </c>
      <c r="E115" s="3058"/>
      <c r="F115" s="3058" t="s">
        <v>225</v>
      </c>
      <c r="G115" s="3058" t="s">
        <v>4</v>
      </c>
      <c r="H115" s="3058" t="s">
        <v>5</v>
      </c>
      <c r="I115" s="3058"/>
      <c r="J115" s="3058"/>
      <c r="K115" s="3058"/>
      <c r="L115" s="3058"/>
      <c r="M115" s="3058" t="s">
        <v>376</v>
      </c>
      <c r="N115" s="3058"/>
      <c r="O115" s="3058" t="s">
        <v>365</v>
      </c>
      <c r="P115" s="3058"/>
      <c r="Q115" s="3061"/>
      <c r="R115" s="3061"/>
      <c r="S115" s="3061"/>
      <c r="T115" s="3061"/>
      <c r="U115" s="3062"/>
      <c r="V115" s="3058"/>
      <c r="W115" s="3058"/>
      <c r="X115" s="3056">
        <f>IF(A115="","",IF(LEN(SUBSTITUTE(SUBSTITUTE(SUBSTITUTE(SUBSTITUTE(D115,".",""),"/",""),"-","")," ",""))&lt;&gt;14,"CNPJ INVALIDO","OK"))</f>
      </c>
      <c r="Y115" s="3056">
        <f>IF(A115="","",IF(R115="","REST PENDENTE","REST OK"))</f>
      </c>
      <c r="Z115" s="3056">
        <f>IF(A115="","",IF(AND(R115&lt;&gt;"",COUNTIFS($D$3:$D$164,D115,$R$3:$R$164,"&lt;&gt;")&gt;1),"DUPLICADO","OK"))</f>
      </c>
      <c r="AA115" s="3056">
        <f>IF(A115="","",IF(OR(LEN(Q115)&gt;180,LEN(R115)&gt;180,LEN(S115)&gt;180,LEN(T115)&gt;180),"CAMINHO LONGO","OK"))</f>
      </c>
      <c r="AB115" s="3056">
        <f>IF(A115="","",IF(U115="","",IFERROR(INT(U115-TODAY()),"")))</f>
      </c>
      <c r="AC115" s="3056">
        <f>IF(A115="","",IF(AND(T115="",U115=""),"",IF(T115="","SEM CAMINHO",IF(U115="","SEM DATA",IFERROR(IF(AB115&lt;15,"VERMELHO",IF(AB115&lt;=30,"AMARELO","VERDE")),"DATA INVALIDA")))))</f>
      </c>
      <c r="AD115" s="3056">
        <f>IF(OR(A115="",U115="",NOT(ISNUMBER(AB115))),"",RANK(AB115,$AB$3:$AB$164,1)+COUNTIFS($AB$3:AB115,AB115)-1)</f>
      </c>
      <c r="AE115" s="1736"/>
    </row>
    <row r="116" spans="1:19" ht="22.0" hidden="false" customHeight="true" x14ac:dyDescent="0.25">
      <c r="A116" s="3064" t="s">
        <v>277</v>
      </c>
      <c r="B116" s="3063" t="s">
        <v>211</v>
      </c>
      <c r="C116" s="3063" t="s">
        <v>69</v>
      </c>
      <c r="D116" s="3063" t="s">
        <v>278</v>
      </c>
      <c r="E116" s="3063"/>
      <c r="F116" s="3063" t="s">
        <v>279</v>
      </c>
      <c r="G116" s="3063" t="s">
        <v>13</v>
      </c>
      <c r="H116" s="3063" t="s">
        <v>49</v>
      </c>
      <c r="I116" s="3063">
        <v>46147</v>
      </c>
      <c r="J116" s="3063"/>
      <c r="K116" s="3063"/>
      <c r="L116" s="3063"/>
      <c r="M116" s="3063" t="s">
        <v>366</v>
      </c>
      <c r="N116" s="3063"/>
      <c r="O116" s="3063" t="s">
        <v>363</v>
      </c>
      <c r="P116" s="3063"/>
      <c r="Q116" s="3066"/>
      <c r="R116" s="3066"/>
      <c r="S116" s="3066"/>
      <c r="T116" s="3066"/>
      <c r="U116" s="3067"/>
      <c r="V116" s="3063"/>
      <c r="W116" s="3063"/>
      <c r="X116" s="3056">
        <f>IF(A116="","",IF(LEN(SUBSTITUTE(SUBSTITUTE(SUBSTITUTE(SUBSTITUTE(D116,".",""),"/",""),"-","")," ",""))&lt;&gt;14,"CNPJ INVALIDO","OK"))</f>
      </c>
      <c r="Y116" s="3056">
        <f>IF(A116="","",IF(R116="","REST PENDENTE","REST OK"))</f>
      </c>
      <c r="Z116" s="3056">
        <f>IF(A116="","",IF(AND(R116&lt;&gt;"",COUNTIFS($D$3:$D$164,D116,$R$3:$R$164,"&lt;&gt;")&gt;1),"DUPLICADO","OK"))</f>
      </c>
      <c r="AA116" s="3056">
        <f>IF(A116="","",IF(OR(LEN(Q116)&gt;180,LEN(R116)&gt;180,LEN(S116)&gt;180,LEN(T116)&gt;180),"CAMINHO LONGO","OK"))</f>
      </c>
      <c r="AB116" s="3056">
        <f>IF(A116="","",IF(U116="","",IFERROR(INT(U116-TODAY()),"")))</f>
      </c>
      <c r="AC116" s="3056">
        <f>IF(A116="","",IF(AND(T116="",U116=""),"",IF(T116="","SEM CAMINHO",IF(U116="","SEM DATA",IFERROR(IF(AB116&lt;15,"VERMELHO",IF(AB116&lt;=30,"AMARELO","VERDE")),"DATA INVALIDA")))))</f>
      </c>
      <c r="AD116" s="3056">
        <f>IF(OR(A116="",U116="",NOT(ISNUMBER(AB116))),"",RANK(AB116,$AB$3:$AB$164,1)+COUNTIFS($AB$3:AB116,AB116)-1)</f>
      </c>
      <c r="AE116" s="1736"/>
    </row>
    <row r="117" spans="1:19" ht="22.0" hidden="false" customHeight="true" x14ac:dyDescent="0.25">
      <c r="A117" s="3059" t="s">
        <v>280</v>
      </c>
      <c r="B117" s="3058" t="s">
        <v>162</v>
      </c>
      <c r="C117" s="3058" t="s">
        <v>281</v>
      </c>
      <c r="D117" s="3058" t="s">
        <v>282</v>
      </c>
      <c r="E117" s="3058"/>
      <c r="F117" s="3058"/>
      <c r="G117" s="3058" t="s">
        <v>4</v>
      </c>
      <c r="H117" s="3058" t="s">
        <v>49</v>
      </c>
      <c r="I117" s="3058"/>
      <c r="J117" s="3058"/>
      <c r="K117" s="3058"/>
      <c r="L117" s="3058"/>
      <c r="M117" s="3058" t="s">
        <v>376</v>
      </c>
      <c r="N117" s="3058" t="s">
        <v>362</v>
      </c>
      <c r="O117" s="3058" t="s">
        <v>365</v>
      </c>
      <c r="P117" s="3058"/>
      <c r="Q117" s="3061"/>
      <c r="R117" s="3061"/>
      <c r="S117" s="3061"/>
      <c r="T117" s="3061"/>
      <c r="U117" s="3062"/>
      <c r="V117" s="3058"/>
      <c r="W117" s="3058"/>
      <c r="X117" s="3056">
        <f>IF(A117="","",IF(LEN(SUBSTITUTE(SUBSTITUTE(SUBSTITUTE(SUBSTITUTE(D117,".",""),"/",""),"-","")," ",""))&lt;&gt;14,"CNPJ INVALIDO","OK"))</f>
      </c>
      <c r="Y117" s="3056">
        <f>IF(A117="","",IF(R117="","REST PENDENTE","REST OK"))</f>
      </c>
      <c r="Z117" s="3056">
        <f>IF(A117="","",IF(AND(R117&lt;&gt;"",COUNTIFS($D$3:$D$164,D117,$R$3:$R$164,"&lt;&gt;")&gt;1),"DUPLICADO","OK"))</f>
      </c>
      <c r="AA117" s="3056">
        <f>IF(A117="","",IF(OR(LEN(Q117)&gt;180,LEN(R117)&gt;180,LEN(S117)&gt;180,LEN(T117)&gt;180),"CAMINHO LONGO","OK"))</f>
      </c>
      <c r="AB117" s="3056">
        <f>IF(A117="","",IF(U117="","",IFERROR(INT(U117-TODAY()),"")))</f>
      </c>
      <c r="AC117" s="3056">
        <f>IF(A117="","",IF(AND(T117="",U117=""),"",IF(T117="","SEM CAMINHO",IF(U117="","SEM DATA",IFERROR(IF(AB117&lt;15,"VERMELHO",IF(AB117&lt;=30,"AMARELO","VERDE")),"DATA INVALIDA")))))</f>
      </c>
      <c r="AD117" s="3056">
        <f>IF(OR(A117="",U117="",NOT(ISNUMBER(AB117))),"",RANK(AB117,$AB$3:$AB$164,1)+COUNTIFS($AB$3:AB117,AB117)-1)</f>
      </c>
      <c r="AE117" s="1736"/>
    </row>
    <row r="118" spans="1:19" ht="22.0" hidden="false" customHeight="true" x14ac:dyDescent="0.25">
      <c r="A118" s="3064" t="s">
        <v>283</v>
      </c>
      <c r="B118" s="3063" t="s">
        <v>75</v>
      </c>
      <c r="C118" s="3063" t="s">
        <v>62</v>
      </c>
      <c r="D118" s="3063" t="s">
        <v>397</v>
      </c>
      <c r="E118" s="3063"/>
      <c r="F118" s="3063" t="s">
        <v>284</v>
      </c>
      <c r="G118" s="3063" t="s">
        <v>4</v>
      </c>
      <c r="H118" s="3063" t="s">
        <v>14</v>
      </c>
      <c r="I118" s="3063"/>
      <c r="J118" s="3063"/>
      <c r="K118" s="3063"/>
      <c r="L118" s="3063"/>
      <c r="M118" s="3063" t="s">
        <v>389</v>
      </c>
      <c r="N118" s="3063"/>
      <c r="O118" s="3063" t="s">
        <v>365</v>
      </c>
      <c r="P118" s="3063"/>
      <c r="Q118" s="3066"/>
      <c r="R118" s="3066"/>
      <c r="S118" s="3066"/>
      <c r="T118" s="3066"/>
      <c r="U118" s="3067"/>
      <c r="V118" s="3063"/>
      <c r="W118" s="3063"/>
      <c r="X118" s="3056">
        <f>IF(A118="","",IF(LEN(SUBSTITUTE(SUBSTITUTE(SUBSTITUTE(SUBSTITUTE(D118,".",""),"/",""),"-","")," ",""))&lt;&gt;14,"CNPJ INVALIDO","OK"))</f>
      </c>
      <c r="Y118" s="3056">
        <f>IF(A118="","",IF(R118="","REST PENDENTE","REST OK"))</f>
      </c>
      <c r="Z118" s="3056">
        <f>IF(A118="","",IF(AND(R118&lt;&gt;"",COUNTIFS($D$3:$D$164,D118,$R$3:$R$164,"&lt;&gt;")&gt;1),"DUPLICADO","OK"))</f>
      </c>
      <c r="AA118" s="3056">
        <f>IF(A118="","",IF(OR(LEN(Q118)&gt;180,LEN(R118)&gt;180,LEN(S118)&gt;180,LEN(T118)&gt;180),"CAMINHO LONGO","OK"))</f>
      </c>
      <c r="AB118" s="3056">
        <f>IF(A118="","",IF(U118="","",IFERROR(INT(U118-TODAY()),"")))</f>
      </c>
      <c r="AC118" s="3056">
        <f>IF(A118="","",IF(AND(T118="",U118=""),"",IF(T118="","SEM CAMINHO",IF(U118="","SEM DATA",IFERROR(IF(AB118&lt;15,"VERMELHO",IF(AB118&lt;=30,"AMARELO","VERDE")),"DATA INVALIDA")))))</f>
      </c>
      <c r="AD118" s="3056">
        <f>IF(OR(A118="",U118="",NOT(ISNUMBER(AB118))),"",RANK(AB118,$AB$3:$AB$164,1)+COUNTIFS($AB$3:AB118,AB118)-1)</f>
      </c>
      <c r="AE118" s="1736"/>
    </row>
    <row r="119" spans="1:19" ht="22.0" hidden="false" customHeight="true" x14ac:dyDescent="0.25">
      <c r="A119" s="3059" t="s">
        <v>285</v>
      </c>
      <c r="B119" s="3058" t="s">
        <v>286</v>
      </c>
      <c r="C119" s="3058"/>
      <c r="D119" s="3058" t="s">
        <v>398</v>
      </c>
      <c r="E119" s="3058"/>
      <c r="F119" s="3058" t="s">
        <v>287</v>
      </c>
      <c r="G119" s="3058" t="s">
        <v>4</v>
      </c>
      <c r="H119" s="3058" t="s">
        <v>49</v>
      </c>
      <c r="I119" s="3058"/>
      <c r="J119" s="3058"/>
      <c r="K119" s="3058"/>
      <c r="L119" s="3058"/>
      <c r="M119" s="3058" t="s">
        <v>379</v>
      </c>
      <c r="N119" s="3058"/>
      <c r="O119" s="3058" t="s">
        <v>365</v>
      </c>
      <c r="P119" s="3058"/>
      <c r="Q119" s="3061"/>
      <c r="R119" s="3061"/>
      <c r="S119" s="3061"/>
      <c r="T119" s="3061"/>
      <c r="U119" s="3062"/>
      <c r="V119" s="3058"/>
      <c r="W119" s="3058"/>
      <c r="X119" s="3056">
        <f>IF(A119="","",IF(LEN(SUBSTITUTE(SUBSTITUTE(SUBSTITUTE(SUBSTITUTE(D119,".",""),"/",""),"-","")," ",""))&lt;&gt;14,"CNPJ INVALIDO","OK"))</f>
      </c>
      <c r="Y119" s="3056">
        <f>IF(A119="","",IF(R119="","REST PENDENTE","REST OK"))</f>
      </c>
      <c r="Z119" s="3056">
        <f>IF(A119="","",IF(AND(R119&lt;&gt;"",COUNTIFS($D$3:$D$164,D119,$R$3:$R$164,"&lt;&gt;")&gt;1),"DUPLICADO","OK"))</f>
      </c>
      <c r="AA119" s="3056">
        <f>IF(A119="","",IF(OR(LEN(Q119)&gt;180,LEN(R119)&gt;180,LEN(S119)&gt;180,LEN(T119)&gt;180),"CAMINHO LONGO","OK"))</f>
      </c>
      <c r="AB119" s="3056">
        <f>IF(A119="","",IF(U119="","",IFERROR(INT(U119-TODAY()),"")))</f>
      </c>
      <c r="AC119" s="3056">
        <f>IF(A119="","",IF(AND(T119="",U119=""),"",IF(T119="","SEM CAMINHO",IF(U119="","SEM DATA",IFERROR(IF(AB119&lt;15,"VERMELHO",IF(AB119&lt;=30,"AMARELO","VERDE")),"DATA INVALIDA")))))</f>
      </c>
      <c r="AD119" s="3056">
        <f>IF(OR(A119="",U119="",NOT(ISNUMBER(AB119))),"",RANK(AB119,$AB$3:$AB$164,1)+COUNTIFS($AB$3:AB119,AB119)-1)</f>
      </c>
      <c r="AE119" s="1736"/>
    </row>
    <row r="120" spans="1:19" ht="22.0" hidden="false" customHeight="true" x14ac:dyDescent="0.25">
      <c r="A120" s="3064" t="s">
        <v>288</v>
      </c>
      <c r="B120" s="3063" t="s">
        <v>286</v>
      </c>
      <c r="C120" s="3063" t="s">
        <v>69</v>
      </c>
      <c r="D120" s="3063" t="s">
        <v>289</v>
      </c>
      <c r="E120" s="3063"/>
      <c r="F120" s="3063" t="s">
        <v>290</v>
      </c>
      <c r="G120" s="3063" t="s">
        <v>13</v>
      </c>
      <c r="H120" s="3063" t="s">
        <v>49</v>
      </c>
      <c r="I120" s="3063"/>
      <c r="J120" s="3063"/>
      <c r="K120" s="3063"/>
      <c r="L120" s="3063"/>
      <c r="M120" s="3063" t="s">
        <v>376</v>
      </c>
      <c r="N120" s="3063"/>
      <c r="O120" s="3063" t="s">
        <v>365</v>
      </c>
      <c r="P120" s="3063"/>
      <c r="Q120" s="3066"/>
      <c r="R120" s="3066"/>
      <c r="S120" s="3066"/>
      <c r="T120" s="3066"/>
      <c r="U120" s="3067"/>
      <c r="V120" s="3063"/>
      <c r="W120" s="3063"/>
      <c r="X120" s="3056">
        <f>IF(A120="","",IF(LEN(SUBSTITUTE(SUBSTITUTE(SUBSTITUTE(SUBSTITUTE(D120,".",""),"/",""),"-","")," ",""))&lt;&gt;14,"CNPJ INVALIDO","OK"))</f>
      </c>
      <c r="Y120" s="3056">
        <f>IF(A120="","",IF(R120="","REST PENDENTE","REST OK"))</f>
      </c>
      <c r="Z120" s="3056">
        <f>IF(A120="","",IF(AND(R120&lt;&gt;"",COUNTIFS($D$3:$D$164,D120,$R$3:$R$164,"&lt;&gt;")&gt;1),"DUPLICADO","OK"))</f>
      </c>
      <c r="AA120" s="3056">
        <f>IF(A120="","",IF(OR(LEN(Q120)&gt;180,LEN(R120)&gt;180,LEN(S120)&gt;180,LEN(T120)&gt;180),"CAMINHO LONGO","OK"))</f>
      </c>
      <c r="AB120" s="3056">
        <f>IF(A120="","",IF(U120="","",IFERROR(INT(U120-TODAY()),"")))</f>
      </c>
      <c r="AC120" s="3056">
        <f>IF(A120="","",IF(AND(T120="",U120=""),"",IF(T120="","SEM CAMINHO",IF(U120="","SEM DATA",IFERROR(IF(AB120&lt;15,"VERMELHO",IF(AB120&lt;=30,"AMARELO","VERDE")),"DATA INVALIDA")))))</f>
      </c>
      <c r="AD120" s="3056">
        <f>IF(OR(A120="",U120="",NOT(ISNUMBER(AB120))),"",RANK(AB120,$AB$3:$AB$164,1)+COUNTIFS($AB$3:AB120,AB120)-1)</f>
      </c>
      <c r="AE120" s="1736"/>
    </row>
    <row r="121" spans="1:19" ht="22.0" hidden="false" customHeight="true" x14ac:dyDescent="0.25">
      <c r="A121" s="3059" t="s">
        <v>291</v>
      </c>
      <c r="B121" s="3058" t="s">
        <v>75</v>
      </c>
      <c r="C121" s="3058" t="s">
        <v>69</v>
      </c>
      <c r="D121" s="3058" t="s">
        <v>292</v>
      </c>
      <c r="E121" s="3058"/>
      <c r="F121" s="3058"/>
      <c r="G121" s="3058"/>
      <c r="H121" s="3058"/>
      <c r="I121" s="3058"/>
      <c r="J121" s="3058"/>
      <c r="K121" s="3058"/>
      <c r="L121" s="3058"/>
      <c r="M121" s="3058" t="s">
        <v>371</v>
      </c>
      <c r="N121" s="3058"/>
      <c r="O121" s="3058"/>
      <c r="P121" s="3058"/>
      <c r="Q121" s="3061"/>
      <c r="R121" s="3061"/>
      <c r="S121" s="3061"/>
      <c r="T121" s="3061"/>
      <c r="U121" s="3062"/>
      <c r="V121" s="3058"/>
      <c r="W121" s="3058"/>
      <c r="X121" s="3056">
        <f>IF(A121="","",IF(LEN(SUBSTITUTE(SUBSTITUTE(SUBSTITUTE(SUBSTITUTE(D121,".",""),"/",""),"-","")," ",""))&lt;&gt;14,"CNPJ INVALIDO","OK"))</f>
      </c>
      <c r="Y121" s="3056">
        <f>IF(A121="","",IF(R121="","REST PENDENTE","REST OK"))</f>
      </c>
      <c r="Z121" s="3056">
        <f>IF(A121="","",IF(AND(R121&lt;&gt;"",COUNTIFS($D$3:$D$164,D121,$R$3:$R$164,"&lt;&gt;")&gt;1),"DUPLICADO","OK"))</f>
      </c>
      <c r="AA121" s="3056">
        <f>IF(A121="","",IF(OR(LEN(Q121)&gt;180,LEN(R121)&gt;180,LEN(S121)&gt;180,LEN(T121)&gt;180),"CAMINHO LONGO","OK"))</f>
      </c>
      <c r="AB121" s="3056">
        <f>IF(A121="","",IF(U121="","",IFERROR(INT(U121-TODAY()),"")))</f>
      </c>
      <c r="AC121" s="3056">
        <f>IF(A121="","",IF(AND(T121="",U121=""),"",IF(T121="","SEM CAMINHO",IF(U121="","SEM DATA",IFERROR(IF(AB121&lt;15,"VERMELHO",IF(AB121&lt;=30,"AMARELO","VERDE")),"DATA INVALIDA")))))</f>
      </c>
      <c r="AD121" s="3056">
        <f>IF(OR(A121="",U121="",NOT(ISNUMBER(AB121))),"",RANK(AB121,$AB$3:$AB$164,1)+COUNTIFS($AB$3:AB121,AB121)-1)</f>
      </c>
      <c r="AE121" s="1736"/>
    </row>
    <row r="122" spans="1:19" ht="22.0" hidden="false" customHeight="true" x14ac:dyDescent="0.25">
      <c r="A122" s="3064" t="s">
        <v>293</v>
      </c>
      <c r="B122" s="3063" t="s">
        <v>227</v>
      </c>
      <c r="C122" s="3063" t="s">
        <v>116</v>
      </c>
      <c r="D122" s="3063" t="s">
        <v>294</v>
      </c>
      <c r="E122" s="3063"/>
      <c r="F122" s="3063" t="s">
        <v>228</v>
      </c>
      <c r="G122" s="3063" t="s">
        <v>13</v>
      </c>
      <c r="H122" s="3063" t="s">
        <v>14</v>
      </c>
      <c r="I122" s="3063"/>
      <c r="J122" s="3063"/>
      <c r="K122" s="3063"/>
      <c r="L122" s="3063"/>
      <c r="M122" s="3063" t="s">
        <v>368</v>
      </c>
      <c r="N122" s="3063"/>
      <c r="O122" s="3063" t="s">
        <v>369</v>
      </c>
      <c r="P122" s="3063"/>
      <c r="Q122" s="3066"/>
      <c r="R122" s="3066"/>
      <c r="S122" s="3066"/>
      <c r="T122" s="3066"/>
      <c r="U122" s="3067"/>
      <c r="V122" s="3063"/>
      <c r="W122" s="3063"/>
      <c r="X122" s="3056">
        <f>IF(A122="","",IF(LEN(SUBSTITUTE(SUBSTITUTE(SUBSTITUTE(SUBSTITUTE(D122,".",""),"/",""),"-","")," ",""))&lt;&gt;14,"CNPJ INVALIDO","OK"))</f>
      </c>
      <c r="Y122" s="3056">
        <f>IF(A122="","",IF(R122="","REST PENDENTE","REST OK"))</f>
      </c>
      <c r="Z122" s="3056">
        <f>IF(A122="","",IF(AND(R122&lt;&gt;"",COUNTIFS($D$3:$D$164,D122,$R$3:$R$164,"&lt;&gt;")&gt;1),"DUPLICADO","OK"))</f>
      </c>
      <c r="AA122" s="3056">
        <f>IF(A122="","",IF(OR(LEN(Q122)&gt;180,LEN(R122)&gt;180,LEN(S122)&gt;180,LEN(T122)&gt;180),"CAMINHO LONGO","OK"))</f>
      </c>
      <c r="AB122" s="3056">
        <f>IF(A122="","",IF(U122="","",IFERROR(INT(U122-TODAY()),"")))</f>
      </c>
      <c r="AC122" s="3056">
        <f>IF(A122="","",IF(AND(T122="",U122=""),"",IF(T122="","SEM CAMINHO",IF(U122="","SEM DATA",IFERROR(IF(AB122&lt;15,"VERMELHO",IF(AB122&lt;=30,"AMARELO","VERDE")),"DATA INVALIDA")))))</f>
      </c>
      <c r="AD122" s="3056">
        <f>IF(OR(A122="",U122="",NOT(ISNUMBER(AB122))),"",RANK(AB122,$AB$3:$AB$164,1)+COUNTIFS($AB$3:AB122,AB122)-1)</f>
      </c>
      <c r="AE122" s="1736"/>
    </row>
    <row r="123" spans="1:19" ht="22.0" hidden="false" customHeight="true" x14ac:dyDescent="0.25">
      <c r="A123" s="3059" t="s">
        <v>295</v>
      </c>
      <c r="B123" s="3058" t="s">
        <v>45</v>
      </c>
      <c r="C123" s="3058" t="s">
        <v>296</v>
      </c>
      <c r="D123" s="3058" t="s">
        <v>297</v>
      </c>
      <c r="E123" s="3058"/>
      <c r="F123" s="3058" t="s">
        <v>48</v>
      </c>
      <c r="G123" s="3058" t="s">
        <v>13</v>
      </c>
      <c r="H123" s="3058" t="s">
        <v>14</v>
      </c>
      <c r="I123" s="3058"/>
      <c r="J123" s="3058"/>
      <c r="K123" s="3058"/>
      <c r="L123" s="3058"/>
      <c r="M123" s="3058" t="s">
        <v>371</v>
      </c>
      <c r="N123" s="3058"/>
      <c r="O123" s="3058" t="s">
        <v>367</v>
      </c>
      <c r="P123" s="3058"/>
      <c r="Q123" s="3061"/>
      <c r="R123" s="3061"/>
      <c r="S123" s="3061"/>
      <c r="T123" s="3061"/>
      <c r="U123" s="3062"/>
      <c r="V123" s="3058"/>
      <c r="W123" s="3058"/>
      <c r="X123" s="3056">
        <f>IF(A123="","",IF(LEN(SUBSTITUTE(SUBSTITUTE(SUBSTITUTE(SUBSTITUTE(D123,".",""),"/",""),"-","")," ",""))&lt;&gt;14,"CNPJ INVALIDO","OK"))</f>
      </c>
      <c r="Y123" s="3056">
        <f>IF(A123="","",IF(R123="","REST PENDENTE","REST OK"))</f>
      </c>
      <c r="Z123" s="3056">
        <f>IF(A123="","",IF(AND(R123&lt;&gt;"",COUNTIFS($D$3:$D$164,D123,$R$3:$R$164,"&lt;&gt;")&gt;1),"DUPLICADO","OK"))</f>
      </c>
      <c r="AA123" s="3056">
        <f>IF(A123="","",IF(OR(LEN(Q123)&gt;180,LEN(R123)&gt;180,LEN(S123)&gt;180,LEN(T123)&gt;180),"CAMINHO LONGO","OK"))</f>
      </c>
      <c r="AB123" s="3056">
        <f>IF(A123="","",IF(U123="","",IFERROR(INT(U123-TODAY()),"")))</f>
      </c>
      <c r="AC123" s="3056">
        <f>IF(A123="","",IF(AND(T123="",U123=""),"",IF(T123="","SEM CAMINHO",IF(U123="","SEM DATA",IFERROR(IF(AB123&lt;15,"VERMELHO",IF(AB123&lt;=30,"AMARELO","VERDE")),"DATA INVALIDA")))))</f>
      </c>
      <c r="AD123" s="3056">
        <f>IF(OR(A123="",U123="",NOT(ISNUMBER(AB123))),"",RANK(AB123,$AB$3:$AB$164,1)+COUNTIFS($AB$3:AB123,AB123)-1)</f>
      </c>
      <c r="AE123" s="1736"/>
    </row>
    <row r="124" spans="1:19" ht="22.0" hidden="false" customHeight="true" x14ac:dyDescent="0.25">
      <c r="A124" s="3064" t="s">
        <v>298</v>
      </c>
      <c r="B124" s="3063" t="s">
        <v>299</v>
      </c>
      <c r="C124" s="3063" t="s">
        <v>16</v>
      </c>
      <c r="D124" s="3063" t="s">
        <v>300</v>
      </c>
      <c r="E124" s="3063"/>
      <c r="F124" s="3063" t="s">
        <v>109</v>
      </c>
      <c r="G124" s="3063" t="s">
        <v>4</v>
      </c>
      <c r="H124" s="3063" t="s">
        <v>49</v>
      </c>
      <c r="I124" s="3063"/>
      <c r="J124" s="3063"/>
      <c r="K124" s="3063"/>
      <c r="L124" s="3063"/>
      <c r="M124" s="3063" t="s">
        <v>379</v>
      </c>
      <c r="N124" s="3063"/>
      <c r="O124" s="3063" t="s">
        <v>365</v>
      </c>
      <c r="P124" s="3063"/>
      <c r="Q124" s="3066"/>
      <c r="R124" s="3066"/>
      <c r="S124" s="3066"/>
      <c r="T124" s="3066"/>
      <c r="U124" s="3067"/>
      <c r="V124" s="3063"/>
      <c r="W124" s="3063"/>
      <c r="X124" s="3056">
        <f>IF(A124="","",IF(LEN(SUBSTITUTE(SUBSTITUTE(SUBSTITUTE(SUBSTITUTE(D124,".",""),"/",""),"-","")," ",""))&lt;&gt;14,"CNPJ INVALIDO","OK"))</f>
      </c>
      <c r="Y124" s="3056">
        <f>IF(A124="","",IF(R124="","REST PENDENTE","REST OK"))</f>
      </c>
      <c r="Z124" s="3056">
        <f>IF(A124="","",IF(AND(R124&lt;&gt;"",COUNTIFS($D$3:$D$164,D124,$R$3:$R$164,"&lt;&gt;")&gt;1),"DUPLICADO","OK"))</f>
      </c>
      <c r="AA124" s="3056">
        <f>IF(A124="","",IF(OR(LEN(Q124)&gt;180,LEN(R124)&gt;180,LEN(S124)&gt;180,LEN(T124)&gt;180),"CAMINHO LONGO","OK"))</f>
      </c>
      <c r="AB124" s="3056">
        <f>IF(A124="","",IF(U124="","",IFERROR(INT(U124-TODAY()),"")))</f>
      </c>
      <c r="AC124" s="3056">
        <f>IF(A124="","",IF(AND(T124="",U124=""),"",IF(T124="","SEM CAMINHO",IF(U124="","SEM DATA",IFERROR(IF(AB124&lt;15,"VERMELHO",IF(AB124&lt;=30,"AMARELO","VERDE")),"DATA INVALIDA")))))</f>
      </c>
      <c r="AD124" s="3056">
        <f>IF(OR(A124="",U124="",NOT(ISNUMBER(AB124))),"",RANK(AB124,$AB$3:$AB$164,1)+COUNTIFS($AB$3:AB124,AB124)-1)</f>
      </c>
      <c r="AE124" s="1736"/>
    </row>
    <row r="125" spans="1:19" ht="22.0" hidden="false" customHeight="true" x14ac:dyDescent="0.25">
      <c r="A125" s="3059" t="s">
        <v>301</v>
      </c>
      <c r="B125" s="3058" t="s">
        <v>302</v>
      </c>
      <c r="C125" s="3058" t="s">
        <v>69</v>
      </c>
      <c r="D125" s="3058" t="s">
        <v>303</v>
      </c>
      <c r="E125" s="3058"/>
      <c r="F125" s="3058"/>
      <c r="G125" s="3058" t="s">
        <v>4</v>
      </c>
      <c r="H125" s="3058" t="s">
        <v>49</v>
      </c>
      <c r="I125" s="3058"/>
      <c r="J125" s="3058"/>
      <c r="K125" s="3058"/>
      <c r="L125" s="3058"/>
      <c r="M125" s="3058" t="s">
        <v>379</v>
      </c>
      <c r="N125" s="3058"/>
      <c r="O125" s="3058" t="s">
        <v>365</v>
      </c>
      <c r="P125" s="3058"/>
      <c r="Q125" s="3061"/>
      <c r="R125" s="3061"/>
      <c r="S125" s="3061"/>
      <c r="T125" s="3061"/>
      <c r="U125" s="3062"/>
      <c r="V125" s="3058"/>
      <c r="W125" s="3058"/>
      <c r="X125" s="3056">
        <f>IF(A125="","",IF(LEN(SUBSTITUTE(SUBSTITUTE(SUBSTITUTE(SUBSTITUTE(D125,".",""),"/",""),"-","")," ",""))&lt;&gt;14,"CNPJ INVALIDO","OK"))</f>
      </c>
      <c r="Y125" s="3056">
        <f>IF(A125="","",IF(R125="","REST PENDENTE","REST OK"))</f>
      </c>
      <c r="Z125" s="3056">
        <f>IF(A125="","",IF(AND(R125&lt;&gt;"",COUNTIFS($D$3:$D$164,D125,$R$3:$R$164,"&lt;&gt;")&gt;1),"DUPLICADO","OK"))</f>
      </c>
      <c r="AA125" s="3056">
        <f>IF(A125="","",IF(OR(LEN(Q125)&gt;180,LEN(R125)&gt;180,LEN(S125)&gt;180,LEN(T125)&gt;180),"CAMINHO LONGO","OK"))</f>
      </c>
      <c r="AB125" s="3056">
        <f>IF(A125="","",IF(U125="","",IFERROR(INT(U125-TODAY()),"")))</f>
      </c>
      <c r="AC125" s="3056">
        <f>IF(A125="","",IF(AND(T125="",U125=""),"",IF(T125="","SEM CAMINHO",IF(U125="","SEM DATA",IFERROR(IF(AB125&lt;15,"VERMELHO",IF(AB125&lt;=30,"AMARELO","VERDE")),"DATA INVALIDA")))))</f>
      </c>
      <c r="AD125" s="3056">
        <f>IF(OR(A125="",U125="",NOT(ISNUMBER(AB125))),"",RANK(AB125,$AB$3:$AB$164,1)+COUNTIFS($AB$3:AB125,AB125)-1)</f>
      </c>
      <c r="AE125" s="1736"/>
    </row>
    <row r="126" spans="1:19" ht="22.0" hidden="false" customHeight="true" x14ac:dyDescent="0.25">
      <c r="A126" s="3064" t="s">
        <v>304</v>
      </c>
      <c r="B126" s="3063" t="s">
        <v>305</v>
      </c>
      <c r="C126" s="3063"/>
      <c r="D126" s="3063"/>
      <c r="E126" s="3063"/>
      <c r="F126" s="3063" t="s">
        <v>306</v>
      </c>
      <c r="G126" s="3063" t="s">
        <v>13</v>
      </c>
      <c r="H126" s="3063"/>
      <c r="I126" s="3063"/>
      <c r="J126" s="3063"/>
      <c r="K126" s="3063"/>
      <c r="L126" s="3063"/>
      <c r="M126" s="3063" t="s">
        <v>371</v>
      </c>
      <c r="N126" s="3063"/>
      <c r="O126" s="3063" t="s">
        <v>363</v>
      </c>
      <c r="P126" s="3063"/>
      <c r="Q126" s="3066"/>
      <c r="R126" s="3066"/>
      <c r="S126" s="3066"/>
      <c r="T126" s="3066"/>
      <c r="U126" s="3067"/>
      <c r="V126" s="3063"/>
      <c r="W126" s="3063"/>
      <c r="X126" s="3056">
        <f>IF(A126="","",IF(LEN(SUBSTITUTE(SUBSTITUTE(SUBSTITUTE(SUBSTITUTE(D126,".",""),"/",""),"-","")," ",""))&lt;&gt;14,"CNPJ INVALIDO","OK"))</f>
      </c>
      <c r="Y126" s="3056">
        <f>IF(A126="","",IF(R126="","REST PENDENTE","REST OK"))</f>
      </c>
      <c r="Z126" s="3056">
        <f>IF(A126="","",IF(AND(R126&lt;&gt;"",COUNTIFS($D$3:$D$164,D126,$R$3:$R$164,"&lt;&gt;")&gt;1),"DUPLICADO","OK"))</f>
      </c>
      <c r="AA126" s="3056">
        <f>IF(A126="","",IF(OR(LEN(Q126)&gt;180,LEN(R126)&gt;180,LEN(S126)&gt;180,LEN(T126)&gt;180),"CAMINHO LONGO","OK"))</f>
      </c>
      <c r="AB126" s="3056">
        <f>IF(A126="","",IF(U126="","",IFERROR(INT(U126-TODAY()),"")))</f>
      </c>
      <c r="AC126" s="3056">
        <f>IF(A126="","",IF(AND(T126="",U126=""),"",IF(T126="","SEM CAMINHO",IF(U126="","SEM DATA",IFERROR(IF(AB126&lt;15,"VERMELHO",IF(AB126&lt;=30,"AMARELO","VERDE")),"DATA INVALIDA")))))</f>
      </c>
      <c r="AD126" s="3056">
        <f>IF(OR(A126="",U126="",NOT(ISNUMBER(AB126))),"",RANK(AB126,$AB$3:$AB$164,1)+COUNTIFS($AB$3:AB126,AB126)-1)</f>
      </c>
      <c r="AE126" s="1736"/>
    </row>
    <row r="127" spans="1:19" ht="22.0" hidden="false" customHeight="true" x14ac:dyDescent="0.25">
      <c r="A127" s="3059" t="s">
        <v>307</v>
      </c>
      <c r="B127" s="3058" t="s">
        <v>305</v>
      </c>
      <c r="C127" s="3058"/>
      <c r="D127" s="3058"/>
      <c r="E127" s="3058"/>
      <c r="F127" s="3058" t="s">
        <v>306</v>
      </c>
      <c r="G127" s="3058" t="s">
        <v>308</v>
      </c>
      <c r="H127" s="3058"/>
      <c r="I127" s="3058"/>
      <c r="J127" s="3058"/>
      <c r="K127" s="3058"/>
      <c r="L127" s="3058"/>
      <c r="M127" s="3058" t="s">
        <v>371</v>
      </c>
      <c r="N127" s="3058"/>
      <c r="O127" s="3058" t="s">
        <v>363</v>
      </c>
      <c r="P127" s="3058"/>
      <c r="Q127" s="3061"/>
      <c r="R127" s="3061"/>
      <c r="S127" s="3061"/>
      <c r="T127" s="3061"/>
      <c r="U127" s="3062"/>
      <c r="V127" s="3058"/>
      <c r="W127" s="3058"/>
      <c r="X127" s="3056">
        <f>IF(A127="","",IF(LEN(SUBSTITUTE(SUBSTITUTE(SUBSTITUTE(SUBSTITUTE(D127,".",""),"/",""),"-","")," ",""))&lt;&gt;14,"CNPJ INVALIDO","OK"))</f>
      </c>
      <c r="Y127" s="3056">
        <f>IF(A127="","",IF(R127="","REST PENDENTE","REST OK"))</f>
      </c>
      <c r="Z127" s="3056">
        <f>IF(A127="","",IF(AND(R127&lt;&gt;"",COUNTIFS($D$3:$D$164,D127,$R$3:$R$164,"&lt;&gt;")&gt;1),"DUPLICADO","OK"))</f>
      </c>
      <c r="AA127" s="3056">
        <f>IF(A127="","",IF(OR(LEN(Q127)&gt;180,LEN(R127)&gt;180,LEN(S127)&gt;180,LEN(T127)&gt;180),"CAMINHO LONGO","OK"))</f>
      </c>
      <c r="AB127" s="3056">
        <f>IF(A127="","",IF(U127="","",IFERROR(INT(U127-TODAY()),"")))</f>
      </c>
      <c r="AC127" s="3056">
        <f>IF(A127="","",IF(AND(T127="",U127=""),"",IF(T127="","SEM CAMINHO",IF(U127="","SEM DATA",IFERROR(IF(AB127&lt;15,"VERMELHO",IF(AB127&lt;=30,"AMARELO","VERDE")),"DATA INVALIDA")))))</f>
      </c>
      <c r="AD127" s="3056">
        <f>IF(OR(A127="",U127="",NOT(ISNUMBER(AB127))),"",RANK(AB127,$AB$3:$AB$164,1)+COUNTIFS($AB$3:AB127,AB127)-1)</f>
      </c>
      <c r="AE127" s="1736"/>
    </row>
    <row r="128" spans="1:19" ht="22.0" hidden="false" customHeight="true" x14ac:dyDescent="0.25">
      <c r="A128" s="3064" t="s">
        <v>309</v>
      </c>
      <c r="B128" s="3063" t="s">
        <v>9</v>
      </c>
      <c r="C128" s="3063" t="s">
        <v>69</v>
      </c>
      <c r="D128" s="3063" t="s">
        <v>310</v>
      </c>
      <c r="E128" s="3063"/>
      <c r="F128" s="3063" t="s">
        <v>311</v>
      </c>
      <c r="G128" s="3063" t="s">
        <v>13</v>
      </c>
      <c r="H128" s="3063" t="s">
        <v>49</v>
      </c>
      <c r="I128" s="3063"/>
      <c r="J128" s="3063"/>
      <c r="K128" s="3063"/>
      <c r="L128" s="3063"/>
      <c r="M128" s="3063" t="s">
        <v>376</v>
      </c>
      <c r="N128" s="3063"/>
      <c r="O128" s="3063" t="s">
        <v>365</v>
      </c>
      <c r="P128" s="3063"/>
      <c r="Q128" s="3066"/>
      <c r="R128" s="3066"/>
      <c r="S128" s="3066"/>
      <c r="T128" s="3066"/>
      <c r="U128" s="3067"/>
      <c r="V128" s="3063"/>
      <c r="W128" s="3063"/>
      <c r="X128" s="3056">
        <f>IF(A128="","",IF(LEN(SUBSTITUTE(SUBSTITUTE(SUBSTITUTE(SUBSTITUTE(D128,".",""),"/",""),"-","")," ",""))&lt;&gt;14,"CNPJ INVALIDO","OK"))</f>
      </c>
      <c r="Y128" s="3056">
        <f>IF(A128="","",IF(R128="","REST PENDENTE","REST OK"))</f>
      </c>
      <c r="Z128" s="3056">
        <f>IF(A128="","",IF(AND(R128&lt;&gt;"",COUNTIFS($D$3:$D$164,D128,$R$3:$R$164,"&lt;&gt;")&gt;1),"DUPLICADO","OK"))</f>
      </c>
      <c r="AA128" s="3056">
        <f>IF(A128="","",IF(OR(LEN(Q128)&gt;180,LEN(R128)&gt;180,LEN(S128)&gt;180,LEN(T128)&gt;180),"CAMINHO LONGO","OK"))</f>
      </c>
      <c r="AB128" s="3056">
        <f>IF(A128="","",IF(U128="","",IFERROR(INT(U128-TODAY()),"")))</f>
      </c>
      <c r="AC128" s="3056">
        <f>IF(A128="","",IF(AND(T128="",U128=""),"",IF(T128="","SEM CAMINHO",IF(U128="","SEM DATA",IFERROR(IF(AB128&lt;15,"VERMELHO",IF(AB128&lt;=30,"AMARELO","VERDE")),"DATA INVALIDA")))))</f>
      </c>
      <c r="AD128" s="3056">
        <f>IF(OR(A128="",U128="",NOT(ISNUMBER(AB128))),"",RANK(AB128,$AB$3:$AB$164,1)+COUNTIFS($AB$3:AB128,AB128)-1)</f>
      </c>
      <c r="AE128" s="1736"/>
    </row>
    <row r="129" spans="1:19" ht="22.0" hidden="false" customHeight="true" x14ac:dyDescent="0.25">
      <c r="A129" s="3059" t="s">
        <v>312</v>
      </c>
      <c r="B129" s="3058" t="s">
        <v>75</v>
      </c>
      <c r="C129" s="3058" t="s">
        <v>69</v>
      </c>
      <c r="D129" s="3058" t="s">
        <v>313</v>
      </c>
      <c r="E129" s="3058"/>
      <c r="F129" s="3058" t="s">
        <v>314</v>
      </c>
      <c r="G129" s="3058" t="s">
        <v>4</v>
      </c>
      <c r="H129" s="3058" t="s">
        <v>49</v>
      </c>
      <c r="I129" s="3058"/>
      <c r="J129" s="3058"/>
      <c r="K129" s="3058"/>
      <c r="L129" s="3058"/>
      <c r="M129" s="3058" t="s">
        <v>379</v>
      </c>
      <c r="N129" s="3058"/>
      <c r="O129" s="3058" t="s">
        <v>370</v>
      </c>
      <c r="P129" s="3058"/>
      <c r="Q129" s="3061"/>
      <c r="R129" s="3061"/>
      <c r="S129" s="3061"/>
      <c r="T129" s="3061"/>
      <c r="U129" s="3062"/>
      <c r="V129" s="3058"/>
      <c r="W129" s="3058"/>
      <c r="X129" s="3056">
        <f>IF(A129="","",IF(LEN(SUBSTITUTE(SUBSTITUTE(SUBSTITUTE(SUBSTITUTE(D129,".",""),"/",""),"-","")," ",""))&lt;&gt;14,"CNPJ INVALIDO","OK"))</f>
      </c>
      <c r="Y129" s="3056">
        <f>IF(A129="","",IF(R129="","REST PENDENTE","REST OK"))</f>
      </c>
      <c r="Z129" s="3056">
        <f>IF(A129="","",IF(AND(R129&lt;&gt;"",COUNTIFS($D$3:$D$164,D129,$R$3:$R$164,"&lt;&gt;")&gt;1),"DUPLICADO","OK"))</f>
      </c>
      <c r="AA129" s="3056">
        <f>IF(A129="","",IF(OR(LEN(Q129)&gt;180,LEN(R129)&gt;180,LEN(S129)&gt;180,LEN(T129)&gt;180),"CAMINHO LONGO","OK"))</f>
      </c>
      <c r="AB129" s="3056">
        <f>IF(A129="","",IF(U129="","",IFERROR(INT(U129-TODAY()),"")))</f>
      </c>
      <c r="AC129" s="3056">
        <f>IF(A129="","",IF(AND(T129="",U129=""),"",IF(T129="","SEM CAMINHO",IF(U129="","SEM DATA",IFERROR(IF(AB129&lt;15,"VERMELHO",IF(AB129&lt;=30,"AMARELO","VERDE")),"DATA INVALIDA")))))</f>
      </c>
      <c r="AD129" s="3056">
        <f>IF(OR(A129="",U129="",NOT(ISNUMBER(AB129))),"",RANK(AB129,$AB$3:$AB$164,1)+COUNTIFS($AB$3:AB129,AB129)-1)</f>
      </c>
      <c r="AE129" s="1736"/>
    </row>
    <row r="130" spans="1:19" ht="22.0" hidden="false" customHeight="true" x14ac:dyDescent="0.25">
      <c r="A130" s="3064" t="s">
        <v>315</v>
      </c>
      <c r="B130" s="3063" t="s">
        <v>45</v>
      </c>
      <c r="C130" s="3063" t="s">
        <v>316</v>
      </c>
      <c r="D130" s="3063" t="s">
        <v>317</v>
      </c>
      <c r="E130" s="3063"/>
      <c r="F130" s="3063"/>
      <c r="G130" s="3063" t="s">
        <v>13</v>
      </c>
      <c r="H130" s="3063"/>
      <c r="I130" s="3063"/>
      <c r="J130" s="3063"/>
      <c r="K130" s="3063"/>
      <c r="L130" s="3063"/>
      <c r="M130" s="3063" t="s">
        <v>399</v>
      </c>
      <c r="N130" s="3063" t="s">
        <v>374</v>
      </c>
      <c r="O130" s="3063" t="s">
        <v>367</v>
      </c>
      <c r="P130" s="3063"/>
      <c r="Q130" s="3066"/>
      <c r="R130" s="3066"/>
      <c r="S130" s="3066"/>
      <c r="T130" s="3066"/>
      <c r="U130" s="3067"/>
      <c r="V130" s="3063"/>
      <c r="W130" s="3063"/>
      <c r="X130" s="3056">
        <f>IF(A130="","",IF(LEN(SUBSTITUTE(SUBSTITUTE(SUBSTITUTE(SUBSTITUTE(D130,".",""),"/",""),"-","")," ",""))&lt;&gt;14,"CNPJ INVALIDO","OK"))</f>
      </c>
      <c r="Y130" s="3056">
        <f>IF(A130="","",IF(R130="","REST PENDENTE","REST OK"))</f>
      </c>
      <c r="Z130" s="3056">
        <f>IF(A130="","",IF(AND(R130&lt;&gt;"",COUNTIFS($D$3:$D$164,D130,$R$3:$R$164,"&lt;&gt;")&gt;1),"DUPLICADO","OK"))</f>
      </c>
      <c r="AA130" s="3056">
        <f>IF(A130="","",IF(OR(LEN(Q130)&gt;180,LEN(R130)&gt;180,LEN(S130)&gt;180,LEN(T130)&gt;180),"CAMINHO LONGO","OK"))</f>
      </c>
      <c r="AB130" s="3056">
        <f>IF(A130="","",IF(U130="","",IFERROR(INT(U130-TODAY()),"")))</f>
      </c>
      <c r="AC130" s="3056">
        <f>IF(A130="","",IF(AND(T130="",U130=""),"",IF(T130="","SEM CAMINHO",IF(U130="","SEM DATA",IFERROR(IF(AB130&lt;15,"VERMELHO",IF(AB130&lt;=30,"AMARELO","VERDE")),"DATA INVALIDA")))))</f>
      </c>
      <c r="AD130" s="3056">
        <f>IF(OR(A130="",U130="",NOT(ISNUMBER(AB130))),"",RANK(AB130,$AB$3:$AB$164,1)+COUNTIFS($AB$3:AB130,AB130)-1)</f>
      </c>
      <c r="AE130" s="1736"/>
    </row>
    <row r="131" spans="1:19" ht="22.0" hidden="false" customHeight="true" x14ac:dyDescent="0.25">
      <c r="A131" s="3059" t="s">
        <v>318</v>
      </c>
      <c r="B131" s="3058" t="s">
        <v>45</v>
      </c>
      <c r="C131" s="3058" t="s">
        <v>316</v>
      </c>
      <c r="D131" s="3058" t="s">
        <v>319</v>
      </c>
      <c r="E131" s="3058"/>
      <c r="F131" s="3058" t="s">
        <v>48</v>
      </c>
      <c r="G131" s="3058" t="s">
        <v>320</v>
      </c>
      <c r="H131" s="3058"/>
      <c r="I131" s="3058"/>
      <c r="J131" s="3058"/>
      <c r="K131" s="3058"/>
      <c r="L131" s="3058"/>
      <c r="M131" s="3058" t="s">
        <v>399</v>
      </c>
      <c r="N131" s="3058" t="s">
        <v>374</v>
      </c>
      <c r="O131" s="3058" t="s">
        <v>371</v>
      </c>
      <c r="P131" s="3058"/>
      <c r="Q131" s="3061"/>
      <c r="R131" s="3061"/>
      <c r="S131" s="3061"/>
      <c r="T131" s="3061"/>
      <c r="U131" s="3062"/>
      <c r="V131" s="3058"/>
      <c r="W131" s="3058"/>
      <c r="X131" s="3056">
        <f>IF(A131="","",IF(LEN(SUBSTITUTE(SUBSTITUTE(SUBSTITUTE(SUBSTITUTE(D131,".",""),"/",""),"-","")," ",""))&lt;&gt;14,"CNPJ INVALIDO","OK"))</f>
      </c>
      <c r="Y131" s="3056">
        <f>IF(A131="","",IF(R131="","REST PENDENTE","REST OK"))</f>
      </c>
      <c r="Z131" s="3056">
        <f>IF(A131="","",IF(AND(R131&lt;&gt;"",COUNTIFS($D$3:$D$164,D131,$R$3:$R$164,"&lt;&gt;")&gt;1),"DUPLICADO","OK"))</f>
      </c>
      <c r="AA131" s="3056">
        <f>IF(A131="","",IF(OR(LEN(Q131)&gt;180,LEN(R131)&gt;180,LEN(S131)&gt;180,LEN(T131)&gt;180),"CAMINHO LONGO","OK"))</f>
      </c>
      <c r="AB131" s="3056">
        <f>IF(A131="","",IF(U131="","",IFERROR(INT(U131-TODAY()),"")))</f>
      </c>
      <c r="AC131" s="3056">
        <f>IF(A131="","",IF(AND(T131="",U131=""),"",IF(T131="","SEM CAMINHO",IF(U131="","SEM DATA",IFERROR(IF(AB131&lt;15,"VERMELHO",IF(AB131&lt;=30,"AMARELO","VERDE")),"DATA INVALIDA")))))</f>
      </c>
      <c r="AD131" s="3056">
        <f>IF(OR(A131="",U131="",NOT(ISNUMBER(AB131))),"",RANK(AB131,$AB$3:$AB$164,1)+COUNTIFS($AB$3:AB131,AB131)-1)</f>
      </c>
      <c r="AE131" s="1736"/>
    </row>
    <row r="132" spans="1:19" ht="22.0" hidden="false" customHeight="true" x14ac:dyDescent="0.25">
      <c r="A132" s="3064" t="s">
        <v>321</v>
      </c>
      <c r="B132" s="3063" t="s">
        <v>45</v>
      </c>
      <c r="C132" s="3063" t="s">
        <v>316</v>
      </c>
      <c r="D132" s="3063" t="s">
        <v>322</v>
      </c>
      <c r="E132" s="3063"/>
      <c r="F132" s="3063" t="s">
        <v>48</v>
      </c>
      <c r="G132" s="3063" t="s">
        <v>320</v>
      </c>
      <c r="H132" s="3063"/>
      <c r="I132" s="3063"/>
      <c r="J132" s="3063"/>
      <c r="K132" s="3063"/>
      <c r="L132" s="3063"/>
      <c r="M132" s="3063" t="s">
        <v>379</v>
      </c>
      <c r="N132" s="3063" t="s">
        <v>374</v>
      </c>
      <c r="O132" s="3063" t="s">
        <v>370</v>
      </c>
      <c r="P132" s="3063"/>
      <c r="Q132" s="3066"/>
      <c r="R132" s="3066"/>
      <c r="S132" s="3066"/>
      <c r="T132" s="3066"/>
      <c r="U132" s="3067"/>
      <c r="V132" s="3063"/>
      <c r="W132" s="3063"/>
      <c r="X132" s="3056">
        <f>IF(A132="","",IF(LEN(SUBSTITUTE(SUBSTITUTE(SUBSTITUTE(SUBSTITUTE(D132,".",""),"/",""),"-","")," ",""))&lt;&gt;14,"CNPJ INVALIDO","OK"))</f>
      </c>
      <c r="Y132" s="3056">
        <f>IF(A132="","",IF(R132="","REST PENDENTE","REST OK"))</f>
      </c>
      <c r="Z132" s="3056">
        <f>IF(A132="","",IF(AND(R132&lt;&gt;"",COUNTIFS($D$3:$D$164,D132,$R$3:$R$164,"&lt;&gt;")&gt;1),"DUPLICADO","OK"))</f>
      </c>
      <c r="AA132" s="3056">
        <f>IF(A132="","",IF(OR(LEN(Q132)&gt;180,LEN(R132)&gt;180,LEN(S132)&gt;180,LEN(T132)&gt;180),"CAMINHO LONGO","OK"))</f>
      </c>
      <c r="AB132" s="3056">
        <f>IF(A132="","",IF(U132="","",IFERROR(INT(U132-TODAY()),"")))</f>
      </c>
      <c r="AC132" s="3056">
        <f>IF(A132="","",IF(AND(T132="",U132=""),"",IF(T132="","SEM CAMINHO",IF(U132="","SEM DATA",IFERROR(IF(AB132&lt;15,"VERMELHO",IF(AB132&lt;=30,"AMARELO","VERDE")),"DATA INVALIDA")))))</f>
      </c>
      <c r="AD132" s="3056">
        <f>IF(OR(A132="",U132="",NOT(ISNUMBER(AB132))),"",RANK(AB132,$AB$3:$AB$164,1)+COUNTIFS($AB$3:AB132,AB132)-1)</f>
      </c>
      <c r="AE132" s="1736"/>
    </row>
    <row r="133" spans="1:19" ht="22.0" hidden="false" customHeight="true" x14ac:dyDescent="0.25">
      <c r="A133" s="3059" t="s">
        <v>323</v>
      </c>
      <c r="B133" s="3058" t="s">
        <v>305</v>
      </c>
      <c r="C133" s="3058"/>
      <c r="D133" s="3058"/>
      <c r="E133" s="3058"/>
      <c r="F133" s="3058" t="s">
        <v>306</v>
      </c>
      <c r="G133" s="3058" t="s">
        <v>4</v>
      </c>
      <c r="H133" s="3058"/>
      <c r="I133" s="3058"/>
      <c r="J133" s="3058"/>
      <c r="K133" s="3058"/>
      <c r="L133" s="3058"/>
      <c r="M133" s="3058" t="s">
        <v>371</v>
      </c>
      <c r="N133" s="3058"/>
      <c r="O133" s="3058" t="s">
        <v>365</v>
      </c>
      <c r="P133" s="3058"/>
      <c r="Q133" s="3061"/>
      <c r="R133" s="3061"/>
      <c r="S133" s="3061"/>
      <c r="T133" s="3061"/>
      <c r="U133" s="3062"/>
      <c r="V133" s="3058"/>
      <c r="W133" s="3058"/>
      <c r="X133" s="3056">
        <f>IF(A133="","",IF(LEN(SUBSTITUTE(SUBSTITUTE(SUBSTITUTE(SUBSTITUTE(D133,".",""),"/",""),"-","")," ",""))&lt;&gt;14,"CNPJ INVALIDO","OK"))</f>
      </c>
      <c r="Y133" s="3056">
        <f>IF(A133="","",IF(R133="","REST PENDENTE","REST OK"))</f>
      </c>
      <c r="Z133" s="3056">
        <f>IF(A133="","",IF(AND(R133&lt;&gt;"",COUNTIFS($D$3:$D$164,D133,$R$3:$R$164,"&lt;&gt;")&gt;1),"DUPLICADO","OK"))</f>
      </c>
      <c r="AA133" s="3056">
        <f>IF(A133="","",IF(OR(LEN(Q133)&gt;180,LEN(R133)&gt;180,LEN(S133)&gt;180,LEN(T133)&gt;180),"CAMINHO LONGO","OK"))</f>
      </c>
      <c r="AB133" s="3056">
        <f>IF(A133="","",IF(U133="","",IFERROR(INT(U133-TODAY()),"")))</f>
      </c>
      <c r="AC133" s="3056">
        <f>IF(A133="","",IF(AND(T133="",U133=""),"",IF(T133="","SEM CAMINHO",IF(U133="","SEM DATA",IFERROR(IF(AB133&lt;15,"VERMELHO",IF(AB133&lt;=30,"AMARELO","VERDE")),"DATA INVALIDA")))))</f>
      </c>
      <c r="AD133" s="3056">
        <f>IF(OR(A133="",U133="",NOT(ISNUMBER(AB133))),"",RANK(AB133,$AB$3:$AB$164,1)+COUNTIFS($AB$3:AB133,AB133)-1)</f>
      </c>
      <c r="AE133" s="1736"/>
    </row>
    <row r="134" spans="1:19" ht="22.0" hidden="false" customHeight="true" x14ac:dyDescent="0.25">
      <c r="A134" s="3064" t="s">
        <v>324</v>
      </c>
      <c r="B134" s="3063" t="s">
        <v>75</v>
      </c>
      <c r="C134" s="3063"/>
      <c r="D134" s="3063"/>
      <c r="E134" s="3063"/>
      <c r="F134" s="3063"/>
      <c r="G134" s="3063"/>
      <c r="H134" s="3063"/>
      <c r="I134" s="3063"/>
      <c r="J134" s="3063"/>
      <c r="K134" s="3063"/>
      <c r="L134" s="3063"/>
      <c r="M134" s="3063" t="s">
        <v>371</v>
      </c>
      <c r="N134" s="3063"/>
      <c r="O134" s="3063" t="s">
        <v>371</v>
      </c>
      <c r="P134" s="3063"/>
      <c r="Q134" s="3066"/>
      <c r="R134" s="3066"/>
      <c r="S134" s="3066"/>
      <c r="T134" s="3066"/>
      <c r="U134" s="3067"/>
      <c r="V134" s="3063"/>
      <c r="W134" s="3063"/>
      <c r="X134" s="3056">
        <f>IF(A134="","",IF(LEN(SUBSTITUTE(SUBSTITUTE(SUBSTITUTE(SUBSTITUTE(D134,".",""),"/",""),"-","")," ",""))&lt;&gt;14,"CNPJ INVALIDO","OK"))</f>
      </c>
      <c r="Y134" s="3056">
        <f>IF(A134="","",IF(R134="","REST PENDENTE","REST OK"))</f>
      </c>
      <c r="Z134" s="3056">
        <f>IF(A134="","",IF(AND(R134&lt;&gt;"",COUNTIFS($D$3:$D$164,D134,$R$3:$R$164,"&lt;&gt;")&gt;1),"DUPLICADO","OK"))</f>
      </c>
      <c r="AA134" s="3056">
        <f>IF(A134="","",IF(OR(LEN(Q134)&gt;180,LEN(R134)&gt;180,LEN(S134)&gt;180,LEN(T134)&gt;180),"CAMINHO LONGO","OK"))</f>
      </c>
      <c r="AB134" s="3056">
        <f>IF(A134="","",IF(U134="","",IFERROR(INT(U134-TODAY()),"")))</f>
      </c>
      <c r="AC134" s="3056">
        <f>IF(A134="","",IF(AND(T134="",U134=""),"",IF(T134="","SEM CAMINHO",IF(U134="","SEM DATA",IFERROR(IF(AB134&lt;15,"VERMELHO",IF(AB134&lt;=30,"AMARELO","VERDE")),"DATA INVALIDA")))))</f>
      </c>
      <c r="AD134" s="3056">
        <f>IF(OR(A134="",U134="",NOT(ISNUMBER(AB134))),"",RANK(AB134,$AB$3:$AB$164,1)+COUNTIFS($AB$3:AB134,AB134)-1)</f>
      </c>
      <c r="AE134" s="1736"/>
    </row>
    <row r="135" ht="22.0" customHeight="true" hidden="false">
      <c r="A135" s="3059"/>
      <c r="B135" s="3058"/>
      <c r="C135" s="3058"/>
      <c r="D135" s="3058"/>
      <c r="E135" s="3058"/>
      <c r="F135" s="3058"/>
      <c r="G135" s="3058"/>
      <c r="H135" s="3058"/>
      <c r="I135" s="3058"/>
      <c r="J135" s="3058"/>
      <c r="K135" s="3058"/>
      <c r="L135" s="3058"/>
      <c r="M135" s="3058"/>
      <c r="N135" s="3058"/>
      <c r="O135" s="3058"/>
      <c r="P135" s="3058"/>
      <c r="Q135" s="3061"/>
      <c r="R135" s="3061"/>
      <c r="S135" s="3061"/>
      <c r="T135" s="3061"/>
      <c r="U135" s="3062"/>
      <c r="V135" s="3058"/>
      <c r="W135" s="3058"/>
      <c r="X135" s="3056">
        <f>IF(A135="","",IF(LEN(SUBSTITUTE(SUBSTITUTE(SUBSTITUTE(SUBSTITUTE(D135,".",""),"/",""),"-","")," ",""))&lt;&gt;14,"CNPJ INVALIDO","OK"))</f>
      </c>
      <c r="Y135" s="3056">
        <f>IF(A135="","",IF(R135="","REST PENDENTE","REST OK"))</f>
      </c>
      <c r="Z135" s="3056">
        <f>IF(A135="","",IF(AND(R135&lt;&gt;"",COUNTIFS($D$3:$D$164,D135,$R$3:$R$164,"&lt;&gt;")&gt;1),"DUPLICADO","OK"))</f>
      </c>
      <c r="AA135" s="3056">
        <f>IF(A135="","",IF(OR(LEN(Q135)&gt;180,LEN(R135)&gt;180,LEN(S135)&gt;180,LEN(T135)&gt;180),"CAMINHO LONGO","OK"))</f>
      </c>
      <c r="AB135" s="3056">
        <f>IF(A135="","",IF(U135="","",IFERROR(INT(U135-TODAY()),"")))</f>
      </c>
      <c r="AC135" s="3056">
        <f>IF(A135="","",IF(AND(T135="",U135=""),"",IF(T135="","SEM CAMINHO",IF(U135="","SEM DATA",IFERROR(IF(AB135&lt;15,"VERMELHO",IF(AB135&lt;=30,"AMARELO","VERDE")),"DATA INVALIDA")))))</f>
      </c>
      <c r="AD135" s="3056">
        <f>IF(OR(A135="",U135="",NOT(ISNUMBER(AB135))),"",RANK(AB135,$AB$3:$AB$164,1)+COUNTIFS($AB$3:AB135,AB135)-1)</f>
      </c>
      <c r="AE135" s="1736"/>
    </row>
    <row r="136" ht="22.0" customHeight="true" hidden="false">
      <c r="A136" s="3064"/>
      <c r="B136" s="3063"/>
      <c r="C136" s="3063"/>
      <c r="D136" s="3063"/>
      <c r="E136" s="3063"/>
      <c r="F136" s="3063"/>
      <c r="G136" s="3063"/>
      <c r="H136" s="3063"/>
      <c r="I136" s="3063"/>
      <c r="J136" s="3063"/>
      <c r="K136" s="3063"/>
      <c r="L136" s="3063"/>
      <c r="M136" s="3063"/>
      <c r="N136" s="3063"/>
      <c r="O136" s="3063"/>
      <c r="P136" s="3063"/>
      <c r="Q136" s="3066"/>
      <c r="R136" s="3066"/>
      <c r="S136" s="3066"/>
      <c r="T136" s="3066"/>
      <c r="U136" s="3067"/>
      <c r="V136" s="3063"/>
      <c r="W136" s="3063"/>
      <c r="X136" s="3056">
        <f>IF(A136="","",IF(LEN(SUBSTITUTE(SUBSTITUTE(SUBSTITUTE(SUBSTITUTE(D136,".",""),"/",""),"-","")," ",""))&lt;&gt;14,"CNPJ INVALIDO","OK"))</f>
      </c>
      <c r="Y136" s="3056">
        <f>IF(A136="","",IF(R136="","REST PENDENTE","REST OK"))</f>
      </c>
      <c r="Z136" s="3056">
        <f>IF(A136="","",IF(AND(R136&lt;&gt;"",COUNTIFS($D$3:$D$164,D136,$R$3:$R$164,"&lt;&gt;")&gt;1),"DUPLICADO","OK"))</f>
      </c>
      <c r="AA136" s="3056">
        <f>IF(A136="","",IF(OR(LEN(Q136)&gt;180,LEN(R136)&gt;180,LEN(S136)&gt;180,LEN(T136)&gt;180),"CAMINHO LONGO","OK"))</f>
      </c>
      <c r="AB136" s="3056">
        <f>IF(A136="","",IF(U136="","",IFERROR(INT(U136-TODAY()),"")))</f>
      </c>
      <c r="AC136" s="3056">
        <f>IF(A136="","",IF(AND(T136="",U136=""),"",IF(T136="","SEM CAMINHO",IF(U136="","SEM DATA",IFERROR(IF(AB136&lt;15,"VERMELHO",IF(AB136&lt;=30,"AMARELO","VERDE")),"DATA INVALIDA")))))</f>
      </c>
      <c r="AD136" s="3056">
        <f>IF(OR(A136="",U136="",NOT(ISNUMBER(AB136))),"",RANK(AB136,$AB$3:$AB$164,1)+COUNTIFS($AB$3:AB136,AB136)-1)</f>
      </c>
      <c r="AE136" s="1736"/>
    </row>
    <row r="137" ht="22.0" customHeight="true" hidden="false">
      <c r="A137" s="3059"/>
      <c r="B137" s="3058"/>
      <c r="C137" s="3058"/>
      <c r="D137" s="3058"/>
      <c r="E137" s="3058"/>
      <c r="F137" s="3058"/>
      <c r="G137" s="3058"/>
      <c r="H137" s="3058"/>
      <c r="I137" s="3058"/>
      <c r="J137" s="3058"/>
      <c r="K137" s="3058"/>
      <c r="L137" s="3058"/>
      <c r="M137" s="3058"/>
      <c r="N137" s="3058"/>
      <c r="O137" s="3058"/>
      <c r="P137" s="3058"/>
      <c r="Q137" s="3061"/>
      <c r="R137" s="3061"/>
      <c r="S137" s="3061"/>
      <c r="T137" s="3061"/>
      <c r="U137" s="3062"/>
      <c r="V137" s="3058"/>
      <c r="W137" s="3058"/>
      <c r="X137" s="3056">
        <f>IF(A137="","",IF(LEN(SUBSTITUTE(SUBSTITUTE(SUBSTITUTE(SUBSTITUTE(D137,".",""),"/",""),"-","")," ",""))&lt;&gt;14,"CNPJ INVALIDO","OK"))</f>
      </c>
      <c r="Y137" s="3056">
        <f>IF(A137="","",IF(R137="","REST PENDENTE","REST OK"))</f>
      </c>
      <c r="Z137" s="3056">
        <f>IF(A137="","",IF(AND(R137&lt;&gt;"",COUNTIFS($D$3:$D$164,D137,$R$3:$R$164,"&lt;&gt;")&gt;1),"DUPLICADO","OK"))</f>
      </c>
      <c r="AA137" s="3056">
        <f>IF(A137="","",IF(OR(LEN(Q137)&gt;180,LEN(R137)&gt;180,LEN(S137)&gt;180,LEN(T137)&gt;180),"CAMINHO LONGO","OK"))</f>
      </c>
      <c r="AB137" s="3056">
        <f>IF(A137="","",IF(U137="","",IFERROR(INT(U137-TODAY()),"")))</f>
      </c>
      <c r="AC137" s="3056">
        <f>IF(A137="","",IF(AND(T137="",U137=""),"",IF(T137="","SEM CAMINHO",IF(U137="","SEM DATA",IFERROR(IF(AB137&lt;15,"VERMELHO",IF(AB137&lt;=30,"AMARELO","VERDE")),"DATA INVALIDA")))))</f>
      </c>
      <c r="AD137" s="3056">
        <f>IF(OR(A137="",U137="",NOT(ISNUMBER(AB137))),"",RANK(AB137,$AB$3:$AB$164,1)+COUNTIFS($AB$3:AB137,AB137)-1)</f>
      </c>
      <c r="AE137" s="1736"/>
    </row>
    <row r="138" ht="22.0" customHeight="true" hidden="false">
      <c r="A138" s="3064"/>
      <c r="B138" s="3063"/>
      <c r="C138" s="3063"/>
      <c r="D138" s="3063"/>
      <c r="E138" s="3063"/>
      <c r="F138" s="3063"/>
      <c r="G138" s="3063"/>
      <c r="H138" s="3063"/>
      <c r="I138" s="3063"/>
      <c r="J138" s="3063"/>
      <c r="K138" s="3063"/>
      <c r="L138" s="3063"/>
      <c r="M138" s="3063"/>
      <c r="N138" s="3063"/>
      <c r="O138" s="3063"/>
      <c r="P138" s="3063"/>
      <c r="Q138" s="3066"/>
      <c r="R138" s="3066"/>
      <c r="S138" s="3066"/>
      <c r="T138" s="3066"/>
      <c r="U138" s="3067"/>
      <c r="V138" s="3063"/>
      <c r="W138" s="3063"/>
      <c r="X138" s="3056">
        <f>IF(A138="","",IF(LEN(SUBSTITUTE(SUBSTITUTE(SUBSTITUTE(SUBSTITUTE(D138,".",""),"/",""),"-","")," ",""))&lt;&gt;14,"CNPJ INVALIDO","OK"))</f>
      </c>
      <c r="Y138" s="3056">
        <f>IF(A138="","",IF(R138="","REST PENDENTE","REST OK"))</f>
      </c>
      <c r="Z138" s="3056">
        <f>IF(A138="","",IF(AND(R138&lt;&gt;"",COUNTIFS($D$3:$D$164,D138,$R$3:$R$164,"&lt;&gt;")&gt;1),"DUPLICADO","OK"))</f>
      </c>
      <c r="AA138" s="3056">
        <f>IF(A138="","",IF(OR(LEN(Q138)&gt;180,LEN(R138)&gt;180,LEN(S138)&gt;180,LEN(T138)&gt;180),"CAMINHO LONGO","OK"))</f>
      </c>
      <c r="AB138" s="3056">
        <f>IF(A138="","",IF(U138="","",IFERROR(INT(U138-TODAY()),"")))</f>
      </c>
      <c r="AC138" s="3056">
        <f>IF(A138="","",IF(AND(T138="",U138=""),"",IF(T138="","SEM CAMINHO",IF(U138="","SEM DATA",IFERROR(IF(AB138&lt;15,"VERMELHO",IF(AB138&lt;=30,"AMARELO","VERDE")),"DATA INVALIDA")))))</f>
      </c>
      <c r="AD138" s="3056">
        <f>IF(OR(A138="",U138="",NOT(ISNUMBER(AB138))),"",RANK(AB138,$AB$3:$AB$164,1)+COUNTIFS($AB$3:AB138,AB138)-1)</f>
      </c>
      <c r="AE138" s="1736"/>
    </row>
    <row r="139" ht="22.0" customHeight="true" hidden="false">
      <c r="A139" s="3059"/>
      <c r="B139" s="3058"/>
      <c r="C139" s="3058"/>
      <c r="D139" s="3058"/>
      <c r="E139" s="3058"/>
      <c r="F139" s="3058"/>
      <c r="G139" s="3058"/>
      <c r="H139" s="3058"/>
      <c r="I139" s="3058"/>
      <c r="J139" s="3058"/>
      <c r="K139" s="3058"/>
      <c r="L139" s="3058"/>
      <c r="M139" s="3058"/>
      <c r="N139" s="3058"/>
      <c r="O139" s="3058"/>
      <c r="P139" s="3058"/>
      <c r="Q139" s="3061"/>
      <c r="R139" s="3061"/>
      <c r="S139" s="3061"/>
      <c r="T139" s="3061"/>
      <c r="U139" s="3062"/>
      <c r="V139" s="3058"/>
      <c r="W139" s="3058"/>
      <c r="X139" s="3056">
        <f>IF(A139="","",IF(LEN(SUBSTITUTE(SUBSTITUTE(SUBSTITUTE(SUBSTITUTE(D139,".",""),"/",""),"-","")," ",""))&lt;&gt;14,"CNPJ INVALIDO","OK"))</f>
      </c>
      <c r="Y139" s="3056">
        <f>IF(A139="","",IF(R139="","REST PENDENTE","REST OK"))</f>
      </c>
      <c r="Z139" s="3056">
        <f>IF(A139="","",IF(AND(R139&lt;&gt;"",COUNTIFS($D$3:$D$164,D139,$R$3:$R$164,"&lt;&gt;")&gt;1),"DUPLICADO","OK"))</f>
      </c>
      <c r="AA139" s="3056">
        <f>IF(A139="","",IF(OR(LEN(Q139)&gt;180,LEN(R139)&gt;180,LEN(S139)&gt;180,LEN(T139)&gt;180),"CAMINHO LONGO","OK"))</f>
      </c>
      <c r="AB139" s="3056">
        <f>IF(A139="","",IF(U139="","",IFERROR(INT(U139-TODAY()),"")))</f>
      </c>
      <c r="AC139" s="3056">
        <f>IF(A139="","",IF(AND(T139="",U139=""),"",IF(T139="","SEM CAMINHO",IF(U139="","SEM DATA",IFERROR(IF(AB139&lt;15,"VERMELHO",IF(AB139&lt;=30,"AMARELO","VERDE")),"DATA INVALIDA")))))</f>
      </c>
      <c r="AD139" s="3056">
        <f>IF(OR(A139="",U139="",NOT(ISNUMBER(AB139))),"",RANK(AB139,$AB$3:$AB$164,1)+COUNTIFS($AB$3:AB139,AB139)-1)</f>
      </c>
      <c r="AE139" s="1736"/>
    </row>
    <row r="140" ht="22.0" customHeight="true" hidden="false">
      <c r="A140" s="3064"/>
      <c r="B140" s="3063"/>
      <c r="C140" s="3063"/>
      <c r="D140" s="3063"/>
      <c r="E140" s="3063"/>
      <c r="F140" s="3063"/>
      <c r="G140" s="3063"/>
      <c r="H140" s="3063"/>
      <c r="I140" s="3063"/>
      <c r="J140" s="3063"/>
      <c r="K140" s="3063"/>
      <c r="L140" s="3063"/>
      <c r="M140" s="3063"/>
      <c r="N140" s="3063"/>
      <c r="O140" s="3063"/>
      <c r="P140" s="3063"/>
      <c r="Q140" s="3066"/>
      <c r="R140" s="3066"/>
      <c r="S140" s="3066"/>
      <c r="T140" s="3066"/>
      <c r="U140" s="3067"/>
      <c r="V140" s="3063"/>
      <c r="W140" s="3063"/>
      <c r="X140" s="3056">
        <f>IF(A140="","",IF(LEN(SUBSTITUTE(SUBSTITUTE(SUBSTITUTE(SUBSTITUTE(D140,".",""),"/",""),"-","")," ",""))&lt;&gt;14,"CNPJ INVALIDO","OK"))</f>
      </c>
      <c r="Y140" s="3056">
        <f>IF(A140="","",IF(R140="","REST PENDENTE","REST OK"))</f>
      </c>
      <c r="Z140" s="3056">
        <f>IF(A140="","",IF(AND(R140&lt;&gt;"",COUNTIFS($D$3:$D$164,D140,$R$3:$R$164,"&lt;&gt;")&gt;1),"DUPLICADO","OK"))</f>
      </c>
      <c r="AA140" s="3056">
        <f>IF(A140="","",IF(OR(LEN(Q140)&gt;180,LEN(R140)&gt;180,LEN(S140)&gt;180,LEN(T140)&gt;180),"CAMINHO LONGO","OK"))</f>
      </c>
      <c r="AB140" s="3056">
        <f>IF(A140="","",IF(U140="","",IFERROR(INT(U140-TODAY()),"")))</f>
      </c>
      <c r="AC140" s="3056">
        <f>IF(A140="","",IF(AND(T140="",U140=""),"",IF(T140="","SEM CAMINHO",IF(U140="","SEM DATA",IFERROR(IF(AB140&lt;15,"VERMELHO",IF(AB140&lt;=30,"AMARELO","VERDE")),"DATA INVALIDA")))))</f>
      </c>
      <c r="AD140" s="3056">
        <f>IF(OR(A140="",U140="",NOT(ISNUMBER(AB140))),"",RANK(AB140,$AB$3:$AB$164,1)+COUNTIFS($AB$3:AB140,AB140)-1)</f>
      </c>
      <c r="AE140" s="1736"/>
    </row>
    <row r="141" ht="22.0" customHeight="true" hidden="false">
      <c r="A141" s="3059"/>
      <c r="B141" s="3058"/>
      <c r="C141" s="3058"/>
      <c r="D141" s="3058"/>
      <c r="E141" s="3058"/>
      <c r="F141" s="3058"/>
      <c r="G141" s="3058"/>
      <c r="H141" s="3058"/>
      <c r="I141" s="3058"/>
      <c r="J141" s="3058"/>
      <c r="K141" s="3058"/>
      <c r="L141" s="3058"/>
      <c r="M141" s="3058"/>
      <c r="N141" s="3058"/>
      <c r="O141" s="3058"/>
      <c r="P141" s="3058"/>
      <c r="Q141" s="3061"/>
      <c r="R141" s="3061"/>
      <c r="S141" s="3061"/>
      <c r="T141" s="3061"/>
      <c r="U141" s="3062"/>
      <c r="V141" s="3058"/>
      <c r="W141" s="3058"/>
      <c r="X141" s="3056">
        <f>IF(A141="","",IF(LEN(SUBSTITUTE(SUBSTITUTE(SUBSTITUTE(SUBSTITUTE(D141,".",""),"/",""),"-","")," ",""))&lt;&gt;14,"CNPJ INVALIDO","OK"))</f>
      </c>
      <c r="Y141" s="3056">
        <f>IF(A141="","",IF(R141="","REST PENDENTE","REST OK"))</f>
      </c>
      <c r="Z141" s="3056">
        <f>IF(A141="","",IF(AND(R141&lt;&gt;"",COUNTIFS($D$3:$D$164,D141,$R$3:$R$164,"&lt;&gt;")&gt;1),"DUPLICADO","OK"))</f>
      </c>
      <c r="AA141" s="3056">
        <f>IF(A141="","",IF(OR(LEN(Q141)&gt;180,LEN(R141)&gt;180,LEN(S141)&gt;180,LEN(T141)&gt;180),"CAMINHO LONGO","OK"))</f>
      </c>
      <c r="AB141" s="3056">
        <f>IF(A141="","",IF(U141="","",IFERROR(INT(U141-TODAY()),"")))</f>
      </c>
      <c r="AC141" s="3056">
        <f>IF(A141="","",IF(AND(T141="",U141=""),"",IF(T141="","SEM CAMINHO",IF(U141="","SEM DATA",IFERROR(IF(AB141&lt;15,"VERMELHO",IF(AB141&lt;=30,"AMARELO","VERDE")),"DATA INVALIDA")))))</f>
      </c>
      <c r="AD141" s="3056">
        <f>IF(OR(A141="",U141="",NOT(ISNUMBER(AB141))),"",RANK(AB141,$AB$3:$AB$164,1)+COUNTIFS($AB$3:AB141,AB141)-1)</f>
      </c>
      <c r="AE141" s="1736"/>
    </row>
    <row r="142" ht="22.0" customHeight="true" hidden="false">
      <c r="A142" s="3064"/>
      <c r="B142" s="3063"/>
      <c r="C142" s="3063"/>
      <c r="D142" s="3063"/>
      <c r="E142" s="3063"/>
      <c r="F142" s="3063"/>
      <c r="G142" s="3063"/>
      <c r="H142" s="3063"/>
      <c r="I142" s="3063"/>
      <c r="J142" s="3063"/>
      <c r="K142" s="3063"/>
      <c r="L142" s="3063"/>
      <c r="M142" s="3063"/>
      <c r="N142" s="3063"/>
      <c r="O142" s="3063"/>
      <c r="P142" s="3063"/>
      <c r="Q142" s="3066"/>
      <c r="R142" s="3066"/>
      <c r="S142" s="3066"/>
      <c r="T142" s="3066"/>
      <c r="U142" s="3067"/>
      <c r="V142" s="3063"/>
      <c r="W142" s="3063"/>
      <c r="X142" s="3056">
        <f>IF(A142="","",IF(LEN(SUBSTITUTE(SUBSTITUTE(SUBSTITUTE(SUBSTITUTE(D142,".",""),"/",""),"-","")," ",""))&lt;&gt;14,"CNPJ INVALIDO","OK"))</f>
      </c>
      <c r="Y142" s="3056">
        <f>IF(A142="","",IF(R142="","REST PENDENTE","REST OK"))</f>
      </c>
      <c r="Z142" s="3056">
        <f>IF(A142="","",IF(AND(R142&lt;&gt;"",COUNTIFS($D$3:$D$164,D142,$R$3:$R$164,"&lt;&gt;")&gt;1),"DUPLICADO","OK"))</f>
      </c>
      <c r="AA142" s="3056">
        <f>IF(A142="","",IF(OR(LEN(Q142)&gt;180,LEN(R142)&gt;180,LEN(S142)&gt;180,LEN(T142)&gt;180),"CAMINHO LONGO","OK"))</f>
      </c>
      <c r="AB142" s="3056">
        <f>IF(A142="","",IF(U142="","",IFERROR(INT(U142-TODAY()),"")))</f>
      </c>
      <c r="AC142" s="3056">
        <f>IF(A142="","",IF(AND(T142="",U142=""),"",IF(T142="","SEM CAMINHO",IF(U142="","SEM DATA",IFERROR(IF(AB142&lt;15,"VERMELHO",IF(AB142&lt;=30,"AMARELO","VERDE")),"DATA INVALIDA")))))</f>
      </c>
      <c r="AD142" s="3056">
        <f>IF(OR(A142="",U142="",NOT(ISNUMBER(AB142))),"",RANK(AB142,$AB$3:$AB$164,1)+COUNTIFS($AB$3:AB142,AB142)-1)</f>
      </c>
      <c r="AE142" s="1736"/>
    </row>
    <row r="143" ht="22.0" customHeight="true" hidden="false">
      <c r="A143" s="3059"/>
      <c r="B143" s="3058"/>
      <c r="C143" s="3058"/>
      <c r="D143" s="3058"/>
      <c r="E143" s="3058"/>
      <c r="F143" s="3058"/>
      <c r="G143" s="3058"/>
      <c r="H143" s="3058"/>
      <c r="I143" s="3058"/>
      <c r="J143" s="3058"/>
      <c r="K143" s="3058"/>
      <c r="L143" s="3058"/>
      <c r="M143" s="3058"/>
      <c r="N143" s="3058"/>
      <c r="O143" s="3058"/>
      <c r="P143" s="3058"/>
      <c r="Q143" s="3061"/>
      <c r="R143" s="3061"/>
      <c r="S143" s="3061"/>
      <c r="T143" s="3061"/>
      <c r="U143" s="3062"/>
      <c r="V143" s="3058"/>
      <c r="W143" s="3058"/>
      <c r="X143" s="3056">
        <f>IF(A143="","",IF(LEN(SUBSTITUTE(SUBSTITUTE(SUBSTITUTE(SUBSTITUTE(D143,".",""),"/",""),"-","")," ",""))&lt;&gt;14,"CNPJ INVALIDO","OK"))</f>
      </c>
      <c r="Y143" s="3056">
        <f>IF(A143="","",IF(R143="","REST PENDENTE","REST OK"))</f>
      </c>
      <c r="Z143" s="3056">
        <f>IF(A143="","",IF(AND(R143&lt;&gt;"",COUNTIFS($D$3:$D$164,D143,$R$3:$R$164,"&lt;&gt;")&gt;1),"DUPLICADO","OK"))</f>
      </c>
      <c r="AA143" s="3056">
        <f>IF(A143="","",IF(OR(LEN(Q143)&gt;180,LEN(R143)&gt;180,LEN(S143)&gt;180,LEN(T143)&gt;180),"CAMINHO LONGO","OK"))</f>
      </c>
      <c r="AB143" s="3056">
        <f>IF(A143="","",IF(U143="","",IFERROR(INT(U143-TODAY()),"")))</f>
      </c>
      <c r="AC143" s="3056">
        <f>IF(A143="","",IF(AND(T143="",U143=""),"",IF(T143="","SEM CAMINHO",IF(U143="","SEM DATA",IFERROR(IF(AB143&lt;15,"VERMELHO",IF(AB143&lt;=30,"AMARELO","VERDE")),"DATA INVALIDA")))))</f>
      </c>
      <c r="AD143" s="3056">
        <f>IF(OR(A143="",U143="",NOT(ISNUMBER(AB143))),"",RANK(AB143,$AB$3:$AB$164,1)+COUNTIFS($AB$3:AB143,AB143)-1)</f>
      </c>
      <c r="AE143" s="1736"/>
    </row>
    <row r="144" ht="22.0" customHeight="true" hidden="false">
      <c r="A144" s="3064"/>
      <c r="B144" s="3063"/>
      <c r="C144" s="3063"/>
      <c r="D144" s="3063"/>
      <c r="E144" s="3063"/>
      <c r="F144" s="3063"/>
      <c r="G144" s="3063"/>
      <c r="H144" s="3063"/>
      <c r="I144" s="3063"/>
      <c r="J144" s="3063"/>
      <c r="K144" s="3063"/>
      <c r="L144" s="3063"/>
      <c r="M144" s="3063"/>
      <c r="N144" s="3063"/>
      <c r="O144" s="3063"/>
      <c r="P144" s="3063"/>
      <c r="Q144" s="3066"/>
      <c r="R144" s="3066"/>
      <c r="S144" s="3066"/>
      <c r="T144" s="3066"/>
      <c r="U144" s="3067"/>
      <c r="V144" s="3063"/>
      <c r="W144" s="3063"/>
      <c r="X144" s="3056">
        <f>IF(A144="","",IF(LEN(SUBSTITUTE(SUBSTITUTE(SUBSTITUTE(SUBSTITUTE(D144,".",""),"/",""),"-","")," ",""))&lt;&gt;14,"CNPJ INVALIDO","OK"))</f>
      </c>
      <c r="Y144" s="3056">
        <f>IF(A144="","",IF(R144="","REST PENDENTE","REST OK"))</f>
      </c>
      <c r="Z144" s="3056">
        <f>IF(A144="","",IF(AND(R144&lt;&gt;"",COUNTIFS($D$3:$D$164,D144,$R$3:$R$164,"&lt;&gt;")&gt;1),"DUPLICADO","OK"))</f>
      </c>
      <c r="AA144" s="3056">
        <f>IF(A144="","",IF(OR(LEN(Q144)&gt;180,LEN(R144)&gt;180,LEN(S144)&gt;180,LEN(T144)&gt;180),"CAMINHO LONGO","OK"))</f>
      </c>
      <c r="AB144" s="3056">
        <f>IF(A144="","",IF(U144="","",IFERROR(INT(U144-TODAY()),"")))</f>
      </c>
      <c r="AC144" s="3056">
        <f>IF(A144="","",IF(AND(T144="",U144=""),"",IF(T144="","SEM CAMINHO",IF(U144="","SEM DATA",IFERROR(IF(AB144&lt;15,"VERMELHO",IF(AB144&lt;=30,"AMARELO","VERDE")),"DATA INVALIDA")))))</f>
      </c>
      <c r="AD144" s="3056">
        <f>IF(OR(A144="",U144="",NOT(ISNUMBER(AB144))),"",RANK(AB144,$AB$3:$AB$164,1)+COUNTIFS($AB$3:AB144,AB144)-1)</f>
      </c>
      <c r="AE144" s="1736"/>
    </row>
    <row r="145" ht="22.0" customHeight="true" hidden="false">
      <c r="A145" s="3059"/>
      <c r="B145" s="3058"/>
      <c r="C145" s="3058"/>
      <c r="D145" s="3058"/>
      <c r="E145" s="3058"/>
      <c r="F145" s="3058"/>
      <c r="G145" s="3058"/>
      <c r="H145" s="3058"/>
      <c r="I145" s="3058"/>
      <c r="J145" s="3058"/>
      <c r="K145" s="3058"/>
      <c r="L145" s="3058"/>
      <c r="M145" s="3058"/>
      <c r="N145" s="3058"/>
      <c r="O145" s="3058"/>
      <c r="P145" s="3058"/>
      <c r="Q145" s="3061"/>
      <c r="R145" s="3061"/>
      <c r="S145" s="3061"/>
      <c r="T145" s="3061"/>
      <c r="U145" s="3062"/>
      <c r="V145" s="3058"/>
      <c r="W145" s="3058"/>
      <c r="X145" s="3056">
        <f>IF(A145="","",IF(LEN(SUBSTITUTE(SUBSTITUTE(SUBSTITUTE(SUBSTITUTE(D145,".",""),"/",""),"-","")," ",""))&lt;&gt;14,"CNPJ INVALIDO","OK"))</f>
      </c>
      <c r="Y145" s="3056">
        <f>IF(A145="","",IF(R145="","REST PENDENTE","REST OK"))</f>
      </c>
      <c r="Z145" s="3056">
        <f>IF(A145="","",IF(AND(R145&lt;&gt;"",COUNTIFS($D$3:$D$164,D145,$R$3:$R$164,"&lt;&gt;")&gt;1),"DUPLICADO","OK"))</f>
      </c>
      <c r="AA145" s="3056">
        <f>IF(A145="","",IF(OR(LEN(Q145)&gt;180,LEN(R145)&gt;180,LEN(S145)&gt;180,LEN(T145)&gt;180),"CAMINHO LONGO","OK"))</f>
      </c>
      <c r="AB145" s="3056">
        <f>IF(A145="","",IF(U145="","",IFERROR(INT(U145-TODAY()),"")))</f>
      </c>
      <c r="AC145" s="3056">
        <f>IF(A145="","",IF(AND(T145="",U145=""),"",IF(T145="","SEM CAMINHO",IF(U145="","SEM DATA",IFERROR(IF(AB145&lt;15,"VERMELHO",IF(AB145&lt;=30,"AMARELO","VERDE")),"DATA INVALIDA")))))</f>
      </c>
      <c r="AD145" s="3056">
        <f>IF(OR(A145="",U145="",NOT(ISNUMBER(AB145))),"",RANK(AB145,$AB$3:$AB$164,1)+COUNTIFS($AB$3:AB145,AB145)-1)</f>
      </c>
      <c r="AE145" s="1736"/>
    </row>
    <row r="146" ht="22.0" customHeight="true" hidden="false">
      <c r="A146" s="3064"/>
      <c r="B146" s="3063"/>
      <c r="C146" s="3063"/>
      <c r="D146" s="3063"/>
      <c r="E146" s="3063"/>
      <c r="F146" s="3063"/>
      <c r="G146" s="3063"/>
      <c r="H146" s="3063"/>
      <c r="I146" s="3063"/>
      <c r="J146" s="3063"/>
      <c r="K146" s="3063"/>
      <c r="L146" s="3063"/>
      <c r="M146" s="3063"/>
      <c r="N146" s="3063"/>
      <c r="O146" s="3063"/>
      <c r="P146" s="3063"/>
      <c r="Q146" s="3066"/>
      <c r="R146" s="3066"/>
      <c r="S146" s="3066"/>
      <c r="T146" s="3066"/>
      <c r="U146" s="3067"/>
      <c r="V146" s="3063"/>
      <c r="W146" s="3063"/>
      <c r="X146" s="3056">
        <f>IF(A146="","",IF(LEN(SUBSTITUTE(SUBSTITUTE(SUBSTITUTE(SUBSTITUTE(D146,".",""),"/",""),"-","")," ",""))&lt;&gt;14,"CNPJ INVALIDO","OK"))</f>
      </c>
      <c r="Y146" s="3056">
        <f>IF(A146="","",IF(R146="","REST PENDENTE","REST OK"))</f>
      </c>
      <c r="Z146" s="3056">
        <f>IF(A146="","",IF(AND(R146&lt;&gt;"",COUNTIFS($D$3:$D$164,D146,$R$3:$R$164,"&lt;&gt;")&gt;1),"DUPLICADO","OK"))</f>
      </c>
      <c r="AA146" s="3056">
        <f>IF(A146="","",IF(OR(LEN(Q146)&gt;180,LEN(R146)&gt;180,LEN(S146)&gt;180,LEN(T146)&gt;180),"CAMINHO LONGO","OK"))</f>
      </c>
      <c r="AB146" s="3056">
        <f>IF(A146="","",IF(U146="","",IFERROR(INT(U146-TODAY()),"")))</f>
      </c>
      <c r="AC146" s="3056">
        <f>IF(A146="","",IF(AND(T146="",U146=""),"",IF(T146="","SEM CAMINHO",IF(U146="","SEM DATA",IFERROR(IF(AB146&lt;15,"VERMELHO",IF(AB146&lt;=30,"AMARELO","VERDE")),"DATA INVALIDA")))))</f>
      </c>
      <c r="AD146" s="3056">
        <f>IF(OR(A146="",U146="",NOT(ISNUMBER(AB146))),"",RANK(AB146,$AB$3:$AB$164,1)+COUNTIFS($AB$3:AB146,AB146)-1)</f>
      </c>
      <c r="AE146" s="1736"/>
    </row>
    <row r="147" ht="22.0" customHeight="true" hidden="false">
      <c r="A147" s="3059"/>
      <c r="B147" s="3058"/>
      <c r="C147" s="3058"/>
      <c r="D147" s="3058"/>
      <c r="E147" s="3058"/>
      <c r="F147" s="3058"/>
      <c r="G147" s="3058"/>
      <c r="H147" s="3058"/>
      <c r="I147" s="3058"/>
      <c r="J147" s="3058"/>
      <c r="K147" s="3058"/>
      <c r="L147" s="3058"/>
      <c r="M147" s="3058"/>
      <c r="N147" s="3058"/>
      <c r="O147" s="3058"/>
      <c r="P147" s="3058"/>
      <c r="Q147" s="3061"/>
      <c r="R147" s="3061"/>
      <c r="S147" s="3061"/>
      <c r="T147" s="3061"/>
      <c r="U147" s="3062"/>
      <c r="V147" s="3058"/>
      <c r="W147" s="3058"/>
      <c r="X147" s="3056">
        <f>IF(A147="","",IF(LEN(SUBSTITUTE(SUBSTITUTE(SUBSTITUTE(SUBSTITUTE(D147,".",""),"/",""),"-","")," ",""))&lt;&gt;14,"CNPJ INVALIDO","OK"))</f>
      </c>
      <c r="Y147" s="3056">
        <f>IF(A147="","",IF(R147="","REST PENDENTE","REST OK"))</f>
      </c>
      <c r="Z147" s="3056">
        <f>IF(A147="","",IF(AND(R147&lt;&gt;"",COUNTIFS($D$3:$D$164,D147,$R$3:$R$164,"&lt;&gt;")&gt;1),"DUPLICADO","OK"))</f>
      </c>
      <c r="AA147" s="3056">
        <f>IF(A147="","",IF(OR(LEN(Q147)&gt;180,LEN(R147)&gt;180,LEN(S147)&gt;180,LEN(T147)&gt;180),"CAMINHO LONGO","OK"))</f>
      </c>
      <c r="AB147" s="3056">
        <f>IF(A147="","",IF(U147="","",IFERROR(INT(U147-TODAY()),"")))</f>
      </c>
      <c r="AC147" s="3056">
        <f>IF(A147="","",IF(AND(T147="",U147=""),"",IF(T147="","SEM CAMINHO",IF(U147="","SEM DATA",IFERROR(IF(AB147&lt;15,"VERMELHO",IF(AB147&lt;=30,"AMARELO","VERDE")),"DATA INVALIDA")))))</f>
      </c>
      <c r="AD147" s="3056">
        <f>IF(OR(A147="",U147="",NOT(ISNUMBER(AB147))),"",RANK(AB147,$AB$3:$AB$164,1)+COUNTIFS($AB$3:AB147,AB147)-1)</f>
      </c>
      <c r="AE147" s="1736"/>
    </row>
    <row r="148" ht="22.0" customHeight="true" hidden="false">
      <c r="A148" s="3064"/>
      <c r="B148" s="3063"/>
      <c r="C148" s="3063"/>
      <c r="D148" s="3063"/>
      <c r="E148" s="3063"/>
      <c r="F148" s="3063"/>
      <c r="G148" s="3063"/>
      <c r="H148" s="3063"/>
      <c r="I148" s="3063"/>
      <c r="J148" s="3063"/>
      <c r="K148" s="3063"/>
      <c r="L148" s="3063"/>
      <c r="M148" s="3063"/>
      <c r="N148" s="3063"/>
      <c r="O148" s="3063"/>
      <c r="P148" s="3063"/>
      <c r="Q148" s="3066"/>
      <c r="R148" s="3066"/>
      <c r="S148" s="3066"/>
      <c r="T148" s="3066"/>
      <c r="U148" s="3067"/>
      <c r="V148" s="3063"/>
      <c r="W148" s="3063"/>
      <c r="X148" s="3056">
        <f>IF(A148="","",IF(LEN(SUBSTITUTE(SUBSTITUTE(SUBSTITUTE(SUBSTITUTE(D148,".",""),"/",""),"-","")," ",""))&lt;&gt;14,"CNPJ INVALIDO","OK"))</f>
      </c>
      <c r="Y148" s="3056">
        <f>IF(A148="","",IF(R148="","REST PENDENTE","REST OK"))</f>
      </c>
      <c r="Z148" s="3056">
        <f>IF(A148="","",IF(AND(R148&lt;&gt;"",COUNTIFS($D$3:$D$164,D148,$R$3:$R$164,"&lt;&gt;")&gt;1),"DUPLICADO","OK"))</f>
      </c>
      <c r="AA148" s="3056">
        <f>IF(A148="","",IF(OR(LEN(Q148)&gt;180,LEN(R148)&gt;180,LEN(S148)&gt;180,LEN(T148)&gt;180),"CAMINHO LONGO","OK"))</f>
      </c>
      <c r="AB148" s="3056">
        <f>IF(A148="","",IF(U148="","",IFERROR(INT(U148-TODAY()),"")))</f>
      </c>
      <c r="AC148" s="3056">
        <f>IF(A148="","",IF(AND(T148="",U148=""),"",IF(T148="","SEM CAMINHO",IF(U148="","SEM DATA",IFERROR(IF(AB148&lt;15,"VERMELHO",IF(AB148&lt;=30,"AMARELO","VERDE")),"DATA INVALIDA")))))</f>
      </c>
      <c r="AD148" s="3056">
        <f>IF(OR(A148="",U148="",NOT(ISNUMBER(AB148))),"",RANK(AB148,$AB$3:$AB$164,1)+COUNTIFS($AB$3:AB148,AB148)-1)</f>
      </c>
      <c r="AE148" s="1736"/>
    </row>
    <row r="149" ht="22.0" customHeight="true" hidden="false">
      <c r="A149" s="3059"/>
      <c r="B149" s="3058"/>
      <c r="C149" s="3058"/>
      <c r="D149" s="3058"/>
      <c r="E149" s="3058"/>
      <c r="F149" s="3058"/>
      <c r="G149" s="3058"/>
      <c r="H149" s="3058"/>
      <c r="I149" s="3058"/>
      <c r="J149" s="3058"/>
      <c r="K149" s="3058"/>
      <c r="L149" s="3058"/>
      <c r="M149" s="3058"/>
      <c r="N149" s="3058"/>
      <c r="O149" s="3058"/>
      <c r="P149" s="3058"/>
      <c r="Q149" s="3061"/>
      <c r="R149" s="3061"/>
      <c r="S149" s="3061"/>
      <c r="T149" s="3061"/>
      <c r="U149" s="3062"/>
      <c r="V149" s="3058"/>
      <c r="W149" s="3058"/>
      <c r="X149" s="3056">
        <f>IF(A149="","",IF(LEN(SUBSTITUTE(SUBSTITUTE(SUBSTITUTE(SUBSTITUTE(D149,".",""),"/",""),"-","")," ",""))&lt;&gt;14,"CNPJ INVALIDO","OK"))</f>
      </c>
      <c r="Y149" s="3056">
        <f>IF(A149="","",IF(R149="","REST PENDENTE","REST OK"))</f>
      </c>
      <c r="Z149" s="3056">
        <f>IF(A149="","",IF(AND(R149&lt;&gt;"",COUNTIFS($D$3:$D$164,D149,$R$3:$R$164,"&lt;&gt;")&gt;1),"DUPLICADO","OK"))</f>
      </c>
      <c r="AA149" s="3056">
        <f>IF(A149="","",IF(OR(LEN(Q149)&gt;180,LEN(R149)&gt;180,LEN(S149)&gt;180,LEN(T149)&gt;180),"CAMINHO LONGO","OK"))</f>
      </c>
      <c r="AB149" s="3056">
        <f>IF(A149="","",IF(U149="","",IFERROR(INT(U149-TODAY()),"")))</f>
      </c>
      <c r="AC149" s="3056">
        <f>IF(A149="","",IF(AND(T149="",U149=""),"",IF(T149="","SEM CAMINHO",IF(U149="","SEM DATA",IFERROR(IF(AB149&lt;15,"VERMELHO",IF(AB149&lt;=30,"AMARELO","VERDE")),"DATA INVALIDA")))))</f>
      </c>
      <c r="AD149" s="3056">
        <f>IF(OR(A149="",U149="",NOT(ISNUMBER(AB149))),"",RANK(AB149,$AB$3:$AB$164,1)+COUNTIFS($AB$3:AB149,AB149)-1)</f>
      </c>
      <c r="AE149" s="1736"/>
    </row>
    <row r="150" ht="22.0" customHeight="true" hidden="false">
      <c r="A150" s="3064"/>
      <c r="B150" s="3063"/>
      <c r="C150" s="3063"/>
      <c r="D150" s="3063"/>
      <c r="E150" s="3063"/>
      <c r="F150" s="3063"/>
      <c r="G150" s="3063"/>
      <c r="H150" s="3063"/>
      <c r="I150" s="3063"/>
      <c r="J150" s="3063"/>
      <c r="K150" s="3063"/>
      <c r="L150" s="3063"/>
      <c r="M150" s="3063"/>
      <c r="N150" s="3063"/>
      <c r="O150" s="3063"/>
      <c r="P150" s="3063"/>
      <c r="Q150" s="3066"/>
      <c r="R150" s="3066"/>
      <c r="S150" s="3066"/>
      <c r="T150" s="3066"/>
      <c r="U150" s="3067"/>
      <c r="V150" s="3063"/>
      <c r="W150" s="3063"/>
      <c r="X150" s="3056">
        <f>IF(A150="","",IF(LEN(SUBSTITUTE(SUBSTITUTE(SUBSTITUTE(SUBSTITUTE(D150,".",""),"/",""),"-","")," ",""))&lt;&gt;14,"CNPJ INVALIDO","OK"))</f>
      </c>
      <c r="Y150" s="3056">
        <f>IF(A150="","",IF(R150="","REST PENDENTE","REST OK"))</f>
      </c>
      <c r="Z150" s="3056">
        <f>IF(A150="","",IF(AND(R150&lt;&gt;"",COUNTIFS($D$3:$D$164,D150,$R$3:$R$164,"&lt;&gt;")&gt;1),"DUPLICADO","OK"))</f>
      </c>
      <c r="AA150" s="3056">
        <f>IF(A150="","",IF(OR(LEN(Q150)&gt;180,LEN(R150)&gt;180,LEN(S150)&gt;180,LEN(T150)&gt;180),"CAMINHO LONGO","OK"))</f>
      </c>
      <c r="AB150" s="3056">
        <f>IF(A150="","",IF(U150="","",IFERROR(INT(U150-TODAY()),"")))</f>
      </c>
      <c r="AC150" s="3056">
        <f>IF(A150="","",IF(AND(T150="",U150=""),"",IF(T150="","SEM CAMINHO",IF(U150="","SEM DATA",IFERROR(IF(AB150&lt;15,"VERMELHO",IF(AB150&lt;=30,"AMARELO","VERDE")),"DATA INVALIDA")))))</f>
      </c>
      <c r="AD150" s="3056">
        <f>IF(OR(A150="",U150="",NOT(ISNUMBER(AB150))),"",RANK(AB150,$AB$3:$AB$164,1)+COUNTIFS($AB$3:AB150,AB150)-1)</f>
      </c>
      <c r="AE150" s="1736"/>
    </row>
    <row r="151" ht="22.0" customHeight="true" hidden="false">
      <c r="A151" s="3059"/>
      <c r="B151" s="3058"/>
      <c r="C151" s="3058"/>
      <c r="D151" s="3058"/>
      <c r="E151" s="3058"/>
      <c r="F151" s="3058"/>
      <c r="G151" s="3058"/>
      <c r="H151" s="3058"/>
      <c r="I151" s="3058"/>
      <c r="J151" s="3058"/>
      <c r="K151" s="3058"/>
      <c r="L151" s="3058"/>
      <c r="M151" s="3058"/>
      <c r="N151" s="3058"/>
      <c r="O151" s="3058"/>
      <c r="P151" s="3058"/>
      <c r="Q151" s="3061"/>
      <c r="R151" s="3061"/>
      <c r="S151" s="3061"/>
      <c r="T151" s="3061"/>
      <c r="U151" s="3062"/>
      <c r="V151" s="3058"/>
      <c r="W151" s="3058"/>
      <c r="X151" s="3056">
        <f>IF(A151="","",IF(LEN(SUBSTITUTE(SUBSTITUTE(SUBSTITUTE(SUBSTITUTE(D151,".",""),"/",""),"-","")," ",""))&lt;&gt;14,"CNPJ INVALIDO","OK"))</f>
      </c>
      <c r="Y151" s="3056">
        <f>IF(A151="","",IF(R151="","REST PENDENTE","REST OK"))</f>
      </c>
      <c r="Z151" s="3056">
        <f>IF(A151="","",IF(AND(R151&lt;&gt;"",COUNTIFS($D$3:$D$164,D151,$R$3:$R$164,"&lt;&gt;")&gt;1),"DUPLICADO","OK"))</f>
      </c>
      <c r="AA151" s="3056">
        <f>IF(A151="","",IF(OR(LEN(Q151)&gt;180,LEN(R151)&gt;180,LEN(S151)&gt;180,LEN(T151)&gt;180),"CAMINHO LONGO","OK"))</f>
      </c>
      <c r="AB151" s="3056">
        <f>IF(A151="","",IF(U151="","",IFERROR(INT(U151-TODAY()),"")))</f>
      </c>
      <c r="AC151" s="3056">
        <f>IF(A151="","",IF(AND(T151="",U151=""),"",IF(T151="","SEM CAMINHO",IF(U151="","SEM DATA",IFERROR(IF(AB151&lt;15,"VERMELHO",IF(AB151&lt;=30,"AMARELO","VERDE")),"DATA INVALIDA")))))</f>
      </c>
      <c r="AD151" s="3056">
        <f>IF(OR(A151="",U151="",NOT(ISNUMBER(AB151))),"",RANK(AB151,$AB$3:$AB$164,1)+COUNTIFS($AB$3:AB151,AB151)-1)</f>
      </c>
      <c r="AE151" s="1736"/>
    </row>
    <row r="152" ht="22.0" customHeight="true" hidden="false">
      <c r="A152" s="3064"/>
      <c r="B152" s="3063"/>
      <c r="C152" s="3063"/>
      <c r="D152" s="3063"/>
      <c r="E152" s="3063"/>
      <c r="F152" s="3063"/>
      <c r="G152" s="3063"/>
      <c r="H152" s="3063"/>
      <c r="I152" s="3063"/>
      <c r="J152" s="3063"/>
      <c r="K152" s="3063"/>
      <c r="L152" s="3063"/>
      <c r="M152" s="3063"/>
      <c r="N152" s="3063"/>
      <c r="O152" s="3063"/>
      <c r="P152" s="3063"/>
      <c r="Q152" s="3066"/>
      <c r="R152" s="3066"/>
      <c r="S152" s="3066"/>
      <c r="T152" s="3066"/>
      <c r="U152" s="3067"/>
      <c r="V152" s="3063"/>
      <c r="W152" s="3063"/>
      <c r="X152" s="3056">
        <f>IF(A152="","",IF(LEN(SUBSTITUTE(SUBSTITUTE(SUBSTITUTE(SUBSTITUTE(D152,".",""),"/",""),"-","")," ",""))&lt;&gt;14,"CNPJ INVALIDO","OK"))</f>
      </c>
      <c r="Y152" s="3056">
        <f>IF(A152="","",IF(R152="","REST PENDENTE","REST OK"))</f>
      </c>
      <c r="Z152" s="3056">
        <f>IF(A152="","",IF(AND(R152&lt;&gt;"",COUNTIFS($D$3:$D$164,D152,$R$3:$R$164,"&lt;&gt;")&gt;1),"DUPLICADO","OK"))</f>
      </c>
      <c r="AA152" s="3056">
        <f>IF(A152="","",IF(OR(LEN(Q152)&gt;180,LEN(R152)&gt;180,LEN(S152)&gt;180,LEN(T152)&gt;180),"CAMINHO LONGO","OK"))</f>
      </c>
      <c r="AB152" s="3056">
        <f>IF(A152="","",IF(U152="","",IFERROR(INT(U152-TODAY()),"")))</f>
      </c>
      <c r="AC152" s="3056">
        <f>IF(A152="","",IF(AND(T152="",U152=""),"",IF(T152="","SEM CAMINHO",IF(U152="","SEM DATA",IFERROR(IF(AB152&lt;15,"VERMELHO",IF(AB152&lt;=30,"AMARELO","VERDE")),"DATA INVALIDA")))))</f>
      </c>
      <c r="AD152" s="3056">
        <f>IF(OR(A152="",U152="",NOT(ISNUMBER(AB152))),"",RANK(AB152,$AB$3:$AB$164,1)+COUNTIFS($AB$3:AB152,AB152)-1)</f>
      </c>
      <c r="AE152" s="1736"/>
    </row>
    <row r="153" ht="22.0" customHeight="true" hidden="false">
      <c r="A153" s="3059"/>
      <c r="B153" s="3058"/>
      <c r="C153" s="3058"/>
      <c r="D153" s="3058"/>
      <c r="E153" s="3058"/>
      <c r="F153" s="3058"/>
      <c r="G153" s="3058"/>
      <c r="H153" s="3058"/>
      <c r="I153" s="3058"/>
      <c r="J153" s="3058"/>
      <c r="K153" s="3058"/>
      <c r="L153" s="3058"/>
      <c r="M153" s="3058"/>
      <c r="N153" s="3058"/>
      <c r="O153" s="3058"/>
      <c r="P153" s="3058"/>
      <c r="Q153" s="3061"/>
      <c r="R153" s="3061"/>
      <c r="S153" s="3061"/>
      <c r="T153" s="3061"/>
      <c r="U153" s="3062"/>
      <c r="V153" s="3058"/>
      <c r="W153" s="3058"/>
      <c r="X153" s="3056">
        <f>IF(A153="","",IF(LEN(SUBSTITUTE(SUBSTITUTE(SUBSTITUTE(SUBSTITUTE(D153,".",""),"/",""),"-","")," ",""))&lt;&gt;14,"CNPJ INVALIDO","OK"))</f>
      </c>
      <c r="Y153" s="3056">
        <f>IF(A153="","",IF(R153="","REST PENDENTE","REST OK"))</f>
      </c>
      <c r="Z153" s="3056">
        <f>IF(A153="","",IF(AND(R153&lt;&gt;"",COUNTIFS($D$3:$D$164,D153,$R$3:$R$164,"&lt;&gt;")&gt;1),"DUPLICADO","OK"))</f>
      </c>
      <c r="AA153" s="3056">
        <f>IF(A153="","",IF(OR(LEN(Q153)&gt;180,LEN(R153)&gt;180,LEN(S153)&gt;180,LEN(T153)&gt;180),"CAMINHO LONGO","OK"))</f>
      </c>
      <c r="AB153" s="3056">
        <f>IF(A153="","",IF(U153="","",IFERROR(INT(U153-TODAY()),"")))</f>
      </c>
      <c r="AC153" s="3056">
        <f>IF(A153="","",IF(AND(T153="",U153=""),"",IF(T153="","SEM CAMINHO",IF(U153="","SEM DATA",IFERROR(IF(AB153&lt;15,"VERMELHO",IF(AB153&lt;=30,"AMARELO","VERDE")),"DATA INVALIDA")))))</f>
      </c>
      <c r="AD153" s="3056">
        <f>IF(OR(A153="",U153="",NOT(ISNUMBER(AB153))),"",RANK(AB153,$AB$3:$AB$164,1)+COUNTIFS($AB$3:AB153,AB153)-1)</f>
      </c>
      <c r="AE153" s="1736"/>
    </row>
    <row r="154" ht="22.0" customHeight="true" hidden="false">
      <c r="A154" s="3064"/>
      <c r="B154" s="3063"/>
      <c r="C154" s="3063"/>
      <c r="D154" s="3063"/>
      <c r="E154" s="3063"/>
      <c r="F154" s="3063"/>
      <c r="G154" s="3063"/>
      <c r="H154" s="3063"/>
      <c r="I154" s="3063"/>
      <c r="J154" s="3063"/>
      <c r="K154" s="3063"/>
      <c r="L154" s="3063"/>
      <c r="M154" s="3063"/>
      <c r="N154" s="3063"/>
      <c r="O154" s="3063"/>
      <c r="P154" s="3063"/>
      <c r="Q154" s="3066"/>
      <c r="R154" s="3066"/>
      <c r="S154" s="3066"/>
      <c r="T154" s="3066"/>
      <c r="U154" s="3067"/>
      <c r="V154" s="3063"/>
      <c r="W154" s="3063"/>
      <c r="X154" s="3056">
        <f>IF(A154="","",IF(LEN(SUBSTITUTE(SUBSTITUTE(SUBSTITUTE(SUBSTITUTE(D154,".",""),"/",""),"-","")," ",""))&lt;&gt;14,"CNPJ INVALIDO","OK"))</f>
      </c>
      <c r="Y154" s="3056">
        <f>IF(A154="","",IF(R154="","REST PENDENTE","REST OK"))</f>
      </c>
      <c r="Z154" s="3056">
        <f>IF(A154="","",IF(AND(R154&lt;&gt;"",COUNTIFS($D$3:$D$164,D154,$R$3:$R$164,"&lt;&gt;")&gt;1),"DUPLICADO","OK"))</f>
      </c>
      <c r="AA154" s="3056">
        <f>IF(A154="","",IF(OR(LEN(Q154)&gt;180,LEN(R154)&gt;180,LEN(S154)&gt;180,LEN(T154)&gt;180),"CAMINHO LONGO","OK"))</f>
      </c>
      <c r="AB154" s="3056">
        <f>IF(A154="","",IF(U154="","",IFERROR(INT(U154-TODAY()),"")))</f>
      </c>
      <c r="AC154" s="3056">
        <f>IF(A154="","",IF(AND(T154="",U154=""),"",IF(T154="","SEM CAMINHO",IF(U154="","SEM DATA",IFERROR(IF(AB154&lt;15,"VERMELHO",IF(AB154&lt;=30,"AMARELO","VERDE")),"DATA INVALIDA")))))</f>
      </c>
      <c r="AD154" s="3056">
        <f>IF(OR(A154="",U154="",NOT(ISNUMBER(AB154))),"",RANK(AB154,$AB$3:$AB$164,1)+COUNTIFS($AB$3:AB154,AB154)-1)</f>
      </c>
      <c r="AE154" s="1736"/>
    </row>
    <row r="155" ht="22.0" customHeight="true" hidden="false">
      <c r="A155" s="3059"/>
      <c r="B155" s="3058"/>
      <c r="C155" s="3058"/>
      <c r="D155" s="3058"/>
      <c r="E155" s="3058"/>
      <c r="F155" s="3058"/>
      <c r="G155" s="3058"/>
      <c r="H155" s="3058"/>
      <c r="I155" s="3058"/>
      <c r="J155" s="3058"/>
      <c r="K155" s="3058"/>
      <c r="L155" s="3058"/>
      <c r="M155" s="3058"/>
      <c r="N155" s="3058"/>
      <c r="O155" s="3058"/>
      <c r="P155" s="3058"/>
      <c r="Q155" s="3061"/>
      <c r="R155" s="3061"/>
      <c r="S155" s="3061"/>
      <c r="T155" s="3061"/>
      <c r="U155" s="3062"/>
      <c r="V155" s="3058"/>
      <c r="W155" s="3058"/>
      <c r="X155" s="3056">
        <f>IF(A155="","",IF(LEN(SUBSTITUTE(SUBSTITUTE(SUBSTITUTE(SUBSTITUTE(D155,".",""),"/",""),"-","")," ",""))&lt;&gt;14,"CNPJ INVALIDO","OK"))</f>
      </c>
      <c r="Y155" s="3056">
        <f>IF(A155="","",IF(R155="","REST PENDENTE","REST OK"))</f>
      </c>
      <c r="Z155" s="3056">
        <f>IF(A155="","",IF(AND(R155&lt;&gt;"",COUNTIFS($D$3:$D$164,D155,$R$3:$R$164,"&lt;&gt;")&gt;1),"DUPLICADO","OK"))</f>
      </c>
      <c r="AA155" s="3056">
        <f>IF(A155="","",IF(OR(LEN(Q155)&gt;180,LEN(R155)&gt;180,LEN(S155)&gt;180,LEN(T155)&gt;180),"CAMINHO LONGO","OK"))</f>
      </c>
      <c r="AB155" s="3056">
        <f>IF(A155="","",IF(U155="","",IFERROR(INT(U155-TODAY()),"")))</f>
      </c>
      <c r="AC155" s="3056">
        <f>IF(A155="","",IF(AND(T155="",U155=""),"",IF(T155="","SEM CAMINHO",IF(U155="","SEM DATA",IFERROR(IF(AB155&lt;15,"VERMELHO",IF(AB155&lt;=30,"AMARELO","VERDE")),"DATA INVALIDA")))))</f>
      </c>
      <c r="AD155" s="3056">
        <f>IF(OR(A155="",U155="",NOT(ISNUMBER(AB155))),"",RANK(AB155,$AB$3:$AB$164,1)+COUNTIFS($AB$3:AB155,AB155)-1)</f>
      </c>
      <c r="AE155" s="1736"/>
    </row>
    <row r="156" ht="22.0" customHeight="true" hidden="false">
      <c r="A156" s="3064"/>
      <c r="B156" s="3063"/>
      <c r="C156" s="3063"/>
      <c r="D156" s="3063"/>
      <c r="E156" s="3063"/>
      <c r="F156" s="3063"/>
      <c r="G156" s="3063"/>
      <c r="H156" s="3063"/>
      <c r="I156" s="3063"/>
      <c r="J156" s="3063"/>
      <c r="K156" s="3063"/>
      <c r="L156" s="3063"/>
      <c r="M156" s="3063"/>
      <c r="N156" s="3063"/>
      <c r="O156" s="3063"/>
      <c r="P156" s="3063"/>
      <c r="Q156" s="3066"/>
      <c r="R156" s="3066"/>
      <c r="S156" s="3066"/>
      <c r="T156" s="3066"/>
      <c r="U156" s="3067"/>
      <c r="V156" s="3063"/>
      <c r="W156" s="3063"/>
      <c r="X156" s="3056">
        <f>IF(A156="","",IF(LEN(SUBSTITUTE(SUBSTITUTE(SUBSTITUTE(SUBSTITUTE(D156,".",""),"/",""),"-","")," ",""))&lt;&gt;14,"CNPJ INVALIDO","OK"))</f>
      </c>
      <c r="Y156" s="3056">
        <f>IF(A156="","",IF(R156="","REST PENDENTE","REST OK"))</f>
      </c>
      <c r="Z156" s="3056">
        <f>IF(A156="","",IF(AND(R156&lt;&gt;"",COUNTIFS($D$3:$D$164,D156,$R$3:$R$164,"&lt;&gt;")&gt;1),"DUPLICADO","OK"))</f>
      </c>
      <c r="AA156" s="3056">
        <f>IF(A156="","",IF(OR(LEN(Q156)&gt;180,LEN(R156)&gt;180,LEN(S156)&gt;180,LEN(T156)&gt;180),"CAMINHO LONGO","OK"))</f>
      </c>
      <c r="AB156" s="3056">
        <f>IF(A156="","",IF(U156="","",IFERROR(INT(U156-TODAY()),"")))</f>
      </c>
      <c r="AC156" s="3056">
        <f>IF(A156="","",IF(AND(T156="",U156=""),"",IF(T156="","SEM CAMINHO",IF(U156="","SEM DATA",IFERROR(IF(AB156&lt;15,"VERMELHO",IF(AB156&lt;=30,"AMARELO","VERDE")),"DATA INVALIDA")))))</f>
      </c>
      <c r="AD156" s="3056">
        <f>IF(OR(A156="",U156="",NOT(ISNUMBER(AB156))),"",RANK(AB156,$AB$3:$AB$164,1)+COUNTIFS($AB$3:AB156,AB156)-1)</f>
      </c>
      <c r="AE156" s="1736"/>
    </row>
    <row r="157" ht="22.0" customHeight="true" hidden="false">
      <c r="A157" s="3059"/>
      <c r="B157" s="3058"/>
      <c r="C157" s="3058"/>
      <c r="D157" s="3058"/>
      <c r="E157" s="3058"/>
      <c r="F157" s="3058"/>
      <c r="G157" s="3058"/>
      <c r="H157" s="3058"/>
      <c r="I157" s="3058"/>
      <c r="J157" s="3058"/>
      <c r="K157" s="3058"/>
      <c r="L157" s="3058"/>
      <c r="M157" s="3058"/>
      <c r="N157" s="3058"/>
      <c r="O157" s="3058"/>
      <c r="P157" s="3058"/>
      <c r="Q157" s="3061"/>
      <c r="R157" s="3061"/>
      <c r="S157" s="3061"/>
      <c r="T157" s="3061"/>
      <c r="U157" s="3062"/>
      <c r="V157" s="3058"/>
      <c r="W157" s="3058"/>
      <c r="X157" s="3056">
        <f>IF(A157="","",IF(LEN(SUBSTITUTE(SUBSTITUTE(SUBSTITUTE(SUBSTITUTE(D157,".",""),"/",""),"-","")," ",""))&lt;&gt;14,"CNPJ INVALIDO","OK"))</f>
      </c>
      <c r="Y157" s="3056">
        <f>IF(A157="","",IF(R157="","REST PENDENTE","REST OK"))</f>
      </c>
      <c r="Z157" s="3056">
        <f>IF(A157="","",IF(AND(R157&lt;&gt;"",COUNTIFS($D$3:$D$164,D157,$R$3:$R$164,"&lt;&gt;")&gt;1),"DUPLICADO","OK"))</f>
      </c>
      <c r="AA157" s="3056">
        <f>IF(A157="","",IF(OR(LEN(Q157)&gt;180,LEN(R157)&gt;180,LEN(S157)&gt;180,LEN(T157)&gt;180),"CAMINHO LONGO","OK"))</f>
      </c>
      <c r="AB157" s="3056">
        <f>IF(A157="","",IF(U157="","",IFERROR(INT(U157-TODAY()),"")))</f>
      </c>
      <c r="AC157" s="3056">
        <f>IF(A157="","",IF(AND(T157="",U157=""),"",IF(T157="","SEM CAMINHO",IF(U157="","SEM DATA",IFERROR(IF(AB157&lt;15,"VERMELHO",IF(AB157&lt;=30,"AMARELO","VERDE")),"DATA INVALIDA")))))</f>
      </c>
      <c r="AD157" s="3056">
        <f>IF(OR(A157="",U157="",NOT(ISNUMBER(AB157))),"",RANK(AB157,$AB$3:$AB$164,1)+COUNTIFS($AB$3:AB157,AB157)-1)</f>
      </c>
      <c r="AE157" s="1736"/>
    </row>
    <row r="158" ht="22.0" customHeight="true" hidden="false">
      <c r="A158" s="3064"/>
      <c r="B158" s="3063"/>
      <c r="C158" s="3063"/>
      <c r="D158" s="3063"/>
      <c r="E158" s="3063"/>
      <c r="F158" s="3063"/>
      <c r="G158" s="3063"/>
      <c r="H158" s="3063"/>
      <c r="I158" s="3063"/>
      <c r="J158" s="3063"/>
      <c r="K158" s="3063"/>
      <c r="L158" s="3063"/>
      <c r="M158" s="3063"/>
      <c r="N158" s="3063"/>
      <c r="O158" s="3063"/>
      <c r="P158" s="3063"/>
      <c r="Q158" s="3066"/>
      <c r="R158" s="3066"/>
      <c r="S158" s="3066"/>
      <c r="T158" s="3066"/>
      <c r="U158" s="3067"/>
      <c r="V158" s="3063"/>
      <c r="W158" s="3063"/>
      <c r="X158" s="3056">
        <f>IF(A158="","",IF(LEN(SUBSTITUTE(SUBSTITUTE(SUBSTITUTE(SUBSTITUTE(D158,".",""),"/",""),"-","")," ",""))&lt;&gt;14,"CNPJ INVALIDO","OK"))</f>
      </c>
      <c r="Y158" s="3056">
        <f>IF(A158="","",IF(R158="","REST PENDENTE","REST OK"))</f>
      </c>
      <c r="Z158" s="3056">
        <f>IF(A158="","",IF(AND(R158&lt;&gt;"",COUNTIFS($D$3:$D$164,D158,$R$3:$R$164,"&lt;&gt;")&gt;1),"DUPLICADO","OK"))</f>
      </c>
      <c r="AA158" s="3056">
        <f>IF(A158="","",IF(OR(LEN(Q158)&gt;180,LEN(R158)&gt;180,LEN(S158)&gt;180,LEN(T158)&gt;180),"CAMINHO LONGO","OK"))</f>
      </c>
      <c r="AB158" s="3056">
        <f>IF(A158="","",IF(U158="","",IFERROR(INT(U158-TODAY()),"")))</f>
      </c>
      <c r="AC158" s="3056">
        <f>IF(A158="","",IF(AND(T158="",U158=""),"",IF(T158="","SEM CAMINHO",IF(U158="","SEM DATA",IFERROR(IF(AB158&lt;15,"VERMELHO",IF(AB158&lt;=30,"AMARELO","VERDE")),"DATA INVALIDA")))))</f>
      </c>
      <c r="AD158" s="3056">
        <f>IF(OR(A158="",U158="",NOT(ISNUMBER(AB158))),"",RANK(AB158,$AB$3:$AB$164,1)+COUNTIFS($AB$3:AB158,AB158)-1)</f>
      </c>
      <c r="AE158" s="1736"/>
    </row>
    <row r="159" ht="22.0" customHeight="true" hidden="false">
      <c r="A159" s="3059"/>
      <c r="B159" s="3058"/>
      <c r="C159" s="3058"/>
      <c r="D159" s="3058"/>
      <c r="E159" s="3058"/>
      <c r="F159" s="3058"/>
      <c r="G159" s="3058"/>
      <c r="H159" s="3058"/>
      <c r="I159" s="3058"/>
      <c r="J159" s="3058"/>
      <c r="K159" s="3058"/>
      <c r="L159" s="3058"/>
      <c r="M159" s="3058"/>
      <c r="N159" s="3058"/>
      <c r="O159" s="3058"/>
      <c r="P159" s="3058"/>
      <c r="Q159" s="3061"/>
      <c r="R159" s="3061"/>
      <c r="S159" s="3061"/>
      <c r="T159" s="3061"/>
      <c r="U159" s="3062"/>
      <c r="V159" s="3058"/>
      <c r="W159" s="3058"/>
      <c r="X159" s="3056">
        <f>IF(A159="","",IF(LEN(SUBSTITUTE(SUBSTITUTE(SUBSTITUTE(SUBSTITUTE(D159,".",""),"/",""),"-","")," ",""))&lt;&gt;14,"CNPJ INVALIDO","OK"))</f>
      </c>
      <c r="Y159" s="3056">
        <f>IF(A159="","",IF(R159="","REST PENDENTE","REST OK"))</f>
      </c>
      <c r="Z159" s="3056">
        <f>IF(A159="","",IF(AND(R159&lt;&gt;"",COUNTIFS($D$3:$D$164,D159,$R$3:$R$164,"&lt;&gt;")&gt;1),"DUPLICADO","OK"))</f>
      </c>
      <c r="AA159" s="3056">
        <f>IF(A159="","",IF(OR(LEN(Q159)&gt;180,LEN(R159)&gt;180,LEN(S159)&gt;180,LEN(T159)&gt;180),"CAMINHO LONGO","OK"))</f>
      </c>
      <c r="AB159" s="3056">
        <f>IF(A159="","",IF(U159="","",IFERROR(INT(U159-TODAY()),"")))</f>
      </c>
      <c r="AC159" s="3056">
        <f>IF(A159="","",IF(AND(T159="",U159=""),"",IF(T159="","SEM CAMINHO",IF(U159="","SEM DATA",IFERROR(IF(AB159&lt;15,"VERMELHO",IF(AB159&lt;=30,"AMARELO","VERDE")),"DATA INVALIDA")))))</f>
      </c>
      <c r="AD159" s="3056">
        <f>IF(OR(A159="",U159="",NOT(ISNUMBER(AB159))),"",RANK(AB159,$AB$3:$AB$164,1)+COUNTIFS($AB$3:AB159,AB159)-1)</f>
      </c>
      <c r="AE159" s="1736"/>
    </row>
    <row r="160" ht="22.0" customHeight="true" hidden="false">
      <c r="A160" s="3064"/>
      <c r="B160" s="3063"/>
      <c r="C160" s="3063"/>
      <c r="D160" s="3063"/>
      <c r="E160" s="3063"/>
      <c r="F160" s="3063"/>
      <c r="G160" s="3063"/>
      <c r="H160" s="3063"/>
      <c r="I160" s="3063"/>
      <c r="J160" s="3063"/>
      <c r="K160" s="3063"/>
      <c r="L160" s="3063"/>
      <c r="M160" s="3063"/>
      <c r="N160" s="3063"/>
      <c r="O160" s="3063"/>
      <c r="P160" s="3063"/>
      <c r="Q160" s="3066"/>
      <c r="R160" s="3066"/>
      <c r="S160" s="3066"/>
      <c r="T160" s="3066"/>
      <c r="U160" s="3067"/>
      <c r="V160" s="3063"/>
      <c r="W160" s="3063"/>
      <c r="X160" s="3056">
        <f>IF(A160="","",IF(LEN(SUBSTITUTE(SUBSTITUTE(SUBSTITUTE(SUBSTITUTE(D160,".",""),"/",""),"-","")," ",""))&lt;&gt;14,"CNPJ INVALIDO","OK"))</f>
      </c>
      <c r="Y160" s="3056">
        <f>IF(A160="","",IF(R160="","REST PENDENTE","REST OK"))</f>
      </c>
      <c r="Z160" s="3056">
        <f>IF(A160="","",IF(AND(R160&lt;&gt;"",COUNTIFS($D$3:$D$164,D160,$R$3:$R$164,"&lt;&gt;")&gt;1),"DUPLICADO","OK"))</f>
      </c>
      <c r="AA160" s="3056">
        <f>IF(A160="","",IF(OR(LEN(Q160)&gt;180,LEN(R160)&gt;180,LEN(S160)&gt;180,LEN(T160)&gt;180),"CAMINHO LONGO","OK"))</f>
      </c>
      <c r="AB160" s="3056">
        <f>IF(A160="","",IF(U160="","",IFERROR(INT(U160-TODAY()),"")))</f>
      </c>
      <c r="AC160" s="3056">
        <f>IF(A160="","",IF(AND(T160="",U160=""),"",IF(T160="","SEM CAMINHO",IF(U160="","SEM DATA",IFERROR(IF(AB160&lt;15,"VERMELHO",IF(AB160&lt;=30,"AMARELO","VERDE")),"DATA INVALIDA")))))</f>
      </c>
      <c r="AD160" s="3056">
        <f>IF(OR(A160="",U160="",NOT(ISNUMBER(AB160))),"",RANK(AB160,$AB$3:$AB$164,1)+COUNTIFS($AB$3:AB160,AB160)-1)</f>
      </c>
      <c r="AE160" s="1736"/>
    </row>
    <row r="161" ht="22.0" customHeight="true" hidden="false">
      <c r="A161" s="3059"/>
      <c r="B161" s="3058"/>
      <c r="C161" s="3058"/>
      <c r="D161" s="3058"/>
      <c r="E161" s="3058"/>
      <c r="F161" s="3058"/>
      <c r="G161" s="3058"/>
      <c r="H161" s="3058"/>
      <c r="I161" s="3058"/>
      <c r="J161" s="3058"/>
      <c r="K161" s="3058"/>
      <c r="L161" s="3058"/>
      <c r="M161" s="3058"/>
      <c r="N161" s="3058"/>
      <c r="O161" s="3058"/>
      <c r="P161" s="3058"/>
      <c r="Q161" s="3061"/>
      <c r="R161" s="3061"/>
      <c r="S161" s="3061"/>
      <c r="T161" s="3061"/>
      <c r="U161" s="3062"/>
      <c r="V161" s="3058"/>
      <c r="W161" s="3058"/>
      <c r="X161" s="3056">
        <f>IF(A161="","",IF(LEN(SUBSTITUTE(SUBSTITUTE(SUBSTITUTE(SUBSTITUTE(D161,".",""),"/",""),"-","")," ",""))&lt;&gt;14,"CNPJ INVALIDO","OK"))</f>
      </c>
      <c r="Y161" s="3056">
        <f>IF(A161="","",IF(R161="","REST PENDENTE","REST OK"))</f>
      </c>
      <c r="Z161" s="3056">
        <f>IF(A161="","",IF(AND(R161&lt;&gt;"",COUNTIFS($D$3:$D$164,D161,$R$3:$R$164,"&lt;&gt;")&gt;1),"DUPLICADO","OK"))</f>
      </c>
      <c r="AA161" s="3056">
        <f>IF(A161="","",IF(OR(LEN(Q161)&gt;180,LEN(R161)&gt;180,LEN(S161)&gt;180,LEN(T161)&gt;180),"CAMINHO LONGO","OK"))</f>
      </c>
      <c r="AB161" s="3056">
        <f>IF(A161="","",IF(U161="","",IFERROR(INT(U161-TODAY()),"")))</f>
      </c>
      <c r="AC161" s="3056">
        <f>IF(A161="","",IF(AND(T161="",U161=""),"",IF(T161="","SEM CAMINHO",IF(U161="","SEM DATA",IFERROR(IF(AB161&lt;15,"VERMELHO",IF(AB161&lt;=30,"AMARELO","VERDE")),"DATA INVALIDA")))))</f>
      </c>
      <c r="AD161" s="3056">
        <f>IF(OR(A161="",U161="",NOT(ISNUMBER(AB161))),"",RANK(AB161,$AB$3:$AB$164,1)+COUNTIFS($AB$3:AB161,AB161)-1)</f>
      </c>
      <c r="AE161" s="1736"/>
    </row>
    <row r="162" ht="22.0" customHeight="true" hidden="false">
      <c r="A162" s="3064"/>
      <c r="B162" s="3063"/>
      <c r="C162" s="3063"/>
      <c r="D162" s="3063"/>
      <c r="E162" s="3063"/>
      <c r="F162" s="3063"/>
      <c r="G162" s="3063"/>
      <c r="H162" s="3063"/>
      <c r="I162" s="3063"/>
      <c r="J162" s="3063"/>
      <c r="K162" s="3063"/>
      <c r="L162" s="3063"/>
      <c r="M162" s="3063"/>
      <c r="N162" s="3063"/>
      <c r="O162" s="3063"/>
      <c r="P162" s="3063"/>
      <c r="Q162" s="3066"/>
      <c r="R162" s="3066"/>
      <c r="S162" s="3066"/>
      <c r="T162" s="3066"/>
      <c r="U162" s="3067"/>
      <c r="V162" s="3063"/>
      <c r="W162" s="3063"/>
      <c r="X162" s="3056">
        <f>IF(A162="","",IF(LEN(SUBSTITUTE(SUBSTITUTE(SUBSTITUTE(SUBSTITUTE(D162,".",""),"/",""),"-","")," ",""))&lt;&gt;14,"CNPJ INVALIDO","OK"))</f>
      </c>
      <c r="Y162" s="3056">
        <f>IF(A162="","",IF(R162="","REST PENDENTE","REST OK"))</f>
      </c>
      <c r="Z162" s="3056">
        <f>IF(A162="","",IF(AND(R162&lt;&gt;"",COUNTIFS($D$3:$D$164,D162,$R$3:$R$164,"&lt;&gt;")&gt;1),"DUPLICADO","OK"))</f>
      </c>
      <c r="AA162" s="3056">
        <f>IF(A162="","",IF(OR(LEN(Q162)&gt;180,LEN(R162)&gt;180,LEN(S162)&gt;180,LEN(T162)&gt;180),"CAMINHO LONGO","OK"))</f>
      </c>
      <c r="AB162" s="3056">
        <f>IF(A162="","",IF(U162="","",IFERROR(INT(U162-TODAY()),"")))</f>
      </c>
      <c r="AC162" s="3056">
        <f>IF(A162="","",IF(AND(T162="",U162=""),"",IF(T162="","SEM CAMINHO",IF(U162="","SEM DATA",IFERROR(IF(AB162&lt;15,"VERMELHO",IF(AB162&lt;=30,"AMARELO","VERDE")),"DATA INVALIDA")))))</f>
      </c>
      <c r="AD162" s="3056">
        <f>IF(OR(A162="",U162="",NOT(ISNUMBER(AB162))),"",RANK(AB162,$AB$3:$AB$164,1)+COUNTIFS($AB$3:AB162,AB162)-1)</f>
      </c>
      <c r="AE162" s="1736"/>
    </row>
    <row r="163" ht="22.0" customHeight="true" hidden="false">
      <c r="A163" s="3059"/>
      <c r="B163" s="3058"/>
      <c r="C163" s="3058"/>
      <c r="D163" s="3058"/>
      <c r="E163" s="3058"/>
      <c r="F163" s="3058"/>
      <c r="G163" s="3058"/>
      <c r="H163" s="3058"/>
      <c r="I163" s="3058"/>
      <c r="J163" s="3058"/>
      <c r="K163" s="3058"/>
      <c r="L163" s="3058"/>
      <c r="M163" s="3058"/>
      <c r="N163" s="3058"/>
      <c r="O163" s="3058"/>
      <c r="P163" s="3058"/>
      <c r="Q163" s="3061"/>
      <c r="R163" s="3061"/>
      <c r="S163" s="3061"/>
      <c r="T163" s="3061"/>
      <c r="U163" s="3062"/>
      <c r="V163" s="3058"/>
      <c r="W163" s="3058"/>
      <c r="X163" s="3056">
        <f>IF(A163="","",IF(LEN(SUBSTITUTE(SUBSTITUTE(SUBSTITUTE(SUBSTITUTE(D163,".",""),"/",""),"-","")," ",""))&lt;&gt;14,"CNPJ INVALIDO","OK"))</f>
      </c>
      <c r="Y163" s="3056">
        <f>IF(A163="","",IF(R163="","REST PENDENTE","REST OK"))</f>
      </c>
      <c r="Z163" s="3056">
        <f>IF(A163="","",IF(AND(R163&lt;&gt;"",COUNTIFS($D$3:$D$164,D163,$R$3:$R$164,"&lt;&gt;")&gt;1),"DUPLICADO","OK"))</f>
      </c>
      <c r="AA163" s="3056">
        <f>IF(A163="","",IF(OR(LEN(Q163)&gt;180,LEN(R163)&gt;180,LEN(S163)&gt;180,LEN(T163)&gt;180),"CAMINHO LONGO","OK"))</f>
      </c>
      <c r="AB163" s="3056">
        <f>IF(A163="","",IF(U163="","",IFERROR(INT(U163-TODAY()),"")))</f>
      </c>
      <c r="AC163" s="3056">
        <f>IF(A163="","",IF(AND(T163="",U163=""),"",IF(T163="","SEM CAMINHO",IF(U163="","SEM DATA",IFERROR(IF(AB163&lt;15,"VERMELHO",IF(AB163&lt;=30,"AMARELO","VERDE")),"DATA INVALIDA")))))</f>
      </c>
      <c r="AD163" s="3056">
        <f>IF(OR(A163="",U163="",NOT(ISNUMBER(AB163))),"",RANK(AB163,$AB$3:$AB$164,1)+COUNTIFS($AB$3:AB163,AB163)-1)</f>
      </c>
      <c r="AE163" s="1736"/>
    </row>
    <row r="164" ht="22.0" customHeight="true" hidden="false">
      <c r="A164" s="3064"/>
      <c r="B164" s="3063"/>
      <c r="C164" s="3063"/>
      <c r="D164" s="3063"/>
      <c r="E164" s="3063"/>
      <c r="F164" s="3063"/>
      <c r="G164" s="3063"/>
      <c r="H164" s="3063"/>
      <c r="I164" s="3063"/>
      <c r="J164" s="3063"/>
      <c r="K164" s="3063"/>
      <c r="L164" s="3063"/>
      <c r="M164" s="3063"/>
      <c r="N164" s="3063"/>
      <c r="O164" s="3063"/>
      <c r="P164" s="3063"/>
      <c r="Q164" s="3066"/>
      <c r="R164" s="3066"/>
      <c r="S164" s="3066"/>
      <c r="T164" s="3066"/>
      <c r="U164" s="3067"/>
      <c r="V164" s="3063"/>
      <c r="W164" s="3063"/>
      <c r="X164" s="3056">
        <f>IF(A164="","",IF(LEN(SUBSTITUTE(SUBSTITUTE(SUBSTITUTE(SUBSTITUTE(D164,".",""),"/",""),"-","")," ",""))&lt;&gt;14,"CNPJ INVALIDO","OK"))</f>
      </c>
      <c r="Y164" s="3056">
        <f>IF(A164="","",IF(R164="","REST PENDENTE","REST OK"))</f>
      </c>
      <c r="Z164" s="3056">
        <f>IF(A164="","",IF(AND(R164&lt;&gt;"",COUNTIFS($D$3:$D$164,D164,$R$3:$R$164,"&lt;&gt;")&gt;1),"DUPLICADO","OK"))</f>
      </c>
      <c r="AA164" s="3056">
        <f>IF(A164="","",IF(OR(LEN(Q164)&gt;180,LEN(R164)&gt;180,LEN(S164)&gt;180,LEN(T164)&gt;180),"CAMINHO LONGO","OK"))</f>
      </c>
      <c r="AB164" s="3056">
        <f>IF(A164="","",IF(U164="","",IFERROR(INT(U164-TODAY()),"")))</f>
      </c>
      <c r="AC164" s="3056">
        <f>IF(A164="","",IF(AND(T164="",U164=""),"",IF(T164="","SEM CAMINHO",IF(U164="","SEM DATA",IFERROR(IF(AB164&lt;15,"VERMELHO",IF(AB164&lt;=30,"AMARELO","VERDE")),"DATA INVALIDA")))))</f>
      </c>
      <c r="AD164" s="3056">
        <f>IF(OR(A164="",U164="",NOT(ISNUMBER(AB164))),"",RANK(AB164,$AB$3:$AB$164,1)+COUNTIFS($AB$3:AB164,AB164)-1)</f>
      </c>
      <c r="AE164" s="1736"/>
    </row>
  </sheetData>
  <autoFilter ref="A2:W164"/>
  <mergeCells count="1">
    <mergeCell ref="A1:W1"/>
  </mergeCells>
  <phoneticPr fontId="6" type="noConversion"/>
  <printOptions gridLines="false"/>
  <pageMargins left="0.511811024" right="0.511811024" top="0.78740157499999996" bottom="0.78740157499999996" header="0.31496062000000002" footer="0.31496062000000002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664CF-DAE5-4396-BA73-B978C471E6A7}">
  <sheetPr codeName="Planilha1" filterMode="1"/>
  <dimension ref="A1:AE164"/>
  <sheetViews>
    <sheetView tabSelected="false" workbookViewId="0" showGridLines="false" zoomScale="90">
      <pane ySplit="2.0" topLeftCell="A3" activePane="bottomLeft" state="frozen"/>
      <selection pane="bottomLeft"/>
    </sheetView>
  </sheetViews>
  <sheetFormatPr defaultRowHeight="15" x14ac:dyDescent="0.25"/>
  <cols>
    <col min="1" max="1" customWidth="true" hidden="false" width="52.0"/>
    <col min="2" max="2" customWidth="true" hidden="false" width="22.0"/>
    <col min="3" max="3" customWidth="true" hidden="false" width="26.0"/>
    <col min="4" max="4" customWidth="true" hidden="false" width="20.0"/>
    <col min="5" max="5" customWidth="true" hidden="false" width="17.7109375"/>
    <col min="6" max="6" customWidth="true" hidden="false" width="18.0"/>
    <col min="7" max="7" customWidth="true" hidden="false" width="20.0"/>
    <col min="8" max="8" customWidth="true" hidden="false" width="8.7109375"/>
    <col min="9" max="9" customWidth="true" hidden="false" width="16.7109375"/>
    <col min="10" max="10" customWidth="true" hidden="false" width="10.85546875"/>
    <col min="11" max="11" customWidth="true" hidden="false" width="16.7109375"/>
    <col min="12" max="12" customWidth="true" hidden="false" width="11.7109375"/>
    <col min="13" max="13" customWidth="true" hidden="false" width="16.7109375"/>
    <col min="14" max="14" customWidth="true" hidden="false" width="10.28515625"/>
    <col min="15" max="15" customWidth="true" hidden="false" width="16.7109375"/>
    <col min="16" max="16" customWidth="true" hidden="false" width="13.7109375"/>
    <col min="17" max="17" customWidth="true" hidden="false" width="44.0"/>
    <col min="18" max="18" customWidth="true" hidden="false" width="62.0"/>
    <col min="19" max="19" customWidth="true" hidden="false" width="42.0"/>
    <col min="20" max="20" customWidth="true" hidden="false" width="48.0"/>
    <col min="21" max="21" customWidth="true" hidden="false" width="18.0"/>
    <col min="22" max="22" customWidth="true" hidden="false" width="24.0"/>
    <col min="23" max="23" customWidth="true" hidden="false" width="18.0"/>
    <col min="24" max="24" customWidth="true" hidden="true" width="22.0"/>
    <col min="25" max="25" customWidth="true" hidden="true" width="22.0"/>
    <col min="26" max="26" customWidth="true" hidden="true" width="22.0"/>
    <col min="27" max="27" customWidth="true" hidden="true" width="22.0"/>
    <col min="28" max="28" customWidth="true" hidden="true" width="22.0"/>
    <col min="29" max="29" customWidth="true" hidden="true" width="22.0"/>
    <col min="30" max="30" customWidth="true" hidden="true" width="22.0"/>
    <col min="31" max="31" customWidth="true" hidden="true" width="22.0"/>
  </cols>
  <sheetData>
    <row r="1" spans="1:19" ht="42.0" customHeight="true" x14ac:dyDescent="0.25">
      <c r="A1" s="3037" t="s">
        <v>407</v>
      </c>
      <c r="B1" s="3037"/>
      <c r="C1" s="3037"/>
      <c r="D1" s="3037"/>
      <c r="E1" s="3037"/>
      <c r="F1" s="3037"/>
      <c r="G1" s="3037"/>
      <c r="H1" s="3037"/>
      <c r="I1" s="3037"/>
      <c r="J1" s="3037"/>
      <c r="K1" s="3037"/>
      <c r="L1" s="3037"/>
      <c r="M1" s="3037"/>
      <c r="N1" s="3037"/>
      <c r="O1" s="3037"/>
      <c r="P1" s="3037"/>
      <c r="Q1" s="3037"/>
      <c r="R1" s="3037"/>
      <c r="S1" s="3037"/>
      <c r="T1" s="3037"/>
      <c r="U1" s="3037"/>
      <c r="V1" s="3037"/>
      <c r="W1" s="3037"/>
      <c r="X1" s="1716"/>
      <c r="AE1" s="0"/>
    </row>
    <row r="2" spans="1:19" ht="32.0" customHeight="true" thickBot="1" x14ac:dyDescent="0.3">
      <c r="A2" s="3038" t="s">
        <v>325</v>
      </c>
      <c r="B2" s="3038" t="s">
        <v>326</v>
      </c>
      <c r="C2" s="3038" t="s">
        <v>408</v>
      </c>
      <c r="D2" s="3038" t="s">
        <v>328</v>
      </c>
      <c r="E2" s="3038" t="s">
        <v>329</v>
      </c>
      <c r="F2" s="3038" t="s">
        <v>330</v>
      </c>
      <c r="G2" s="3038" t="s">
        <v>331</v>
      </c>
      <c r="H2" s="3038" t="s">
        <v>332</v>
      </c>
      <c r="I2" s="3038" t="s">
        <v>333</v>
      </c>
      <c r="J2" s="3038" t="s">
        <v>334</v>
      </c>
      <c r="K2" s="3038" t="s">
        <v>335</v>
      </c>
      <c r="L2" s="3038" t="s">
        <v>336</v>
      </c>
      <c r="M2" s="3038" t="s">
        <v>337</v>
      </c>
      <c r="N2" s="3038" t="s">
        <v>338</v>
      </c>
      <c r="O2" s="3038" t="s">
        <v>339</v>
      </c>
      <c r="P2" s="3038" t="s">
        <v>340</v>
      </c>
      <c r="Q2" s="3039" t="s">
        <v>409</v>
      </c>
      <c r="R2" s="3040" t="s">
        <v>410</v>
      </c>
      <c r="S2" s="3041" t="s">
        <v>523</v>
      </c>
      <c r="T2" s="3042" t="s">
        <v>470</v>
      </c>
      <c r="U2" s="3043" t="s">
        <v>471</v>
      </c>
      <c r="V2" s="3044" t="s">
        <v>472</v>
      </c>
      <c r="W2" s="3045" t="s">
        <v>412</v>
      </c>
      <c r="X2" s="3038" t="s">
        <v>413</v>
      </c>
      <c r="Y2" s="3038" t="s">
        <v>414</v>
      </c>
      <c r="Z2" s="3038" t="s">
        <v>415</v>
      </c>
      <c r="AA2" s="3038" t="s">
        <v>416</v>
      </c>
      <c r="AB2" s="3038" t="s">
        <v>473</v>
      </c>
      <c r="AC2" s="3038" t="s">
        <v>474</v>
      </c>
      <c r="AD2" s="3038" t="s">
        <v>475</v>
      </c>
      <c r="AE2" s="1717"/>
    </row>
    <row r="3" spans="1:19" ht="22.0" hidden="false" customHeight="true" thickTop="1" x14ac:dyDescent="0.25">
      <c r="A3" s="3069" t="s">
        <v>0</v>
      </c>
      <c r="B3" s="3068" t="s">
        <v>1</v>
      </c>
      <c r="C3" s="3068" t="s">
        <v>2</v>
      </c>
      <c r="D3" s="3068">
        <v>35381421000194</v>
      </c>
      <c r="E3" s="3068"/>
      <c r="F3" s="3068" t="s">
        <v>3</v>
      </c>
      <c r="G3" s="3068" t="s">
        <v>4</v>
      </c>
      <c r="H3" s="3068" t="s">
        <v>5</v>
      </c>
      <c r="I3" s="3068" t="s">
        <v>344</v>
      </c>
      <c r="J3" s="3068"/>
      <c r="K3" s="3068"/>
      <c r="L3" s="3068"/>
      <c r="M3" s="3068"/>
      <c r="N3" s="3068"/>
      <c r="O3" s="3068"/>
      <c r="P3" s="3068"/>
      <c r="Q3" s="3071"/>
      <c r="R3" s="3071"/>
      <c r="S3" s="3071"/>
      <c r="T3" s="3071"/>
      <c r="U3" s="3072"/>
      <c r="V3" s="3068"/>
      <c r="W3" s="3068" t="s">
        <v>417</v>
      </c>
      <c r="X3" s="3056">
        <f>IF(A3="","",IF(LEN(SUBSTITUTE(SUBSTITUTE(SUBSTITUTE(SUBSTITUTE(D3,".",""),"/",""),"-","")," ",""))&lt;&gt;14,"CNPJ INVALIDO","OK"))</f>
      </c>
      <c r="Y3" s="3056">
        <f>IF(A3="","",IF(R3="","REST PENDENTE","REST OK"))</f>
      </c>
      <c r="Z3" s="3056">
        <f>IF(A3="","",IF(AND(R3&lt;&gt;"",COUNTIFS($D$3:$D$164,D3,$R$3:$R$164,"&lt;&gt;")&gt;1),"DUPLICADO","OK"))</f>
      </c>
      <c r="AA3" s="3056">
        <f>IF(A3="","",IF(OR(LEN(Q3)&gt;180,LEN(R3)&gt;180,LEN(S3)&gt;180,LEN(T3)&gt;180),"CAMINHO LONGO","OK"))</f>
      </c>
      <c r="AB3" s="3056">
        <f>IF(A3="","",IF(U3="","",IFERROR(INT(U3-TODAY()),"")))</f>
      </c>
      <c r="AC3" s="3056">
        <f>IF(A3="","",IF(AND(T3="",U3=""),"",IF(T3="","SEM CAMINHO",IF(U3="","SEM DATA",IFERROR(IF(AB3&lt;15,"VERMELHO",IF(AB3&lt;=30,"AMARELO","VERDE")),"DATA INVALIDA")))))</f>
      </c>
      <c r="AD3" s="3056">
        <f>IF(OR(A3="",U3="",NOT(ISNUMBER(AB3))),"",RANK(AB3,$AB$3:$AB$164,1)+COUNTIFS($AB$3:AB3,AB3)-1)</f>
      </c>
      <c r="AE3" s="1736"/>
    </row>
    <row r="4" spans="1:19" ht="22.0" hidden="false" customHeight="true" x14ac:dyDescent="0.25">
      <c r="A4" s="3074" t="s">
        <v>6</v>
      </c>
      <c r="B4" s="3073" t="s">
        <v>1</v>
      </c>
      <c r="C4" s="3073" t="s">
        <v>2</v>
      </c>
      <c r="D4" s="3073" t="s">
        <v>7</v>
      </c>
      <c r="E4" s="3073"/>
      <c r="F4" s="3073" t="s">
        <v>3</v>
      </c>
      <c r="G4" s="3073" t="s">
        <v>4</v>
      </c>
      <c r="H4" s="3073" t="s">
        <v>5</v>
      </c>
      <c r="I4" s="3073" t="s">
        <v>344</v>
      </c>
      <c r="J4" s="3073"/>
      <c r="K4" s="3073"/>
      <c r="L4" s="3073"/>
      <c r="M4" s="3073"/>
      <c r="N4" s="3073"/>
      <c r="O4" s="3073"/>
      <c r="P4" s="3073"/>
      <c r="Q4" s="3076"/>
      <c r="R4" s="3076"/>
      <c r="S4" s="3076"/>
      <c r="T4" s="3076"/>
      <c r="U4" s="3077"/>
      <c r="V4" s="3073"/>
      <c r="W4" s="3073"/>
      <c r="X4" s="3056">
        <f>IF(A4="","",IF(LEN(SUBSTITUTE(SUBSTITUTE(SUBSTITUTE(SUBSTITUTE(D4,".",""),"/",""),"-","")," ",""))&lt;&gt;14,"CNPJ INVALIDO","OK"))</f>
      </c>
      <c r="Y4" s="3056">
        <f>IF(A4="","",IF(R4="","REST PENDENTE","REST OK"))</f>
      </c>
      <c r="Z4" s="3056">
        <f>IF(A4="","",IF(AND(R4&lt;&gt;"",COUNTIFS($D$3:$D$164,D4,$R$3:$R$164,"&lt;&gt;")&gt;1),"DUPLICADO","OK"))</f>
      </c>
      <c r="AA4" s="3056">
        <f>IF(A4="","",IF(OR(LEN(Q4)&gt;180,LEN(R4)&gt;180,LEN(S4)&gt;180,LEN(T4)&gt;180),"CAMINHO LONGO","OK"))</f>
      </c>
      <c r="AB4" s="3056">
        <f>IF(A4="","",IF(U4="","",IFERROR(INT(U4-TODAY()),"")))</f>
      </c>
      <c r="AC4" s="3056">
        <f>IF(A4="","",IF(AND(T4="",U4=""),"",IF(T4="","SEM CAMINHO",IF(U4="","SEM DATA",IFERROR(IF(AB4&lt;15,"VERMELHO",IF(AB4&lt;=30,"AMARELO","VERDE")),"DATA INVALIDA")))))</f>
      </c>
      <c r="AD4" s="3056">
        <f>IF(OR(A4="",U4="",NOT(ISNUMBER(AB4))),"",RANK(AB4,$AB$3:$AB$164,1)+COUNTIFS($AB$3:AB4,AB4)-1)</f>
      </c>
      <c r="AE4" s="1736"/>
    </row>
    <row r="5" spans="1:19" ht="22.0" hidden="false" customHeight="true" x14ac:dyDescent="0.25">
      <c r="A5" s="3069" t="s">
        <v>8</v>
      </c>
      <c r="B5" s="3068" t="s">
        <v>9</v>
      </c>
      <c r="C5" s="3068" t="s">
        <v>10</v>
      </c>
      <c r="D5" s="3068" t="s">
        <v>11</v>
      </c>
      <c r="E5" s="3068"/>
      <c r="F5" s="3068" t="s">
        <v>12</v>
      </c>
      <c r="G5" s="3068" t="s">
        <v>13</v>
      </c>
      <c r="H5" s="3068" t="s">
        <v>14</v>
      </c>
      <c r="I5" s="3068" t="s">
        <v>344</v>
      </c>
      <c r="J5" s="3068"/>
      <c r="K5" s="3068"/>
      <c r="L5" s="3068"/>
      <c r="M5" s="3068"/>
      <c r="N5" s="3068"/>
      <c r="O5" s="3068"/>
      <c r="P5" s="3068"/>
      <c r="Q5" s="3071"/>
      <c r="R5" s="3071"/>
      <c r="S5" s="3071"/>
      <c r="T5" s="3071"/>
      <c r="U5" s="3072"/>
      <c r="V5" s="3068"/>
      <c r="W5" s="3068"/>
      <c r="X5" s="3056">
        <f>IF(A5="","",IF(LEN(SUBSTITUTE(SUBSTITUTE(SUBSTITUTE(SUBSTITUTE(D5,".",""),"/",""),"-","")," ",""))&lt;&gt;14,"CNPJ INVALIDO","OK"))</f>
      </c>
      <c r="Y5" s="3056">
        <f>IF(A5="","",IF(R5="","REST PENDENTE","REST OK"))</f>
      </c>
      <c r="Z5" s="3056">
        <f>IF(A5="","",IF(AND(R5&lt;&gt;"",COUNTIFS($D$3:$D$164,D5,$R$3:$R$164,"&lt;&gt;")&gt;1),"DUPLICADO","OK"))</f>
      </c>
      <c r="AA5" s="3056">
        <f>IF(A5="","",IF(OR(LEN(Q5)&gt;180,LEN(R5)&gt;180,LEN(S5)&gt;180,LEN(T5)&gt;180),"CAMINHO LONGO","OK"))</f>
      </c>
      <c r="AB5" s="3056">
        <f>IF(A5="","",IF(U5="","",IFERROR(INT(U5-TODAY()),"")))</f>
      </c>
      <c r="AC5" s="3056">
        <f>IF(A5="","",IF(AND(T5="",U5=""),"",IF(T5="","SEM CAMINHO",IF(U5="","SEM DATA",IFERROR(IF(AB5&lt;15,"VERMELHO",IF(AB5&lt;=30,"AMARELO","VERDE")),"DATA INVALIDA")))))</f>
      </c>
      <c r="AD5" s="3056">
        <f>IF(OR(A5="",U5="",NOT(ISNUMBER(AB5))),"",RANK(AB5,$AB$3:$AB$164,1)+COUNTIFS($AB$3:AB5,AB5)-1)</f>
      </c>
      <c r="AE5" s="1736"/>
    </row>
    <row r="6" spans="1:19" ht="22.0" hidden="false" customHeight="true" x14ac:dyDescent="0.25">
      <c r="A6" s="3074" t="s">
        <v>15</v>
      </c>
      <c r="B6" s="3073" t="s">
        <v>9</v>
      </c>
      <c r="C6" s="3073" t="s">
        <v>16</v>
      </c>
      <c r="D6" s="3073" t="s">
        <v>17</v>
      </c>
      <c r="E6" s="3073"/>
      <c r="F6" s="3073" t="s">
        <v>12</v>
      </c>
      <c r="G6" s="3073" t="s">
        <v>13</v>
      </c>
      <c r="H6" s="3073" t="s">
        <v>14</v>
      </c>
      <c r="I6" s="3073" t="s">
        <v>344</v>
      </c>
      <c r="J6" s="3073" t="s">
        <v>344</v>
      </c>
      <c r="K6" s="3073" t="s">
        <v>344</v>
      </c>
      <c r="L6" s="3073" t="s">
        <v>344</v>
      </c>
      <c r="M6" s="3073" t="s">
        <v>344</v>
      </c>
      <c r="N6" s="3073" t="s">
        <v>344</v>
      </c>
      <c r="O6" s="3073" t="s">
        <v>344</v>
      </c>
      <c r="P6" s="3073" t="s">
        <v>344</v>
      </c>
      <c r="Q6" s="3076"/>
      <c r="R6" s="3076"/>
      <c r="S6" s="3076"/>
      <c r="T6" s="3076"/>
      <c r="U6" s="3077"/>
      <c r="V6" s="3073"/>
      <c r="W6" s="3073"/>
      <c r="X6" s="3056">
        <f>IF(A6="","",IF(LEN(SUBSTITUTE(SUBSTITUTE(SUBSTITUTE(SUBSTITUTE(D6,".",""),"/",""),"-","")," ",""))&lt;&gt;14,"CNPJ INVALIDO","OK"))</f>
      </c>
      <c r="Y6" s="3056">
        <f>IF(A6="","",IF(R6="","REST PENDENTE","REST OK"))</f>
      </c>
      <c r="Z6" s="3056">
        <f>IF(A6="","",IF(AND(R6&lt;&gt;"",COUNTIFS($D$3:$D$164,D6,$R$3:$R$164,"&lt;&gt;")&gt;1),"DUPLICADO","OK"))</f>
      </c>
      <c r="AA6" s="3056">
        <f>IF(A6="","",IF(OR(LEN(Q6)&gt;180,LEN(R6)&gt;180,LEN(S6)&gt;180,LEN(T6)&gt;180),"CAMINHO LONGO","OK"))</f>
      </c>
      <c r="AB6" s="3056">
        <f>IF(A6="","",IF(U6="","",IFERROR(INT(U6-TODAY()),"")))</f>
      </c>
      <c r="AC6" s="3056">
        <f>IF(A6="","",IF(AND(T6="",U6=""),"",IF(T6="","SEM CAMINHO",IF(U6="","SEM DATA",IFERROR(IF(AB6&lt;15,"VERMELHO",IF(AB6&lt;=30,"AMARELO","VERDE")),"DATA INVALIDA")))))</f>
      </c>
      <c r="AD6" s="3056">
        <f>IF(OR(A6="",U6="",NOT(ISNUMBER(AB6))),"",RANK(AB6,$AB$3:$AB$164,1)+COUNTIFS($AB$3:AB6,AB6)-1)</f>
      </c>
      <c r="AE6" s="1736"/>
    </row>
    <row r="7" spans="1:19" ht="22.0" hidden="false" customHeight="true" x14ac:dyDescent="0.25">
      <c r="A7" s="3069" t="s">
        <v>18</v>
      </c>
      <c r="B7" s="3068" t="s">
        <v>9</v>
      </c>
      <c r="C7" s="3068" t="s">
        <v>19</v>
      </c>
      <c r="D7" s="3068" t="s">
        <v>20</v>
      </c>
      <c r="E7" s="3068"/>
      <c r="F7" s="3068" t="s">
        <v>12</v>
      </c>
      <c r="G7" s="3068" t="s">
        <v>13</v>
      </c>
      <c r="H7" s="3068" t="s">
        <v>14</v>
      </c>
      <c r="I7" s="3068" t="s">
        <v>344</v>
      </c>
      <c r="J7" s="3068" t="s">
        <v>344</v>
      </c>
      <c r="K7" s="3068" t="s">
        <v>344</v>
      </c>
      <c r="L7" s="3068" t="s">
        <v>344</v>
      </c>
      <c r="M7" s="3068" t="s">
        <v>344</v>
      </c>
      <c r="N7" s="3068" t="s">
        <v>344</v>
      </c>
      <c r="O7" s="3068" t="s">
        <v>344</v>
      </c>
      <c r="P7" s="3068" t="s">
        <v>344</v>
      </c>
      <c r="Q7" s="3071"/>
      <c r="R7" s="3071"/>
      <c r="S7" s="3071"/>
      <c r="T7" s="3071"/>
      <c r="U7" s="3072"/>
      <c r="V7" s="3068"/>
      <c r="W7" s="3068"/>
      <c r="X7" s="3056">
        <f>IF(A7="","",IF(LEN(SUBSTITUTE(SUBSTITUTE(SUBSTITUTE(SUBSTITUTE(D7,".",""),"/",""),"-","")," ",""))&lt;&gt;14,"CNPJ INVALIDO","OK"))</f>
      </c>
      <c r="Y7" s="3056">
        <f>IF(A7="","",IF(R7="","REST PENDENTE","REST OK"))</f>
      </c>
      <c r="Z7" s="3056">
        <f>IF(A7="","",IF(AND(R7&lt;&gt;"",COUNTIFS($D$3:$D$164,D7,$R$3:$R$164,"&lt;&gt;")&gt;1),"DUPLICADO","OK"))</f>
      </c>
      <c r="AA7" s="3056">
        <f>IF(A7="","",IF(OR(LEN(Q7)&gt;180,LEN(R7)&gt;180,LEN(S7)&gt;180,LEN(T7)&gt;180),"CAMINHO LONGO","OK"))</f>
      </c>
      <c r="AB7" s="3056">
        <f>IF(A7="","",IF(U7="","",IFERROR(INT(U7-TODAY()),"")))</f>
      </c>
      <c r="AC7" s="3056">
        <f>IF(A7="","",IF(AND(T7="",U7=""),"",IF(T7="","SEM CAMINHO",IF(U7="","SEM DATA",IFERROR(IF(AB7&lt;15,"VERMELHO",IF(AB7&lt;=30,"AMARELO","VERDE")),"DATA INVALIDA")))))</f>
      </c>
      <c r="AD7" s="3056">
        <f>IF(OR(A7="",U7="",NOT(ISNUMBER(AB7))),"",RANK(AB7,$AB$3:$AB$164,1)+COUNTIFS($AB$3:AB7,AB7)-1)</f>
      </c>
      <c r="AE7" s="1736"/>
    </row>
    <row r="8" spans="1:19" ht="22.0" hidden="false" customHeight="true" x14ac:dyDescent="0.25">
      <c r="A8" s="3074" t="s">
        <v>21</v>
      </c>
      <c r="B8" s="3073" t="s">
        <v>9</v>
      </c>
      <c r="C8" s="3073" t="s">
        <v>19</v>
      </c>
      <c r="D8" s="3073" t="s">
        <v>22</v>
      </c>
      <c r="E8" s="3073"/>
      <c r="F8" s="3073" t="s">
        <v>12</v>
      </c>
      <c r="G8" s="3073" t="s">
        <v>13</v>
      </c>
      <c r="H8" s="3073" t="s">
        <v>14</v>
      </c>
      <c r="I8" s="3073" t="s">
        <v>344</v>
      </c>
      <c r="J8" s="3073" t="s">
        <v>344</v>
      </c>
      <c r="K8" s="3073" t="s">
        <v>344</v>
      </c>
      <c r="L8" s="3073" t="s">
        <v>344</v>
      </c>
      <c r="M8" s="3073" t="s">
        <v>344</v>
      </c>
      <c r="N8" s="3073" t="s">
        <v>344</v>
      </c>
      <c r="O8" s="3073" t="s">
        <v>344</v>
      </c>
      <c r="P8" s="3073" t="s">
        <v>344</v>
      </c>
      <c r="Q8" s="3076"/>
      <c r="R8" s="3076"/>
      <c r="S8" s="3076"/>
      <c r="T8" s="3076"/>
      <c r="U8" s="3077"/>
      <c r="V8" s="3073"/>
      <c r="W8" s="3073"/>
      <c r="X8" s="3056">
        <f>IF(A8="","",IF(LEN(SUBSTITUTE(SUBSTITUTE(SUBSTITUTE(SUBSTITUTE(D8,".",""),"/",""),"-","")," ",""))&lt;&gt;14,"CNPJ INVALIDO","OK"))</f>
      </c>
      <c r="Y8" s="3056">
        <f>IF(A8="","",IF(R8="","REST PENDENTE","REST OK"))</f>
      </c>
      <c r="Z8" s="3056">
        <f>IF(A8="","",IF(AND(R8&lt;&gt;"",COUNTIFS($D$3:$D$164,D8,$R$3:$R$164,"&lt;&gt;")&gt;1),"DUPLICADO","OK"))</f>
      </c>
      <c r="AA8" s="3056">
        <f>IF(A8="","",IF(OR(LEN(Q8)&gt;180,LEN(R8)&gt;180,LEN(S8)&gt;180,LEN(T8)&gt;180),"CAMINHO LONGO","OK"))</f>
      </c>
      <c r="AB8" s="3056">
        <f>IF(A8="","",IF(U8="","",IFERROR(INT(U8-TODAY()),"")))</f>
      </c>
      <c r="AC8" s="3056">
        <f>IF(A8="","",IF(AND(T8="",U8=""),"",IF(T8="","SEM CAMINHO",IF(U8="","SEM DATA",IFERROR(IF(AB8&lt;15,"VERMELHO",IF(AB8&lt;=30,"AMARELO","VERDE")),"DATA INVALIDA")))))</f>
      </c>
      <c r="AD8" s="3056">
        <f>IF(OR(A8="",U8="",NOT(ISNUMBER(AB8))),"",RANK(AB8,$AB$3:$AB$164,1)+COUNTIFS($AB$3:AB8,AB8)-1)</f>
      </c>
      <c r="AE8" s="1736"/>
    </row>
    <row r="9" spans="1:19" ht="22.0" hidden="false" customHeight="true" x14ac:dyDescent="0.25">
      <c r="A9" s="3069" t="s">
        <v>23</v>
      </c>
      <c r="B9" s="3068" t="s">
        <v>9</v>
      </c>
      <c r="C9" s="3068" t="s">
        <v>24</v>
      </c>
      <c r="D9" s="3068" t="s">
        <v>25</v>
      </c>
      <c r="E9" s="3068"/>
      <c r="F9" s="3068" t="s">
        <v>12</v>
      </c>
      <c r="G9" s="3068" t="s">
        <v>13</v>
      </c>
      <c r="H9" s="3068" t="s">
        <v>14</v>
      </c>
      <c r="I9" s="3068" t="s">
        <v>344</v>
      </c>
      <c r="J9" s="3068" t="s">
        <v>344</v>
      </c>
      <c r="K9" s="3068" t="s">
        <v>344</v>
      </c>
      <c r="L9" s="3068" t="s">
        <v>344</v>
      </c>
      <c r="M9" s="3068" t="s">
        <v>344</v>
      </c>
      <c r="N9" s="3068" t="s">
        <v>344</v>
      </c>
      <c r="O9" s="3068" t="s">
        <v>344</v>
      </c>
      <c r="P9" s="3068" t="s">
        <v>344</v>
      </c>
      <c r="Q9" s="3071"/>
      <c r="R9" s="3071"/>
      <c r="S9" s="3071"/>
      <c r="T9" s="3071"/>
      <c r="U9" s="3072"/>
      <c r="V9" s="3068"/>
      <c r="W9" s="3068"/>
      <c r="X9" s="3056">
        <f>IF(A9="","",IF(LEN(SUBSTITUTE(SUBSTITUTE(SUBSTITUTE(SUBSTITUTE(D9,".",""),"/",""),"-","")," ",""))&lt;&gt;14,"CNPJ INVALIDO","OK"))</f>
      </c>
      <c r="Y9" s="3056">
        <f>IF(A9="","",IF(R9="","REST PENDENTE","REST OK"))</f>
      </c>
      <c r="Z9" s="3056">
        <f>IF(A9="","",IF(AND(R9&lt;&gt;"",COUNTIFS($D$3:$D$164,D9,$R$3:$R$164,"&lt;&gt;")&gt;1),"DUPLICADO","OK"))</f>
      </c>
      <c r="AA9" s="3056">
        <f>IF(A9="","",IF(OR(LEN(Q9)&gt;180,LEN(R9)&gt;180,LEN(S9)&gt;180,LEN(T9)&gt;180),"CAMINHO LONGO","OK"))</f>
      </c>
      <c r="AB9" s="3056">
        <f>IF(A9="","",IF(U9="","",IFERROR(INT(U9-TODAY()),"")))</f>
      </c>
      <c r="AC9" s="3056">
        <f>IF(A9="","",IF(AND(T9="",U9=""),"",IF(T9="","SEM CAMINHO",IF(U9="","SEM DATA",IFERROR(IF(AB9&lt;15,"VERMELHO",IF(AB9&lt;=30,"AMARELO","VERDE")),"DATA INVALIDA")))))</f>
      </c>
      <c r="AD9" s="3056">
        <f>IF(OR(A9="",U9="",NOT(ISNUMBER(AB9))),"",RANK(AB9,$AB$3:$AB$164,1)+COUNTIFS($AB$3:AB9,AB9)-1)</f>
      </c>
      <c r="AE9" s="1736"/>
    </row>
    <row r="10" spans="1:19" ht="22.0" hidden="false" customHeight="true" x14ac:dyDescent="0.25">
      <c r="A10" s="3074" t="s">
        <v>26</v>
      </c>
      <c r="B10" s="3073" t="s">
        <v>9</v>
      </c>
      <c r="C10" s="3073" t="s">
        <v>27</v>
      </c>
      <c r="D10" s="3073" t="s">
        <v>28</v>
      </c>
      <c r="E10" s="3073"/>
      <c r="F10" s="3073" t="s">
        <v>12</v>
      </c>
      <c r="G10" s="3073" t="s">
        <v>13</v>
      </c>
      <c r="H10" s="3073" t="s">
        <v>14</v>
      </c>
      <c r="I10" s="3073" t="s">
        <v>344</v>
      </c>
      <c r="J10" s="3073" t="s">
        <v>344</v>
      </c>
      <c r="K10" s="3073" t="s">
        <v>344</v>
      </c>
      <c r="L10" s="3073" t="s">
        <v>344</v>
      </c>
      <c r="M10" s="3073" t="s">
        <v>344</v>
      </c>
      <c r="N10" s="3073" t="s">
        <v>344</v>
      </c>
      <c r="O10" s="3073" t="s">
        <v>344</v>
      </c>
      <c r="P10" s="3073" t="s">
        <v>344</v>
      </c>
      <c r="Q10" s="3076"/>
      <c r="R10" s="3076"/>
      <c r="S10" s="3076"/>
      <c r="T10" s="3076"/>
      <c r="U10" s="3077"/>
      <c r="V10" s="3073"/>
      <c r="W10" s="3073"/>
      <c r="X10" s="3056">
        <f>IF(A10="","",IF(LEN(SUBSTITUTE(SUBSTITUTE(SUBSTITUTE(SUBSTITUTE(D10,".",""),"/",""),"-","")," ",""))&lt;&gt;14,"CNPJ INVALIDO","OK"))</f>
      </c>
      <c r="Y10" s="3056">
        <f>IF(A10="","",IF(R10="","REST PENDENTE","REST OK"))</f>
      </c>
      <c r="Z10" s="3056">
        <f>IF(A10="","",IF(AND(R10&lt;&gt;"",COUNTIFS($D$3:$D$164,D10,$R$3:$R$164,"&lt;&gt;")&gt;1),"DUPLICADO","OK"))</f>
      </c>
      <c r="AA10" s="3056">
        <f>IF(A10="","",IF(OR(LEN(Q10)&gt;180,LEN(R10)&gt;180,LEN(S10)&gt;180,LEN(T10)&gt;180),"CAMINHO LONGO","OK"))</f>
      </c>
      <c r="AB10" s="3056">
        <f>IF(A10="","",IF(U10="","",IFERROR(INT(U10-TODAY()),"")))</f>
      </c>
      <c r="AC10" s="3056">
        <f>IF(A10="","",IF(AND(T10="",U10=""),"",IF(T10="","SEM CAMINHO",IF(U10="","SEM DATA",IFERROR(IF(AB10&lt;15,"VERMELHO",IF(AB10&lt;=30,"AMARELO","VERDE")),"DATA INVALIDA")))))</f>
      </c>
      <c r="AD10" s="3056">
        <f>IF(OR(A10="",U10="",NOT(ISNUMBER(AB10))),"",RANK(AB10,$AB$3:$AB$164,1)+COUNTIFS($AB$3:AB10,AB10)-1)</f>
      </c>
      <c r="AE10" s="1736"/>
    </row>
    <row r="11" spans="1:19" ht="22.0" hidden="false" customHeight="true" x14ac:dyDescent="0.25">
      <c r="A11" s="3069" t="s">
        <v>29</v>
      </c>
      <c r="B11" s="3068" t="s">
        <v>9</v>
      </c>
      <c r="C11" s="3068" t="s">
        <v>16</v>
      </c>
      <c r="D11" s="3068" t="s">
        <v>30</v>
      </c>
      <c r="E11" s="3068"/>
      <c r="F11" s="3068" t="s">
        <v>12</v>
      </c>
      <c r="G11" s="3068" t="s">
        <v>13</v>
      </c>
      <c r="H11" s="3068" t="s">
        <v>14</v>
      </c>
      <c r="I11" s="3068" t="s">
        <v>344</v>
      </c>
      <c r="J11" s="3068" t="s">
        <v>344</v>
      </c>
      <c r="K11" s="3068" t="s">
        <v>344</v>
      </c>
      <c r="L11" s="3068" t="s">
        <v>344</v>
      </c>
      <c r="M11" s="3068" t="s">
        <v>344</v>
      </c>
      <c r="N11" s="3068" t="s">
        <v>344</v>
      </c>
      <c r="O11" s="3068" t="s">
        <v>344</v>
      </c>
      <c r="P11" s="3068" t="s">
        <v>344</v>
      </c>
      <c r="Q11" s="3071"/>
      <c r="R11" s="3071"/>
      <c r="S11" s="3071"/>
      <c r="T11" s="3071"/>
      <c r="U11" s="3072"/>
      <c r="V11" s="3068"/>
      <c r="W11" s="3068"/>
      <c r="X11" s="3056">
        <f>IF(A11="","",IF(LEN(SUBSTITUTE(SUBSTITUTE(SUBSTITUTE(SUBSTITUTE(D11,".",""),"/",""),"-","")," ",""))&lt;&gt;14,"CNPJ INVALIDO","OK"))</f>
      </c>
      <c r="Y11" s="3056">
        <f>IF(A11="","",IF(R11="","REST PENDENTE","REST OK"))</f>
      </c>
      <c r="Z11" s="3056">
        <f>IF(A11="","",IF(AND(R11&lt;&gt;"",COUNTIFS($D$3:$D$164,D11,$R$3:$R$164,"&lt;&gt;")&gt;1),"DUPLICADO","OK"))</f>
      </c>
      <c r="AA11" s="3056">
        <f>IF(A11="","",IF(OR(LEN(Q11)&gt;180,LEN(R11)&gt;180,LEN(S11)&gt;180,LEN(T11)&gt;180),"CAMINHO LONGO","OK"))</f>
      </c>
      <c r="AB11" s="3056">
        <f>IF(A11="","",IF(U11="","",IFERROR(INT(U11-TODAY()),"")))</f>
      </c>
      <c r="AC11" s="3056">
        <f>IF(A11="","",IF(AND(T11="",U11=""),"",IF(T11="","SEM CAMINHO",IF(U11="","SEM DATA",IFERROR(IF(AB11&lt;15,"VERMELHO",IF(AB11&lt;=30,"AMARELO","VERDE")),"DATA INVALIDA")))))</f>
      </c>
      <c r="AD11" s="3056">
        <f>IF(OR(A11="",U11="",NOT(ISNUMBER(AB11))),"",RANK(AB11,$AB$3:$AB$164,1)+COUNTIFS($AB$3:AB11,AB11)-1)</f>
      </c>
      <c r="AE11" s="1736"/>
    </row>
    <row r="12" spans="1:19" ht="22.0" hidden="false" customHeight="true" x14ac:dyDescent="0.25">
      <c r="A12" s="3074" t="s">
        <v>31</v>
      </c>
      <c r="B12" s="3073" t="s">
        <v>9</v>
      </c>
      <c r="C12" s="3073" t="s">
        <v>24</v>
      </c>
      <c r="D12" s="3073" t="s">
        <v>32</v>
      </c>
      <c r="E12" s="3073"/>
      <c r="F12" s="3073" t="s">
        <v>12</v>
      </c>
      <c r="G12" s="3073" t="s">
        <v>13</v>
      </c>
      <c r="H12" s="3073" t="s">
        <v>14</v>
      </c>
      <c r="I12" s="3073" t="s">
        <v>344</v>
      </c>
      <c r="J12" s="3073" t="s">
        <v>344</v>
      </c>
      <c r="K12" s="3073" t="s">
        <v>344</v>
      </c>
      <c r="L12" s="3073" t="s">
        <v>344</v>
      </c>
      <c r="M12" s="3073" t="s">
        <v>344</v>
      </c>
      <c r="N12" s="3073" t="s">
        <v>344</v>
      </c>
      <c r="O12" s="3073" t="s">
        <v>344</v>
      </c>
      <c r="P12" s="3073" t="s">
        <v>344</v>
      </c>
      <c r="Q12" s="3076"/>
      <c r="R12" s="3076"/>
      <c r="S12" s="3076"/>
      <c r="T12" s="3076"/>
      <c r="U12" s="3077"/>
      <c r="V12" s="3073"/>
      <c r="W12" s="3073"/>
      <c r="X12" s="3056">
        <f>IF(A12="","",IF(LEN(SUBSTITUTE(SUBSTITUTE(SUBSTITUTE(SUBSTITUTE(D12,".",""),"/",""),"-","")," ",""))&lt;&gt;14,"CNPJ INVALIDO","OK"))</f>
      </c>
      <c r="Y12" s="3056">
        <f>IF(A12="","",IF(R12="","REST PENDENTE","REST OK"))</f>
      </c>
      <c r="Z12" s="3056">
        <f>IF(A12="","",IF(AND(R12&lt;&gt;"",COUNTIFS($D$3:$D$164,D12,$R$3:$R$164,"&lt;&gt;")&gt;1),"DUPLICADO","OK"))</f>
      </c>
      <c r="AA12" s="3056">
        <f>IF(A12="","",IF(OR(LEN(Q12)&gt;180,LEN(R12)&gt;180,LEN(S12)&gt;180,LEN(T12)&gt;180),"CAMINHO LONGO","OK"))</f>
      </c>
      <c r="AB12" s="3056">
        <f>IF(A12="","",IF(U12="","",IFERROR(INT(U12-TODAY()),"")))</f>
      </c>
      <c r="AC12" s="3056">
        <f>IF(A12="","",IF(AND(T12="",U12=""),"",IF(T12="","SEM CAMINHO",IF(U12="","SEM DATA",IFERROR(IF(AB12&lt;15,"VERMELHO",IF(AB12&lt;=30,"AMARELO","VERDE")),"DATA INVALIDA")))))</f>
      </c>
      <c r="AD12" s="3056">
        <f>IF(OR(A12="",U12="",NOT(ISNUMBER(AB12))),"",RANK(AB12,$AB$3:$AB$164,1)+COUNTIFS($AB$3:AB12,AB12)-1)</f>
      </c>
      <c r="AE12" s="1736"/>
    </row>
    <row r="13" spans="1:19" ht="22.0" hidden="false" customHeight="true" x14ac:dyDescent="0.25">
      <c r="A13" s="3069" t="s">
        <v>33</v>
      </c>
      <c r="B13" s="3068" t="s">
        <v>9</v>
      </c>
      <c r="C13" s="3068" t="s">
        <v>24</v>
      </c>
      <c r="D13" s="3068" t="s">
        <v>34</v>
      </c>
      <c r="E13" s="3068"/>
      <c r="F13" s="3068" t="s">
        <v>12</v>
      </c>
      <c r="G13" s="3068" t="s">
        <v>13</v>
      </c>
      <c r="H13" s="3068" t="s">
        <v>14</v>
      </c>
      <c r="I13" s="3068" t="s">
        <v>344</v>
      </c>
      <c r="J13" s="3068" t="s">
        <v>344</v>
      </c>
      <c r="K13" s="3068" t="s">
        <v>344</v>
      </c>
      <c r="L13" s="3068" t="s">
        <v>344</v>
      </c>
      <c r="M13" s="3068" t="s">
        <v>344</v>
      </c>
      <c r="N13" s="3068" t="s">
        <v>344</v>
      </c>
      <c r="O13" s="3068" t="s">
        <v>344</v>
      </c>
      <c r="P13" s="3068" t="s">
        <v>344</v>
      </c>
      <c r="Q13" s="3071"/>
      <c r="R13" s="3071"/>
      <c r="S13" s="3071"/>
      <c r="T13" s="3071"/>
      <c r="U13" s="3072"/>
      <c r="V13" s="3068"/>
      <c r="W13" s="3068"/>
      <c r="X13" s="3056">
        <f>IF(A13="","",IF(LEN(SUBSTITUTE(SUBSTITUTE(SUBSTITUTE(SUBSTITUTE(D13,".",""),"/",""),"-","")," ",""))&lt;&gt;14,"CNPJ INVALIDO","OK"))</f>
      </c>
      <c r="Y13" s="3056">
        <f>IF(A13="","",IF(R13="","REST PENDENTE","REST OK"))</f>
      </c>
      <c r="Z13" s="3056">
        <f>IF(A13="","",IF(AND(R13&lt;&gt;"",COUNTIFS($D$3:$D$164,D13,$R$3:$R$164,"&lt;&gt;")&gt;1),"DUPLICADO","OK"))</f>
      </c>
      <c r="AA13" s="3056">
        <f>IF(A13="","",IF(OR(LEN(Q13)&gt;180,LEN(R13)&gt;180,LEN(S13)&gt;180,LEN(T13)&gt;180),"CAMINHO LONGO","OK"))</f>
      </c>
      <c r="AB13" s="3056">
        <f>IF(A13="","",IF(U13="","",IFERROR(INT(U13-TODAY()),"")))</f>
      </c>
      <c r="AC13" s="3056">
        <f>IF(A13="","",IF(AND(T13="",U13=""),"",IF(T13="","SEM CAMINHO",IF(U13="","SEM DATA",IFERROR(IF(AB13&lt;15,"VERMELHO",IF(AB13&lt;=30,"AMARELO","VERDE")),"DATA INVALIDA")))))</f>
      </c>
      <c r="AD13" s="3056">
        <f>IF(OR(A13="",U13="",NOT(ISNUMBER(AB13))),"",RANK(AB13,$AB$3:$AB$164,1)+COUNTIFS($AB$3:AB13,AB13)-1)</f>
      </c>
      <c r="AE13" s="1736"/>
    </row>
    <row r="14" spans="1:19" ht="22.0" hidden="false" customHeight="true" x14ac:dyDescent="0.25">
      <c r="A14" s="3074" t="s">
        <v>35</v>
      </c>
      <c r="B14" s="3073" t="s">
        <v>9</v>
      </c>
      <c r="C14" s="3073" t="s">
        <v>24</v>
      </c>
      <c r="D14" s="3073" t="s">
        <v>36</v>
      </c>
      <c r="E14" s="3073"/>
      <c r="F14" s="3073" t="s">
        <v>37</v>
      </c>
      <c r="G14" s="3073" t="s">
        <v>13</v>
      </c>
      <c r="H14" s="3073" t="s">
        <v>14</v>
      </c>
      <c r="I14" s="3073" t="s">
        <v>344</v>
      </c>
      <c r="J14" s="3073" t="s">
        <v>344</v>
      </c>
      <c r="K14" s="3073" t="s">
        <v>344</v>
      </c>
      <c r="L14" s="3073" t="s">
        <v>344</v>
      </c>
      <c r="M14" s="3073" t="s">
        <v>344</v>
      </c>
      <c r="N14" s="3073" t="s">
        <v>344</v>
      </c>
      <c r="O14" s="3073" t="s">
        <v>344</v>
      </c>
      <c r="P14" s="3073" t="s">
        <v>344</v>
      </c>
      <c r="Q14" s="3076"/>
      <c r="R14" s="3076"/>
      <c r="S14" s="3076"/>
      <c r="T14" s="3076"/>
      <c r="U14" s="3077"/>
      <c r="V14" s="3073"/>
      <c r="W14" s="3073"/>
      <c r="X14" s="3056">
        <f>IF(A14="","",IF(LEN(SUBSTITUTE(SUBSTITUTE(SUBSTITUTE(SUBSTITUTE(D14,".",""),"/",""),"-","")," ",""))&lt;&gt;14,"CNPJ INVALIDO","OK"))</f>
      </c>
      <c r="Y14" s="3056">
        <f>IF(A14="","",IF(R14="","REST PENDENTE","REST OK"))</f>
      </c>
      <c r="Z14" s="3056">
        <f>IF(A14="","",IF(AND(R14&lt;&gt;"",COUNTIFS($D$3:$D$164,D14,$R$3:$R$164,"&lt;&gt;")&gt;1),"DUPLICADO","OK"))</f>
      </c>
      <c r="AA14" s="3056">
        <f>IF(A14="","",IF(OR(LEN(Q14)&gt;180,LEN(R14)&gt;180,LEN(S14)&gt;180,LEN(T14)&gt;180),"CAMINHO LONGO","OK"))</f>
      </c>
      <c r="AB14" s="3056">
        <f>IF(A14="","",IF(U14="","",IFERROR(INT(U14-TODAY()),"")))</f>
      </c>
      <c r="AC14" s="3056">
        <f>IF(A14="","",IF(AND(T14="",U14=""),"",IF(T14="","SEM CAMINHO",IF(U14="","SEM DATA",IFERROR(IF(AB14&lt;15,"VERMELHO",IF(AB14&lt;=30,"AMARELO","VERDE")),"DATA INVALIDA")))))</f>
      </c>
      <c r="AD14" s="3056">
        <f>IF(OR(A14="",U14="",NOT(ISNUMBER(AB14))),"",RANK(AB14,$AB$3:$AB$164,1)+COUNTIFS($AB$3:AB14,AB14)-1)</f>
      </c>
      <c r="AE14" s="1736"/>
    </row>
    <row r="15" spans="1:19" ht="22.0" hidden="false" customHeight="true" x14ac:dyDescent="0.25">
      <c r="A15" s="3069" t="s">
        <v>38</v>
      </c>
      <c r="B15" s="3068" t="s">
        <v>9</v>
      </c>
      <c r="C15" s="3068" t="s">
        <v>16</v>
      </c>
      <c r="D15" s="3068" t="s">
        <v>39</v>
      </c>
      <c r="E15" s="3068"/>
      <c r="F15" s="3068" t="s">
        <v>37</v>
      </c>
      <c r="G15" s="3068" t="s">
        <v>13</v>
      </c>
      <c r="H15" s="3068" t="s">
        <v>14</v>
      </c>
      <c r="I15" s="3068" t="s">
        <v>344</v>
      </c>
      <c r="J15" s="3068" t="s">
        <v>344</v>
      </c>
      <c r="K15" s="3068" t="s">
        <v>344</v>
      </c>
      <c r="L15" s="3068" t="s">
        <v>344</v>
      </c>
      <c r="M15" s="3068" t="s">
        <v>344</v>
      </c>
      <c r="N15" s="3068" t="s">
        <v>344</v>
      </c>
      <c r="O15" s="3068" t="s">
        <v>344</v>
      </c>
      <c r="P15" s="3068" t="s">
        <v>344</v>
      </c>
      <c r="Q15" s="3071"/>
      <c r="R15" s="3071"/>
      <c r="S15" s="3071"/>
      <c r="T15" s="3071"/>
      <c r="U15" s="3072"/>
      <c r="V15" s="3068"/>
      <c r="W15" s="3068"/>
      <c r="X15" s="3056">
        <f>IF(A15="","",IF(LEN(SUBSTITUTE(SUBSTITUTE(SUBSTITUTE(SUBSTITUTE(D15,".",""),"/",""),"-","")," ",""))&lt;&gt;14,"CNPJ INVALIDO","OK"))</f>
      </c>
      <c r="Y15" s="3056">
        <f>IF(A15="","",IF(R15="","REST PENDENTE","REST OK"))</f>
      </c>
      <c r="Z15" s="3056">
        <f>IF(A15="","",IF(AND(R15&lt;&gt;"",COUNTIFS($D$3:$D$164,D15,$R$3:$R$164,"&lt;&gt;")&gt;1),"DUPLICADO","OK"))</f>
      </c>
      <c r="AA15" s="3056">
        <f>IF(A15="","",IF(OR(LEN(Q15)&gt;180,LEN(R15)&gt;180,LEN(S15)&gt;180,LEN(T15)&gt;180),"CAMINHO LONGO","OK"))</f>
      </c>
      <c r="AB15" s="3056">
        <f>IF(A15="","",IF(U15="","",IFERROR(INT(U15-TODAY()),"")))</f>
      </c>
      <c r="AC15" s="3056">
        <f>IF(A15="","",IF(AND(T15="",U15=""),"",IF(T15="","SEM CAMINHO",IF(U15="","SEM DATA",IFERROR(IF(AB15&lt;15,"VERMELHO",IF(AB15&lt;=30,"AMARELO","VERDE")),"DATA INVALIDA")))))</f>
      </c>
      <c r="AD15" s="3056">
        <f>IF(OR(A15="",U15="",NOT(ISNUMBER(AB15))),"",RANK(AB15,$AB$3:$AB$164,1)+COUNTIFS($AB$3:AB15,AB15)-1)</f>
      </c>
      <c r="AE15" s="1736"/>
    </row>
    <row r="16" spans="1:19" ht="22.0" hidden="false" customHeight="true" x14ac:dyDescent="0.25">
      <c r="A16" s="3074" t="s">
        <v>40</v>
      </c>
      <c r="B16" s="3073" t="s">
        <v>9</v>
      </c>
      <c r="C16" s="3073" t="s">
        <v>24</v>
      </c>
      <c r="D16" s="3073">
        <v>17608570000161</v>
      </c>
      <c r="E16" s="3073"/>
      <c r="F16" s="3073" t="s">
        <v>12</v>
      </c>
      <c r="G16" s="3073" t="s">
        <v>41</v>
      </c>
      <c r="H16" s="3073" t="s">
        <v>5</v>
      </c>
      <c r="I16" s="3073" t="s">
        <v>344</v>
      </c>
      <c r="J16" s="3073" t="s">
        <v>344</v>
      </c>
      <c r="K16" s="3073" t="s">
        <v>344</v>
      </c>
      <c r="L16" s="3073" t="s">
        <v>344</v>
      </c>
      <c r="M16" s="3073" t="s">
        <v>344</v>
      </c>
      <c r="N16" s="3073" t="s">
        <v>344</v>
      </c>
      <c r="O16" s="3073" t="s">
        <v>344</v>
      </c>
      <c r="P16" s="3073" t="s">
        <v>344</v>
      </c>
      <c r="Q16" s="3076"/>
      <c r="R16" s="3076"/>
      <c r="S16" s="3076"/>
      <c r="T16" s="3076"/>
      <c r="U16" s="3077"/>
      <c r="V16" s="3073"/>
      <c r="W16" s="3073"/>
      <c r="X16" s="3056">
        <f>IF(A16="","",IF(LEN(SUBSTITUTE(SUBSTITUTE(SUBSTITUTE(SUBSTITUTE(D16,".",""),"/",""),"-","")," ",""))&lt;&gt;14,"CNPJ INVALIDO","OK"))</f>
      </c>
      <c r="Y16" s="3056">
        <f>IF(A16="","",IF(R16="","REST PENDENTE","REST OK"))</f>
      </c>
      <c r="Z16" s="3056">
        <f>IF(A16="","",IF(AND(R16&lt;&gt;"",COUNTIFS($D$3:$D$164,D16,$R$3:$R$164,"&lt;&gt;")&gt;1),"DUPLICADO","OK"))</f>
      </c>
      <c r="AA16" s="3056">
        <f>IF(A16="","",IF(OR(LEN(Q16)&gt;180,LEN(R16)&gt;180,LEN(S16)&gt;180,LEN(T16)&gt;180),"CAMINHO LONGO","OK"))</f>
      </c>
      <c r="AB16" s="3056">
        <f>IF(A16="","",IF(U16="","",IFERROR(INT(U16-TODAY()),"")))</f>
      </c>
      <c r="AC16" s="3056">
        <f>IF(A16="","",IF(AND(T16="",U16=""),"",IF(T16="","SEM CAMINHO",IF(U16="","SEM DATA",IFERROR(IF(AB16&lt;15,"VERMELHO",IF(AB16&lt;=30,"AMARELO","VERDE")),"DATA INVALIDA")))))</f>
      </c>
      <c r="AD16" s="3056">
        <f>IF(OR(A16="",U16="",NOT(ISNUMBER(AB16))),"",RANK(AB16,$AB$3:$AB$164,1)+COUNTIFS($AB$3:AB16,AB16)-1)</f>
      </c>
      <c r="AE16" s="1736"/>
    </row>
    <row r="17" spans="1:19" ht="22.0" hidden="false" customHeight="true" x14ac:dyDescent="0.25">
      <c r="A17" s="3069" t="s">
        <v>42</v>
      </c>
      <c r="B17" s="3068" t="s">
        <v>9</v>
      </c>
      <c r="C17" s="3068" t="s">
        <v>24</v>
      </c>
      <c r="D17" s="3068" t="s">
        <v>43</v>
      </c>
      <c r="E17" s="3068"/>
      <c r="F17" s="3068" t="s">
        <v>12</v>
      </c>
      <c r="G17" s="3068" t="s">
        <v>41</v>
      </c>
      <c r="H17" s="3068" t="s">
        <v>5</v>
      </c>
      <c r="I17" s="3068"/>
      <c r="J17" s="3068"/>
      <c r="K17" s="3068"/>
      <c r="L17" s="3068"/>
      <c r="M17" s="3068" t="s">
        <v>376</v>
      </c>
      <c r="N17" s="3068"/>
      <c r="O17" s="3068" t="s">
        <v>345</v>
      </c>
      <c r="P17" s="3068" t="s">
        <v>346</v>
      </c>
      <c r="Q17" s="3071"/>
      <c r="R17" s="3071"/>
      <c r="S17" s="3071"/>
      <c r="T17" s="3071"/>
      <c r="U17" s="3072"/>
      <c r="V17" s="3068"/>
      <c r="W17" s="3068"/>
      <c r="X17" s="3056">
        <f>IF(A17="","",IF(LEN(SUBSTITUTE(SUBSTITUTE(SUBSTITUTE(SUBSTITUTE(D17,".",""),"/",""),"-","")," ",""))&lt;&gt;14,"CNPJ INVALIDO","OK"))</f>
      </c>
      <c r="Y17" s="3056">
        <f>IF(A17="","",IF(R17="","REST PENDENTE","REST OK"))</f>
      </c>
      <c r="Z17" s="3056">
        <f>IF(A17="","",IF(AND(R17&lt;&gt;"",COUNTIFS($D$3:$D$164,D17,$R$3:$R$164,"&lt;&gt;")&gt;1),"DUPLICADO","OK"))</f>
      </c>
      <c r="AA17" s="3056">
        <f>IF(A17="","",IF(OR(LEN(Q17)&gt;180,LEN(R17)&gt;180,LEN(S17)&gt;180,LEN(T17)&gt;180),"CAMINHO LONGO","OK"))</f>
      </c>
      <c r="AB17" s="3056">
        <f>IF(A17="","",IF(U17="","",IFERROR(INT(U17-TODAY()),"")))</f>
      </c>
      <c r="AC17" s="3056">
        <f>IF(A17="","",IF(AND(T17="",U17=""),"",IF(T17="","SEM CAMINHO",IF(U17="","SEM DATA",IFERROR(IF(AB17&lt;15,"VERMELHO",IF(AB17&lt;=30,"AMARELO","VERDE")),"DATA INVALIDA")))))</f>
      </c>
      <c r="AD17" s="3056">
        <f>IF(OR(A17="",U17="",NOT(ISNUMBER(AB17))),"",RANK(AB17,$AB$3:$AB$164,1)+COUNTIFS($AB$3:AB17,AB17)-1)</f>
      </c>
      <c r="AE17" s="1736"/>
    </row>
    <row r="18" spans="1:19" ht="22.0" hidden="false" customHeight="true" x14ac:dyDescent="0.25">
      <c r="A18" s="3074" t="s">
        <v>44</v>
      </c>
      <c r="B18" s="3073" t="s">
        <v>45</v>
      </c>
      <c r="C18" s="3073" t="s">
        <v>46</v>
      </c>
      <c r="D18" s="3073" t="s">
        <v>47</v>
      </c>
      <c r="E18" s="3073"/>
      <c r="F18" s="3073" t="s">
        <v>48</v>
      </c>
      <c r="G18" s="3073" t="s">
        <v>13</v>
      </c>
      <c r="H18" s="3073" t="s">
        <v>49</v>
      </c>
      <c r="I18" s="3073"/>
      <c r="J18" s="3073"/>
      <c r="K18" s="3073"/>
      <c r="L18" s="3073"/>
      <c r="M18" s="3073" t="s">
        <v>377</v>
      </c>
      <c r="N18" s="3073"/>
      <c r="O18" s="3073" t="s">
        <v>347</v>
      </c>
      <c r="P18" s="3073"/>
      <c r="Q18" s="3076"/>
      <c r="R18" s="3076"/>
      <c r="S18" s="3076"/>
      <c r="T18" s="3076"/>
      <c r="U18" s="3077"/>
      <c r="V18" s="3073"/>
      <c r="W18" s="3073"/>
      <c r="X18" s="3056">
        <f>IF(A18="","",IF(LEN(SUBSTITUTE(SUBSTITUTE(SUBSTITUTE(SUBSTITUTE(D18,".",""),"/",""),"-","")," ",""))&lt;&gt;14,"CNPJ INVALIDO","OK"))</f>
      </c>
      <c r="Y18" s="3056">
        <f>IF(A18="","",IF(R18="","REST PENDENTE","REST OK"))</f>
      </c>
      <c r="Z18" s="3056">
        <f>IF(A18="","",IF(AND(R18&lt;&gt;"",COUNTIFS($D$3:$D$164,D18,$R$3:$R$164,"&lt;&gt;")&gt;1),"DUPLICADO","OK"))</f>
      </c>
      <c r="AA18" s="3056">
        <f>IF(A18="","",IF(OR(LEN(Q18)&gt;180,LEN(R18)&gt;180,LEN(S18)&gt;180,LEN(T18)&gt;180),"CAMINHO LONGO","OK"))</f>
      </c>
      <c r="AB18" s="3056">
        <f>IF(A18="","",IF(U18="","",IFERROR(INT(U18-TODAY()),"")))</f>
      </c>
      <c r="AC18" s="3056">
        <f>IF(A18="","",IF(AND(T18="",U18=""),"",IF(T18="","SEM CAMINHO",IF(U18="","SEM DATA",IFERROR(IF(AB18&lt;15,"VERMELHO",IF(AB18&lt;=30,"AMARELO","VERDE")),"DATA INVALIDA")))))</f>
      </c>
      <c r="AD18" s="3056">
        <f>IF(OR(A18="",U18="",NOT(ISNUMBER(AB18))),"",RANK(AB18,$AB$3:$AB$164,1)+COUNTIFS($AB$3:AB18,AB18)-1)</f>
      </c>
      <c r="AE18" s="1736"/>
    </row>
    <row r="19" spans="1:19" ht="22.0" hidden="false" customHeight="true" x14ac:dyDescent="0.25">
      <c r="A19" s="3069" t="s">
        <v>50</v>
      </c>
      <c r="B19" s="3068" t="s">
        <v>45</v>
      </c>
      <c r="C19" s="3068" t="s">
        <v>46</v>
      </c>
      <c r="D19" s="3068" t="s">
        <v>51</v>
      </c>
      <c r="E19" s="3068"/>
      <c r="F19" s="3068" t="s">
        <v>48</v>
      </c>
      <c r="G19" s="3068" t="s">
        <v>13</v>
      </c>
      <c r="H19" s="3068" t="s">
        <v>49</v>
      </c>
      <c r="I19" s="3068"/>
      <c r="J19" s="3068"/>
      <c r="K19" s="3068"/>
      <c r="L19" s="3068"/>
      <c r="M19" s="3068" t="s">
        <v>377</v>
      </c>
      <c r="N19" s="3068"/>
      <c r="O19" s="3068" t="s">
        <v>347</v>
      </c>
      <c r="P19" s="3068"/>
      <c r="Q19" s="3071"/>
      <c r="R19" s="3071"/>
      <c r="S19" s="3071"/>
      <c r="T19" s="3071"/>
      <c r="U19" s="3072"/>
      <c r="V19" s="3068"/>
      <c r="W19" s="3068"/>
      <c r="X19" s="3056">
        <f>IF(A19="","",IF(LEN(SUBSTITUTE(SUBSTITUTE(SUBSTITUTE(SUBSTITUTE(D19,".",""),"/",""),"-","")," ",""))&lt;&gt;14,"CNPJ INVALIDO","OK"))</f>
      </c>
      <c r="Y19" s="3056">
        <f>IF(A19="","",IF(R19="","REST PENDENTE","REST OK"))</f>
      </c>
      <c r="Z19" s="3056">
        <f>IF(A19="","",IF(AND(R19&lt;&gt;"",COUNTIFS($D$3:$D$164,D19,$R$3:$R$164,"&lt;&gt;")&gt;1),"DUPLICADO","OK"))</f>
      </c>
      <c r="AA19" s="3056">
        <f>IF(A19="","",IF(OR(LEN(Q19)&gt;180,LEN(R19)&gt;180,LEN(S19)&gt;180,LEN(T19)&gt;180),"CAMINHO LONGO","OK"))</f>
      </c>
      <c r="AB19" s="3056">
        <f>IF(A19="","",IF(U19="","",IFERROR(INT(U19-TODAY()),"")))</f>
      </c>
      <c r="AC19" s="3056">
        <f>IF(A19="","",IF(AND(T19="",U19=""),"",IF(T19="","SEM CAMINHO",IF(U19="","SEM DATA",IFERROR(IF(AB19&lt;15,"VERMELHO",IF(AB19&lt;=30,"AMARELO","VERDE")),"DATA INVALIDA")))))</f>
      </c>
      <c r="AD19" s="3056">
        <f>IF(OR(A19="",U19="",NOT(ISNUMBER(AB19))),"",RANK(AB19,$AB$3:$AB$164,1)+COUNTIFS($AB$3:AB19,AB19)-1)</f>
      </c>
      <c r="AE19" s="1736"/>
    </row>
    <row r="20" spans="1:19" ht="22.0" hidden="false" customHeight="true" x14ac:dyDescent="0.25">
      <c r="A20" s="3074" t="s">
        <v>52</v>
      </c>
      <c r="B20" s="3073" t="s">
        <v>45</v>
      </c>
      <c r="C20" s="3073" t="s">
        <v>46</v>
      </c>
      <c r="D20" s="3073" t="s">
        <v>53</v>
      </c>
      <c r="E20" s="3073"/>
      <c r="F20" s="3073" t="s">
        <v>48</v>
      </c>
      <c r="G20" s="3073" t="s">
        <v>13</v>
      </c>
      <c r="H20" s="3073" t="s">
        <v>14</v>
      </c>
      <c r="I20" s="3073"/>
      <c r="J20" s="3073"/>
      <c r="K20" s="3073"/>
      <c r="L20" s="3073"/>
      <c r="M20" s="3073" t="s">
        <v>377</v>
      </c>
      <c r="N20" s="3073"/>
      <c r="O20" s="3073" t="s">
        <v>347</v>
      </c>
      <c r="P20" s="3073"/>
      <c r="Q20" s="3076"/>
      <c r="R20" s="3076"/>
      <c r="S20" s="3076"/>
      <c r="T20" s="3076"/>
      <c r="U20" s="3077"/>
      <c r="V20" s="3073"/>
      <c r="W20" s="3073"/>
      <c r="X20" s="3056">
        <f>IF(A20="","",IF(LEN(SUBSTITUTE(SUBSTITUTE(SUBSTITUTE(SUBSTITUTE(D20,".",""),"/",""),"-","")," ",""))&lt;&gt;14,"CNPJ INVALIDO","OK"))</f>
      </c>
      <c r="Y20" s="3056">
        <f>IF(A20="","",IF(R20="","REST PENDENTE","REST OK"))</f>
      </c>
      <c r="Z20" s="3056">
        <f>IF(A20="","",IF(AND(R20&lt;&gt;"",COUNTIFS($D$3:$D$164,D20,$R$3:$R$164,"&lt;&gt;")&gt;1),"DUPLICADO","OK"))</f>
      </c>
      <c r="AA20" s="3056">
        <f>IF(A20="","",IF(OR(LEN(Q20)&gt;180,LEN(R20)&gt;180,LEN(S20)&gt;180,LEN(T20)&gt;180),"CAMINHO LONGO","OK"))</f>
      </c>
      <c r="AB20" s="3056">
        <f>IF(A20="","",IF(U20="","",IFERROR(INT(U20-TODAY()),"")))</f>
      </c>
      <c r="AC20" s="3056">
        <f>IF(A20="","",IF(AND(T20="",U20=""),"",IF(T20="","SEM CAMINHO",IF(U20="","SEM DATA",IFERROR(IF(AB20&lt;15,"VERMELHO",IF(AB20&lt;=30,"AMARELO","VERDE")),"DATA INVALIDA")))))</f>
      </c>
      <c r="AD20" s="3056">
        <f>IF(OR(A20="",U20="",NOT(ISNUMBER(AB20))),"",RANK(AB20,$AB$3:$AB$164,1)+COUNTIFS($AB$3:AB20,AB20)-1)</f>
      </c>
      <c r="AE20" s="1736"/>
    </row>
    <row r="21" spans="1:19" ht="22.0" hidden="false" customHeight="true" x14ac:dyDescent="0.25">
      <c r="A21" s="3069" t="s">
        <v>54</v>
      </c>
      <c r="B21" s="3068" t="s">
        <v>55</v>
      </c>
      <c r="C21" s="3068" t="s">
        <v>56</v>
      </c>
      <c r="D21" s="3068">
        <v>57123358000129</v>
      </c>
      <c r="E21" s="3068"/>
      <c r="F21" s="3068" t="s">
        <v>57</v>
      </c>
      <c r="G21" s="3068" t="s">
        <v>4</v>
      </c>
      <c r="H21" s="3068" t="s">
        <v>14</v>
      </c>
      <c r="I21" s="3068"/>
      <c r="J21" s="3068"/>
      <c r="K21" s="3068"/>
      <c r="L21" s="3068"/>
      <c r="M21" s="3068" t="s">
        <v>376</v>
      </c>
      <c r="N21" s="3068"/>
      <c r="O21" s="3068" t="s">
        <v>349</v>
      </c>
      <c r="P21" s="3068"/>
      <c r="Q21" s="3071"/>
      <c r="R21" s="3071"/>
      <c r="S21" s="3071"/>
      <c r="T21" s="3071"/>
      <c r="U21" s="3072"/>
      <c r="V21" s="3068"/>
      <c r="W21" s="3068"/>
      <c r="X21" s="3056">
        <f>IF(A21="","",IF(LEN(SUBSTITUTE(SUBSTITUTE(SUBSTITUTE(SUBSTITUTE(D21,".",""),"/",""),"-","")," ",""))&lt;&gt;14,"CNPJ INVALIDO","OK"))</f>
      </c>
      <c r="Y21" s="3056">
        <f>IF(A21="","",IF(R21="","REST PENDENTE","REST OK"))</f>
      </c>
      <c r="Z21" s="3056">
        <f>IF(A21="","",IF(AND(R21&lt;&gt;"",COUNTIFS($D$3:$D$164,D21,$R$3:$R$164,"&lt;&gt;")&gt;1),"DUPLICADO","OK"))</f>
      </c>
      <c r="AA21" s="3056">
        <f>IF(A21="","",IF(OR(LEN(Q21)&gt;180,LEN(R21)&gt;180,LEN(S21)&gt;180,LEN(T21)&gt;180),"CAMINHO LONGO","OK"))</f>
      </c>
      <c r="AB21" s="3056">
        <f>IF(A21="","",IF(U21="","",IFERROR(INT(U21-TODAY()),"")))</f>
      </c>
      <c r="AC21" s="3056">
        <f>IF(A21="","",IF(AND(T21="",U21=""),"",IF(T21="","SEM CAMINHO",IF(U21="","SEM DATA",IFERROR(IF(AB21&lt;15,"VERMELHO",IF(AB21&lt;=30,"AMARELO","VERDE")),"DATA INVALIDA")))))</f>
      </c>
      <c r="AD21" s="3056">
        <f>IF(OR(A21="",U21="",NOT(ISNUMBER(AB21))),"",RANK(AB21,$AB$3:$AB$164,1)+COUNTIFS($AB$3:AB21,AB21)-1)</f>
      </c>
      <c r="AE21" s="1736"/>
    </row>
    <row r="22" spans="1:19" ht="22.0" hidden="false" customHeight="true" x14ac:dyDescent="0.25">
      <c r="A22" s="3074" t="s">
        <v>58</v>
      </c>
      <c r="B22" s="3073" t="s">
        <v>45</v>
      </c>
      <c r="C22" s="3073" t="s">
        <v>59</v>
      </c>
      <c r="D22" s="3073">
        <v>40870380000130</v>
      </c>
      <c r="E22" s="3073"/>
      <c r="F22" s="3073" t="s">
        <v>48</v>
      </c>
      <c r="G22" s="3073" t="s">
        <v>4</v>
      </c>
      <c r="H22" s="3073" t="s">
        <v>14</v>
      </c>
      <c r="I22" s="3073"/>
      <c r="J22" s="3073"/>
      <c r="K22" s="3073"/>
      <c r="L22" s="3073"/>
      <c r="M22" s="3073" t="s">
        <v>378</v>
      </c>
      <c r="N22" s="3073"/>
      <c r="O22" s="3073" t="s">
        <v>348</v>
      </c>
      <c r="P22" s="3073"/>
      <c r="Q22" s="3076"/>
      <c r="R22" s="3076"/>
      <c r="S22" s="3076"/>
      <c r="T22" s="3076"/>
      <c r="U22" s="3077"/>
      <c r="V22" s="3073"/>
      <c r="W22" s="3073"/>
      <c r="X22" s="3056">
        <f>IF(A22="","",IF(LEN(SUBSTITUTE(SUBSTITUTE(SUBSTITUTE(SUBSTITUTE(D22,".",""),"/",""),"-","")," ",""))&lt;&gt;14,"CNPJ INVALIDO","OK"))</f>
      </c>
      <c r="Y22" s="3056">
        <f>IF(A22="","",IF(R22="","REST PENDENTE","REST OK"))</f>
      </c>
      <c r="Z22" s="3056">
        <f>IF(A22="","",IF(AND(R22&lt;&gt;"",COUNTIFS($D$3:$D$164,D22,$R$3:$R$164,"&lt;&gt;")&gt;1),"DUPLICADO","OK"))</f>
      </c>
      <c r="AA22" s="3056">
        <f>IF(A22="","",IF(OR(LEN(Q22)&gt;180,LEN(R22)&gt;180,LEN(S22)&gt;180,LEN(T22)&gt;180),"CAMINHO LONGO","OK"))</f>
      </c>
      <c r="AB22" s="3056">
        <f>IF(A22="","",IF(U22="","",IFERROR(INT(U22-TODAY()),"")))</f>
      </c>
      <c r="AC22" s="3056">
        <f>IF(A22="","",IF(AND(T22="",U22=""),"",IF(T22="","SEM CAMINHO",IF(U22="","SEM DATA",IFERROR(IF(AB22&lt;15,"VERMELHO",IF(AB22&lt;=30,"AMARELO","VERDE")),"DATA INVALIDA")))))</f>
      </c>
      <c r="AD22" s="3056">
        <f>IF(OR(A22="",U22="",NOT(ISNUMBER(AB22))),"",RANK(AB22,$AB$3:$AB$164,1)+COUNTIFS($AB$3:AB22,AB22)-1)</f>
      </c>
      <c r="AE22" s="1736"/>
    </row>
    <row r="23" spans="1:19" ht="22.0" hidden="false" customHeight="true" x14ac:dyDescent="0.25">
      <c r="A23" s="3069" t="s">
        <v>60</v>
      </c>
      <c r="B23" s="3068" t="s">
        <v>61</v>
      </c>
      <c r="C23" s="3068" t="s">
        <v>62</v>
      </c>
      <c r="D23" s="3068">
        <v>26837949000134</v>
      </c>
      <c r="E23" s="3068"/>
      <c r="F23" s="3068" t="s">
        <v>63</v>
      </c>
      <c r="G23" s="3068" t="s">
        <v>41</v>
      </c>
      <c r="H23" s="3068" t="s">
        <v>5</v>
      </c>
      <c r="I23" s="3068"/>
      <c r="J23" s="3068"/>
      <c r="K23" s="3068"/>
      <c r="L23" s="3068"/>
      <c r="M23" s="3068" t="s">
        <v>379</v>
      </c>
      <c r="N23" s="3068"/>
      <c r="O23" s="3068"/>
      <c r="P23" s="3068"/>
      <c r="Q23" s="3071"/>
      <c r="R23" s="3071"/>
      <c r="S23" s="3071"/>
      <c r="T23" s="3071"/>
      <c r="U23" s="3072"/>
      <c r="V23" s="3068"/>
      <c r="W23" s="3068"/>
      <c r="X23" s="3056">
        <f>IF(A23="","",IF(LEN(SUBSTITUTE(SUBSTITUTE(SUBSTITUTE(SUBSTITUTE(D23,".",""),"/",""),"-","")," ",""))&lt;&gt;14,"CNPJ INVALIDO","OK"))</f>
      </c>
      <c r="Y23" s="3056">
        <f>IF(A23="","",IF(R23="","REST PENDENTE","REST OK"))</f>
      </c>
      <c r="Z23" s="3056">
        <f>IF(A23="","",IF(AND(R23&lt;&gt;"",COUNTIFS($D$3:$D$164,D23,$R$3:$R$164,"&lt;&gt;")&gt;1),"DUPLICADO","OK"))</f>
      </c>
      <c r="AA23" s="3056">
        <f>IF(A23="","",IF(OR(LEN(Q23)&gt;180,LEN(R23)&gt;180,LEN(S23)&gt;180,LEN(T23)&gt;180),"CAMINHO LONGO","OK"))</f>
      </c>
      <c r="AB23" s="3056">
        <f>IF(A23="","",IF(U23="","",IFERROR(INT(U23-TODAY()),"")))</f>
      </c>
      <c r="AC23" s="3056">
        <f>IF(A23="","",IF(AND(T23="",U23=""),"",IF(T23="","SEM CAMINHO",IF(U23="","SEM DATA",IFERROR(IF(AB23&lt;15,"VERMELHO",IF(AB23&lt;=30,"AMARELO","VERDE")),"DATA INVALIDA")))))</f>
      </c>
      <c r="AD23" s="3056">
        <f>IF(OR(A23="",U23="",NOT(ISNUMBER(AB23))),"",RANK(AB23,$AB$3:$AB$164,1)+COUNTIFS($AB$3:AB23,AB23)-1)</f>
      </c>
      <c r="AE23" s="1736"/>
    </row>
    <row r="24" spans="1:19" ht="22.0" hidden="false" customHeight="true" x14ac:dyDescent="0.25">
      <c r="A24" s="3074" t="s">
        <v>64</v>
      </c>
      <c r="B24" s="3073" t="s">
        <v>65</v>
      </c>
      <c r="C24" s="3073" t="s">
        <v>62</v>
      </c>
      <c r="D24" s="3073">
        <v>12923820000134</v>
      </c>
      <c r="E24" s="3073"/>
      <c r="F24" s="3073" t="s">
        <v>66</v>
      </c>
      <c r="G24" s="3073" t="s">
        <v>13</v>
      </c>
      <c r="H24" s="3073" t="s">
        <v>49</v>
      </c>
      <c r="I24" s="3073"/>
      <c r="J24" s="3073"/>
      <c r="K24" s="3073"/>
      <c r="L24" s="3073"/>
      <c r="M24" s="3073" t="s">
        <v>377</v>
      </c>
      <c r="N24" s="3073"/>
      <c r="O24" s="3073" t="s">
        <v>347</v>
      </c>
      <c r="P24" s="3073"/>
      <c r="Q24" s="3076"/>
      <c r="R24" s="3076"/>
      <c r="S24" s="3076"/>
      <c r="T24" s="3076"/>
      <c r="U24" s="3077"/>
      <c r="V24" s="3073"/>
      <c r="W24" s="3073"/>
      <c r="X24" s="3056">
        <f>IF(A24="","",IF(LEN(SUBSTITUTE(SUBSTITUTE(SUBSTITUTE(SUBSTITUTE(D24,".",""),"/",""),"-","")," ",""))&lt;&gt;14,"CNPJ INVALIDO","OK"))</f>
      </c>
      <c r="Y24" s="3056">
        <f>IF(A24="","",IF(R24="","REST PENDENTE","REST OK"))</f>
      </c>
      <c r="Z24" s="3056">
        <f>IF(A24="","",IF(AND(R24&lt;&gt;"",COUNTIFS($D$3:$D$164,D24,$R$3:$R$164,"&lt;&gt;")&gt;1),"DUPLICADO","OK"))</f>
      </c>
      <c r="AA24" s="3056">
        <f>IF(A24="","",IF(OR(LEN(Q24)&gt;180,LEN(R24)&gt;180,LEN(S24)&gt;180,LEN(T24)&gt;180),"CAMINHO LONGO","OK"))</f>
      </c>
      <c r="AB24" s="3056">
        <f>IF(A24="","",IF(U24="","",IFERROR(INT(U24-TODAY()),"")))</f>
      </c>
      <c r="AC24" s="3056">
        <f>IF(A24="","",IF(AND(T24="",U24=""),"",IF(T24="","SEM CAMINHO",IF(U24="","SEM DATA",IFERROR(IF(AB24&lt;15,"VERMELHO",IF(AB24&lt;=30,"AMARELO","VERDE")),"DATA INVALIDA")))))</f>
      </c>
      <c r="AD24" s="3056">
        <f>IF(OR(A24="",U24="",NOT(ISNUMBER(AB24))),"",RANK(AB24,$AB$3:$AB$164,1)+COUNTIFS($AB$3:AB24,AB24)-1)</f>
      </c>
      <c r="AE24" s="1736"/>
    </row>
    <row r="25" spans="1:19" ht="22.0" hidden="false" customHeight="true" x14ac:dyDescent="0.25">
      <c r="A25" s="3069" t="s">
        <v>67</v>
      </c>
      <c r="B25" s="3068" t="s">
        <v>68</v>
      </c>
      <c r="C25" s="3068" t="s">
        <v>69</v>
      </c>
      <c r="D25" s="3068" t="s">
        <v>70</v>
      </c>
      <c r="E25" s="3068"/>
      <c r="F25" s="3068" t="s">
        <v>71</v>
      </c>
      <c r="G25" s="3068" t="s">
        <v>4</v>
      </c>
      <c r="H25" s="3068" t="s">
        <v>49</v>
      </c>
      <c r="I25" s="3068"/>
      <c r="J25" s="3068"/>
      <c r="K25" s="3068"/>
      <c r="L25" s="3068"/>
      <c r="M25" s="3068" t="s">
        <v>379</v>
      </c>
      <c r="N25" s="3068"/>
      <c r="O25" s="3068" t="s">
        <v>349</v>
      </c>
      <c r="P25" s="3068"/>
      <c r="Q25" s="3071"/>
      <c r="R25" s="3071"/>
      <c r="S25" s="3071"/>
      <c r="T25" s="3071"/>
      <c r="U25" s="3072"/>
      <c r="V25" s="3068"/>
      <c r="W25" s="3068"/>
      <c r="X25" s="3056">
        <f>IF(A25="","",IF(LEN(SUBSTITUTE(SUBSTITUTE(SUBSTITUTE(SUBSTITUTE(D25,".",""),"/",""),"-","")," ",""))&lt;&gt;14,"CNPJ INVALIDO","OK"))</f>
      </c>
      <c r="Y25" s="3056">
        <f>IF(A25="","",IF(R25="","REST PENDENTE","REST OK"))</f>
      </c>
      <c r="Z25" s="3056">
        <f>IF(A25="","",IF(AND(R25&lt;&gt;"",COUNTIFS($D$3:$D$164,D25,$R$3:$R$164,"&lt;&gt;")&gt;1),"DUPLICADO","OK"))</f>
      </c>
      <c r="AA25" s="3056">
        <f>IF(A25="","",IF(OR(LEN(Q25)&gt;180,LEN(R25)&gt;180,LEN(S25)&gt;180,LEN(T25)&gt;180),"CAMINHO LONGO","OK"))</f>
      </c>
      <c r="AB25" s="3056">
        <f>IF(A25="","",IF(U25="","",IFERROR(INT(U25-TODAY()),"")))</f>
      </c>
      <c r="AC25" s="3056">
        <f>IF(A25="","",IF(AND(T25="",U25=""),"",IF(T25="","SEM CAMINHO",IF(U25="","SEM DATA",IFERROR(IF(AB25&lt;15,"VERMELHO",IF(AB25&lt;=30,"AMARELO","VERDE")),"DATA INVALIDA")))))</f>
      </c>
      <c r="AD25" s="3056">
        <f>IF(OR(A25="",U25="",NOT(ISNUMBER(AB25))),"",RANK(AB25,$AB$3:$AB$164,1)+COUNTIFS($AB$3:AB25,AB25)-1)</f>
      </c>
      <c r="AE25" s="1736"/>
    </row>
    <row r="26" spans="1:19" ht="22.0" hidden="false" customHeight="true" x14ac:dyDescent="0.25">
      <c r="A26" s="3074" t="s">
        <v>72</v>
      </c>
      <c r="B26" s="3073" t="s">
        <v>9</v>
      </c>
      <c r="C26" s="3073" t="s">
        <v>24</v>
      </c>
      <c r="D26" s="3073">
        <v>41597807000130</v>
      </c>
      <c r="E26" s="3073"/>
      <c r="F26" s="3073" t="s">
        <v>73</v>
      </c>
      <c r="G26" s="3073" t="s">
        <v>4</v>
      </c>
      <c r="H26" s="3073" t="s">
        <v>5</v>
      </c>
      <c r="I26" s="3073"/>
      <c r="J26" s="3073"/>
      <c r="K26" s="3073"/>
      <c r="L26" s="3073"/>
      <c r="M26" s="3073" t="s">
        <v>379</v>
      </c>
      <c r="N26" s="3073"/>
      <c r="O26" s="3073" t="s">
        <v>347</v>
      </c>
      <c r="P26" s="3073"/>
      <c r="Q26" s="3076"/>
      <c r="R26" s="3076"/>
      <c r="S26" s="3076"/>
      <c r="T26" s="3076"/>
      <c r="U26" s="3077"/>
      <c r="V26" s="3073"/>
      <c r="W26" s="3073"/>
      <c r="X26" s="3056">
        <f>IF(A26="","",IF(LEN(SUBSTITUTE(SUBSTITUTE(SUBSTITUTE(SUBSTITUTE(D26,".",""),"/",""),"-","")," ",""))&lt;&gt;14,"CNPJ INVALIDO","OK"))</f>
      </c>
      <c r="Y26" s="3056">
        <f>IF(A26="","",IF(R26="","REST PENDENTE","REST OK"))</f>
      </c>
      <c r="Z26" s="3056">
        <f>IF(A26="","",IF(AND(R26&lt;&gt;"",COUNTIFS($D$3:$D$164,D26,$R$3:$R$164,"&lt;&gt;")&gt;1),"DUPLICADO","OK"))</f>
      </c>
      <c r="AA26" s="3056">
        <f>IF(A26="","",IF(OR(LEN(Q26)&gt;180,LEN(R26)&gt;180,LEN(S26)&gt;180,LEN(T26)&gt;180),"CAMINHO LONGO","OK"))</f>
      </c>
      <c r="AB26" s="3056">
        <f>IF(A26="","",IF(U26="","",IFERROR(INT(U26-TODAY()),"")))</f>
      </c>
      <c r="AC26" s="3056">
        <f>IF(A26="","",IF(AND(T26="",U26=""),"",IF(T26="","SEM CAMINHO",IF(U26="","SEM DATA",IFERROR(IF(AB26&lt;15,"VERMELHO",IF(AB26&lt;=30,"AMARELO","VERDE")),"DATA INVALIDA")))))</f>
      </c>
      <c r="AD26" s="3056">
        <f>IF(OR(A26="",U26="",NOT(ISNUMBER(AB26))),"",RANK(AB26,$AB$3:$AB$164,1)+COUNTIFS($AB$3:AB26,AB26)-1)</f>
      </c>
      <c r="AE26" s="1736"/>
    </row>
    <row r="27" spans="1:19" ht="22.0" hidden="false" customHeight="true" x14ac:dyDescent="0.25">
      <c r="A27" s="3069" t="s">
        <v>74</v>
      </c>
      <c r="B27" s="3068" t="s">
        <v>75</v>
      </c>
      <c r="C27" s="3068" t="s">
        <v>62</v>
      </c>
      <c r="D27" s="3068">
        <v>21430001000146</v>
      </c>
      <c r="E27" s="3068"/>
      <c r="F27" s="3068" t="s">
        <v>76</v>
      </c>
      <c r="G27" s="3068" t="s">
        <v>4</v>
      </c>
      <c r="H27" s="3068" t="s">
        <v>5</v>
      </c>
      <c r="I27" s="3068"/>
      <c r="J27" s="3068"/>
      <c r="K27" s="3068"/>
      <c r="L27" s="3068"/>
      <c r="M27" s="3068" t="s">
        <v>377</v>
      </c>
      <c r="N27" s="3068"/>
      <c r="O27" s="3068" t="s">
        <v>347</v>
      </c>
      <c r="P27" s="3068"/>
      <c r="Q27" s="3071"/>
      <c r="R27" s="3071"/>
      <c r="S27" s="3071"/>
      <c r="T27" s="3071"/>
      <c r="U27" s="3072"/>
      <c r="V27" s="3068"/>
      <c r="W27" s="3068"/>
      <c r="X27" s="3056">
        <f>IF(A27="","",IF(LEN(SUBSTITUTE(SUBSTITUTE(SUBSTITUTE(SUBSTITUTE(D27,".",""),"/",""),"-","")," ",""))&lt;&gt;14,"CNPJ INVALIDO","OK"))</f>
      </c>
      <c r="Y27" s="3056">
        <f>IF(A27="","",IF(R27="","REST PENDENTE","REST OK"))</f>
      </c>
      <c r="Z27" s="3056">
        <f>IF(A27="","",IF(AND(R27&lt;&gt;"",COUNTIFS($D$3:$D$164,D27,$R$3:$R$164,"&lt;&gt;")&gt;1),"DUPLICADO","OK"))</f>
      </c>
      <c r="AA27" s="3056">
        <f>IF(A27="","",IF(OR(LEN(Q27)&gt;180,LEN(R27)&gt;180,LEN(S27)&gt;180,LEN(T27)&gt;180),"CAMINHO LONGO","OK"))</f>
      </c>
      <c r="AB27" s="3056">
        <f>IF(A27="","",IF(U27="","",IFERROR(INT(U27-TODAY()),"")))</f>
      </c>
      <c r="AC27" s="3056">
        <f>IF(A27="","",IF(AND(T27="",U27=""),"",IF(T27="","SEM CAMINHO",IF(U27="","SEM DATA",IFERROR(IF(AB27&lt;15,"VERMELHO",IF(AB27&lt;=30,"AMARELO","VERDE")),"DATA INVALIDA")))))</f>
      </c>
      <c r="AD27" s="3056">
        <f>IF(OR(A27="",U27="",NOT(ISNUMBER(AB27))),"",RANK(AB27,$AB$3:$AB$164,1)+COUNTIFS($AB$3:AB27,AB27)-1)</f>
      </c>
      <c r="AE27" s="1736"/>
    </row>
    <row r="28" spans="1:19" ht="22.0" hidden="false" customHeight="true" x14ac:dyDescent="0.25">
      <c r="A28" s="3074" t="s">
        <v>77</v>
      </c>
      <c r="B28" s="3073" t="s">
        <v>78</v>
      </c>
      <c r="C28" s="3073" t="s">
        <v>79</v>
      </c>
      <c r="D28" s="3073" t="s">
        <v>80</v>
      </c>
      <c r="E28" s="3073"/>
      <c r="F28" s="3073" t="s">
        <v>81</v>
      </c>
      <c r="G28" s="3073" t="s">
        <v>13</v>
      </c>
      <c r="H28" s="3073" t="s">
        <v>49</v>
      </c>
      <c r="I28" s="3073"/>
      <c r="J28" s="3073"/>
      <c r="K28" s="3073"/>
      <c r="L28" s="3073"/>
      <c r="M28" s="3073" t="s">
        <v>377</v>
      </c>
      <c r="N28" s="3073"/>
      <c r="O28" s="3073" t="s">
        <v>347</v>
      </c>
      <c r="P28" s="3073"/>
      <c r="Q28" s="3076"/>
      <c r="R28" s="3076"/>
      <c r="S28" s="3076"/>
      <c r="T28" s="3076"/>
      <c r="U28" s="3077"/>
      <c r="V28" s="3073"/>
      <c r="W28" s="3073"/>
      <c r="X28" s="3056">
        <f>IF(A28="","",IF(LEN(SUBSTITUTE(SUBSTITUTE(SUBSTITUTE(SUBSTITUTE(D28,".",""),"/",""),"-","")," ",""))&lt;&gt;14,"CNPJ INVALIDO","OK"))</f>
      </c>
      <c r="Y28" s="3056">
        <f>IF(A28="","",IF(R28="","REST PENDENTE","REST OK"))</f>
      </c>
      <c r="Z28" s="3056">
        <f>IF(A28="","",IF(AND(R28&lt;&gt;"",COUNTIFS($D$3:$D$164,D28,$R$3:$R$164,"&lt;&gt;")&gt;1),"DUPLICADO","OK"))</f>
      </c>
      <c r="AA28" s="3056">
        <f>IF(A28="","",IF(OR(LEN(Q28)&gt;180,LEN(R28)&gt;180,LEN(S28)&gt;180,LEN(T28)&gt;180),"CAMINHO LONGO","OK"))</f>
      </c>
      <c r="AB28" s="3056">
        <f>IF(A28="","",IF(U28="","",IFERROR(INT(U28-TODAY()),"")))</f>
      </c>
      <c r="AC28" s="3056">
        <f>IF(A28="","",IF(AND(T28="",U28=""),"",IF(T28="","SEM CAMINHO",IF(U28="","SEM DATA",IFERROR(IF(AB28&lt;15,"VERMELHO",IF(AB28&lt;=30,"AMARELO","VERDE")),"DATA INVALIDA")))))</f>
      </c>
      <c r="AD28" s="3056">
        <f>IF(OR(A28="",U28="",NOT(ISNUMBER(AB28))),"",RANK(AB28,$AB$3:$AB$164,1)+COUNTIFS($AB$3:AB28,AB28)-1)</f>
      </c>
      <c r="AE28" s="1736"/>
    </row>
    <row r="29" spans="1:19" ht="22.0" hidden="false" customHeight="true" x14ac:dyDescent="0.25">
      <c r="A29" s="3069" t="s">
        <v>82</v>
      </c>
      <c r="B29" s="3068" t="s">
        <v>78</v>
      </c>
      <c r="C29" s="3068" t="s">
        <v>83</v>
      </c>
      <c r="D29" s="3068">
        <v>62220305000166</v>
      </c>
      <c r="E29" s="3068"/>
      <c r="F29" s="3068" t="s">
        <v>81</v>
      </c>
      <c r="G29" s="3068" t="s">
        <v>4</v>
      </c>
      <c r="H29" s="3068" t="s">
        <v>5</v>
      </c>
      <c r="I29" s="3068"/>
      <c r="J29" s="3068"/>
      <c r="K29" s="3068"/>
      <c r="L29" s="3068"/>
      <c r="M29" s="3068" t="s">
        <v>378</v>
      </c>
      <c r="N29" s="3068"/>
      <c r="O29" s="3068" t="s">
        <v>349</v>
      </c>
      <c r="P29" s="3068"/>
      <c r="Q29" s="3071"/>
      <c r="R29" s="3071"/>
      <c r="S29" s="3071"/>
      <c r="T29" s="3071"/>
      <c r="U29" s="3072"/>
      <c r="V29" s="3068"/>
      <c r="W29" s="3068"/>
      <c r="X29" s="3056">
        <f>IF(A29="","",IF(LEN(SUBSTITUTE(SUBSTITUTE(SUBSTITUTE(SUBSTITUTE(D29,".",""),"/",""),"-","")," ",""))&lt;&gt;14,"CNPJ INVALIDO","OK"))</f>
      </c>
      <c r="Y29" s="3056">
        <f>IF(A29="","",IF(R29="","REST PENDENTE","REST OK"))</f>
      </c>
      <c r="Z29" s="3056">
        <f>IF(A29="","",IF(AND(R29&lt;&gt;"",COUNTIFS($D$3:$D$164,D29,$R$3:$R$164,"&lt;&gt;")&gt;1),"DUPLICADO","OK"))</f>
      </c>
      <c r="AA29" s="3056">
        <f>IF(A29="","",IF(OR(LEN(Q29)&gt;180,LEN(R29)&gt;180,LEN(S29)&gt;180,LEN(T29)&gt;180),"CAMINHO LONGO","OK"))</f>
      </c>
      <c r="AB29" s="3056">
        <f>IF(A29="","",IF(U29="","",IFERROR(INT(U29-TODAY()),"")))</f>
      </c>
      <c r="AC29" s="3056">
        <f>IF(A29="","",IF(AND(T29="",U29=""),"",IF(T29="","SEM CAMINHO",IF(U29="","SEM DATA",IFERROR(IF(AB29&lt;15,"VERMELHO",IF(AB29&lt;=30,"AMARELO","VERDE")),"DATA INVALIDA")))))</f>
      </c>
      <c r="AD29" s="3056">
        <f>IF(OR(A29="",U29="",NOT(ISNUMBER(AB29))),"",RANK(AB29,$AB$3:$AB$164,1)+COUNTIFS($AB$3:AB29,AB29)-1)</f>
      </c>
      <c r="AE29" s="1736"/>
    </row>
    <row r="30" spans="1:19" ht="22.0" hidden="false" customHeight="true" x14ac:dyDescent="0.25">
      <c r="A30" s="3074" t="s">
        <v>84</v>
      </c>
      <c r="B30" s="3073" t="s">
        <v>85</v>
      </c>
      <c r="C30" s="3073" t="s">
        <v>46</v>
      </c>
      <c r="D30" s="3073">
        <v>10712858000132</v>
      </c>
      <c r="E30" s="3073"/>
      <c r="F30" s="3073" t="s">
        <v>86</v>
      </c>
      <c r="G30" s="3073" t="s">
        <v>13</v>
      </c>
      <c r="H30" s="3073" t="s">
        <v>5</v>
      </c>
      <c r="I30" s="3073"/>
      <c r="J30" s="3073"/>
      <c r="K30" s="3073"/>
      <c r="L30" s="3073"/>
      <c r="M30" s="3073" t="s">
        <v>377</v>
      </c>
      <c r="N30" s="3073"/>
      <c r="O30" s="3073" t="s">
        <v>349</v>
      </c>
      <c r="P30" s="3073"/>
      <c r="Q30" s="3076"/>
      <c r="R30" s="3076"/>
      <c r="S30" s="3076"/>
      <c r="T30" s="3076"/>
      <c r="U30" s="3077"/>
      <c r="V30" s="3073"/>
      <c r="W30" s="3073"/>
      <c r="X30" s="3056">
        <f>IF(A30="","",IF(LEN(SUBSTITUTE(SUBSTITUTE(SUBSTITUTE(SUBSTITUTE(D30,".",""),"/",""),"-","")," ",""))&lt;&gt;14,"CNPJ INVALIDO","OK"))</f>
      </c>
      <c r="Y30" s="3056">
        <f>IF(A30="","",IF(R30="","REST PENDENTE","REST OK"))</f>
      </c>
      <c r="Z30" s="3056">
        <f>IF(A30="","",IF(AND(R30&lt;&gt;"",COUNTIFS($D$3:$D$164,D30,$R$3:$R$164,"&lt;&gt;")&gt;1),"DUPLICADO","OK"))</f>
      </c>
      <c r="AA30" s="3056">
        <f>IF(A30="","",IF(OR(LEN(Q30)&gt;180,LEN(R30)&gt;180,LEN(S30)&gt;180,LEN(T30)&gt;180),"CAMINHO LONGO","OK"))</f>
      </c>
      <c r="AB30" s="3056">
        <f>IF(A30="","",IF(U30="","",IFERROR(INT(U30-TODAY()),"")))</f>
      </c>
      <c r="AC30" s="3056">
        <f>IF(A30="","",IF(AND(T30="",U30=""),"",IF(T30="","SEM CAMINHO",IF(U30="","SEM DATA",IFERROR(IF(AB30&lt;15,"VERMELHO",IF(AB30&lt;=30,"AMARELO","VERDE")),"DATA INVALIDA")))))</f>
      </c>
      <c r="AD30" s="3056">
        <f>IF(OR(A30="",U30="",NOT(ISNUMBER(AB30))),"",RANK(AB30,$AB$3:$AB$164,1)+COUNTIFS($AB$3:AB30,AB30)-1)</f>
      </c>
      <c r="AE30" s="1736"/>
    </row>
    <row r="31" spans="1:19" ht="22.0" hidden="false" customHeight="true" x14ac:dyDescent="0.25">
      <c r="A31" s="3069" t="s">
        <v>87</v>
      </c>
      <c r="B31" s="3068" t="s">
        <v>61</v>
      </c>
      <c r="C31" s="3068" t="s">
        <v>62</v>
      </c>
      <c r="D31" s="3068">
        <v>53665434000177</v>
      </c>
      <c r="E31" s="3068"/>
      <c r="F31" s="3068" t="s">
        <v>63</v>
      </c>
      <c r="G31" s="3068" t="s">
        <v>4</v>
      </c>
      <c r="H31" s="3068" t="s">
        <v>5</v>
      </c>
      <c r="I31" s="3068"/>
      <c r="J31" s="3068"/>
      <c r="K31" s="3068"/>
      <c r="L31" s="3068"/>
      <c r="M31" s="3068" t="s">
        <v>379</v>
      </c>
      <c r="N31" s="3068"/>
      <c r="O31" s="3068" t="s">
        <v>349</v>
      </c>
      <c r="P31" s="3068"/>
      <c r="Q31" s="3071"/>
      <c r="R31" s="3071"/>
      <c r="S31" s="3071"/>
      <c r="T31" s="3071"/>
      <c r="U31" s="3072"/>
      <c r="V31" s="3068"/>
      <c r="W31" s="3068"/>
      <c r="X31" s="3056">
        <f>IF(A31="","",IF(LEN(SUBSTITUTE(SUBSTITUTE(SUBSTITUTE(SUBSTITUTE(D31,".",""),"/",""),"-","")," ",""))&lt;&gt;14,"CNPJ INVALIDO","OK"))</f>
      </c>
      <c r="Y31" s="3056">
        <f>IF(A31="","",IF(R31="","REST PENDENTE","REST OK"))</f>
      </c>
      <c r="Z31" s="3056">
        <f>IF(A31="","",IF(AND(R31&lt;&gt;"",COUNTIFS($D$3:$D$164,D31,$R$3:$R$164,"&lt;&gt;")&gt;1),"DUPLICADO","OK"))</f>
      </c>
      <c r="AA31" s="3056">
        <f>IF(A31="","",IF(OR(LEN(Q31)&gt;180,LEN(R31)&gt;180,LEN(S31)&gt;180,LEN(T31)&gt;180),"CAMINHO LONGO","OK"))</f>
      </c>
      <c r="AB31" s="3056">
        <f>IF(A31="","",IF(U31="","",IFERROR(INT(U31-TODAY()),"")))</f>
      </c>
      <c r="AC31" s="3056">
        <f>IF(A31="","",IF(AND(T31="",U31=""),"",IF(T31="","SEM CAMINHO",IF(U31="","SEM DATA",IFERROR(IF(AB31&lt;15,"VERMELHO",IF(AB31&lt;=30,"AMARELO","VERDE")),"DATA INVALIDA")))))</f>
      </c>
      <c r="AD31" s="3056">
        <f>IF(OR(A31="",U31="",NOT(ISNUMBER(AB31))),"",RANK(AB31,$AB$3:$AB$164,1)+COUNTIFS($AB$3:AB31,AB31)-1)</f>
      </c>
      <c r="AE31" s="1736"/>
    </row>
    <row r="32" spans="1:19" ht="22.0" hidden="false" customHeight="true" x14ac:dyDescent="0.25">
      <c r="A32" s="3074" t="s">
        <v>88</v>
      </c>
      <c r="B32" s="3073" t="s">
        <v>61</v>
      </c>
      <c r="C32" s="3073" t="s">
        <v>62</v>
      </c>
      <c r="D32" s="3073">
        <v>53665515000177</v>
      </c>
      <c r="E32" s="3073"/>
      <c r="F32" s="3073" t="s">
        <v>63</v>
      </c>
      <c r="G32" s="3073" t="s">
        <v>4</v>
      </c>
      <c r="H32" s="3073" t="s">
        <v>5</v>
      </c>
      <c r="I32" s="3073"/>
      <c r="J32" s="3073"/>
      <c r="K32" s="3073"/>
      <c r="L32" s="3073"/>
      <c r="M32" s="3073" t="s">
        <v>379</v>
      </c>
      <c r="N32" s="3073"/>
      <c r="O32" s="3073" t="s">
        <v>349</v>
      </c>
      <c r="P32" s="3073"/>
      <c r="Q32" s="3076"/>
      <c r="R32" s="3076"/>
      <c r="S32" s="3076"/>
      <c r="T32" s="3076"/>
      <c r="U32" s="3077"/>
      <c r="V32" s="3073"/>
      <c r="W32" s="3073"/>
      <c r="X32" s="3056">
        <f>IF(A32="","",IF(LEN(SUBSTITUTE(SUBSTITUTE(SUBSTITUTE(SUBSTITUTE(D32,".",""),"/",""),"-","")," ",""))&lt;&gt;14,"CNPJ INVALIDO","OK"))</f>
      </c>
      <c r="Y32" s="3056">
        <f>IF(A32="","",IF(R32="","REST PENDENTE","REST OK"))</f>
      </c>
      <c r="Z32" s="3056">
        <f>IF(A32="","",IF(AND(R32&lt;&gt;"",COUNTIFS($D$3:$D$164,D32,$R$3:$R$164,"&lt;&gt;")&gt;1),"DUPLICADO","OK"))</f>
      </c>
      <c r="AA32" s="3056">
        <f>IF(A32="","",IF(OR(LEN(Q32)&gt;180,LEN(R32)&gt;180,LEN(S32)&gt;180,LEN(T32)&gt;180),"CAMINHO LONGO","OK"))</f>
      </c>
      <c r="AB32" s="3056">
        <f>IF(A32="","",IF(U32="","",IFERROR(INT(U32-TODAY()),"")))</f>
      </c>
      <c r="AC32" s="3056">
        <f>IF(A32="","",IF(AND(T32="",U32=""),"",IF(T32="","SEM CAMINHO",IF(U32="","SEM DATA",IFERROR(IF(AB32&lt;15,"VERMELHO",IF(AB32&lt;=30,"AMARELO","VERDE")),"DATA INVALIDA")))))</f>
      </c>
      <c r="AD32" s="3056">
        <f>IF(OR(A32="",U32="",NOT(ISNUMBER(AB32))),"",RANK(AB32,$AB$3:$AB$164,1)+COUNTIFS($AB$3:AB32,AB32)-1)</f>
      </c>
      <c r="AE32" s="1736"/>
    </row>
    <row r="33" spans="1:19" ht="22.0" hidden="false" customHeight="true" x14ac:dyDescent="0.25">
      <c r="A33" s="3069" t="s">
        <v>89</v>
      </c>
      <c r="B33" s="3068" t="s">
        <v>61</v>
      </c>
      <c r="C33" s="3068" t="s">
        <v>62</v>
      </c>
      <c r="D33" s="3068">
        <v>53666225000148</v>
      </c>
      <c r="E33" s="3068"/>
      <c r="F33" s="3068" t="s">
        <v>63</v>
      </c>
      <c r="G33" s="3068" t="s">
        <v>4</v>
      </c>
      <c r="H33" s="3068" t="s">
        <v>5</v>
      </c>
      <c r="I33" s="3068"/>
      <c r="J33" s="3068"/>
      <c r="K33" s="3068"/>
      <c r="L33" s="3068"/>
      <c r="M33" s="3068" t="s">
        <v>379</v>
      </c>
      <c r="N33" s="3068"/>
      <c r="O33" s="3068" t="s">
        <v>349</v>
      </c>
      <c r="P33" s="3068"/>
      <c r="Q33" s="3071"/>
      <c r="R33" s="3071"/>
      <c r="S33" s="3071"/>
      <c r="T33" s="3071"/>
      <c r="U33" s="3072"/>
      <c r="V33" s="3068"/>
      <c r="W33" s="3068"/>
      <c r="X33" s="3056">
        <f>IF(A33="","",IF(LEN(SUBSTITUTE(SUBSTITUTE(SUBSTITUTE(SUBSTITUTE(D33,".",""),"/",""),"-","")," ",""))&lt;&gt;14,"CNPJ INVALIDO","OK"))</f>
      </c>
      <c r="Y33" s="3056">
        <f>IF(A33="","",IF(R33="","REST PENDENTE","REST OK"))</f>
      </c>
      <c r="Z33" s="3056">
        <f>IF(A33="","",IF(AND(R33&lt;&gt;"",COUNTIFS($D$3:$D$164,D33,$R$3:$R$164,"&lt;&gt;")&gt;1),"DUPLICADO","OK"))</f>
      </c>
      <c r="AA33" s="3056">
        <f>IF(A33="","",IF(OR(LEN(Q33)&gt;180,LEN(R33)&gt;180,LEN(S33)&gt;180,LEN(T33)&gt;180),"CAMINHO LONGO","OK"))</f>
      </c>
      <c r="AB33" s="3056">
        <f>IF(A33="","",IF(U33="","",IFERROR(INT(U33-TODAY()),"")))</f>
      </c>
      <c r="AC33" s="3056">
        <f>IF(A33="","",IF(AND(T33="",U33=""),"",IF(T33="","SEM CAMINHO",IF(U33="","SEM DATA",IFERROR(IF(AB33&lt;15,"VERMELHO",IF(AB33&lt;=30,"AMARELO","VERDE")),"DATA INVALIDA")))))</f>
      </c>
      <c r="AD33" s="3056">
        <f>IF(OR(A33="",U33="",NOT(ISNUMBER(AB33))),"",RANK(AB33,$AB$3:$AB$164,1)+COUNTIFS($AB$3:AB33,AB33)-1)</f>
      </c>
      <c r="AE33" s="1736"/>
    </row>
    <row r="34" spans="1:19" ht="22.0" hidden="false" customHeight="true" x14ac:dyDescent="0.25">
      <c r="A34" s="3074" t="s">
        <v>90</v>
      </c>
      <c r="B34" s="3073" t="s">
        <v>61</v>
      </c>
      <c r="C34" s="3073" t="s">
        <v>62</v>
      </c>
      <c r="D34" s="3073">
        <v>17845752000156</v>
      </c>
      <c r="E34" s="3073"/>
      <c r="F34" s="3073" t="s">
        <v>63</v>
      </c>
      <c r="G34" s="3073" t="s">
        <v>41</v>
      </c>
      <c r="H34" s="3073" t="s">
        <v>5</v>
      </c>
      <c r="I34" s="3073"/>
      <c r="J34" s="3073"/>
      <c r="K34" s="3073"/>
      <c r="L34" s="3073"/>
      <c r="M34" s="3073" t="s">
        <v>380</v>
      </c>
      <c r="N34" s="3073"/>
      <c r="O34" s="3073" t="s">
        <v>349</v>
      </c>
      <c r="P34" s="3073"/>
      <c r="Q34" s="3076"/>
      <c r="R34" s="3076"/>
      <c r="S34" s="3076"/>
      <c r="T34" s="3076"/>
      <c r="U34" s="3077"/>
      <c r="V34" s="3073"/>
      <c r="W34" s="3073"/>
      <c r="X34" s="3056">
        <f>IF(A34="","",IF(LEN(SUBSTITUTE(SUBSTITUTE(SUBSTITUTE(SUBSTITUTE(D34,".",""),"/",""),"-","")," ",""))&lt;&gt;14,"CNPJ INVALIDO","OK"))</f>
      </c>
      <c r="Y34" s="3056">
        <f>IF(A34="","",IF(R34="","REST PENDENTE","REST OK"))</f>
      </c>
      <c r="Z34" s="3056">
        <f>IF(A34="","",IF(AND(R34&lt;&gt;"",COUNTIFS($D$3:$D$164,D34,$R$3:$R$164,"&lt;&gt;")&gt;1),"DUPLICADO","OK"))</f>
      </c>
      <c r="AA34" s="3056">
        <f>IF(A34="","",IF(OR(LEN(Q34)&gt;180,LEN(R34)&gt;180,LEN(S34)&gt;180,LEN(T34)&gt;180),"CAMINHO LONGO","OK"))</f>
      </c>
      <c r="AB34" s="3056">
        <f>IF(A34="","",IF(U34="","",IFERROR(INT(U34-TODAY()),"")))</f>
      </c>
      <c r="AC34" s="3056">
        <f>IF(A34="","",IF(AND(T34="",U34=""),"",IF(T34="","SEM CAMINHO",IF(U34="","SEM DATA",IFERROR(IF(AB34&lt;15,"VERMELHO",IF(AB34&lt;=30,"AMARELO","VERDE")),"DATA INVALIDA")))))</f>
      </c>
      <c r="AD34" s="3056">
        <f>IF(OR(A34="",U34="",NOT(ISNUMBER(AB34))),"",RANK(AB34,$AB$3:$AB$164,1)+COUNTIFS($AB$3:AB34,AB34)-1)</f>
      </c>
      <c r="AE34" s="1736"/>
    </row>
    <row r="35" spans="1:19" ht="22.0" hidden="false" customHeight="true" x14ac:dyDescent="0.25">
      <c r="A35" s="3069" t="s">
        <v>91</v>
      </c>
      <c r="B35" s="3068" t="s">
        <v>61</v>
      </c>
      <c r="C35" s="3068" t="s">
        <v>62</v>
      </c>
      <c r="D35" s="3068">
        <v>17813257000165</v>
      </c>
      <c r="E35" s="3068"/>
      <c r="F35" s="3068" t="s">
        <v>63</v>
      </c>
      <c r="G35" s="3068" t="s">
        <v>13</v>
      </c>
      <c r="H35" s="3068" t="s">
        <v>5</v>
      </c>
      <c r="I35" s="3068"/>
      <c r="J35" s="3068"/>
      <c r="K35" s="3068"/>
      <c r="L35" s="3068"/>
      <c r="M35" s="3068" t="s">
        <v>381</v>
      </c>
      <c r="N35" s="3068"/>
      <c r="O35" s="3068" t="s">
        <v>349</v>
      </c>
      <c r="P35" s="3068"/>
      <c r="Q35" s="3071"/>
      <c r="R35" s="3071"/>
      <c r="S35" s="3071"/>
      <c r="T35" s="3071"/>
      <c r="U35" s="3072"/>
      <c r="V35" s="3068"/>
      <c r="W35" s="3068"/>
      <c r="X35" s="3056">
        <f>IF(A35="","",IF(LEN(SUBSTITUTE(SUBSTITUTE(SUBSTITUTE(SUBSTITUTE(D35,".",""),"/",""),"-","")," ",""))&lt;&gt;14,"CNPJ INVALIDO","OK"))</f>
      </c>
      <c r="Y35" s="3056">
        <f>IF(A35="","",IF(R35="","REST PENDENTE","REST OK"))</f>
      </c>
      <c r="Z35" s="3056">
        <f>IF(A35="","",IF(AND(R35&lt;&gt;"",COUNTIFS($D$3:$D$164,D35,$R$3:$R$164,"&lt;&gt;")&gt;1),"DUPLICADO","OK"))</f>
      </c>
      <c r="AA35" s="3056">
        <f>IF(A35="","",IF(OR(LEN(Q35)&gt;180,LEN(R35)&gt;180,LEN(S35)&gt;180,LEN(T35)&gt;180),"CAMINHO LONGO","OK"))</f>
      </c>
      <c r="AB35" s="3056">
        <f>IF(A35="","",IF(U35="","",IFERROR(INT(U35-TODAY()),"")))</f>
      </c>
      <c r="AC35" s="3056">
        <f>IF(A35="","",IF(AND(T35="",U35=""),"",IF(T35="","SEM CAMINHO",IF(U35="","SEM DATA",IFERROR(IF(AB35&lt;15,"VERMELHO",IF(AB35&lt;=30,"AMARELO","VERDE")),"DATA INVALIDA")))))</f>
      </c>
      <c r="AD35" s="3056">
        <f>IF(OR(A35="",U35="",NOT(ISNUMBER(AB35))),"",RANK(AB35,$AB$3:$AB$164,1)+COUNTIFS($AB$3:AB35,AB35)-1)</f>
      </c>
      <c r="AE35" s="1736"/>
    </row>
    <row r="36" spans="1:19" ht="22.0" hidden="false" customHeight="true" x14ac:dyDescent="0.25">
      <c r="A36" s="3074" t="s">
        <v>92</v>
      </c>
      <c r="B36" s="3073" t="s">
        <v>1</v>
      </c>
      <c r="C36" s="3073" t="s">
        <v>93</v>
      </c>
      <c r="D36" s="3073" t="s">
        <v>94</v>
      </c>
      <c r="E36" s="3073"/>
      <c r="F36" s="3073" t="s">
        <v>3</v>
      </c>
      <c r="G36" s="3073" t="s">
        <v>4</v>
      </c>
      <c r="H36" s="3073" t="s">
        <v>5</v>
      </c>
      <c r="I36" s="3073"/>
      <c r="J36" s="3073"/>
      <c r="K36" s="3073"/>
      <c r="L36" s="3073"/>
      <c r="M36" s="3073" t="s">
        <v>377</v>
      </c>
      <c r="N36" s="3073"/>
      <c r="O36" s="3073" t="s">
        <v>349</v>
      </c>
      <c r="P36" s="3073"/>
      <c r="Q36" s="3076"/>
      <c r="R36" s="3076"/>
      <c r="S36" s="3076"/>
      <c r="T36" s="3076"/>
      <c r="U36" s="3077"/>
      <c r="V36" s="3073"/>
      <c r="W36" s="3073"/>
      <c r="X36" s="3056">
        <f>IF(A36="","",IF(LEN(SUBSTITUTE(SUBSTITUTE(SUBSTITUTE(SUBSTITUTE(D36,".",""),"/",""),"-","")," ",""))&lt;&gt;14,"CNPJ INVALIDO","OK"))</f>
      </c>
      <c r="Y36" s="3056">
        <f>IF(A36="","",IF(R36="","REST PENDENTE","REST OK"))</f>
      </c>
      <c r="Z36" s="3056">
        <f>IF(A36="","",IF(AND(R36&lt;&gt;"",COUNTIFS($D$3:$D$164,D36,$R$3:$R$164,"&lt;&gt;")&gt;1),"DUPLICADO","OK"))</f>
      </c>
      <c r="AA36" s="3056">
        <f>IF(A36="","",IF(OR(LEN(Q36)&gt;180,LEN(R36)&gt;180,LEN(S36)&gt;180,LEN(T36)&gt;180),"CAMINHO LONGO","OK"))</f>
      </c>
      <c r="AB36" s="3056">
        <f>IF(A36="","",IF(U36="","",IFERROR(INT(U36-TODAY()),"")))</f>
      </c>
      <c r="AC36" s="3056">
        <f>IF(A36="","",IF(AND(T36="",U36=""),"",IF(T36="","SEM CAMINHO",IF(U36="","SEM DATA",IFERROR(IF(AB36&lt;15,"VERMELHO",IF(AB36&lt;=30,"AMARELO","VERDE")),"DATA INVALIDA")))))</f>
      </c>
      <c r="AD36" s="3056">
        <f>IF(OR(A36="",U36="",NOT(ISNUMBER(AB36))),"",RANK(AB36,$AB$3:$AB$164,1)+COUNTIFS($AB$3:AB36,AB36)-1)</f>
      </c>
      <c r="AE36" s="1736"/>
    </row>
    <row r="37" spans="1:19" ht="22.0" hidden="false" customHeight="true" x14ac:dyDescent="0.25">
      <c r="A37" s="3069" t="s">
        <v>95</v>
      </c>
      <c r="B37" s="3068" t="s">
        <v>96</v>
      </c>
      <c r="C37" s="3068" t="s">
        <v>97</v>
      </c>
      <c r="D37" s="3068" t="s">
        <v>98</v>
      </c>
      <c r="E37" s="3068"/>
      <c r="F37" s="3068" t="s">
        <v>99</v>
      </c>
      <c r="G37" s="3068" t="s">
        <v>41</v>
      </c>
      <c r="H37" s="3068" t="s">
        <v>14</v>
      </c>
      <c r="I37" s="3068"/>
      <c r="J37" s="3068"/>
      <c r="K37" s="3068"/>
      <c r="L37" s="3068"/>
      <c r="M37" s="3068" t="s">
        <v>383</v>
      </c>
      <c r="N37" s="3068" t="s">
        <v>362</v>
      </c>
      <c r="O37" s="3068" t="s">
        <v>349</v>
      </c>
      <c r="P37" s="3068"/>
      <c r="Q37" s="3071"/>
      <c r="R37" s="3071"/>
      <c r="S37" s="3071"/>
      <c r="T37" s="3071"/>
      <c r="U37" s="3072"/>
      <c r="V37" s="3068"/>
      <c r="W37" s="3068"/>
      <c r="X37" s="3056">
        <f>IF(A37="","",IF(LEN(SUBSTITUTE(SUBSTITUTE(SUBSTITUTE(SUBSTITUTE(D37,".",""),"/",""),"-","")," ",""))&lt;&gt;14,"CNPJ INVALIDO","OK"))</f>
      </c>
      <c r="Y37" s="3056">
        <f>IF(A37="","",IF(R37="","REST PENDENTE","REST OK"))</f>
      </c>
      <c r="Z37" s="3056">
        <f>IF(A37="","",IF(AND(R37&lt;&gt;"",COUNTIFS($D$3:$D$164,D37,$R$3:$R$164,"&lt;&gt;")&gt;1),"DUPLICADO","OK"))</f>
      </c>
      <c r="AA37" s="3056">
        <f>IF(A37="","",IF(OR(LEN(Q37)&gt;180,LEN(R37)&gt;180,LEN(S37)&gt;180,LEN(T37)&gt;180),"CAMINHO LONGO","OK"))</f>
      </c>
      <c r="AB37" s="3056">
        <f>IF(A37="","",IF(U37="","",IFERROR(INT(U37-TODAY()),"")))</f>
      </c>
      <c r="AC37" s="3056">
        <f>IF(A37="","",IF(AND(T37="",U37=""),"",IF(T37="","SEM CAMINHO",IF(U37="","SEM DATA",IFERROR(IF(AB37&lt;15,"VERMELHO",IF(AB37&lt;=30,"AMARELO","VERDE")),"DATA INVALIDA")))))</f>
      </c>
      <c r="AD37" s="3056">
        <f>IF(OR(A37="",U37="",NOT(ISNUMBER(AB37))),"",RANK(AB37,$AB$3:$AB$164,1)+COUNTIFS($AB$3:AB37,AB37)-1)</f>
      </c>
      <c r="AE37" s="1736"/>
    </row>
    <row r="38" spans="1:19" ht="22.0" hidden="false" customHeight="true" x14ac:dyDescent="0.25">
      <c r="A38" s="3074" t="s">
        <v>95</v>
      </c>
      <c r="B38" s="3073" t="s">
        <v>96</v>
      </c>
      <c r="C38" s="3073" t="s">
        <v>97</v>
      </c>
      <c r="D38" s="3073" t="s">
        <v>100</v>
      </c>
      <c r="E38" s="3073"/>
      <c r="F38" s="3073" t="s">
        <v>99</v>
      </c>
      <c r="G38" s="3073" t="s">
        <v>13</v>
      </c>
      <c r="H38" s="3073" t="s">
        <v>14</v>
      </c>
      <c r="I38" s="3073"/>
      <c r="J38" s="3073"/>
      <c r="K38" s="3073"/>
      <c r="L38" s="3073"/>
      <c r="M38" s="3073" t="s">
        <v>382</v>
      </c>
      <c r="N38" s="3073" t="s">
        <v>362</v>
      </c>
      <c r="O38" s="3073" t="s">
        <v>349</v>
      </c>
      <c r="P38" s="3073"/>
      <c r="Q38" s="3076"/>
      <c r="R38" s="3076"/>
      <c r="S38" s="3076"/>
      <c r="T38" s="3076"/>
      <c r="U38" s="3077"/>
      <c r="V38" s="3073"/>
      <c r="W38" s="3073"/>
      <c r="X38" s="3056">
        <f>IF(A38="","",IF(LEN(SUBSTITUTE(SUBSTITUTE(SUBSTITUTE(SUBSTITUTE(D38,".",""),"/",""),"-","")," ",""))&lt;&gt;14,"CNPJ INVALIDO","OK"))</f>
      </c>
      <c r="Y38" s="3056">
        <f>IF(A38="","",IF(R38="","REST PENDENTE","REST OK"))</f>
      </c>
      <c r="Z38" s="3056">
        <f>IF(A38="","",IF(AND(R38&lt;&gt;"",COUNTIFS($D$3:$D$164,D38,$R$3:$R$164,"&lt;&gt;")&gt;1),"DUPLICADO","OK"))</f>
      </c>
      <c r="AA38" s="3056">
        <f>IF(A38="","",IF(OR(LEN(Q38)&gt;180,LEN(R38)&gt;180,LEN(S38)&gt;180,LEN(T38)&gt;180),"CAMINHO LONGO","OK"))</f>
      </c>
      <c r="AB38" s="3056">
        <f>IF(A38="","",IF(U38="","",IFERROR(INT(U38-TODAY()),"")))</f>
      </c>
      <c r="AC38" s="3056">
        <f>IF(A38="","",IF(AND(T38="",U38=""),"",IF(T38="","SEM CAMINHO",IF(U38="","SEM DATA",IFERROR(IF(AB38&lt;15,"VERMELHO",IF(AB38&lt;=30,"AMARELO","VERDE")),"DATA INVALIDA")))))</f>
      </c>
      <c r="AD38" s="3056">
        <f>IF(OR(A38="",U38="",NOT(ISNUMBER(AB38))),"",RANK(AB38,$AB$3:$AB$164,1)+COUNTIFS($AB$3:AB38,AB38)-1)</f>
      </c>
      <c r="AE38" s="1736"/>
    </row>
    <row r="39" spans="1:19" ht="22.0" hidden="false" customHeight="true" x14ac:dyDescent="0.25">
      <c r="A39" s="3069" t="s">
        <v>95</v>
      </c>
      <c r="B39" s="3068" t="s">
        <v>96</v>
      </c>
      <c r="C39" s="3068" t="s">
        <v>97</v>
      </c>
      <c r="D39" s="3068" t="s">
        <v>101</v>
      </c>
      <c r="E39" s="3068"/>
      <c r="F39" s="3068" t="s">
        <v>99</v>
      </c>
      <c r="G39" s="3068" t="s">
        <v>13</v>
      </c>
      <c r="H39" s="3068" t="s">
        <v>14</v>
      </c>
      <c r="I39" s="3068"/>
      <c r="J39" s="3068"/>
      <c r="K39" s="3068"/>
      <c r="L39" s="3068"/>
      <c r="M39" s="3068" t="s">
        <v>382</v>
      </c>
      <c r="N39" s="3068" t="s">
        <v>362</v>
      </c>
      <c r="O39" s="3068" t="s">
        <v>349</v>
      </c>
      <c r="P39" s="3068"/>
      <c r="Q39" s="3071"/>
      <c r="R39" s="3071"/>
      <c r="S39" s="3071"/>
      <c r="T39" s="3071"/>
      <c r="U39" s="3072"/>
      <c r="V39" s="3068"/>
      <c r="W39" s="3068"/>
      <c r="X39" s="3056">
        <f>IF(A39="","",IF(LEN(SUBSTITUTE(SUBSTITUTE(SUBSTITUTE(SUBSTITUTE(D39,".",""),"/",""),"-","")," ",""))&lt;&gt;14,"CNPJ INVALIDO","OK"))</f>
      </c>
      <c r="Y39" s="3056">
        <f>IF(A39="","",IF(R39="","REST PENDENTE","REST OK"))</f>
      </c>
      <c r="Z39" s="3056">
        <f>IF(A39="","",IF(AND(R39&lt;&gt;"",COUNTIFS($D$3:$D$164,D39,$R$3:$R$164,"&lt;&gt;")&gt;1),"DUPLICADO","OK"))</f>
      </c>
      <c r="AA39" s="3056">
        <f>IF(A39="","",IF(OR(LEN(Q39)&gt;180,LEN(R39)&gt;180,LEN(S39)&gt;180,LEN(T39)&gt;180),"CAMINHO LONGO","OK"))</f>
      </c>
      <c r="AB39" s="3056">
        <f>IF(A39="","",IF(U39="","",IFERROR(INT(U39-TODAY()),"")))</f>
      </c>
      <c r="AC39" s="3056">
        <f>IF(A39="","",IF(AND(T39="",U39=""),"",IF(T39="","SEM CAMINHO",IF(U39="","SEM DATA",IFERROR(IF(AB39&lt;15,"VERMELHO",IF(AB39&lt;=30,"AMARELO","VERDE")),"DATA INVALIDA")))))</f>
      </c>
      <c r="AD39" s="3056">
        <f>IF(OR(A39="",U39="",NOT(ISNUMBER(AB39))),"",RANK(AB39,$AB$3:$AB$164,1)+COUNTIFS($AB$3:AB39,AB39)-1)</f>
      </c>
      <c r="AE39" s="1736"/>
    </row>
    <row r="40" spans="1:19" ht="22.0" hidden="false" customHeight="true" x14ac:dyDescent="0.25">
      <c r="A40" s="3074" t="s">
        <v>95</v>
      </c>
      <c r="B40" s="3073" t="s">
        <v>96</v>
      </c>
      <c r="C40" s="3073" t="s">
        <v>97</v>
      </c>
      <c r="D40" s="3073" t="s">
        <v>102</v>
      </c>
      <c r="E40" s="3073"/>
      <c r="F40" s="3073" t="s">
        <v>99</v>
      </c>
      <c r="G40" s="3073" t="s">
        <v>13</v>
      </c>
      <c r="H40" s="3073" t="s">
        <v>14</v>
      </c>
      <c r="I40" s="3073"/>
      <c r="J40" s="3073"/>
      <c r="K40" s="3073"/>
      <c r="L40" s="3073"/>
      <c r="M40" s="3073" t="s">
        <v>382</v>
      </c>
      <c r="N40" s="3073" t="s">
        <v>362</v>
      </c>
      <c r="O40" s="3073" t="s">
        <v>349</v>
      </c>
      <c r="P40" s="3073"/>
      <c r="Q40" s="3076"/>
      <c r="R40" s="3076"/>
      <c r="S40" s="3076"/>
      <c r="T40" s="3076"/>
      <c r="U40" s="3077"/>
      <c r="V40" s="3073"/>
      <c r="W40" s="3073"/>
      <c r="X40" s="3056">
        <f>IF(A40="","",IF(LEN(SUBSTITUTE(SUBSTITUTE(SUBSTITUTE(SUBSTITUTE(D40,".",""),"/",""),"-","")," ",""))&lt;&gt;14,"CNPJ INVALIDO","OK"))</f>
      </c>
      <c r="Y40" s="3056">
        <f>IF(A40="","",IF(R40="","REST PENDENTE","REST OK"))</f>
      </c>
      <c r="Z40" s="3056">
        <f>IF(A40="","",IF(AND(R40&lt;&gt;"",COUNTIFS($D$3:$D$164,D40,$R$3:$R$164,"&lt;&gt;")&gt;1),"DUPLICADO","OK"))</f>
      </c>
      <c r="AA40" s="3056">
        <f>IF(A40="","",IF(OR(LEN(Q40)&gt;180,LEN(R40)&gt;180,LEN(S40)&gt;180,LEN(T40)&gt;180),"CAMINHO LONGO","OK"))</f>
      </c>
      <c r="AB40" s="3056">
        <f>IF(A40="","",IF(U40="","",IFERROR(INT(U40-TODAY()),"")))</f>
      </c>
      <c r="AC40" s="3056">
        <f>IF(A40="","",IF(AND(T40="",U40=""),"",IF(T40="","SEM CAMINHO",IF(U40="","SEM DATA",IFERROR(IF(AB40&lt;15,"VERMELHO",IF(AB40&lt;=30,"AMARELO","VERDE")),"DATA INVALIDA")))))</f>
      </c>
      <c r="AD40" s="3056">
        <f>IF(OR(A40="",U40="",NOT(ISNUMBER(AB40))),"",RANK(AB40,$AB$3:$AB$164,1)+COUNTIFS($AB$3:AB40,AB40)-1)</f>
      </c>
      <c r="AE40" s="1736"/>
    </row>
    <row r="41" spans="1:19" ht="22.0" hidden="false" customHeight="true" x14ac:dyDescent="0.25">
      <c r="A41" s="3069" t="s">
        <v>95</v>
      </c>
      <c r="B41" s="3068" t="s">
        <v>96</v>
      </c>
      <c r="C41" s="3068" t="s">
        <v>97</v>
      </c>
      <c r="D41" s="3068" t="s">
        <v>103</v>
      </c>
      <c r="E41" s="3068"/>
      <c r="F41" s="3068" t="s">
        <v>99</v>
      </c>
      <c r="G41" s="3068" t="s">
        <v>13</v>
      </c>
      <c r="H41" s="3068" t="s">
        <v>14</v>
      </c>
      <c r="I41" s="3068"/>
      <c r="J41" s="3068"/>
      <c r="K41" s="3068"/>
      <c r="L41" s="3068"/>
      <c r="M41" s="3068" t="s">
        <v>382</v>
      </c>
      <c r="N41" s="3068" t="s">
        <v>362</v>
      </c>
      <c r="O41" s="3068" t="s">
        <v>349</v>
      </c>
      <c r="P41" s="3068"/>
      <c r="Q41" s="3071"/>
      <c r="R41" s="3071"/>
      <c r="S41" s="3071"/>
      <c r="T41" s="3071"/>
      <c r="U41" s="3072"/>
      <c r="V41" s="3068"/>
      <c r="W41" s="3068"/>
      <c r="X41" s="3056">
        <f>IF(A41="","",IF(LEN(SUBSTITUTE(SUBSTITUTE(SUBSTITUTE(SUBSTITUTE(D41,".",""),"/",""),"-","")," ",""))&lt;&gt;14,"CNPJ INVALIDO","OK"))</f>
      </c>
      <c r="Y41" s="3056">
        <f>IF(A41="","",IF(R41="","REST PENDENTE","REST OK"))</f>
      </c>
      <c r="Z41" s="3056">
        <f>IF(A41="","",IF(AND(R41&lt;&gt;"",COUNTIFS($D$3:$D$164,D41,$R$3:$R$164,"&lt;&gt;")&gt;1),"DUPLICADO","OK"))</f>
      </c>
      <c r="AA41" s="3056">
        <f>IF(A41="","",IF(OR(LEN(Q41)&gt;180,LEN(R41)&gt;180,LEN(S41)&gt;180,LEN(T41)&gt;180),"CAMINHO LONGO","OK"))</f>
      </c>
      <c r="AB41" s="3056">
        <f>IF(A41="","",IF(U41="","",IFERROR(INT(U41-TODAY()),"")))</f>
      </c>
      <c r="AC41" s="3056">
        <f>IF(A41="","",IF(AND(T41="",U41=""),"",IF(T41="","SEM CAMINHO",IF(U41="","SEM DATA",IFERROR(IF(AB41&lt;15,"VERMELHO",IF(AB41&lt;=30,"AMARELO","VERDE")),"DATA INVALIDA")))))</f>
      </c>
      <c r="AD41" s="3056">
        <f>IF(OR(A41="",U41="",NOT(ISNUMBER(AB41))),"",RANK(AB41,$AB$3:$AB$164,1)+COUNTIFS($AB$3:AB41,AB41)-1)</f>
      </c>
      <c r="AE41" s="1736"/>
    </row>
    <row r="42" spans="1:19" ht="22.0" hidden="false" customHeight="true" x14ac:dyDescent="0.25">
      <c r="A42" s="3074" t="s">
        <v>95</v>
      </c>
      <c r="B42" s="3073" t="s">
        <v>96</v>
      </c>
      <c r="C42" s="3073" t="s">
        <v>104</v>
      </c>
      <c r="D42" s="3073" t="s">
        <v>105</v>
      </c>
      <c r="E42" s="3073"/>
      <c r="F42" s="3073" t="s">
        <v>99</v>
      </c>
      <c r="G42" s="3073" t="s">
        <v>13</v>
      </c>
      <c r="H42" s="3073" t="s">
        <v>14</v>
      </c>
      <c r="I42" s="3073"/>
      <c r="J42" s="3073"/>
      <c r="K42" s="3073"/>
      <c r="L42" s="3073"/>
      <c r="M42" s="3073" t="s">
        <v>382</v>
      </c>
      <c r="N42" s="3073" t="s">
        <v>362</v>
      </c>
      <c r="O42" s="3073" t="s">
        <v>349</v>
      </c>
      <c r="P42" s="3073"/>
      <c r="Q42" s="3076"/>
      <c r="R42" s="3076"/>
      <c r="S42" s="3076"/>
      <c r="T42" s="3076"/>
      <c r="U42" s="3077"/>
      <c r="V42" s="3073"/>
      <c r="W42" s="3073"/>
      <c r="X42" s="3056">
        <f>IF(A42="","",IF(LEN(SUBSTITUTE(SUBSTITUTE(SUBSTITUTE(SUBSTITUTE(D42,".",""),"/",""),"-","")," ",""))&lt;&gt;14,"CNPJ INVALIDO","OK"))</f>
      </c>
      <c r="Y42" s="3056">
        <f>IF(A42="","",IF(R42="","REST PENDENTE","REST OK"))</f>
      </c>
      <c r="Z42" s="3056">
        <f>IF(A42="","",IF(AND(R42&lt;&gt;"",COUNTIFS($D$3:$D$164,D42,$R$3:$R$164,"&lt;&gt;")&gt;1),"DUPLICADO","OK"))</f>
      </c>
      <c r="AA42" s="3056">
        <f>IF(A42="","",IF(OR(LEN(Q42)&gt;180,LEN(R42)&gt;180,LEN(S42)&gt;180,LEN(T42)&gt;180),"CAMINHO LONGO","OK"))</f>
      </c>
      <c r="AB42" s="3056">
        <f>IF(A42="","",IF(U42="","",IFERROR(INT(U42-TODAY()),"")))</f>
      </c>
      <c r="AC42" s="3056">
        <f>IF(A42="","",IF(AND(T42="",U42=""),"",IF(T42="","SEM CAMINHO",IF(U42="","SEM DATA",IFERROR(IF(AB42&lt;15,"VERMELHO",IF(AB42&lt;=30,"AMARELO","VERDE")),"DATA INVALIDA")))))</f>
      </c>
      <c r="AD42" s="3056">
        <f>IF(OR(A42="",U42="",NOT(ISNUMBER(AB42))),"",RANK(AB42,$AB$3:$AB$164,1)+COUNTIFS($AB$3:AB42,AB42)-1)</f>
      </c>
      <c r="AE42" s="1736"/>
    </row>
    <row r="43" spans="1:19" ht="22.0" hidden="false" customHeight="true" x14ac:dyDescent="0.25">
      <c r="A43" s="3069" t="s">
        <v>95</v>
      </c>
      <c r="B43" s="3068" t="s">
        <v>96</v>
      </c>
      <c r="C43" s="3068" t="s">
        <v>104</v>
      </c>
      <c r="D43" s="3068" t="s">
        <v>106</v>
      </c>
      <c r="E43" s="3068"/>
      <c r="F43" s="3068" t="s">
        <v>99</v>
      </c>
      <c r="G43" s="3068" t="s">
        <v>13</v>
      </c>
      <c r="H43" s="3068" t="s">
        <v>14</v>
      </c>
      <c r="I43" s="3068"/>
      <c r="J43" s="3068"/>
      <c r="K43" s="3068"/>
      <c r="L43" s="3068"/>
      <c r="M43" s="3068" t="s">
        <v>382</v>
      </c>
      <c r="N43" s="3068" t="s">
        <v>362</v>
      </c>
      <c r="O43" s="3068" t="s">
        <v>349</v>
      </c>
      <c r="P43" s="3068"/>
      <c r="Q43" s="3071"/>
      <c r="R43" s="3071"/>
      <c r="S43" s="3071"/>
      <c r="T43" s="3071"/>
      <c r="U43" s="3072"/>
      <c r="V43" s="3068"/>
      <c r="W43" s="3068"/>
      <c r="X43" s="3056">
        <f>IF(A43="","",IF(LEN(SUBSTITUTE(SUBSTITUTE(SUBSTITUTE(SUBSTITUTE(D43,".",""),"/",""),"-","")," ",""))&lt;&gt;14,"CNPJ INVALIDO","OK"))</f>
      </c>
      <c r="Y43" s="3056">
        <f>IF(A43="","",IF(R43="","REST PENDENTE","REST OK"))</f>
      </c>
      <c r="Z43" s="3056">
        <f>IF(A43="","",IF(AND(R43&lt;&gt;"",COUNTIFS($D$3:$D$164,D43,$R$3:$R$164,"&lt;&gt;")&gt;1),"DUPLICADO","OK"))</f>
      </c>
      <c r="AA43" s="3056">
        <f>IF(A43="","",IF(OR(LEN(Q43)&gt;180,LEN(R43)&gt;180,LEN(S43)&gt;180,LEN(T43)&gt;180),"CAMINHO LONGO","OK"))</f>
      </c>
      <c r="AB43" s="3056">
        <f>IF(A43="","",IF(U43="","",IFERROR(INT(U43-TODAY()),"")))</f>
      </c>
      <c r="AC43" s="3056">
        <f>IF(A43="","",IF(AND(T43="",U43=""),"",IF(T43="","SEM CAMINHO",IF(U43="","SEM DATA",IFERROR(IF(AB43&lt;15,"VERMELHO",IF(AB43&lt;=30,"AMARELO","VERDE")),"DATA INVALIDA")))))</f>
      </c>
      <c r="AD43" s="3056">
        <f>IF(OR(A43="",U43="",NOT(ISNUMBER(AB43))),"",RANK(AB43,$AB$3:$AB$164,1)+COUNTIFS($AB$3:AB43,AB43)-1)</f>
      </c>
      <c r="AE43" s="1736"/>
    </row>
    <row r="44" spans="1:19" ht="22.0" hidden="false" customHeight="true" x14ac:dyDescent="0.25">
      <c r="A44" s="3074" t="s">
        <v>107</v>
      </c>
      <c r="B44" s="3073" t="s">
        <v>108</v>
      </c>
      <c r="C44" s="3073" t="s">
        <v>62</v>
      </c>
      <c r="D44" s="3073">
        <v>50056304000149</v>
      </c>
      <c r="E44" s="3073"/>
      <c r="F44" s="3073" t="s">
        <v>109</v>
      </c>
      <c r="G44" s="3073" t="s">
        <v>4</v>
      </c>
      <c r="H44" s="3073" t="s">
        <v>49</v>
      </c>
      <c r="I44" s="3073"/>
      <c r="J44" s="3073"/>
      <c r="K44" s="3073"/>
      <c r="L44" s="3073"/>
      <c r="M44" s="3073" t="s">
        <v>379</v>
      </c>
      <c r="N44" s="3073"/>
      <c r="O44" s="3073" t="s">
        <v>349</v>
      </c>
      <c r="P44" s="3073"/>
      <c r="Q44" s="3076"/>
      <c r="R44" s="3076"/>
      <c r="S44" s="3076"/>
      <c r="T44" s="3076"/>
      <c r="U44" s="3077"/>
      <c r="V44" s="3073"/>
      <c r="W44" s="3073"/>
      <c r="X44" s="3056">
        <f>IF(A44="","",IF(LEN(SUBSTITUTE(SUBSTITUTE(SUBSTITUTE(SUBSTITUTE(D44,".",""),"/",""),"-","")," ",""))&lt;&gt;14,"CNPJ INVALIDO","OK"))</f>
      </c>
      <c r="Y44" s="3056">
        <f>IF(A44="","",IF(R44="","REST PENDENTE","REST OK"))</f>
      </c>
      <c r="Z44" s="3056">
        <f>IF(A44="","",IF(AND(R44&lt;&gt;"",COUNTIFS($D$3:$D$164,D44,$R$3:$R$164,"&lt;&gt;")&gt;1),"DUPLICADO","OK"))</f>
      </c>
      <c r="AA44" s="3056">
        <f>IF(A44="","",IF(OR(LEN(Q44)&gt;180,LEN(R44)&gt;180,LEN(S44)&gt;180,LEN(T44)&gt;180),"CAMINHO LONGO","OK"))</f>
      </c>
      <c r="AB44" s="3056">
        <f>IF(A44="","",IF(U44="","",IFERROR(INT(U44-TODAY()),"")))</f>
      </c>
      <c r="AC44" s="3056">
        <f>IF(A44="","",IF(AND(T44="",U44=""),"",IF(T44="","SEM CAMINHO",IF(U44="","SEM DATA",IFERROR(IF(AB44&lt;15,"VERMELHO",IF(AB44&lt;=30,"AMARELO","VERDE")),"DATA INVALIDA")))))</f>
      </c>
      <c r="AD44" s="3056">
        <f>IF(OR(A44="",U44="",NOT(ISNUMBER(AB44))),"",RANK(AB44,$AB$3:$AB$164,1)+COUNTIFS($AB$3:AB44,AB44)-1)</f>
      </c>
      <c r="AE44" s="1736"/>
    </row>
    <row r="45" spans="1:19" ht="22.0" hidden="false" customHeight="true" x14ac:dyDescent="0.25">
      <c r="A45" s="3069" t="s">
        <v>110</v>
      </c>
      <c r="B45" s="3068" t="s">
        <v>108</v>
      </c>
      <c r="C45" s="3068" t="s">
        <v>62</v>
      </c>
      <c r="D45" s="3068">
        <v>59971731000127</v>
      </c>
      <c r="E45" s="3068"/>
      <c r="F45" s="3068" t="s">
        <v>109</v>
      </c>
      <c r="G45" s="3068" t="s">
        <v>4</v>
      </c>
      <c r="H45" s="3068" t="s">
        <v>49</v>
      </c>
      <c r="I45" s="3068"/>
      <c r="J45" s="3068"/>
      <c r="K45" s="3068"/>
      <c r="L45" s="3068"/>
      <c r="M45" s="3068" t="s">
        <v>379</v>
      </c>
      <c r="N45" s="3068"/>
      <c r="O45" s="3068" t="s">
        <v>349</v>
      </c>
      <c r="P45" s="3068"/>
      <c r="Q45" s="3071"/>
      <c r="R45" s="3071"/>
      <c r="S45" s="3071"/>
      <c r="T45" s="3071"/>
      <c r="U45" s="3072"/>
      <c r="V45" s="3068"/>
      <c r="W45" s="3068"/>
      <c r="X45" s="3056">
        <f>IF(A45="","",IF(LEN(SUBSTITUTE(SUBSTITUTE(SUBSTITUTE(SUBSTITUTE(D45,".",""),"/",""),"-","")," ",""))&lt;&gt;14,"CNPJ INVALIDO","OK"))</f>
      </c>
      <c r="Y45" s="3056">
        <f>IF(A45="","",IF(R45="","REST PENDENTE","REST OK"))</f>
      </c>
      <c r="Z45" s="3056">
        <f>IF(A45="","",IF(AND(R45&lt;&gt;"",COUNTIFS($D$3:$D$164,D45,$R$3:$R$164,"&lt;&gt;")&gt;1),"DUPLICADO","OK"))</f>
      </c>
      <c r="AA45" s="3056">
        <f>IF(A45="","",IF(OR(LEN(Q45)&gt;180,LEN(R45)&gt;180,LEN(S45)&gt;180,LEN(T45)&gt;180),"CAMINHO LONGO","OK"))</f>
      </c>
      <c r="AB45" s="3056">
        <f>IF(A45="","",IF(U45="","",IFERROR(INT(U45-TODAY()),"")))</f>
      </c>
      <c r="AC45" s="3056">
        <f>IF(A45="","",IF(AND(T45="",U45=""),"",IF(T45="","SEM CAMINHO",IF(U45="","SEM DATA",IFERROR(IF(AB45&lt;15,"VERMELHO",IF(AB45&lt;=30,"AMARELO","VERDE")),"DATA INVALIDA")))))</f>
      </c>
      <c r="AD45" s="3056">
        <f>IF(OR(A45="",U45="",NOT(ISNUMBER(AB45))),"",RANK(AB45,$AB$3:$AB$164,1)+COUNTIFS($AB$3:AB45,AB45)-1)</f>
      </c>
      <c r="AE45" s="1736"/>
    </row>
    <row r="46" spans="1:19" ht="22.0" hidden="false" customHeight="true" x14ac:dyDescent="0.25">
      <c r="A46" s="3074" t="s">
        <v>111</v>
      </c>
      <c r="B46" s="3073" t="s">
        <v>108</v>
      </c>
      <c r="C46" s="3073" t="s">
        <v>69</v>
      </c>
      <c r="D46" s="3073" t="s">
        <v>112</v>
      </c>
      <c r="E46" s="3073"/>
      <c r="F46" s="3073" t="s">
        <v>113</v>
      </c>
      <c r="G46" s="3073" t="s">
        <v>13</v>
      </c>
      <c r="H46" s="3073" t="s">
        <v>49</v>
      </c>
      <c r="I46" s="3073"/>
      <c r="J46" s="3073"/>
      <c r="K46" s="3073"/>
      <c r="L46" s="3073"/>
      <c r="M46" s="3073" t="s">
        <v>377</v>
      </c>
      <c r="N46" s="3073"/>
      <c r="O46" s="3073" t="s">
        <v>347</v>
      </c>
      <c r="P46" s="3073"/>
      <c r="Q46" s="3076"/>
      <c r="R46" s="3076"/>
      <c r="S46" s="3076"/>
      <c r="T46" s="3076"/>
      <c r="U46" s="3077"/>
      <c r="V46" s="3073"/>
      <c r="W46" s="3073"/>
      <c r="X46" s="3056">
        <f>IF(A46="","",IF(LEN(SUBSTITUTE(SUBSTITUTE(SUBSTITUTE(SUBSTITUTE(D46,".",""),"/",""),"-","")," ",""))&lt;&gt;14,"CNPJ INVALIDO","OK"))</f>
      </c>
      <c r="Y46" s="3056">
        <f>IF(A46="","",IF(R46="","REST PENDENTE","REST OK"))</f>
      </c>
      <c r="Z46" s="3056">
        <f>IF(A46="","",IF(AND(R46&lt;&gt;"",COUNTIFS($D$3:$D$164,D46,$R$3:$R$164,"&lt;&gt;")&gt;1),"DUPLICADO","OK"))</f>
      </c>
      <c r="AA46" s="3056">
        <f>IF(A46="","",IF(OR(LEN(Q46)&gt;180,LEN(R46)&gt;180,LEN(S46)&gt;180,LEN(T46)&gt;180),"CAMINHO LONGO","OK"))</f>
      </c>
      <c r="AB46" s="3056">
        <f>IF(A46="","",IF(U46="","",IFERROR(INT(U46-TODAY()),"")))</f>
      </c>
      <c r="AC46" s="3056">
        <f>IF(A46="","",IF(AND(T46="",U46=""),"",IF(T46="","SEM CAMINHO",IF(U46="","SEM DATA",IFERROR(IF(AB46&lt;15,"VERMELHO",IF(AB46&lt;=30,"AMARELO","VERDE")),"DATA INVALIDA")))))</f>
      </c>
      <c r="AD46" s="3056">
        <f>IF(OR(A46="",U46="",NOT(ISNUMBER(AB46))),"",RANK(AB46,$AB$3:$AB$164,1)+COUNTIFS($AB$3:AB46,AB46)-1)</f>
      </c>
      <c r="AE46" s="1736"/>
    </row>
    <row r="47" spans="1:19" ht="22.0" hidden="false" customHeight="true" x14ac:dyDescent="0.25">
      <c r="A47" s="3069" t="s">
        <v>114</v>
      </c>
      <c r="B47" s="3068" t="s">
        <v>115</v>
      </c>
      <c r="C47" s="3068" t="s">
        <v>116</v>
      </c>
      <c r="D47" s="3068" t="s">
        <v>117</v>
      </c>
      <c r="E47" s="3068"/>
      <c r="F47" s="3068" t="s">
        <v>118</v>
      </c>
      <c r="G47" s="3068" t="s">
        <v>13</v>
      </c>
      <c r="H47" s="3068" t="s">
        <v>14</v>
      </c>
      <c r="I47" s="3068"/>
      <c r="J47" s="3068"/>
      <c r="K47" s="3068"/>
      <c r="L47" s="3068"/>
      <c r="M47" s="3068" t="s">
        <v>377</v>
      </c>
      <c r="N47" s="3068"/>
      <c r="O47" s="3068" t="s">
        <v>350</v>
      </c>
      <c r="P47" s="3068"/>
      <c r="Q47" s="3071"/>
      <c r="R47" s="3071"/>
      <c r="S47" s="3071"/>
      <c r="T47" s="3071"/>
      <c r="U47" s="3072"/>
      <c r="V47" s="3068"/>
      <c r="W47" s="3068"/>
      <c r="X47" s="3056">
        <f>IF(A47="","",IF(LEN(SUBSTITUTE(SUBSTITUTE(SUBSTITUTE(SUBSTITUTE(D47,".",""),"/",""),"-","")," ",""))&lt;&gt;14,"CNPJ INVALIDO","OK"))</f>
      </c>
      <c r="Y47" s="3056">
        <f>IF(A47="","",IF(R47="","REST PENDENTE","REST OK"))</f>
      </c>
      <c r="Z47" s="3056">
        <f>IF(A47="","",IF(AND(R47&lt;&gt;"",COUNTIFS($D$3:$D$164,D47,$R$3:$R$164,"&lt;&gt;")&gt;1),"DUPLICADO","OK"))</f>
      </c>
      <c r="AA47" s="3056">
        <f>IF(A47="","",IF(OR(LEN(Q47)&gt;180,LEN(R47)&gt;180,LEN(S47)&gt;180,LEN(T47)&gt;180),"CAMINHO LONGO","OK"))</f>
      </c>
      <c r="AB47" s="3056">
        <f>IF(A47="","",IF(U47="","",IFERROR(INT(U47-TODAY()),"")))</f>
      </c>
      <c r="AC47" s="3056">
        <f>IF(A47="","",IF(AND(T47="",U47=""),"",IF(T47="","SEM CAMINHO",IF(U47="","SEM DATA",IFERROR(IF(AB47&lt;15,"VERMELHO",IF(AB47&lt;=30,"AMARELO","VERDE")),"DATA INVALIDA")))))</f>
      </c>
      <c r="AD47" s="3056">
        <f>IF(OR(A47="",U47="",NOT(ISNUMBER(AB47))),"",RANK(AB47,$AB$3:$AB$164,1)+COUNTIFS($AB$3:AB47,AB47)-1)</f>
      </c>
      <c r="AE47" s="1736"/>
    </row>
    <row r="48" spans="1:19" ht="22.0" hidden="false" customHeight="true" x14ac:dyDescent="0.25">
      <c r="A48" s="3074" t="s">
        <v>119</v>
      </c>
      <c r="B48" s="3073" t="s">
        <v>115</v>
      </c>
      <c r="C48" s="3073" t="s">
        <v>116</v>
      </c>
      <c r="D48" s="3073" t="s">
        <v>120</v>
      </c>
      <c r="E48" s="3073"/>
      <c r="F48" s="3073" t="s">
        <v>118</v>
      </c>
      <c r="G48" s="3073" t="s">
        <v>13</v>
      </c>
      <c r="H48" s="3073" t="s">
        <v>14</v>
      </c>
      <c r="I48" s="3073"/>
      <c r="J48" s="3073"/>
      <c r="K48" s="3073"/>
      <c r="L48" s="3073"/>
      <c r="M48" s="3073" t="s">
        <v>376</v>
      </c>
      <c r="N48" s="3073"/>
      <c r="O48" s="3073" t="s">
        <v>347</v>
      </c>
      <c r="P48" s="3073"/>
      <c r="Q48" s="3076"/>
      <c r="R48" s="3076"/>
      <c r="S48" s="3076"/>
      <c r="T48" s="3076"/>
      <c r="U48" s="3077"/>
      <c r="V48" s="3073"/>
      <c r="W48" s="3073"/>
      <c r="X48" s="3056">
        <f>IF(A48="","",IF(LEN(SUBSTITUTE(SUBSTITUTE(SUBSTITUTE(SUBSTITUTE(D48,".",""),"/",""),"-","")," ",""))&lt;&gt;14,"CNPJ INVALIDO","OK"))</f>
      </c>
      <c r="Y48" s="3056">
        <f>IF(A48="","",IF(R48="","REST PENDENTE","REST OK"))</f>
      </c>
      <c r="Z48" s="3056">
        <f>IF(A48="","",IF(AND(R48&lt;&gt;"",COUNTIFS($D$3:$D$164,D48,$R$3:$R$164,"&lt;&gt;")&gt;1),"DUPLICADO","OK"))</f>
      </c>
      <c r="AA48" s="3056">
        <f>IF(A48="","",IF(OR(LEN(Q48)&gt;180,LEN(R48)&gt;180,LEN(S48)&gt;180,LEN(T48)&gt;180),"CAMINHO LONGO","OK"))</f>
      </c>
      <c r="AB48" s="3056">
        <f>IF(A48="","",IF(U48="","",IFERROR(INT(U48-TODAY()),"")))</f>
      </c>
      <c r="AC48" s="3056">
        <f>IF(A48="","",IF(AND(T48="",U48=""),"",IF(T48="","SEM CAMINHO",IF(U48="","SEM DATA",IFERROR(IF(AB48&lt;15,"VERMELHO",IF(AB48&lt;=30,"AMARELO","VERDE")),"DATA INVALIDA")))))</f>
      </c>
      <c r="AD48" s="3056">
        <f>IF(OR(A48="",U48="",NOT(ISNUMBER(AB48))),"",RANK(AB48,$AB$3:$AB$164,1)+COUNTIFS($AB$3:AB48,AB48)-1)</f>
      </c>
      <c r="AE48" s="1736"/>
    </row>
    <row r="49" spans="1:19" ht="22.0" hidden="false" customHeight="true" x14ac:dyDescent="0.25">
      <c r="A49" s="3069" t="s">
        <v>121</v>
      </c>
      <c r="B49" s="3068" t="s">
        <v>115</v>
      </c>
      <c r="C49" s="3068" t="s">
        <v>122</v>
      </c>
      <c r="D49" s="3068">
        <v>44742752000101</v>
      </c>
      <c r="E49" s="3068"/>
      <c r="F49" s="3068" t="s">
        <v>118</v>
      </c>
      <c r="G49" s="3068" t="s">
        <v>4</v>
      </c>
      <c r="H49" s="3068" t="s">
        <v>5</v>
      </c>
      <c r="I49" s="3068"/>
      <c r="J49" s="3068"/>
      <c r="K49" s="3068"/>
      <c r="L49" s="3068"/>
      <c r="M49" s="3068" t="s">
        <v>376</v>
      </c>
      <c r="N49" s="3068"/>
      <c r="O49" s="3068" t="s">
        <v>349</v>
      </c>
      <c r="P49" s="3068"/>
      <c r="Q49" s="3071"/>
      <c r="R49" s="3071"/>
      <c r="S49" s="3071"/>
      <c r="T49" s="3071"/>
      <c r="U49" s="3072"/>
      <c r="V49" s="3068"/>
      <c r="W49" s="3068"/>
      <c r="X49" s="3056">
        <f>IF(A49="","",IF(LEN(SUBSTITUTE(SUBSTITUTE(SUBSTITUTE(SUBSTITUTE(D49,".",""),"/",""),"-","")," ",""))&lt;&gt;14,"CNPJ INVALIDO","OK"))</f>
      </c>
      <c r="Y49" s="3056">
        <f>IF(A49="","",IF(R49="","REST PENDENTE","REST OK"))</f>
      </c>
      <c r="Z49" s="3056">
        <f>IF(A49="","",IF(AND(R49&lt;&gt;"",COUNTIFS($D$3:$D$164,D49,$R$3:$R$164,"&lt;&gt;")&gt;1),"DUPLICADO","OK"))</f>
      </c>
      <c r="AA49" s="3056">
        <f>IF(A49="","",IF(OR(LEN(Q49)&gt;180,LEN(R49)&gt;180,LEN(S49)&gt;180,LEN(T49)&gt;180),"CAMINHO LONGO","OK"))</f>
      </c>
      <c r="AB49" s="3056">
        <f>IF(A49="","",IF(U49="","",IFERROR(INT(U49-TODAY()),"")))</f>
      </c>
      <c r="AC49" s="3056">
        <f>IF(A49="","",IF(AND(T49="",U49=""),"",IF(T49="","SEM CAMINHO",IF(U49="","SEM DATA",IFERROR(IF(AB49&lt;15,"VERMELHO",IF(AB49&lt;=30,"AMARELO","VERDE")),"DATA INVALIDA")))))</f>
      </c>
      <c r="AD49" s="3056">
        <f>IF(OR(A49="",U49="",NOT(ISNUMBER(AB49))),"",RANK(AB49,$AB$3:$AB$164,1)+COUNTIFS($AB$3:AB49,AB49)-1)</f>
      </c>
      <c r="AE49" s="1736"/>
    </row>
    <row r="50" spans="1:19" ht="22.0" hidden="false" customHeight="true" x14ac:dyDescent="0.25">
      <c r="A50" s="3074" t="s">
        <v>123</v>
      </c>
      <c r="B50" s="3073" t="s">
        <v>115</v>
      </c>
      <c r="C50" s="3073" t="s">
        <v>116</v>
      </c>
      <c r="D50" s="3073" t="s">
        <v>124</v>
      </c>
      <c r="E50" s="3073"/>
      <c r="F50" s="3073" t="s">
        <v>125</v>
      </c>
      <c r="G50" s="3073" t="s">
        <v>13</v>
      </c>
      <c r="H50" s="3073" t="s">
        <v>14</v>
      </c>
      <c r="I50" s="3073"/>
      <c r="J50" s="3073"/>
      <c r="K50" s="3073"/>
      <c r="L50" s="3073"/>
      <c r="M50" s="3073" t="s">
        <v>379</v>
      </c>
      <c r="N50" s="3073"/>
      <c r="O50" s="3073" t="s">
        <v>349</v>
      </c>
      <c r="P50" s="3073"/>
      <c r="Q50" s="3076"/>
      <c r="R50" s="3076"/>
      <c r="S50" s="3076"/>
      <c r="T50" s="3076"/>
      <c r="U50" s="3077"/>
      <c r="V50" s="3073"/>
      <c r="W50" s="3073"/>
      <c r="X50" s="3056">
        <f>IF(A50="","",IF(LEN(SUBSTITUTE(SUBSTITUTE(SUBSTITUTE(SUBSTITUTE(D50,".",""),"/",""),"-","")," ",""))&lt;&gt;14,"CNPJ INVALIDO","OK"))</f>
      </c>
      <c r="Y50" s="3056">
        <f>IF(A50="","",IF(R50="","REST PENDENTE","REST OK"))</f>
      </c>
      <c r="Z50" s="3056">
        <f>IF(A50="","",IF(AND(R50&lt;&gt;"",COUNTIFS($D$3:$D$164,D50,$R$3:$R$164,"&lt;&gt;")&gt;1),"DUPLICADO","OK"))</f>
      </c>
      <c r="AA50" s="3056">
        <f>IF(A50="","",IF(OR(LEN(Q50)&gt;180,LEN(R50)&gt;180,LEN(S50)&gt;180,LEN(T50)&gt;180),"CAMINHO LONGO","OK"))</f>
      </c>
      <c r="AB50" s="3056">
        <f>IF(A50="","",IF(U50="","",IFERROR(INT(U50-TODAY()),"")))</f>
      </c>
      <c r="AC50" s="3056">
        <f>IF(A50="","",IF(AND(T50="",U50=""),"",IF(T50="","SEM CAMINHO",IF(U50="","SEM DATA",IFERROR(IF(AB50&lt;15,"VERMELHO",IF(AB50&lt;=30,"AMARELO","VERDE")),"DATA INVALIDA")))))</f>
      </c>
      <c r="AD50" s="3056">
        <f>IF(OR(A50="",U50="",NOT(ISNUMBER(AB50))),"",RANK(AB50,$AB$3:$AB$164,1)+COUNTIFS($AB$3:AB50,AB50)-1)</f>
      </c>
      <c r="AE50" s="1736"/>
    </row>
    <row r="51" spans="1:19" ht="22.0" hidden="false" customHeight="true" x14ac:dyDescent="0.25">
      <c r="A51" s="3069" t="s">
        <v>126</v>
      </c>
      <c r="B51" s="3068" t="s">
        <v>115</v>
      </c>
      <c r="C51" s="3068" t="s">
        <v>122</v>
      </c>
      <c r="D51" s="3068">
        <v>44777527000100</v>
      </c>
      <c r="E51" s="3068"/>
      <c r="F51" s="3068" t="s">
        <v>125</v>
      </c>
      <c r="G51" s="3068" t="s">
        <v>4</v>
      </c>
      <c r="H51" s="3068" t="s">
        <v>5</v>
      </c>
      <c r="I51" s="3068"/>
      <c r="J51" s="3068"/>
      <c r="K51" s="3068"/>
      <c r="L51" s="3068"/>
      <c r="M51" s="3068" t="s">
        <v>379</v>
      </c>
      <c r="N51" s="3068"/>
      <c r="O51" s="3068" t="s">
        <v>349</v>
      </c>
      <c r="P51" s="3068"/>
      <c r="Q51" s="3071"/>
      <c r="R51" s="3071"/>
      <c r="S51" s="3071"/>
      <c r="T51" s="3071"/>
      <c r="U51" s="3072"/>
      <c r="V51" s="3068"/>
      <c r="W51" s="3068"/>
      <c r="X51" s="3056">
        <f>IF(A51="","",IF(LEN(SUBSTITUTE(SUBSTITUTE(SUBSTITUTE(SUBSTITUTE(D51,".",""),"/",""),"-","")," ",""))&lt;&gt;14,"CNPJ INVALIDO","OK"))</f>
      </c>
      <c r="Y51" s="3056">
        <f>IF(A51="","",IF(R51="","REST PENDENTE","REST OK"))</f>
      </c>
      <c r="Z51" s="3056">
        <f>IF(A51="","",IF(AND(R51&lt;&gt;"",COUNTIFS($D$3:$D$164,D51,$R$3:$R$164,"&lt;&gt;")&gt;1),"DUPLICADO","OK"))</f>
      </c>
      <c r="AA51" s="3056">
        <f>IF(A51="","",IF(OR(LEN(Q51)&gt;180,LEN(R51)&gt;180,LEN(S51)&gt;180,LEN(T51)&gt;180),"CAMINHO LONGO","OK"))</f>
      </c>
      <c r="AB51" s="3056">
        <f>IF(A51="","",IF(U51="","",IFERROR(INT(U51-TODAY()),"")))</f>
      </c>
      <c r="AC51" s="3056">
        <f>IF(A51="","",IF(AND(T51="",U51=""),"",IF(T51="","SEM CAMINHO",IF(U51="","SEM DATA",IFERROR(IF(AB51&lt;15,"VERMELHO",IF(AB51&lt;=30,"AMARELO","VERDE")),"DATA INVALIDA")))))</f>
      </c>
      <c r="AD51" s="3056">
        <f>IF(OR(A51="",U51="",NOT(ISNUMBER(AB51))),"",RANK(AB51,$AB$3:$AB$164,1)+COUNTIFS($AB$3:AB51,AB51)-1)</f>
      </c>
      <c r="AE51" s="1736"/>
    </row>
    <row r="52" spans="1:19" ht="22.0" hidden="false" customHeight="true" x14ac:dyDescent="0.25">
      <c r="A52" s="3074" t="s">
        <v>127</v>
      </c>
      <c r="B52" s="3073" t="s">
        <v>115</v>
      </c>
      <c r="C52" s="3073" t="s">
        <v>122</v>
      </c>
      <c r="D52" s="3073">
        <v>44796284000140</v>
      </c>
      <c r="E52" s="3073"/>
      <c r="F52" s="3073" t="s">
        <v>125</v>
      </c>
      <c r="G52" s="3073" t="s">
        <v>4</v>
      </c>
      <c r="H52" s="3073" t="s">
        <v>5</v>
      </c>
      <c r="I52" s="3073"/>
      <c r="J52" s="3073"/>
      <c r="K52" s="3073"/>
      <c r="L52" s="3073"/>
      <c r="M52" s="3073" t="s">
        <v>379</v>
      </c>
      <c r="N52" s="3073"/>
      <c r="O52" s="3073" t="s">
        <v>349</v>
      </c>
      <c r="P52" s="3073"/>
      <c r="Q52" s="3076"/>
      <c r="R52" s="3076"/>
      <c r="S52" s="3076"/>
      <c r="T52" s="3076"/>
      <c r="U52" s="3077"/>
      <c r="V52" s="3073"/>
      <c r="W52" s="3073"/>
      <c r="X52" s="3056">
        <f>IF(A52="","",IF(LEN(SUBSTITUTE(SUBSTITUTE(SUBSTITUTE(SUBSTITUTE(D52,".",""),"/",""),"-","")," ",""))&lt;&gt;14,"CNPJ INVALIDO","OK"))</f>
      </c>
      <c r="Y52" s="3056">
        <f>IF(A52="","",IF(R52="","REST PENDENTE","REST OK"))</f>
      </c>
      <c r="Z52" s="3056">
        <f>IF(A52="","",IF(AND(R52&lt;&gt;"",COUNTIFS($D$3:$D$164,D52,$R$3:$R$164,"&lt;&gt;")&gt;1),"DUPLICADO","OK"))</f>
      </c>
      <c r="AA52" s="3056">
        <f>IF(A52="","",IF(OR(LEN(Q52)&gt;180,LEN(R52)&gt;180,LEN(S52)&gt;180,LEN(T52)&gt;180),"CAMINHO LONGO","OK"))</f>
      </c>
      <c r="AB52" s="3056">
        <f>IF(A52="","",IF(U52="","",IFERROR(INT(U52-TODAY()),"")))</f>
      </c>
      <c r="AC52" s="3056">
        <f>IF(A52="","",IF(AND(T52="",U52=""),"",IF(T52="","SEM CAMINHO",IF(U52="","SEM DATA",IFERROR(IF(AB52&lt;15,"VERMELHO",IF(AB52&lt;=30,"AMARELO","VERDE")),"DATA INVALIDA")))))</f>
      </c>
      <c r="AD52" s="3056">
        <f>IF(OR(A52="",U52="",NOT(ISNUMBER(AB52))),"",RANK(AB52,$AB$3:$AB$164,1)+COUNTIFS($AB$3:AB52,AB52)-1)</f>
      </c>
      <c r="AE52" s="1736"/>
    </row>
    <row r="53" spans="1:19" ht="22.0" customHeight="true" thickTop="1" x14ac:dyDescent="0.25" hidden="false">
      <c r="A53" s="3069" t="s">
        <v>128</v>
      </c>
      <c r="B53" s="3068" t="s">
        <v>129</v>
      </c>
      <c r="C53" s="3068" t="s">
        <v>16</v>
      </c>
      <c r="D53" s="3068" t="s">
        <v>130</v>
      </c>
      <c r="E53" s="3068"/>
      <c r="F53" s="3068" t="s">
        <v>109</v>
      </c>
      <c r="G53" s="3068" t="s">
        <v>13</v>
      </c>
      <c r="H53" s="3068" t="s">
        <v>14</v>
      </c>
      <c r="I53" s="3068"/>
      <c r="J53" s="3068"/>
      <c r="K53" s="3068"/>
      <c r="L53" s="3068"/>
      <c r="M53" s="3068" t="s">
        <v>384</v>
      </c>
      <c r="N53" s="3068"/>
      <c r="O53" s="3068"/>
      <c r="P53" s="3068"/>
      <c r="Q53" s="3071"/>
      <c r="R53" s="3071"/>
      <c r="S53" s="3071"/>
      <c r="T53" s="3071"/>
      <c r="U53" s="3072"/>
      <c r="V53" s="3068"/>
      <c r="W53" s="3068"/>
      <c r="X53" s="3056">
        <f>IF(A53="","",IF(LEN(SUBSTITUTE(SUBSTITUTE(SUBSTITUTE(SUBSTITUTE(D53,".",""),"/",""),"-","")," ",""))&lt;&gt;14,"CNPJ INVALIDO","OK"))</f>
      </c>
      <c r="Y53" s="3056">
        <f>IF(A53="","",IF(R53="","REST PENDENTE","REST OK"))</f>
      </c>
      <c r="Z53" s="3056">
        <f>IF(A53="","",IF(AND(R53&lt;&gt;"",COUNTIFS($D$3:$D$164,D53,$R$3:$R$164,"&lt;&gt;")&gt;1),"DUPLICADO","OK"))</f>
      </c>
      <c r="AA53" s="3056">
        <f>IF(A53="","",IF(OR(LEN(Q53)&gt;180,LEN(R53)&gt;180,LEN(S53)&gt;180,LEN(T53)&gt;180),"CAMINHO LONGO","OK"))</f>
      </c>
      <c r="AB53" s="3056">
        <f>IF(A53="","",IF(U53="","",IFERROR(INT(U53-TODAY()),"")))</f>
      </c>
      <c r="AC53" s="3056">
        <f>IF(A53="","",IF(AND(T53="",U53=""),"",IF(T53="","SEM CAMINHO",IF(U53="","SEM DATA",IFERROR(IF(AB53&lt;15,"VERMELHO",IF(AB53&lt;=30,"AMARELO","VERDE")),"DATA INVALIDA")))))</f>
      </c>
      <c r="AD53" s="3056">
        <f>IF(OR(A53="",U53="",NOT(ISNUMBER(AB53))),"",RANK(AB53,$AB$3:$AB$164,1)+COUNTIFS($AB$3:AB53,AB53)-1)</f>
      </c>
      <c r="AE53" s="1736"/>
    </row>
    <row r="54" spans="1:19" ht="22.0" hidden="false" customHeight="true" x14ac:dyDescent="0.25">
      <c r="A54" s="3074" t="s">
        <v>131</v>
      </c>
      <c r="B54" s="3073" t="s">
        <v>132</v>
      </c>
      <c r="C54" s="3073" t="s">
        <v>62</v>
      </c>
      <c r="D54" s="3073">
        <v>19318532000108</v>
      </c>
      <c r="E54" s="3073"/>
      <c r="F54" s="3073" t="s">
        <v>66</v>
      </c>
      <c r="G54" s="3073" t="s">
        <v>4</v>
      </c>
      <c r="H54" s="3073" t="s">
        <v>5</v>
      </c>
      <c r="I54" s="3073"/>
      <c r="J54" s="3073"/>
      <c r="K54" s="3073"/>
      <c r="L54" s="3073"/>
      <c r="M54" s="3073" t="s">
        <v>377</v>
      </c>
      <c r="N54" s="3073"/>
      <c r="O54" s="3073" t="s">
        <v>347</v>
      </c>
      <c r="P54" s="3073"/>
      <c r="Q54" s="3076"/>
      <c r="R54" s="3076"/>
      <c r="S54" s="3076"/>
      <c r="T54" s="3076"/>
      <c r="U54" s="3077"/>
      <c r="V54" s="3073"/>
      <c r="W54" s="3073"/>
      <c r="X54" s="3056">
        <f>IF(A54="","",IF(LEN(SUBSTITUTE(SUBSTITUTE(SUBSTITUTE(SUBSTITUTE(D54,".",""),"/",""),"-","")," ",""))&lt;&gt;14,"CNPJ INVALIDO","OK"))</f>
      </c>
      <c r="Y54" s="3056">
        <f>IF(A54="","",IF(R54="","REST PENDENTE","REST OK"))</f>
      </c>
      <c r="Z54" s="3056">
        <f>IF(A54="","",IF(AND(R54&lt;&gt;"",COUNTIFS($D$3:$D$164,D54,$R$3:$R$164,"&lt;&gt;")&gt;1),"DUPLICADO","OK"))</f>
      </c>
      <c r="AA54" s="3056">
        <f>IF(A54="","",IF(OR(LEN(Q54)&gt;180,LEN(R54)&gt;180,LEN(S54)&gt;180,LEN(T54)&gt;180),"CAMINHO LONGO","OK"))</f>
      </c>
      <c r="AB54" s="3056">
        <f>IF(A54="","",IF(U54="","",IFERROR(INT(U54-TODAY()),"")))</f>
      </c>
      <c r="AC54" s="3056">
        <f>IF(A54="","",IF(AND(T54="",U54=""),"",IF(T54="","SEM CAMINHO",IF(U54="","SEM DATA",IFERROR(IF(AB54&lt;15,"VERMELHO",IF(AB54&lt;=30,"AMARELO","VERDE")),"DATA INVALIDA")))))</f>
      </c>
      <c r="AD54" s="3056">
        <f>IF(OR(A54="",U54="",NOT(ISNUMBER(AB54))),"",RANK(AB54,$AB$3:$AB$164,1)+COUNTIFS($AB$3:AB54,AB54)-1)</f>
      </c>
      <c r="AE54" s="1736"/>
    </row>
    <row r="55" spans="1:19" ht="22.0" hidden="false" customHeight="true" x14ac:dyDescent="0.25">
      <c r="A55" s="3069" t="s">
        <v>133</v>
      </c>
      <c r="B55" s="3068" t="s">
        <v>134</v>
      </c>
      <c r="C55" s="3068" t="s">
        <v>116</v>
      </c>
      <c r="D55" s="3068" t="s">
        <v>135</v>
      </c>
      <c r="E55" s="3068"/>
      <c r="F55" s="3068" t="s">
        <v>136</v>
      </c>
      <c r="G55" s="3068" t="s">
        <v>41</v>
      </c>
      <c r="H55" s="3068" t="s">
        <v>5</v>
      </c>
      <c r="I55" s="3068"/>
      <c r="J55" s="3068"/>
      <c r="K55" s="3068"/>
      <c r="L55" s="3068"/>
      <c r="M55" s="3068" t="s">
        <v>379</v>
      </c>
      <c r="N55" s="3068"/>
      <c r="O55" s="3068" t="s">
        <v>351</v>
      </c>
      <c r="P55" s="3068"/>
      <c r="Q55" s="3071"/>
      <c r="R55" s="3071"/>
      <c r="S55" s="3071"/>
      <c r="T55" s="3071"/>
      <c r="U55" s="3072"/>
      <c r="V55" s="3068"/>
      <c r="W55" s="3068"/>
      <c r="X55" s="3056">
        <f>IF(A55="","",IF(LEN(SUBSTITUTE(SUBSTITUTE(SUBSTITUTE(SUBSTITUTE(D55,".",""),"/",""),"-","")," ",""))&lt;&gt;14,"CNPJ INVALIDO","OK"))</f>
      </c>
      <c r="Y55" s="3056">
        <f>IF(A55="","",IF(R55="","REST PENDENTE","REST OK"))</f>
      </c>
      <c r="Z55" s="3056">
        <f>IF(A55="","",IF(AND(R55&lt;&gt;"",COUNTIFS($D$3:$D$164,D55,$R$3:$R$164,"&lt;&gt;")&gt;1),"DUPLICADO","OK"))</f>
      </c>
      <c r="AA55" s="3056">
        <f>IF(A55="","",IF(OR(LEN(Q55)&gt;180,LEN(R55)&gt;180,LEN(S55)&gt;180,LEN(T55)&gt;180),"CAMINHO LONGO","OK"))</f>
      </c>
      <c r="AB55" s="3056">
        <f>IF(A55="","",IF(U55="","",IFERROR(INT(U55-TODAY()),"")))</f>
      </c>
      <c r="AC55" s="3056">
        <f>IF(A55="","",IF(AND(T55="",U55=""),"",IF(T55="","SEM CAMINHO",IF(U55="","SEM DATA",IFERROR(IF(AB55&lt;15,"VERMELHO",IF(AB55&lt;=30,"AMARELO","VERDE")),"DATA INVALIDA")))))</f>
      </c>
      <c r="AD55" s="3056">
        <f>IF(OR(A55="",U55="",NOT(ISNUMBER(AB55))),"",RANK(AB55,$AB$3:$AB$164,1)+COUNTIFS($AB$3:AB55,AB55)-1)</f>
      </c>
      <c r="AE55" s="1736"/>
    </row>
    <row r="56" spans="1:19" ht="22.0" hidden="false" customHeight="true" x14ac:dyDescent="0.25">
      <c r="A56" s="3074" t="s">
        <v>137</v>
      </c>
      <c r="B56" s="3073" t="s">
        <v>134</v>
      </c>
      <c r="C56" s="3073" t="s">
        <v>122</v>
      </c>
      <c r="D56" s="3073">
        <v>34046667000147</v>
      </c>
      <c r="E56" s="3073"/>
      <c r="F56" s="3073" t="s">
        <v>138</v>
      </c>
      <c r="G56" s="3073" t="s">
        <v>4</v>
      </c>
      <c r="H56" s="3073" t="s">
        <v>5</v>
      </c>
      <c r="I56" s="3073"/>
      <c r="J56" s="3073"/>
      <c r="K56" s="3073"/>
      <c r="L56" s="3073"/>
      <c r="M56" s="3073" t="s">
        <v>385</v>
      </c>
      <c r="N56" s="3073"/>
      <c r="O56" s="3073" t="s">
        <v>351</v>
      </c>
      <c r="P56" s="3073"/>
      <c r="Q56" s="3076"/>
      <c r="R56" s="3076"/>
      <c r="S56" s="3076"/>
      <c r="T56" s="3076"/>
      <c r="U56" s="3077"/>
      <c r="V56" s="3073"/>
      <c r="W56" s="3073"/>
      <c r="X56" s="3056">
        <f>IF(A56="","",IF(LEN(SUBSTITUTE(SUBSTITUTE(SUBSTITUTE(SUBSTITUTE(D56,".",""),"/",""),"-","")," ",""))&lt;&gt;14,"CNPJ INVALIDO","OK"))</f>
      </c>
      <c r="Y56" s="3056">
        <f>IF(A56="","",IF(R56="","REST PENDENTE","REST OK"))</f>
      </c>
      <c r="Z56" s="3056">
        <f>IF(A56="","",IF(AND(R56&lt;&gt;"",COUNTIFS($D$3:$D$164,D56,$R$3:$R$164,"&lt;&gt;")&gt;1),"DUPLICADO","OK"))</f>
      </c>
      <c r="AA56" s="3056">
        <f>IF(A56="","",IF(OR(LEN(Q56)&gt;180,LEN(R56)&gt;180,LEN(S56)&gt;180,LEN(T56)&gt;180),"CAMINHO LONGO","OK"))</f>
      </c>
      <c r="AB56" s="3056">
        <f>IF(A56="","",IF(U56="","",IFERROR(INT(U56-TODAY()),"")))</f>
      </c>
      <c r="AC56" s="3056">
        <f>IF(A56="","",IF(AND(T56="",U56=""),"",IF(T56="","SEM CAMINHO",IF(U56="","SEM DATA",IFERROR(IF(AB56&lt;15,"VERMELHO",IF(AB56&lt;=30,"AMARELO","VERDE")),"DATA INVALIDA")))))</f>
      </c>
      <c r="AD56" s="3056">
        <f>IF(OR(A56="",U56="",NOT(ISNUMBER(AB56))),"",RANK(AB56,$AB$3:$AB$164,1)+COUNTIFS($AB$3:AB56,AB56)-1)</f>
      </c>
      <c r="AE56" s="1736"/>
    </row>
    <row r="57" spans="1:19" ht="22.0" hidden="false" customHeight="true" x14ac:dyDescent="0.25">
      <c r="A57" s="3069" t="s">
        <v>139</v>
      </c>
      <c r="B57" s="3068" t="s">
        <v>134</v>
      </c>
      <c r="C57" s="3068" t="s">
        <v>122</v>
      </c>
      <c r="D57" s="3068">
        <v>40932575000167</v>
      </c>
      <c r="E57" s="3068"/>
      <c r="F57" s="3068" t="s">
        <v>140</v>
      </c>
      <c r="G57" s="3068" t="s">
        <v>4</v>
      </c>
      <c r="H57" s="3068" t="s">
        <v>5</v>
      </c>
      <c r="I57" s="3068"/>
      <c r="J57" s="3068"/>
      <c r="K57" s="3068"/>
      <c r="L57" s="3068"/>
      <c r="M57" s="3068" t="s">
        <v>379</v>
      </c>
      <c r="N57" s="3068"/>
      <c r="O57" s="3068" t="s">
        <v>351</v>
      </c>
      <c r="P57" s="3068"/>
      <c r="Q57" s="3071"/>
      <c r="R57" s="3071"/>
      <c r="S57" s="3071"/>
      <c r="T57" s="3071"/>
      <c r="U57" s="3072"/>
      <c r="V57" s="3068"/>
      <c r="W57" s="3068"/>
      <c r="X57" s="3056">
        <f>IF(A57="","",IF(LEN(SUBSTITUTE(SUBSTITUTE(SUBSTITUTE(SUBSTITUTE(D57,".",""),"/",""),"-","")," ",""))&lt;&gt;14,"CNPJ INVALIDO","OK"))</f>
      </c>
      <c r="Y57" s="3056">
        <f>IF(A57="","",IF(R57="","REST PENDENTE","REST OK"))</f>
      </c>
      <c r="Z57" s="3056">
        <f>IF(A57="","",IF(AND(R57&lt;&gt;"",COUNTIFS($D$3:$D$164,D57,$R$3:$R$164,"&lt;&gt;")&gt;1),"DUPLICADO","OK"))</f>
      </c>
      <c r="AA57" s="3056">
        <f>IF(A57="","",IF(OR(LEN(Q57)&gt;180,LEN(R57)&gt;180,LEN(S57)&gt;180,LEN(T57)&gt;180),"CAMINHO LONGO","OK"))</f>
      </c>
      <c r="AB57" s="3056">
        <f>IF(A57="","",IF(U57="","",IFERROR(INT(U57-TODAY()),"")))</f>
      </c>
      <c r="AC57" s="3056">
        <f>IF(A57="","",IF(AND(T57="",U57=""),"",IF(T57="","SEM CAMINHO",IF(U57="","SEM DATA",IFERROR(IF(AB57&lt;15,"VERMELHO",IF(AB57&lt;=30,"AMARELO","VERDE")),"DATA INVALIDA")))))</f>
      </c>
      <c r="AD57" s="3056">
        <f>IF(OR(A57="",U57="",NOT(ISNUMBER(AB57))),"",RANK(AB57,$AB$3:$AB$164,1)+COUNTIFS($AB$3:AB57,AB57)-1)</f>
      </c>
      <c r="AE57" s="1736"/>
    </row>
    <row r="58" spans="1:19" ht="22.0" hidden="false" customHeight="true" x14ac:dyDescent="0.25">
      <c r="A58" s="3074" t="s">
        <v>141</v>
      </c>
      <c r="B58" s="3073" t="s">
        <v>142</v>
      </c>
      <c r="C58" s="3073" t="s">
        <v>62</v>
      </c>
      <c r="D58" s="3073" t="s">
        <v>143</v>
      </c>
      <c r="E58" s="3073"/>
      <c r="F58" s="3073" t="s">
        <v>144</v>
      </c>
      <c r="G58" s="3073" t="s">
        <v>13</v>
      </c>
      <c r="H58" s="3073" t="s">
        <v>49</v>
      </c>
      <c r="I58" s="3073"/>
      <c r="J58" s="3073"/>
      <c r="K58" s="3073"/>
      <c r="L58" s="3073"/>
      <c r="M58" s="3073" t="s">
        <v>385</v>
      </c>
      <c r="N58" s="3073"/>
      <c r="O58" s="3073" t="s">
        <v>347</v>
      </c>
      <c r="P58" s="3073"/>
      <c r="Q58" s="3076"/>
      <c r="R58" s="3076"/>
      <c r="S58" s="3076"/>
      <c r="T58" s="3076"/>
      <c r="U58" s="3077"/>
      <c r="V58" s="3073"/>
      <c r="W58" s="3073"/>
      <c r="X58" s="3056">
        <f>IF(A58="","",IF(LEN(SUBSTITUTE(SUBSTITUTE(SUBSTITUTE(SUBSTITUTE(D58,".",""),"/",""),"-","")," ",""))&lt;&gt;14,"CNPJ INVALIDO","OK"))</f>
      </c>
      <c r="Y58" s="3056">
        <f>IF(A58="","",IF(R58="","REST PENDENTE","REST OK"))</f>
      </c>
      <c r="Z58" s="3056">
        <f>IF(A58="","",IF(AND(R58&lt;&gt;"",COUNTIFS($D$3:$D$164,D58,$R$3:$R$164,"&lt;&gt;")&gt;1),"DUPLICADO","OK"))</f>
      </c>
      <c r="AA58" s="3056">
        <f>IF(A58="","",IF(OR(LEN(Q58)&gt;180,LEN(R58)&gt;180,LEN(S58)&gt;180,LEN(T58)&gt;180),"CAMINHO LONGO","OK"))</f>
      </c>
      <c r="AB58" s="3056">
        <f>IF(A58="","",IF(U58="","",IFERROR(INT(U58-TODAY()),"")))</f>
      </c>
      <c r="AC58" s="3056">
        <f>IF(A58="","",IF(AND(T58="",U58=""),"",IF(T58="","SEM CAMINHO",IF(U58="","SEM DATA",IFERROR(IF(AB58&lt;15,"VERMELHO",IF(AB58&lt;=30,"AMARELO","VERDE")),"DATA INVALIDA")))))</f>
      </c>
      <c r="AD58" s="3056">
        <f>IF(OR(A58="",U58="",NOT(ISNUMBER(AB58))),"",RANK(AB58,$AB$3:$AB$164,1)+COUNTIFS($AB$3:AB58,AB58)-1)</f>
      </c>
      <c r="AE58" s="1736"/>
    </row>
    <row r="59" spans="1:19" ht="22.0" hidden="false" customHeight="true" x14ac:dyDescent="0.25">
      <c r="A59" s="3069" t="s">
        <v>145</v>
      </c>
      <c r="B59" s="3068" t="s">
        <v>142</v>
      </c>
      <c r="C59" s="3068" t="s">
        <v>62</v>
      </c>
      <c r="D59" s="3068">
        <v>60906391000130</v>
      </c>
      <c r="E59" s="3068"/>
      <c r="F59" s="3068" t="s">
        <v>144</v>
      </c>
      <c r="G59" s="3068" t="s">
        <v>4</v>
      </c>
      <c r="H59" s="3068" t="s">
        <v>49</v>
      </c>
      <c r="I59" s="3068"/>
      <c r="J59" s="3068"/>
      <c r="K59" s="3068"/>
      <c r="L59" s="3068"/>
      <c r="M59" s="3068" t="s">
        <v>385</v>
      </c>
      <c r="N59" s="3068"/>
      <c r="O59" s="3068" t="s">
        <v>351</v>
      </c>
      <c r="P59" s="3068"/>
      <c r="Q59" s="3071"/>
      <c r="R59" s="3071"/>
      <c r="S59" s="3071"/>
      <c r="T59" s="3071"/>
      <c r="U59" s="3072"/>
      <c r="V59" s="3068"/>
      <c r="W59" s="3068"/>
      <c r="X59" s="3056">
        <f>IF(A59="","",IF(LEN(SUBSTITUTE(SUBSTITUTE(SUBSTITUTE(SUBSTITUTE(D59,".",""),"/",""),"-","")," ",""))&lt;&gt;14,"CNPJ INVALIDO","OK"))</f>
      </c>
      <c r="Y59" s="3056">
        <f>IF(A59="","",IF(R59="","REST PENDENTE","REST OK"))</f>
      </c>
      <c r="Z59" s="3056">
        <f>IF(A59="","",IF(AND(R59&lt;&gt;"",COUNTIFS($D$3:$D$164,D59,$R$3:$R$164,"&lt;&gt;")&gt;1),"DUPLICADO","OK"))</f>
      </c>
      <c r="AA59" s="3056">
        <f>IF(A59="","",IF(OR(LEN(Q59)&gt;180,LEN(R59)&gt;180,LEN(S59)&gt;180,LEN(T59)&gt;180),"CAMINHO LONGO","OK"))</f>
      </c>
      <c r="AB59" s="3056">
        <f>IF(A59="","",IF(U59="","",IFERROR(INT(U59-TODAY()),"")))</f>
      </c>
      <c r="AC59" s="3056">
        <f>IF(A59="","",IF(AND(T59="",U59=""),"",IF(T59="","SEM CAMINHO",IF(U59="","SEM DATA",IFERROR(IF(AB59&lt;15,"VERMELHO",IF(AB59&lt;=30,"AMARELO","VERDE")),"DATA INVALIDA")))))</f>
      </c>
      <c r="AD59" s="3056">
        <f>IF(OR(A59="",U59="",NOT(ISNUMBER(AB59))),"",RANK(AB59,$AB$3:$AB$164,1)+COUNTIFS($AB$3:AB59,AB59)-1)</f>
      </c>
      <c r="AE59" s="1736"/>
    </row>
    <row r="60" spans="1:19" ht="22.0" hidden="false" customHeight="true" x14ac:dyDescent="0.25">
      <c r="A60" s="3074" t="s">
        <v>146</v>
      </c>
      <c r="B60" s="3073" t="s">
        <v>75</v>
      </c>
      <c r="C60" s="3073" t="s">
        <v>62</v>
      </c>
      <c r="D60" s="3073">
        <v>41762299000107</v>
      </c>
      <c r="E60" s="3073"/>
      <c r="F60" s="3073" t="s">
        <v>147</v>
      </c>
      <c r="G60" s="3073" t="s">
        <v>4</v>
      </c>
      <c r="H60" s="3073" t="s">
        <v>5</v>
      </c>
      <c r="I60" s="3073"/>
      <c r="J60" s="3073"/>
      <c r="K60" s="3073"/>
      <c r="L60" s="3073"/>
      <c r="M60" s="3073" t="s">
        <v>379</v>
      </c>
      <c r="N60" s="3073"/>
      <c r="O60" s="3073" t="s">
        <v>352</v>
      </c>
      <c r="P60" s="3073"/>
      <c r="Q60" s="3076"/>
      <c r="R60" s="3076"/>
      <c r="S60" s="3076"/>
      <c r="T60" s="3076"/>
      <c r="U60" s="3077"/>
      <c r="V60" s="3073"/>
      <c r="W60" s="3073"/>
      <c r="X60" s="3056">
        <f>IF(A60="","",IF(LEN(SUBSTITUTE(SUBSTITUTE(SUBSTITUTE(SUBSTITUTE(D60,".",""),"/",""),"-","")," ",""))&lt;&gt;14,"CNPJ INVALIDO","OK"))</f>
      </c>
      <c r="Y60" s="3056">
        <f>IF(A60="","",IF(R60="","REST PENDENTE","REST OK"))</f>
      </c>
      <c r="Z60" s="3056">
        <f>IF(A60="","",IF(AND(R60&lt;&gt;"",COUNTIFS($D$3:$D$164,D60,$R$3:$R$164,"&lt;&gt;")&gt;1),"DUPLICADO","OK"))</f>
      </c>
      <c r="AA60" s="3056">
        <f>IF(A60="","",IF(OR(LEN(Q60)&gt;180,LEN(R60)&gt;180,LEN(S60)&gt;180,LEN(T60)&gt;180),"CAMINHO LONGO","OK"))</f>
      </c>
      <c r="AB60" s="3056">
        <f>IF(A60="","",IF(U60="","",IFERROR(INT(U60-TODAY()),"")))</f>
      </c>
      <c r="AC60" s="3056">
        <f>IF(A60="","",IF(AND(T60="",U60=""),"",IF(T60="","SEM CAMINHO",IF(U60="","SEM DATA",IFERROR(IF(AB60&lt;15,"VERMELHO",IF(AB60&lt;=30,"AMARELO","VERDE")),"DATA INVALIDA")))))</f>
      </c>
      <c r="AD60" s="3056">
        <f>IF(OR(A60="",U60="",NOT(ISNUMBER(AB60))),"",RANK(AB60,$AB$3:$AB$164,1)+COUNTIFS($AB$3:AB60,AB60)-1)</f>
      </c>
      <c r="AE60" s="1736"/>
    </row>
    <row r="61" spans="1:19" ht="22.0" hidden="false" customHeight="true" x14ac:dyDescent="0.25">
      <c r="A61" s="3069" t="s">
        <v>148</v>
      </c>
      <c r="B61" s="3068" t="s">
        <v>149</v>
      </c>
      <c r="C61" s="3068" t="s">
        <v>59</v>
      </c>
      <c r="D61" s="3068">
        <v>52090662000101</v>
      </c>
      <c r="E61" s="3068"/>
      <c r="F61" s="3068" t="s">
        <v>150</v>
      </c>
      <c r="G61" s="3068" t="s">
        <v>4</v>
      </c>
      <c r="H61" s="3068" t="s">
        <v>5</v>
      </c>
      <c r="I61" s="3068"/>
      <c r="J61" s="3068"/>
      <c r="K61" s="3068"/>
      <c r="L61" s="3068"/>
      <c r="M61" s="3068" t="s">
        <v>379</v>
      </c>
      <c r="N61" s="3068"/>
      <c r="O61" s="3068" t="s">
        <v>351</v>
      </c>
      <c r="P61" s="3068"/>
      <c r="Q61" s="3071"/>
      <c r="R61" s="3071"/>
      <c r="S61" s="3071"/>
      <c r="T61" s="3071"/>
      <c r="U61" s="3072"/>
      <c r="V61" s="3068"/>
      <c r="W61" s="3068"/>
      <c r="X61" s="3056">
        <f>IF(A61="","",IF(LEN(SUBSTITUTE(SUBSTITUTE(SUBSTITUTE(SUBSTITUTE(D61,".",""),"/",""),"-","")," ",""))&lt;&gt;14,"CNPJ INVALIDO","OK"))</f>
      </c>
      <c r="Y61" s="3056">
        <f>IF(A61="","",IF(R61="","REST PENDENTE","REST OK"))</f>
      </c>
      <c r="Z61" s="3056">
        <f>IF(A61="","",IF(AND(R61&lt;&gt;"",COUNTIFS($D$3:$D$164,D61,$R$3:$R$164,"&lt;&gt;")&gt;1),"DUPLICADO","OK"))</f>
      </c>
      <c r="AA61" s="3056">
        <f>IF(A61="","",IF(OR(LEN(Q61)&gt;180,LEN(R61)&gt;180,LEN(S61)&gt;180,LEN(T61)&gt;180),"CAMINHO LONGO","OK"))</f>
      </c>
      <c r="AB61" s="3056">
        <f>IF(A61="","",IF(U61="","",IFERROR(INT(U61-TODAY()),"")))</f>
      </c>
      <c r="AC61" s="3056">
        <f>IF(A61="","",IF(AND(T61="",U61=""),"",IF(T61="","SEM CAMINHO",IF(U61="","SEM DATA",IFERROR(IF(AB61&lt;15,"VERMELHO",IF(AB61&lt;=30,"AMARELO","VERDE")),"DATA INVALIDA")))))</f>
      </c>
      <c r="AD61" s="3056">
        <f>IF(OR(A61="",U61="",NOT(ISNUMBER(AB61))),"",RANK(AB61,$AB$3:$AB$164,1)+COUNTIFS($AB$3:AB61,AB61)-1)</f>
      </c>
      <c r="AE61" s="1736"/>
    </row>
    <row r="62" spans="1:19" ht="22.0" hidden="false" customHeight="true" x14ac:dyDescent="0.25">
      <c r="A62" s="3074" t="s">
        <v>151</v>
      </c>
      <c r="B62" s="3073" t="s">
        <v>149</v>
      </c>
      <c r="C62" s="3073" t="s">
        <v>46</v>
      </c>
      <c r="D62" s="3073" t="s">
        <v>152</v>
      </c>
      <c r="E62" s="3073"/>
      <c r="F62" s="3073" t="s">
        <v>150</v>
      </c>
      <c r="G62" s="3073" t="s">
        <v>13</v>
      </c>
      <c r="H62" s="3073" t="s">
        <v>49</v>
      </c>
      <c r="I62" s="3073"/>
      <c r="J62" s="3073"/>
      <c r="K62" s="3073"/>
      <c r="L62" s="3073"/>
      <c r="M62" s="3073" t="s">
        <v>377</v>
      </c>
      <c r="N62" s="3073"/>
      <c r="O62" s="3073" t="s">
        <v>347</v>
      </c>
      <c r="P62" s="3073"/>
      <c r="Q62" s="3076"/>
      <c r="R62" s="3076"/>
      <c r="S62" s="3076"/>
      <c r="T62" s="3076"/>
      <c r="U62" s="3077"/>
      <c r="V62" s="3073"/>
      <c r="W62" s="3073"/>
      <c r="X62" s="3056">
        <f>IF(A62="","",IF(LEN(SUBSTITUTE(SUBSTITUTE(SUBSTITUTE(SUBSTITUTE(D62,".",""),"/",""),"-","")," ",""))&lt;&gt;14,"CNPJ INVALIDO","OK"))</f>
      </c>
      <c r="Y62" s="3056">
        <f>IF(A62="","",IF(R62="","REST PENDENTE","REST OK"))</f>
      </c>
      <c r="Z62" s="3056">
        <f>IF(A62="","",IF(AND(R62&lt;&gt;"",COUNTIFS($D$3:$D$164,D62,$R$3:$R$164,"&lt;&gt;")&gt;1),"DUPLICADO","OK"))</f>
      </c>
      <c r="AA62" s="3056">
        <f>IF(A62="","",IF(OR(LEN(Q62)&gt;180,LEN(R62)&gt;180,LEN(S62)&gt;180,LEN(T62)&gt;180),"CAMINHO LONGO","OK"))</f>
      </c>
      <c r="AB62" s="3056">
        <f>IF(A62="","",IF(U62="","",IFERROR(INT(U62-TODAY()),"")))</f>
      </c>
      <c r="AC62" s="3056">
        <f>IF(A62="","",IF(AND(T62="",U62=""),"",IF(T62="","SEM CAMINHO",IF(U62="","SEM DATA",IFERROR(IF(AB62&lt;15,"VERMELHO",IF(AB62&lt;=30,"AMARELO","VERDE")),"DATA INVALIDA")))))</f>
      </c>
      <c r="AD62" s="3056">
        <f>IF(OR(A62="",U62="",NOT(ISNUMBER(AB62))),"",RANK(AB62,$AB$3:$AB$164,1)+COUNTIFS($AB$3:AB62,AB62)-1)</f>
      </c>
      <c r="AE62" s="1736"/>
    </row>
    <row r="63" spans="1:19" ht="22.0" hidden="false" customHeight="true" x14ac:dyDescent="0.25">
      <c r="A63" s="3069" t="s">
        <v>153</v>
      </c>
      <c r="B63" s="3068" t="s">
        <v>149</v>
      </c>
      <c r="C63" s="3068" t="s">
        <v>46</v>
      </c>
      <c r="D63" s="3068" t="s">
        <v>154</v>
      </c>
      <c r="E63" s="3068"/>
      <c r="F63" s="3068" t="s">
        <v>150</v>
      </c>
      <c r="G63" s="3068" t="s">
        <v>13</v>
      </c>
      <c r="H63" s="3068" t="s">
        <v>49</v>
      </c>
      <c r="I63" s="3068"/>
      <c r="J63" s="3068"/>
      <c r="K63" s="3068"/>
      <c r="L63" s="3068"/>
      <c r="M63" s="3068" t="s">
        <v>377</v>
      </c>
      <c r="N63" s="3068"/>
      <c r="O63" s="3068" t="s">
        <v>347</v>
      </c>
      <c r="P63" s="3068"/>
      <c r="Q63" s="3071"/>
      <c r="R63" s="3071"/>
      <c r="S63" s="3071"/>
      <c r="T63" s="3071"/>
      <c r="U63" s="3072"/>
      <c r="V63" s="3068"/>
      <c r="W63" s="3068"/>
      <c r="X63" s="3056">
        <f>IF(A63="","",IF(LEN(SUBSTITUTE(SUBSTITUTE(SUBSTITUTE(SUBSTITUTE(D63,".",""),"/",""),"-","")," ",""))&lt;&gt;14,"CNPJ INVALIDO","OK"))</f>
      </c>
      <c r="Y63" s="3056">
        <f>IF(A63="","",IF(R63="","REST PENDENTE","REST OK"))</f>
      </c>
      <c r="Z63" s="3056">
        <f>IF(A63="","",IF(AND(R63&lt;&gt;"",COUNTIFS($D$3:$D$164,D63,$R$3:$R$164,"&lt;&gt;")&gt;1),"DUPLICADO","OK"))</f>
      </c>
      <c r="AA63" s="3056">
        <f>IF(A63="","",IF(OR(LEN(Q63)&gt;180,LEN(R63)&gt;180,LEN(S63)&gt;180,LEN(T63)&gt;180),"CAMINHO LONGO","OK"))</f>
      </c>
      <c r="AB63" s="3056">
        <f>IF(A63="","",IF(U63="","",IFERROR(INT(U63-TODAY()),"")))</f>
      </c>
      <c r="AC63" s="3056">
        <f>IF(A63="","",IF(AND(T63="",U63=""),"",IF(T63="","SEM CAMINHO",IF(U63="","SEM DATA",IFERROR(IF(AB63&lt;15,"VERMELHO",IF(AB63&lt;=30,"AMARELO","VERDE")),"DATA INVALIDA")))))</f>
      </c>
      <c r="AD63" s="3056">
        <f>IF(OR(A63="",U63="",NOT(ISNUMBER(AB63))),"",RANK(AB63,$AB$3:$AB$164,1)+COUNTIFS($AB$3:AB63,AB63)-1)</f>
      </c>
      <c r="AE63" s="1736"/>
    </row>
    <row r="64" spans="1:19" ht="22.0" hidden="false" customHeight="true" x14ac:dyDescent="0.25">
      <c r="A64" s="3074" t="s">
        <v>155</v>
      </c>
      <c r="B64" s="3073" t="s">
        <v>61</v>
      </c>
      <c r="C64" s="3073" t="s">
        <v>62</v>
      </c>
      <c r="D64" s="3073">
        <v>8587897000103</v>
      </c>
      <c r="E64" s="3073"/>
      <c r="F64" s="3073" t="s">
        <v>63</v>
      </c>
      <c r="G64" s="3073" t="s">
        <v>41</v>
      </c>
      <c r="H64" s="3073" t="s">
        <v>5</v>
      </c>
      <c r="I64" s="3073"/>
      <c r="J64" s="3073"/>
      <c r="K64" s="3073"/>
      <c r="L64" s="3073"/>
      <c r="M64" s="3073" t="s">
        <v>379</v>
      </c>
      <c r="N64" s="3073"/>
      <c r="O64" s="3073" t="s">
        <v>351</v>
      </c>
      <c r="P64" s="3073"/>
      <c r="Q64" s="3076"/>
      <c r="R64" s="3076"/>
      <c r="S64" s="3076"/>
      <c r="T64" s="3076"/>
      <c r="U64" s="3077"/>
      <c r="V64" s="3073"/>
      <c r="W64" s="3073"/>
      <c r="X64" s="3056">
        <f>IF(A64="","",IF(LEN(SUBSTITUTE(SUBSTITUTE(SUBSTITUTE(SUBSTITUTE(D64,".",""),"/",""),"-","")," ",""))&lt;&gt;14,"CNPJ INVALIDO","OK"))</f>
      </c>
      <c r="Y64" s="3056">
        <f>IF(A64="","",IF(R64="","REST PENDENTE","REST OK"))</f>
      </c>
      <c r="Z64" s="3056">
        <f>IF(A64="","",IF(AND(R64&lt;&gt;"",COUNTIFS($D$3:$D$164,D64,$R$3:$R$164,"&lt;&gt;")&gt;1),"DUPLICADO","OK"))</f>
      </c>
      <c r="AA64" s="3056">
        <f>IF(A64="","",IF(OR(LEN(Q64)&gt;180,LEN(R64)&gt;180,LEN(S64)&gt;180,LEN(T64)&gt;180),"CAMINHO LONGO","OK"))</f>
      </c>
      <c r="AB64" s="3056">
        <f>IF(A64="","",IF(U64="","",IFERROR(INT(U64-TODAY()),"")))</f>
      </c>
      <c r="AC64" s="3056">
        <f>IF(A64="","",IF(AND(T64="",U64=""),"",IF(T64="","SEM CAMINHO",IF(U64="","SEM DATA",IFERROR(IF(AB64&lt;15,"VERMELHO",IF(AB64&lt;=30,"AMARELO","VERDE")),"DATA INVALIDA")))))</f>
      </c>
      <c r="AD64" s="3056">
        <f>IF(OR(A64="",U64="",NOT(ISNUMBER(AB64))),"",RANK(AB64,$AB$3:$AB$164,1)+COUNTIFS($AB$3:AB64,AB64)-1)</f>
      </c>
      <c r="AE64" s="1736"/>
    </row>
    <row r="65" spans="1:19" ht="22.0" hidden="false" customHeight="true" x14ac:dyDescent="0.25">
      <c r="A65" s="3069" t="s">
        <v>156</v>
      </c>
      <c r="B65" s="3068" t="s">
        <v>61</v>
      </c>
      <c r="C65" s="3068" t="s">
        <v>62</v>
      </c>
      <c r="D65" s="3068">
        <v>17845713000159</v>
      </c>
      <c r="E65" s="3068"/>
      <c r="F65" s="3068" t="s">
        <v>63</v>
      </c>
      <c r="G65" s="3068" t="s">
        <v>41</v>
      </c>
      <c r="H65" s="3068" t="s">
        <v>5</v>
      </c>
      <c r="I65" s="3068"/>
      <c r="J65" s="3068"/>
      <c r="K65" s="3068"/>
      <c r="L65" s="3068"/>
      <c r="M65" s="3068" t="s">
        <v>379</v>
      </c>
      <c r="N65" s="3068"/>
      <c r="O65" s="3068" t="s">
        <v>351</v>
      </c>
      <c r="P65" s="3068"/>
      <c r="Q65" s="3071"/>
      <c r="R65" s="3071"/>
      <c r="S65" s="3071"/>
      <c r="T65" s="3071"/>
      <c r="U65" s="3072"/>
      <c r="V65" s="3068"/>
      <c r="W65" s="3068"/>
      <c r="X65" s="3056">
        <f>IF(A65="","",IF(LEN(SUBSTITUTE(SUBSTITUTE(SUBSTITUTE(SUBSTITUTE(D65,".",""),"/",""),"-","")," ",""))&lt;&gt;14,"CNPJ INVALIDO","OK"))</f>
      </c>
      <c r="Y65" s="3056">
        <f>IF(A65="","",IF(R65="","REST PENDENTE","REST OK"))</f>
      </c>
      <c r="Z65" s="3056">
        <f>IF(A65="","",IF(AND(R65&lt;&gt;"",COUNTIFS($D$3:$D$164,D65,$R$3:$R$164,"&lt;&gt;")&gt;1),"DUPLICADO","OK"))</f>
      </c>
      <c r="AA65" s="3056">
        <f>IF(A65="","",IF(OR(LEN(Q65)&gt;180,LEN(R65)&gt;180,LEN(S65)&gt;180,LEN(T65)&gt;180),"CAMINHO LONGO","OK"))</f>
      </c>
      <c r="AB65" s="3056">
        <f>IF(A65="","",IF(U65="","",IFERROR(INT(U65-TODAY()),"")))</f>
      </c>
      <c r="AC65" s="3056">
        <f>IF(A65="","",IF(AND(T65="",U65=""),"",IF(T65="","SEM CAMINHO",IF(U65="","SEM DATA",IFERROR(IF(AB65&lt;15,"VERMELHO",IF(AB65&lt;=30,"AMARELO","VERDE")),"DATA INVALIDA")))))</f>
      </c>
      <c r="AD65" s="3056">
        <f>IF(OR(A65="",U65="",NOT(ISNUMBER(AB65))),"",RANK(AB65,$AB$3:$AB$164,1)+COUNTIFS($AB$3:AB65,AB65)-1)</f>
      </c>
      <c r="AE65" s="1736"/>
    </row>
    <row r="66" spans="1:19" ht="22.0" hidden="false" customHeight="true" x14ac:dyDescent="0.25">
      <c r="A66" s="3074" t="s">
        <v>157</v>
      </c>
      <c r="B66" s="3073" t="s">
        <v>61</v>
      </c>
      <c r="C66" s="3073" t="s">
        <v>62</v>
      </c>
      <c r="D66" s="3073">
        <v>37646098000169</v>
      </c>
      <c r="E66" s="3073"/>
      <c r="F66" s="3073" t="s">
        <v>63</v>
      </c>
      <c r="G66" s="3073" t="s">
        <v>41</v>
      </c>
      <c r="H66" s="3073" t="s">
        <v>5</v>
      </c>
      <c r="I66" s="3073"/>
      <c r="J66" s="3073"/>
      <c r="K66" s="3073"/>
      <c r="L66" s="3073"/>
      <c r="M66" s="3073" t="s">
        <v>379</v>
      </c>
      <c r="N66" s="3073"/>
      <c r="O66" s="3073" t="s">
        <v>353</v>
      </c>
      <c r="P66" s="3073"/>
      <c r="Q66" s="3076"/>
      <c r="R66" s="3076"/>
      <c r="S66" s="3076"/>
      <c r="T66" s="3076"/>
      <c r="U66" s="3077"/>
      <c r="V66" s="3073"/>
      <c r="W66" s="3073"/>
      <c r="X66" s="3056">
        <f>IF(A66="","",IF(LEN(SUBSTITUTE(SUBSTITUTE(SUBSTITUTE(SUBSTITUTE(D66,".",""),"/",""),"-","")," ",""))&lt;&gt;14,"CNPJ INVALIDO","OK"))</f>
      </c>
      <c r="Y66" s="3056">
        <f>IF(A66="","",IF(R66="","REST PENDENTE","REST OK"))</f>
      </c>
      <c r="Z66" s="3056">
        <f>IF(A66="","",IF(AND(R66&lt;&gt;"",COUNTIFS($D$3:$D$164,D66,$R$3:$R$164,"&lt;&gt;")&gt;1),"DUPLICADO","OK"))</f>
      </c>
      <c r="AA66" s="3056">
        <f>IF(A66="","",IF(OR(LEN(Q66)&gt;180,LEN(R66)&gt;180,LEN(S66)&gt;180,LEN(T66)&gt;180),"CAMINHO LONGO","OK"))</f>
      </c>
      <c r="AB66" s="3056">
        <f>IF(A66="","",IF(U66="","",IFERROR(INT(U66-TODAY()),"")))</f>
      </c>
      <c r="AC66" s="3056">
        <f>IF(A66="","",IF(AND(T66="",U66=""),"",IF(T66="","SEM CAMINHO",IF(U66="","SEM DATA",IFERROR(IF(AB66&lt;15,"VERMELHO",IF(AB66&lt;=30,"AMARELO","VERDE")),"DATA INVALIDA")))))</f>
      </c>
      <c r="AD66" s="3056">
        <f>IF(OR(A66="",U66="",NOT(ISNUMBER(AB66))),"",RANK(AB66,$AB$3:$AB$164,1)+COUNTIFS($AB$3:AB66,AB66)-1)</f>
      </c>
      <c r="AE66" s="1736"/>
    </row>
    <row r="67" spans="1:19" ht="22.0" hidden="false" customHeight="true" x14ac:dyDescent="0.25">
      <c r="A67" s="3069" t="s">
        <v>158</v>
      </c>
      <c r="B67" s="3068" t="s">
        <v>159</v>
      </c>
      <c r="C67" s="3068" t="s">
        <v>62</v>
      </c>
      <c r="D67" s="3068">
        <v>44470328000147</v>
      </c>
      <c r="E67" s="3068"/>
      <c r="F67" s="3068" t="s">
        <v>160</v>
      </c>
      <c r="G67" s="3068" t="s">
        <v>4</v>
      </c>
      <c r="H67" s="3068" t="s">
        <v>5</v>
      </c>
      <c r="I67" s="3068"/>
      <c r="J67" s="3068"/>
      <c r="K67" s="3068"/>
      <c r="L67" s="3068"/>
      <c r="M67" s="3068" t="s">
        <v>377</v>
      </c>
      <c r="N67" s="3068"/>
      <c r="O67" s="3068" t="s">
        <v>347</v>
      </c>
      <c r="P67" s="3068"/>
      <c r="Q67" s="3071"/>
      <c r="R67" s="3071"/>
      <c r="S67" s="3071"/>
      <c r="T67" s="3071"/>
      <c r="U67" s="3072"/>
      <c r="V67" s="3068"/>
      <c r="W67" s="3068"/>
      <c r="X67" s="3056">
        <f>IF(A67="","",IF(LEN(SUBSTITUTE(SUBSTITUTE(SUBSTITUTE(SUBSTITUTE(D67,".",""),"/",""),"-","")," ",""))&lt;&gt;14,"CNPJ INVALIDO","OK"))</f>
      </c>
      <c r="Y67" s="3056">
        <f>IF(A67="","",IF(R67="","REST PENDENTE","REST OK"))</f>
      </c>
      <c r="Z67" s="3056">
        <f>IF(A67="","",IF(AND(R67&lt;&gt;"",COUNTIFS($D$3:$D$164,D67,$R$3:$R$164,"&lt;&gt;")&gt;1),"DUPLICADO","OK"))</f>
      </c>
      <c r="AA67" s="3056">
        <f>IF(A67="","",IF(OR(LEN(Q67)&gt;180,LEN(R67)&gt;180,LEN(S67)&gt;180,LEN(T67)&gt;180),"CAMINHO LONGO","OK"))</f>
      </c>
      <c r="AB67" s="3056">
        <f>IF(A67="","",IF(U67="","",IFERROR(INT(U67-TODAY()),"")))</f>
      </c>
      <c r="AC67" s="3056">
        <f>IF(A67="","",IF(AND(T67="",U67=""),"",IF(T67="","SEM CAMINHO",IF(U67="","SEM DATA",IFERROR(IF(AB67&lt;15,"VERMELHO",IF(AB67&lt;=30,"AMARELO","VERDE")),"DATA INVALIDA")))))</f>
      </c>
      <c r="AD67" s="3056">
        <f>IF(OR(A67="",U67="",NOT(ISNUMBER(AB67))),"",RANK(AB67,$AB$3:$AB$164,1)+COUNTIFS($AB$3:AB67,AB67)-1)</f>
      </c>
      <c r="AE67" s="1736"/>
    </row>
    <row r="68" spans="1:19" ht="22.0" hidden="false" customHeight="true" x14ac:dyDescent="0.25">
      <c r="A68" s="3074" t="s">
        <v>161</v>
      </c>
      <c r="B68" s="3073" t="s">
        <v>162</v>
      </c>
      <c r="C68" s="3073" t="s">
        <v>163</v>
      </c>
      <c r="D68" s="3073" t="s">
        <v>164</v>
      </c>
      <c r="E68" s="3073"/>
      <c r="F68" s="3073"/>
      <c r="G68" s="3073" t="s">
        <v>41</v>
      </c>
      <c r="H68" s="3073" t="s">
        <v>14</v>
      </c>
      <c r="I68" s="3073"/>
      <c r="J68" s="3073"/>
      <c r="K68" s="3073"/>
      <c r="L68" s="3073"/>
      <c r="M68" s="3073" t="s">
        <v>385</v>
      </c>
      <c r="N68" s="3073" t="s">
        <v>362</v>
      </c>
      <c r="O68" s="3073" t="s">
        <v>362</v>
      </c>
      <c r="P68" s="3073"/>
      <c r="Q68" s="3076"/>
      <c r="R68" s="3076"/>
      <c r="S68" s="3076"/>
      <c r="T68" s="3076"/>
      <c r="U68" s="3077"/>
      <c r="V68" s="3073"/>
      <c r="W68" s="3073"/>
      <c r="X68" s="3056">
        <f>IF(A68="","",IF(LEN(SUBSTITUTE(SUBSTITUTE(SUBSTITUTE(SUBSTITUTE(D68,".",""),"/",""),"-","")," ",""))&lt;&gt;14,"CNPJ INVALIDO","OK"))</f>
      </c>
      <c r="Y68" s="3056">
        <f>IF(A68="","",IF(R68="","REST PENDENTE","REST OK"))</f>
      </c>
      <c r="Z68" s="3056">
        <f>IF(A68="","",IF(AND(R68&lt;&gt;"",COUNTIFS($D$3:$D$164,D68,$R$3:$R$164,"&lt;&gt;")&gt;1),"DUPLICADO","OK"))</f>
      </c>
      <c r="AA68" s="3056">
        <f>IF(A68="","",IF(OR(LEN(Q68)&gt;180,LEN(R68)&gt;180,LEN(S68)&gt;180,LEN(T68)&gt;180),"CAMINHO LONGO","OK"))</f>
      </c>
      <c r="AB68" s="3056">
        <f>IF(A68="","",IF(U68="","",IFERROR(INT(U68-TODAY()),"")))</f>
      </c>
      <c r="AC68" s="3056">
        <f>IF(A68="","",IF(AND(T68="",U68=""),"",IF(T68="","SEM CAMINHO",IF(U68="","SEM DATA",IFERROR(IF(AB68&lt;15,"VERMELHO",IF(AB68&lt;=30,"AMARELO","VERDE")),"DATA INVALIDA")))))</f>
      </c>
      <c r="AD68" s="3056">
        <f>IF(OR(A68="",U68="",NOT(ISNUMBER(AB68))),"",RANK(AB68,$AB$3:$AB$164,1)+COUNTIFS($AB$3:AB68,AB68)-1)</f>
      </c>
      <c r="AE68" s="1736"/>
    </row>
    <row r="69" spans="1:19" ht="22.0" hidden="false" customHeight="true" x14ac:dyDescent="0.25">
      <c r="A69" s="3069" t="s">
        <v>165</v>
      </c>
      <c r="B69" s="3068" t="s">
        <v>162</v>
      </c>
      <c r="C69" s="3068" t="s">
        <v>163</v>
      </c>
      <c r="D69" s="3068" t="s">
        <v>166</v>
      </c>
      <c r="E69" s="3068"/>
      <c r="F69" s="3068" t="s">
        <v>167</v>
      </c>
      <c r="G69" s="3068" t="s">
        <v>13</v>
      </c>
      <c r="H69" s="3068" t="s">
        <v>14</v>
      </c>
      <c r="I69" s="3068"/>
      <c r="J69" s="3068"/>
      <c r="K69" s="3068"/>
      <c r="L69" s="3068"/>
      <c r="M69" s="3068" t="s">
        <v>385</v>
      </c>
      <c r="N69" s="3068" t="s">
        <v>362</v>
      </c>
      <c r="O69" s="3068" t="s">
        <v>362</v>
      </c>
      <c r="P69" s="3068"/>
      <c r="Q69" s="3071"/>
      <c r="R69" s="3071"/>
      <c r="S69" s="3071"/>
      <c r="T69" s="3071"/>
      <c r="U69" s="3072"/>
      <c r="V69" s="3068"/>
      <c r="W69" s="3068"/>
      <c r="X69" s="3056">
        <f>IF(A69="","",IF(LEN(SUBSTITUTE(SUBSTITUTE(SUBSTITUTE(SUBSTITUTE(D69,".",""),"/",""),"-","")," ",""))&lt;&gt;14,"CNPJ INVALIDO","OK"))</f>
      </c>
      <c r="Y69" s="3056">
        <f>IF(A69="","",IF(R69="","REST PENDENTE","REST OK"))</f>
      </c>
      <c r="Z69" s="3056">
        <f>IF(A69="","",IF(AND(R69&lt;&gt;"",COUNTIFS($D$3:$D$164,D69,$R$3:$R$164,"&lt;&gt;")&gt;1),"DUPLICADO","OK"))</f>
      </c>
      <c r="AA69" s="3056">
        <f>IF(A69="","",IF(OR(LEN(Q69)&gt;180,LEN(R69)&gt;180,LEN(S69)&gt;180,LEN(T69)&gt;180),"CAMINHO LONGO","OK"))</f>
      </c>
      <c r="AB69" s="3056">
        <f>IF(A69="","",IF(U69="","",IFERROR(INT(U69-TODAY()),"")))</f>
      </c>
      <c r="AC69" s="3056">
        <f>IF(A69="","",IF(AND(T69="",U69=""),"",IF(T69="","SEM CAMINHO",IF(U69="","SEM DATA",IFERROR(IF(AB69&lt;15,"VERMELHO",IF(AB69&lt;=30,"AMARELO","VERDE")),"DATA INVALIDA")))))</f>
      </c>
      <c r="AD69" s="3056">
        <f>IF(OR(A69="",U69="",NOT(ISNUMBER(AB69))),"",RANK(AB69,$AB$3:$AB$164,1)+COUNTIFS($AB$3:AB69,AB69)-1)</f>
      </c>
      <c r="AE69" s="1736"/>
    </row>
    <row r="70" spans="1:19" ht="22.0" hidden="false" customHeight="true" x14ac:dyDescent="0.25">
      <c r="A70" s="3074" t="s">
        <v>168</v>
      </c>
      <c r="B70" s="3073" t="s">
        <v>162</v>
      </c>
      <c r="C70" s="3073" t="s">
        <v>163</v>
      </c>
      <c r="D70" s="3073" t="s">
        <v>169</v>
      </c>
      <c r="E70" s="3073"/>
      <c r="F70" s="3073" t="s">
        <v>167</v>
      </c>
      <c r="G70" s="3073" t="s">
        <v>13</v>
      </c>
      <c r="H70" s="3073" t="s">
        <v>14</v>
      </c>
      <c r="I70" s="3073"/>
      <c r="J70" s="3073"/>
      <c r="K70" s="3073"/>
      <c r="L70" s="3073"/>
      <c r="M70" s="3073" t="s">
        <v>385</v>
      </c>
      <c r="N70" s="3073" t="s">
        <v>362</v>
      </c>
      <c r="O70" s="3073" t="s">
        <v>362</v>
      </c>
      <c r="P70" s="3073"/>
      <c r="Q70" s="3076"/>
      <c r="R70" s="3076"/>
      <c r="S70" s="3076"/>
      <c r="T70" s="3076"/>
      <c r="U70" s="3077"/>
      <c r="V70" s="3073"/>
      <c r="W70" s="3073"/>
      <c r="X70" s="3056">
        <f>IF(A70="","",IF(LEN(SUBSTITUTE(SUBSTITUTE(SUBSTITUTE(SUBSTITUTE(D70,".",""),"/",""),"-","")," ",""))&lt;&gt;14,"CNPJ INVALIDO","OK"))</f>
      </c>
      <c r="Y70" s="3056">
        <f>IF(A70="","",IF(R70="","REST PENDENTE","REST OK"))</f>
      </c>
      <c r="Z70" s="3056">
        <f>IF(A70="","",IF(AND(R70&lt;&gt;"",COUNTIFS($D$3:$D$164,D70,$R$3:$R$164,"&lt;&gt;")&gt;1),"DUPLICADO","OK"))</f>
      </c>
      <c r="AA70" s="3056">
        <f>IF(A70="","",IF(OR(LEN(Q70)&gt;180,LEN(R70)&gt;180,LEN(S70)&gt;180,LEN(T70)&gt;180),"CAMINHO LONGO","OK"))</f>
      </c>
      <c r="AB70" s="3056">
        <f>IF(A70="","",IF(U70="","",IFERROR(INT(U70-TODAY()),"")))</f>
      </c>
      <c r="AC70" s="3056">
        <f>IF(A70="","",IF(AND(T70="",U70=""),"",IF(T70="","SEM CAMINHO",IF(U70="","SEM DATA",IFERROR(IF(AB70&lt;15,"VERMELHO",IF(AB70&lt;=30,"AMARELO","VERDE")),"DATA INVALIDA")))))</f>
      </c>
      <c r="AD70" s="3056">
        <f>IF(OR(A70="",U70="",NOT(ISNUMBER(AB70))),"",RANK(AB70,$AB$3:$AB$164,1)+COUNTIFS($AB$3:AB70,AB70)-1)</f>
      </c>
      <c r="AE70" s="1736"/>
    </row>
    <row r="71" spans="1:19" ht="22.0" hidden="false" customHeight="true" x14ac:dyDescent="0.25">
      <c r="A71" s="3069" t="s">
        <v>170</v>
      </c>
      <c r="B71" s="3068" t="s">
        <v>162</v>
      </c>
      <c r="C71" s="3068" t="s">
        <v>163</v>
      </c>
      <c r="D71" s="3068" t="s">
        <v>171</v>
      </c>
      <c r="E71" s="3068"/>
      <c r="F71" s="3068" t="s">
        <v>167</v>
      </c>
      <c r="G71" s="3068" t="s">
        <v>13</v>
      </c>
      <c r="H71" s="3068" t="s">
        <v>14</v>
      </c>
      <c r="I71" s="3068"/>
      <c r="J71" s="3068"/>
      <c r="K71" s="3068"/>
      <c r="L71" s="3068"/>
      <c r="M71" s="3068" t="s">
        <v>385</v>
      </c>
      <c r="N71" s="3068" t="s">
        <v>362</v>
      </c>
      <c r="O71" s="3068" t="s">
        <v>362</v>
      </c>
      <c r="P71" s="3068"/>
      <c r="Q71" s="3071"/>
      <c r="R71" s="3071"/>
      <c r="S71" s="3071"/>
      <c r="T71" s="3071"/>
      <c r="U71" s="3072"/>
      <c r="V71" s="3068"/>
      <c r="W71" s="3068"/>
      <c r="X71" s="3056">
        <f>IF(A71="","",IF(LEN(SUBSTITUTE(SUBSTITUTE(SUBSTITUTE(SUBSTITUTE(D71,".",""),"/",""),"-","")," ",""))&lt;&gt;14,"CNPJ INVALIDO","OK"))</f>
      </c>
      <c r="Y71" s="3056">
        <f>IF(A71="","",IF(R71="","REST PENDENTE","REST OK"))</f>
      </c>
      <c r="Z71" s="3056">
        <f>IF(A71="","",IF(AND(R71&lt;&gt;"",COUNTIFS($D$3:$D$164,D71,$R$3:$R$164,"&lt;&gt;")&gt;1),"DUPLICADO","OK"))</f>
      </c>
      <c r="AA71" s="3056">
        <f>IF(A71="","",IF(OR(LEN(Q71)&gt;180,LEN(R71)&gt;180,LEN(S71)&gt;180,LEN(T71)&gt;180),"CAMINHO LONGO","OK"))</f>
      </c>
      <c r="AB71" s="3056">
        <f>IF(A71="","",IF(U71="","",IFERROR(INT(U71-TODAY()),"")))</f>
      </c>
      <c r="AC71" s="3056">
        <f>IF(A71="","",IF(AND(T71="",U71=""),"",IF(T71="","SEM CAMINHO",IF(U71="","SEM DATA",IFERROR(IF(AB71&lt;15,"VERMELHO",IF(AB71&lt;=30,"AMARELO","VERDE")),"DATA INVALIDA")))))</f>
      </c>
      <c r="AD71" s="3056">
        <f>IF(OR(A71="",U71="",NOT(ISNUMBER(AB71))),"",RANK(AB71,$AB$3:$AB$164,1)+COUNTIFS($AB$3:AB71,AB71)-1)</f>
      </c>
      <c r="AE71" s="1736"/>
    </row>
    <row r="72" spans="1:19" ht="22.0" hidden="false" customHeight="true" x14ac:dyDescent="0.25">
      <c r="A72" s="3074" t="s">
        <v>172</v>
      </c>
      <c r="B72" s="3073" t="s">
        <v>162</v>
      </c>
      <c r="C72" s="3073" t="s">
        <v>163</v>
      </c>
      <c r="D72" s="3073" t="s">
        <v>173</v>
      </c>
      <c r="E72" s="3073"/>
      <c r="F72" s="3073" t="s">
        <v>167</v>
      </c>
      <c r="G72" s="3073" t="s">
        <v>13</v>
      </c>
      <c r="H72" s="3073" t="s">
        <v>14</v>
      </c>
      <c r="I72" s="3073"/>
      <c r="J72" s="3073"/>
      <c r="K72" s="3073"/>
      <c r="L72" s="3073"/>
      <c r="M72" s="3073" t="s">
        <v>385</v>
      </c>
      <c r="N72" s="3073" t="s">
        <v>362</v>
      </c>
      <c r="O72" s="3073" t="s">
        <v>362</v>
      </c>
      <c r="P72" s="3073"/>
      <c r="Q72" s="3076"/>
      <c r="R72" s="3076"/>
      <c r="S72" s="3076"/>
      <c r="T72" s="3076"/>
      <c r="U72" s="3077"/>
      <c r="V72" s="3073"/>
      <c r="W72" s="3073"/>
      <c r="X72" s="3056">
        <f>IF(A72="","",IF(LEN(SUBSTITUTE(SUBSTITUTE(SUBSTITUTE(SUBSTITUTE(D72,".",""),"/",""),"-","")," ",""))&lt;&gt;14,"CNPJ INVALIDO","OK"))</f>
      </c>
      <c r="Y72" s="3056">
        <f>IF(A72="","",IF(R72="","REST PENDENTE","REST OK"))</f>
      </c>
      <c r="Z72" s="3056">
        <f>IF(A72="","",IF(AND(R72&lt;&gt;"",COUNTIFS($D$3:$D$164,D72,$R$3:$R$164,"&lt;&gt;")&gt;1),"DUPLICADO","OK"))</f>
      </c>
      <c r="AA72" s="3056">
        <f>IF(A72="","",IF(OR(LEN(Q72)&gt;180,LEN(R72)&gt;180,LEN(S72)&gt;180,LEN(T72)&gt;180),"CAMINHO LONGO","OK"))</f>
      </c>
      <c r="AB72" s="3056">
        <f>IF(A72="","",IF(U72="","",IFERROR(INT(U72-TODAY()),"")))</f>
      </c>
      <c r="AC72" s="3056">
        <f>IF(A72="","",IF(AND(T72="",U72=""),"",IF(T72="","SEM CAMINHO",IF(U72="","SEM DATA",IFERROR(IF(AB72&lt;15,"VERMELHO",IF(AB72&lt;=30,"AMARELO","VERDE")),"DATA INVALIDA")))))</f>
      </c>
      <c r="AD72" s="3056">
        <f>IF(OR(A72="",U72="",NOT(ISNUMBER(AB72))),"",RANK(AB72,$AB$3:$AB$164,1)+COUNTIFS($AB$3:AB72,AB72)-1)</f>
      </c>
      <c r="AE72" s="1736"/>
    </row>
    <row r="73" spans="1:19" ht="22.0" hidden="false" customHeight="true" x14ac:dyDescent="0.25">
      <c r="A73" s="3069" t="s">
        <v>174</v>
      </c>
      <c r="B73" s="3068" t="s">
        <v>162</v>
      </c>
      <c r="C73" s="3068" t="s">
        <v>163</v>
      </c>
      <c r="D73" s="3068" t="s">
        <v>175</v>
      </c>
      <c r="E73" s="3068"/>
      <c r="F73" s="3068" t="s">
        <v>167</v>
      </c>
      <c r="G73" s="3068" t="s">
        <v>13</v>
      </c>
      <c r="H73" s="3068" t="s">
        <v>14</v>
      </c>
      <c r="I73" s="3068"/>
      <c r="J73" s="3068"/>
      <c r="K73" s="3068"/>
      <c r="L73" s="3068"/>
      <c r="M73" s="3068" t="s">
        <v>385</v>
      </c>
      <c r="N73" s="3068" t="s">
        <v>362</v>
      </c>
      <c r="O73" s="3068" t="s">
        <v>362</v>
      </c>
      <c r="P73" s="3068"/>
      <c r="Q73" s="3071"/>
      <c r="R73" s="3071"/>
      <c r="S73" s="3071"/>
      <c r="T73" s="3071"/>
      <c r="U73" s="3072"/>
      <c r="V73" s="3068"/>
      <c r="W73" s="3068"/>
      <c r="X73" s="3056">
        <f>IF(A73="","",IF(LEN(SUBSTITUTE(SUBSTITUTE(SUBSTITUTE(SUBSTITUTE(D73,".",""),"/",""),"-","")," ",""))&lt;&gt;14,"CNPJ INVALIDO","OK"))</f>
      </c>
      <c r="Y73" s="3056">
        <f>IF(A73="","",IF(R73="","REST PENDENTE","REST OK"))</f>
      </c>
      <c r="Z73" s="3056">
        <f>IF(A73="","",IF(AND(R73&lt;&gt;"",COUNTIFS($D$3:$D$164,D73,$R$3:$R$164,"&lt;&gt;")&gt;1),"DUPLICADO","OK"))</f>
      </c>
      <c r="AA73" s="3056">
        <f>IF(A73="","",IF(OR(LEN(Q73)&gt;180,LEN(R73)&gt;180,LEN(S73)&gt;180,LEN(T73)&gt;180),"CAMINHO LONGO","OK"))</f>
      </c>
      <c r="AB73" s="3056">
        <f>IF(A73="","",IF(U73="","",IFERROR(INT(U73-TODAY()),"")))</f>
      </c>
      <c r="AC73" s="3056">
        <f>IF(A73="","",IF(AND(T73="",U73=""),"",IF(T73="","SEM CAMINHO",IF(U73="","SEM DATA",IFERROR(IF(AB73&lt;15,"VERMELHO",IF(AB73&lt;=30,"AMARELO","VERDE")),"DATA INVALIDA")))))</f>
      </c>
      <c r="AD73" s="3056">
        <f>IF(OR(A73="",U73="",NOT(ISNUMBER(AB73))),"",RANK(AB73,$AB$3:$AB$164,1)+COUNTIFS($AB$3:AB73,AB73)-1)</f>
      </c>
      <c r="AE73" s="1736"/>
    </row>
    <row r="74" spans="1:19" ht="22.0" hidden="false" customHeight="true" x14ac:dyDescent="0.25">
      <c r="A74" s="3074" t="s">
        <v>176</v>
      </c>
      <c r="B74" s="3073" t="s">
        <v>162</v>
      </c>
      <c r="C74" s="3073" t="s">
        <v>163</v>
      </c>
      <c r="D74" s="3073" t="s">
        <v>177</v>
      </c>
      <c r="E74" s="3073"/>
      <c r="F74" s="3073"/>
      <c r="G74" s="3073" t="s">
        <v>4</v>
      </c>
      <c r="H74" s="3073" t="s">
        <v>14</v>
      </c>
      <c r="I74" s="3073"/>
      <c r="J74" s="3073"/>
      <c r="K74" s="3073"/>
      <c r="L74" s="3073"/>
      <c r="M74" s="3073" t="s">
        <v>385</v>
      </c>
      <c r="N74" s="3073" t="s">
        <v>362</v>
      </c>
      <c r="O74" s="3073" t="s">
        <v>350</v>
      </c>
      <c r="P74" s="3073"/>
      <c r="Q74" s="3076"/>
      <c r="R74" s="3076"/>
      <c r="S74" s="3076"/>
      <c r="T74" s="3076"/>
      <c r="U74" s="3077"/>
      <c r="V74" s="3073"/>
      <c r="W74" s="3073"/>
      <c r="X74" s="3056">
        <f>IF(A74="","",IF(LEN(SUBSTITUTE(SUBSTITUTE(SUBSTITUTE(SUBSTITUTE(D74,".",""),"/",""),"-","")," ",""))&lt;&gt;14,"CNPJ INVALIDO","OK"))</f>
      </c>
      <c r="Y74" s="3056">
        <f>IF(A74="","",IF(R74="","REST PENDENTE","REST OK"))</f>
      </c>
      <c r="Z74" s="3056">
        <f>IF(A74="","",IF(AND(R74&lt;&gt;"",COUNTIFS($D$3:$D$164,D74,$R$3:$R$164,"&lt;&gt;")&gt;1),"DUPLICADO","OK"))</f>
      </c>
      <c r="AA74" s="3056">
        <f>IF(A74="","",IF(OR(LEN(Q74)&gt;180,LEN(R74)&gt;180,LEN(S74)&gt;180,LEN(T74)&gt;180),"CAMINHO LONGO","OK"))</f>
      </c>
      <c r="AB74" s="3056">
        <f>IF(A74="","",IF(U74="","",IFERROR(INT(U74-TODAY()),"")))</f>
      </c>
      <c r="AC74" s="3056">
        <f>IF(A74="","",IF(AND(T74="",U74=""),"",IF(T74="","SEM CAMINHO",IF(U74="","SEM DATA",IFERROR(IF(AB74&lt;15,"VERMELHO",IF(AB74&lt;=30,"AMARELO","VERDE")),"DATA INVALIDA")))))</f>
      </c>
      <c r="AD74" s="3056">
        <f>IF(OR(A74="",U74="",NOT(ISNUMBER(AB74))),"",RANK(AB74,$AB$3:$AB$164,1)+COUNTIFS($AB$3:AB74,AB74)-1)</f>
      </c>
      <c r="AE74" s="1736"/>
    </row>
    <row r="75" spans="1:19" ht="22.0" hidden="false" customHeight="true" x14ac:dyDescent="0.25">
      <c r="A75" s="3069" t="s">
        <v>178</v>
      </c>
      <c r="B75" s="3068" t="s">
        <v>162</v>
      </c>
      <c r="C75" s="3068" t="s">
        <v>163</v>
      </c>
      <c r="D75" s="3068" t="s">
        <v>179</v>
      </c>
      <c r="E75" s="3068"/>
      <c r="F75" s="3068"/>
      <c r="G75" s="3068" t="s">
        <v>4</v>
      </c>
      <c r="H75" s="3068" t="s">
        <v>14</v>
      </c>
      <c r="I75" s="3068"/>
      <c r="J75" s="3068"/>
      <c r="K75" s="3068"/>
      <c r="L75" s="3068"/>
      <c r="M75" s="3068" t="s">
        <v>385</v>
      </c>
      <c r="N75" s="3068" t="s">
        <v>362</v>
      </c>
      <c r="O75" s="3068" t="s">
        <v>350</v>
      </c>
      <c r="P75" s="3068"/>
      <c r="Q75" s="3071"/>
      <c r="R75" s="3071"/>
      <c r="S75" s="3071"/>
      <c r="T75" s="3071"/>
      <c r="U75" s="3072"/>
      <c r="V75" s="3068"/>
      <c r="W75" s="3068"/>
      <c r="X75" s="3056">
        <f>IF(A75="","",IF(LEN(SUBSTITUTE(SUBSTITUTE(SUBSTITUTE(SUBSTITUTE(D75,".",""),"/",""),"-","")," ",""))&lt;&gt;14,"CNPJ INVALIDO","OK"))</f>
      </c>
      <c r="Y75" s="3056">
        <f>IF(A75="","",IF(R75="","REST PENDENTE","REST OK"))</f>
      </c>
      <c r="Z75" s="3056">
        <f>IF(A75="","",IF(AND(R75&lt;&gt;"",COUNTIFS($D$3:$D$164,D75,$R$3:$R$164,"&lt;&gt;")&gt;1),"DUPLICADO","OK"))</f>
      </c>
      <c r="AA75" s="3056">
        <f>IF(A75="","",IF(OR(LEN(Q75)&gt;180,LEN(R75)&gt;180,LEN(S75)&gt;180,LEN(T75)&gt;180),"CAMINHO LONGO","OK"))</f>
      </c>
      <c r="AB75" s="3056">
        <f>IF(A75="","",IF(U75="","",IFERROR(INT(U75-TODAY()),"")))</f>
      </c>
      <c r="AC75" s="3056">
        <f>IF(A75="","",IF(AND(T75="",U75=""),"",IF(T75="","SEM CAMINHO",IF(U75="","SEM DATA",IFERROR(IF(AB75&lt;15,"VERMELHO",IF(AB75&lt;=30,"AMARELO","VERDE")),"DATA INVALIDA")))))</f>
      </c>
      <c r="AD75" s="3056">
        <f>IF(OR(A75="",U75="",NOT(ISNUMBER(AB75))),"",RANK(AB75,$AB$3:$AB$164,1)+COUNTIFS($AB$3:AB75,AB75)-1)</f>
      </c>
      <c r="AE75" s="1736"/>
    </row>
    <row r="76" spans="1:19" ht="22.0" hidden="false" customHeight="true" x14ac:dyDescent="0.25">
      <c r="A76" s="3074" t="s">
        <v>180</v>
      </c>
      <c r="B76" s="3073" t="s">
        <v>9</v>
      </c>
      <c r="C76" s="3073" t="s">
        <v>24</v>
      </c>
      <c r="D76" s="3073">
        <v>10977876000146</v>
      </c>
      <c r="E76" s="3073"/>
      <c r="F76" s="3073" t="s">
        <v>12</v>
      </c>
      <c r="G76" s="3073" t="s">
        <v>4</v>
      </c>
      <c r="H76" s="3073" t="s">
        <v>5</v>
      </c>
      <c r="I76" s="3073"/>
      <c r="J76" s="3073"/>
      <c r="K76" s="3073"/>
      <c r="L76" s="3073"/>
      <c r="M76" s="3073" t="s">
        <v>385</v>
      </c>
      <c r="N76" s="3073"/>
      <c r="O76" s="3073" t="s">
        <v>351</v>
      </c>
      <c r="P76" s="3073"/>
      <c r="Q76" s="3076"/>
      <c r="R76" s="3076"/>
      <c r="S76" s="3076"/>
      <c r="T76" s="3076"/>
      <c r="U76" s="3077"/>
      <c r="V76" s="3073"/>
      <c r="W76" s="3073"/>
      <c r="X76" s="3056">
        <f>IF(A76="","",IF(LEN(SUBSTITUTE(SUBSTITUTE(SUBSTITUTE(SUBSTITUTE(D76,".",""),"/",""),"-","")," ",""))&lt;&gt;14,"CNPJ INVALIDO","OK"))</f>
      </c>
      <c r="Y76" s="3056">
        <f>IF(A76="","",IF(R76="","REST PENDENTE","REST OK"))</f>
      </c>
      <c r="Z76" s="3056">
        <f>IF(A76="","",IF(AND(R76&lt;&gt;"",COUNTIFS($D$3:$D$164,D76,$R$3:$R$164,"&lt;&gt;")&gt;1),"DUPLICADO","OK"))</f>
      </c>
      <c r="AA76" s="3056">
        <f>IF(A76="","",IF(OR(LEN(Q76)&gt;180,LEN(R76)&gt;180,LEN(S76)&gt;180,LEN(T76)&gt;180),"CAMINHO LONGO","OK"))</f>
      </c>
      <c r="AB76" s="3056">
        <f>IF(A76="","",IF(U76="","",IFERROR(INT(U76-TODAY()),"")))</f>
      </c>
      <c r="AC76" s="3056">
        <f>IF(A76="","",IF(AND(T76="",U76=""),"",IF(T76="","SEM CAMINHO",IF(U76="","SEM DATA",IFERROR(IF(AB76&lt;15,"VERMELHO",IF(AB76&lt;=30,"AMARELO","VERDE")),"DATA INVALIDA")))))</f>
      </c>
      <c r="AD76" s="3056">
        <f>IF(OR(A76="",U76="",NOT(ISNUMBER(AB76))),"",RANK(AB76,$AB$3:$AB$164,1)+COUNTIFS($AB$3:AB76,AB76)-1)</f>
      </c>
      <c r="AE76" s="1736"/>
    </row>
    <row r="77" spans="1:19" ht="22.0" hidden="false" customHeight="true" x14ac:dyDescent="0.25">
      <c r="A77" s="3069" t="s">
        <v>181</v>
      </c>
      <c r="B77" s="3068" t="s">
        <v>182</v>
      </c>
      <c r="C77" s="3068" t="s">
        <v>79</v>
      </c>
      <c r="D77" s="3068" t="s">
        <v>183</v>
      </c>
      <c r="E77" s="3068"/>
      <c r="F77" s="3068" t="s">
        <v>184</v>
      </c>
      <c r="G77" s="3068" t="s">
        <v>13</v>
      </c>
      <c r="H77" s="3068" t="s">
        <v>5</v>
      </c>
      <c r="I77" s="3068"/>
      <c r="J77" s="3068"/>
      <c r="K77" s="3068"/>
      <c r="L77" s="3068"/>
      <c r="M77" s="3068" t="s">
        <v>375</v>
      </c>
      <c r="N77" s="3068"/>
      <c r="O77" s="3068" t="s">
        <v>351</v>
      </c>
      <c r="P77" s="3068"/>
      <c r="Q77" s="3071"/>
      <c r="R77" s="3071"/>
      <c r="S77" s="3071"/>
      <c r="T77" s="3071"/>
      <c r="U77" s="3072"/>
      <c r="V77" s="3068"/>
      <c r="W77" s="3068"/>
      <c r="X77" s="3056">
        <f>IF(A77="","",IF(LEN(SUBSTITUTE(SUBSTITUTE(SUBSTITUTE(SUBSTITUTE(D77,".",""),"/",""),"-","")," ",""))&lt;&gt;14,"CNPJ INVALIDO","OK"))</f>
      </c>
      <c r="Y77" s="3056">
        <f>IF(A77="","",IF(R77="","REST PENDENTE","REST OK"))</f>
      </c>
      <c r="Z77" s="3056">
        <f>IF(A77="","",IF(AND(R77&lt;&gt;"",COUNTIFS($D$3:$D$164,D77,$R$3:$R$164,"&lt;&gt;")&gt;1),"DUPLICADO","OK"))</f>
      </c>
      <c r="AA77" s="3056">
        <f>IF(A77="","",IF(OR(LEN(Q77)&gt;180,LEN(R77)&gt;180,LEN(S77)&gt;180,LEN(T77)&gt;180),"CAMINHO LONGO","OK"))</f>
      </c>
      <c r="AB77" s="3056">
        <f>IF(A77="","",IF(U77="","",IFERROR(INT(U77-TODAY()),"")))</f>
      </c>
      <c r="AC77" s="3056">
        <f>IF(A77="","",IF(AND(T77="",U77=""),"",IF(T77="","SEM CAMINHO",IF(U77="","SEM DATA",IFERROR(IF(AB77&lt;15,"VERMELHO",IF(AB77&lt;=30,"AMARELO","VERDE")),"DATA INVALIDA")))))</f>
      </c>
      <c r="AD77" s="3056">
        <f>IF(OR(A77="",U77="",NOT(ISNUMBER(AB77))),"",RANK(AB77,$AB$3:$AB$164,1)+COUNTIFS($AB$3:AB77,AB77)-1)</f>
      </c>
      <c r="AE77" s="1736"/>
    </row>
    <row r="78" spans="1:19" ht="22.0" hidden="false" customHeight="true" x14ac:dyDescent="0.25">
      <c r="A78" s="3074" t="s">
        <v>185</v>
      </c>
      <c r="B78" s="3073" t="s">
        <v>182</v>
      </c>
      <c r="C78" s="3073" t="s">
        <v>79</v>
      </c>
      <c r="D78" s="3073" t="s">
        <v>186</v>
      </c>
      <c r="E78" s="3073"/>
      <c r="F78" s="3073" t="s">
        <v>184</v>
      </c>
      <c r="G78" s="3073" t="s">
        <v>13</v>
      </c>
      <c r="H78" s="3073" t="s">
        <v>14</v>
      </c>
      <c r="I78" s="3073"/>
      <c r="J78" s="3073"/>
      <c r="K78" s="3073"/>
      <c r="L78" s="3073"/>
      <c r="M78" s="3073" t="s">
        <v>355</v>
      </c>
      <c r="N78" s="3073"/>
      <c r="O78" s="3073" t="s">
        <v>354</v>
      </c>
      <c r="P78" s="3073"/>
      <c r="Q78" s="3076"/>
      <c r="R78" s="3076"/>
      <c r="S78" s="3076"/>
      <c r="T78" s="3076"/>
      <c r="U78" s="3077"/>
      <c r="V78" s="3073"/>
      <c r="W78" s="3073"/>
      <c r="X78" s="3056">
        <f>IF(A78="","",IF(LEN(SUBSTITUTE(SUBSTITUTE(SUBSTITUTE(SUBSTITUTE(D78,".",""),"/",""),"-","")," ",""))&lt;&gt;14,"CNPJ INVALIDO","OK"))</f>
      </c>
      <c r="Y78" s="3056">
        <f>IF(A78="","",IF(R78="","REST PENDENTE","REST OK"))</f>
      </c>
      <c r="Z78" s="3056">
        <f>IF(A78="","",IF(AND(R78&lt;&gt;"",COUNTIFS($D$3:$D$164,D78,$R$3:$R$164,"&lt;&gt;")&gt;1),"DUPLICADO","OK"))</f>
      </c>
      <c r="AA78" s="3056">
        <f>IF(A78="","",IF(OR(LEN(Q78)&gt;180,LEN(R78)&gt;180,LEN(S78)&gt;180,LEN(T78)&gt;180),"CAMINHO LONGO","OK"))</f>
      </c>
      <c r="AB78" s="3056">
        <f>IF(A78="","",IF(U78="","",IFERROR(INT(U78-TODAY()),"")))</f>
      </c>
      <c r="AC78" s="3056">
        <f>IF(A78="","",IF(AND(T78="",U78=""),"",IF(T78="","SEM CAMINHO",IF(U78="","SEM DATA",IFERROR(IF(AB78&lt;15,"VERMELHO",IF(AB78&lt;=30,"AMARELO","VERDE")),"DATA INVALIDA")))))</f>
      </c>
      <c r="AD78" s="3056">
        <f>IF(OR(A78="",U78="",NOT(ISNUMBER(AB78))),"",RANK(AB78,$AB$3:$AB$164,1)+COUNTIFS($AB$3:AB78,AB78)-1)</f>
      </c>
      <c r="AE78" s="1736"/>
    </row>
    <row r="79" spans="1:19" ht="22.0" hidden="false" customHeight="true" x14ac:dyDescent="0.25">
      <c r="A79" s="3069" t="s">
        <v>187</v>
      </c>
      <c r="B79" s="3068" t="s">
        <v>188</v>
      </c>
      <c r="C79" s="3068" t="s">
        <v>62</v>
      </c>
      <c r="D79" s="3068">
        <v>40920539000183</v>
      </c>
      <c r="E79" s="3068"/>
      <c r="F79" s="3068" t="s">
        <v>189</v>
      </c>
      <c r="G79" s="3068" t="s">
        <v>4</v>
      </c>
      <c r="H79" s="3068" t="s">
        <v>5</v>
      </c>
      <c r="I79" s="3068"/>
      <c r="J79" s="3068"/>
      <c r="K79" s="3068"/>
      <c r="L79" s="3068"/>
      <c r="M79" s="3068" t="s">
        <v>385</v>
      </c>
      <c r="N79" s="3068"/>
      <c r="O79" s="3068"/>
      <c r="P79" s="3068"/>
      <c r="Q79" s="3071"/>
      <c r="R79" s="3071"/>
      <c r="S79" s="3071"/>
      <c r="T79" s="3071"/>
      <c r="U79" s="3072"/>
      <c r="V79" s="3068"/>
      <c r="W79" s="3068"/>
      <c r="X79" s="3056">
        <f>IF(A79="","",IF(LEN(SUBSTITUTE(SUBSTITUTE(SUBSTITUTE(SUBSTITUTE(D79,".",""),"/",""),"-","")," ",""))&lt;&gt;14,"CNPJ INVALIDO","OK"))</f>
      </c>
      <c r="Y79" s="3056">
        <f>IF(A79="","",IF(R79="","REST PENDENTE","REST OK"))</f>
      </c>
      <c r="Z79" s="3056">
        <f>IF(A79="","",IF(AND(R79&lt;&gt;"",COUNTIFS($D$3:$D$164,D79,$R$3:$R$164,"&lt;&gt;")&gt;1),"DUPLICADO","OK"))</f>
      </c>
      <c r="AA79" s="3056">
        <f>IF(A79="","",IF(OR(LEN(Q79)&gt;180,LEN(R79)&gt;180,LEN(S79)&gt;180,LEN(T79)&gt;180),"CAMINHO LONGO","OK"))</f>
      </c>
      <c r="AB79" s="3056">
        <f>IF(A79="","",IF(U79="","",IFERROR(INT(U79-TODAY()),"")))</f>
      </c>
      <c r="AC79" s="3056">
        <f>IF(A79="","",IF(AND(T79="",U79=""),"",IF(T79="","SEM CAMINHO",IF(U79="","SEM DATA",IFERROR(IF(AB79&lt;15,"VERMELHO",IF(AB79&lt;=30,"AMARELO","VERDE")),"DATA INVALIDA")))))</f>
      </c>
      <c r="AD79" s="3056">
        <f>IF(OR(A79="",U79="",NOT(ISNUMBER(AB79))),"",RANK(AB79,$AB$3:$AB$164,1)+COUNTIFS($AB$3:AB79,AB79)-1)</f>
      </c>
      <c r="AE79" s="1736"/>
    </row>
    <row r="80" spans="1:19" ht="22.0" hidden="false" customHeight="true" x14ac:dyDescent="0.25">
      <c r="A80" s="3074" t="s">
        <v>190</v>
      </c>
      <c r="B80" s="3073" t="s">
        <v>188</v>
      </c>
      <c r="C80" s="3073" t="s">
        <v>69</v>
      </c>
      <c r="D80" s="3073" t="s">
        <v>191</v>
      </c>
      <c r="E80" s="3073"/>
      <c r="F80" s="3073" t="s">
        <v>189</v>
      </c>
      <c r="G80" s="3073" t="s">
        <v>41</v>
      </c>
      <c r="H80" s="3073" t="s">
        <v>5</v>
      </c>
      <c r="I80" s="3073"/>
      <c r="J80" s="3073"/>
      <c r="K80" s="3073"/>
      <c r="L80" s="3073"/>
      <c r="M80" s="3073" t="s">
        <v>379</v>
      </c>
      <c r="N80" s="3073"/>
      <c r="O80" s="3073" t="s">
        <v>350</v>
      </c>
      <c r="P80" s="3073"/>
      <c r="Q80" s="3076"/>
      <c r="R80" s="3076"/>
      <c r="S80" s="3076"/>
      <c r="T80" s="3076"/>
      <c r="U80" s="3077"/>
      <c r="V80" s="3073"/>
      <c r="W80" s="3073"/>
      <c r="X80" s="3056">
        <f>IF(A80="","",IF(LEN(SUBSTITUTE(SUBSTITUTE(SUBSTITUTE(SUBSTITUTE(D80,".",""),"/",""),"-","")," ",""))&lt;&gt;14,"CNPJ INVALIDO","OK"))</f>
      </c>
      <c r="Y80" s="3056">
        <f>IF(A80="","",IF(R80="","REST PENDENTE","REST OK"))</f>
      </c>
      <c r="Z80" s="3056">
        <f>IF(A80="","",IF(AND(R80&lt;&gt;"",COUNTIFS($D$3:$D$164,D80,$R$3:$R$164,"&lt;&gt;")&gt;1),"DUPLICADO","OK"))</f>
      </c>
      <c r="AA80" s="3056">
        <f>IF(A80="","",IF(OR(LEN(Q80)&gt;180,LEN(R80)&gt;180,LEN(S80)&gt;180,LEN(T80)&gt;180),"CAMINHO LONGO","OK"))</f>
      </c>
      <c r="AB80" s="3056">
        <f>IF(A80="","",IF(U80="","",IFERROR(INT(U80-TODAY()),"")))</f>
      </c>
      <c r="AC80" s="3056">
        <f>IF(A80="","",IF(AND(T80="",U80=""),"",IF(T80="","SEM CAMINHO",IF(U80="","SEM DATA",IFERROR(IF(AB80&lt;15,"VERMELHO",IF(AB80&lt;=30,"AMARELO","VERDE")),"DATA INVALIDA")))))</f>
      </c>
      <c r="AD80" s="3056">
        <f>IF(OR(A80="",U80="",NOT(ISNUMBER(AB80))),"",RANK(AB80,$AB$3:$AB$164,1)+COUNTIFS($AB$3:AB80,AB80)-1)</f>
      </c>
      <c r="AE80" s="1736"/>
    </row>
    <row r="81" spans="1:19" ht="22.0" hidden="false" customHeight="true" x14ac:dyDescent="0.25">
      <c r="A81" s="3069" t="s">
        <v>192</v>
      </c>
      <c r="B81" s="3068" t="s">
        <v>188</v>
      </c>
      <c r="C81" s="3068" t="s">
        <v>69</v>
      </c>
      <c r="D81" s="3068" t="s">
        <v>193</v>
      </c>
      <c r="E81" s="3068"/>
      <c r="F81" s="3068" t="s">
        <v>189</v>
      </c>
      <c r="G81" s="3068" t="s">
        <v>13</v>
      </c>
      <c r="H81" s="3068" t="s">
        <v>14</v>
      </c>
      <c r="I81" s="3068"/>
      <c r="J81" s="3068"/>
      <c r="K81" s="3068"/>
      <c r="L81" s="3068"/>
      <c r="M81" s="3068" t="s">
        <v>386</v>
      </c>
      <c r="N81" s="3068"/>
      <c r="O81" s="3068" t="s">
        <v>347</v>
      </c>
      <c r="P81" s="3068"/>
      <c r="Q81" s="3071"/>
      <c r="R81" s="3071"/>
      <c r="S81" s="3071"/>
      <c r="T81" s="3071"/>
      <c r="U81" s="3072"/>
      <c r="V81" s="3068"/>
      <c r="W81" s="3068"/>
      <c r="X81" s="3056">
        <f>IF(A81="","",IF(LEN(SUBSTITUTE(SUBSTITUTE(SUBSTITUTE(SUBSTITUTE(D81,".",""),"/",""),"-","")," ",""))&lt;&gt;14,"CNPJ INVALIDO","OK"))</f>
      </c>
      <c r="Y81" s="3056">
        <f>IF(A81="","",IF(R81="","REST PENDENTE","REST OK"))</f>
      </c>
      <c r="Z81" s="3056">
        <f>IF(A81="","",IF(AND(R81&lt;&gt;"",COUNTIFS($D$3:$D$164,D81,$R$3:$R$164,"&lt;&gt;")&gt;1),"DUPLICADO","OK"))</f>
      </c>
      <c r="AA81" s="3056">
        <f>IF(A81="","",IF(OR(LEN(Q81)&gt;180,LEN(R81)&gt;180,LEN(S81)&gt;180,LEN(T81)&gt;180),"CAMINHO LONGO","OK"))</f>
      </c>
      <c r="AB81" s="3056">
        <f>IF(A81="","",IF(U81="","",IFERROR(INT(U81-TODAY()),"")))</f>
      </c>
      <c r="AC81" s="3056">
        <f>IF(A81="","",IF(AND(T81="",U81=""),"",IF(T81="","SEM CAMINHO",IF(U81="","SEM DATA",IFERROR(IF(AB81&lt;15,"VERMELHO",IF(AB81&lt;=30,"AMARELO","VERDE")),"DATA INVALIDA")))))</f>
      </c>
      <c r="AD81" s="3056">
        <f>IF(OR(A81="",U81="",NOT(ISNUMBER(AB81))),"",RANK(AB81,$AB$3:$AB$164,1)+COUNTIFS($AB$3:AB81,AB81)-1)</f>
      </c>
      <c r="AE81" s="1736"/>
    </row>
    <row r="82" spans="1:19" ht="22.0" hidden="false" customHeight="true" x14ac:dyDescent="0.25">
      <c r="A82" s="3074" t="s">
        <v>194</v>
      </c>
      <c r="B82" s="3073" t="s">
        <v>1</v>
      </c>
      <c r="C82" s="3073" t="s">
        <v>195</v>
      </c>
      <c r="D82" s="3073" t="s">
        <v>196</v>
      </c>
      <c r="E82" s="3073"/>
      <c r="F82" s="3073" t="s">
        <v>3</v>
      </c>
      <c r="G82" s="3073" t="s">
        <v>197</v>
      </c>
      <c r="H82" s="3073" t="s">
        <v>49</v>
      </c>
      <c r="I82" s="3073"/>
      <c r="J82" s="3073"/>
      <c r="K82" s="3073"/>
      <c r="L82" s="3073"/>
      <c r="M82" s="3073" t="s">
        <v>376</v>
      </c>
      <c r="N82" s="3073" t="s">
        <v>361</v>
      </c>
      <c r="O82" s="3073" t="s">
        <v>351</v>
      </c>
      <c r="P82" s="3073"/>
      <c r="Q82" s="3076"/>
      <c r="R82" s="3076"/>
      <c r="S82" s="3076"/>
      <c r="T82" s="3076"/>
      <c r="U82" s="3077"/>
      <c r="V82" s="3073"/>
      <c r="W82" s="3073"/>
      <c r="X82" s="3056">
        <f>IF(A82="","",IF(LEN(SUBSTITUTE(SUBSTITUTE(SUBSTITUTE(SUBSTITUTE(D82,".",""),"/",""),"-","")," ",""))&lt;&gt;14,"CNPJ INVALIDO","OK"))</f>
      </c>
      <c r="Y82" s="3056">
        <f>IF(A82="","",IF(R82="","REST PENDENTE","REST OK"))</f>
      </c>
      <c r="Z82" s="3056">
        <f>IF(A82="","",IF(AND(R82&lt;&gt;"",COUNTIFS($D$3:$D$164,D82,$R$3:$R$164,"&lt;&gt;")&gt;1),"DUPLICADO","OK"))</f>
      </c>
      <c r="AA82" s="3056">
        <f>IF(A82="","",IF(OR(LEN(Q82)&gt;180,LEN(R82)&gt;180,LEN(S82)&gt;180,LEN(T82)&gt;180),"CAMINHO LONGO","OK"))</f>
      </c>
      <c r="AB82" s="3056">
        <f>IF(A82="","",IF(U82="","",IFERROR(INT(U82-TODAY()),"")))</f>
      </c>
      <c r="AC82" s="3056">
        <f>IF(A82="","",IF(AND(T82="",U82=""),"",IF(T82="","SEM CAMINHO",IF(U82="","SEM DATA",IFERROR(IF(AB82&lt;15,"VERMELHO",IF(AB82&lt;=30,"AMARELO","VERDE")),"DATA INVALIDA")))))</f>
      </c>
      <c r="AD82" s="3056">
        <f>IF(OR(A82="",U82="",NOT(ISNUMBER(AB82))),"",RANK(AB82,$AB$3:$AB$164,1)+COUNTIFS($AB$3:AB82,AB82)-1)</f>
      </c>
      <c r="AE82" s="1736"/>
    </row>
    <row r="83" spans="1:19" ht="22.0" hidden="false" customHeight="true" x14ac:dyDescent="0.25">
      <c r="A83" s="3069" t="s">
        <v>198</v>
      </c>
      <c r="B83" s="3068" t="s">
        <v>1</v>
      </c>
      <c r="C83" s="3068" t="s">
        <v>195</v>
      </c>
      <c r="D83" s="3068" t="s">
        <v>199</v>
      </c>
      <c r="E83" s="3068"/>
      <c r="F83" s="3068" t="s">
        <v>3</v>
      </c>
      <c r="G83" s="3068" t="s">
        <v>4</v>
      </c>
      <c r="H83" s="3068" t="s">
        <v>49</v>
      </c>
      <c r="I83" s="3068"/>
      <c r="J83" s="3068"/>
      <c r="K83" s="3068"/>
      <c r="L83" s="3068"/>
      <c r="M83" s="3068" t="s">
        <v>376</v>
      </c>
      <c r="N83" s="3068" t="s">
        <v>361</v>
      </c>
      <c r="O83" s="3068" t="s">
        <v>351</v>
      </c>
      <c r="P83" s="3068"/>
      <c r="Q83" s="3071"/>
      <c r="R83" s="3071"/>
      <c r="S83" s="3071"/>
      <c r="T83" s="3071"/>
      <c r="U83" s="3072"/>
      <c r="V83" s="3068"/>
      <c r="W83" s="3068"/>
      <c r="X83" s="3056">
        <f>IF(A83="","",IF(LEN(SUBSTITUTE(SUBSTITUTE(SUBSTITUTE(SUBSTITUTE(D83,".",""),"/",""),"-","")," ",""))&lt;&gt;14,"CNPJ INVALIDO","OK"))</f>
      </c>
      <c r="Y83" s="3056">
        <f>IF(A83="","",IF(R83="","REST PENDENTE","REST OK"))</f>
      </c>
      <c r="Z83" s="3056">
        <f>IF(A83="","",IF(AND(R83&lt;&gt;"",COUNTIFS($D$3:$D$164,D83,$R$3:$R$164,"&lt;&gt;")&gt;1),"DUPLICADO","OK"))</f>
      </c>
      <c r="AA83" s="3056">
        <f>IF(A83="","",IF(OR(LEN(Q83)&gt;180,LEN(R83)&gt;180,LEN(S83)&gt;180,LEN(T83)&gt;180),"CAMINHO LONGO","OK"))</f>
      </c>
      <c r="AB83" s="3056">
        <f>IF(A83="","",IF(U83="","",IFERROR(INT(U83-TODAY()),"")))</f>
      </c>
      <c r="AC83" s="3056">
        <f>IF(A83="","",IF(AND(T83="",U83=""),"",IF(T83="","SEM CAMINHO",IF(U83="","SEM DATA",IFERROR(IF(AB83&lt;15,"VERMELHO",IF(AB83&lt;=30,"AMARELO","VERDE")),"DATA INVALIDA")))))</f>
      </c>
      <c r="AD83" s="3056">
        <f>IF(OR(A83="",U83="",NOT(ISNUMBER(AB83))),"",RANK(AB83,$AB$3:$AB$164,1)+COUNTIFS($AB$3:AB83,AB83)-1)</f>
      </c>
      <c r="AE83" s="1736"/>
    </row>
    <row r="84" spans="1:19" ht="22.0" hidden="false" customHeight="true" x14ac:dyDescent="0.25">
      <c r="A84" s="3074" t="s">
        <v>200</v>
      </c>
      <c r="B84" s="3073" t="s">
        <v>1</v>
      </c>
      <c r="C84" s="3073" t="s">
        <v>195</v>
      </c>
      <c r="D84" s="3073" t="s">
        <v>201</v>
      </c>
      <c r="E84" s="3073"/>
      <c r="F84" s="3073" t="s">
        <v>3</v>
      </c>
      <c r="G84" s="3073" t="s">
        <v>4</v>
      </c>
      <c r="H84" s="3073" t="s">
        <v>49</v>
      </c>
      <c r="I84" s="3073"/>
      <c r="J84" s="3073"/>
      <c r="K84" s="3073"/>
      <c r="L84" s="3073"/>
      <c r="M84" s="3073" t="s">
        <v>376</v>
      </c>
      <c r="N84" s="3073" t="s">
        <v>361</v>
      </c>
      <c r="O84" s="3073" t="s">
        <v>351</v>
      </c>
      <c r="P84" s="3073"/>
      <c r="Q84" s="3076"/>
      <c r="R84" s="3076"/>
      <c r="S84" s="3076"/>
      <c r="T84" s="3076"/>
      <c r="U84" s="3077"/>
      <c r="V84" s="3073"/>
      <c r="W84" s="3073"/>
      <c r="X84" s="3056">
        <f>IF(A84="","",IF(LEN(SUBSTITUTE(SUBSTITUTE(SUBSTITUTE(SUBSTITUTE(D84,".",""),"/",""),"-","")," ",""))&lt;&gt;14,"CNPJ INVALIDO","OK"))</f>
      </c>
      <c r="Y84" s="3056">
        <f>IF(A84="","",IF(R84="","REST PENDENTE","REST OK"))</f>
      </c>
      <c r="Z84" s="3056">
        <f>IF(A84="","",IF(AND(R84&lt;&gt;"",COUNTIFS($D$3:$D$164,D84,$R$3:$R$164,"&lt;&gt;")&gt;1),"DUPLICADO","OK"))</f>
      </c>
      <c r="AA84" s="3056">
        <f>IF(A84="","",IF(OR(LEN(Q84)&gt;180,LEN(R84)&gt;180,LEN(S84)&gt;180,LEN(T84)&gt;180),"CAMINHO LONGO","OK"))</f>
      </c>
      <c r="AB84" s="3056">
        <f>IF(A84="","",IF(U84="","",IFERROR(INT(U84-TODAY()),"")))</f>
      </c>
      <c r="AC84" s="3056">
        <f>IF(A84="","",IF(AND(T84="",U84=""),"",IF(T84="","SEM CAMINHO",IF(U84="","SEM DATA",IFERROR(IF(AB84&lt;15,"VERMELHO",IF(AB84&lt;=30,"AMARELO","VERDE")),"DATA INVALIDA")))))</f>
      </c>
      <c r="AD84" s="3056">
        <f>IF(OR(A84="",U84="",NOT(ISNUMBER(AB84))),"",RANK(AB84,$AB$3:$AB$164,1)+COUNTIFS($AB$3:AB84,AB84)-1)</f>
      </c>
      <c r="AE84" s="1736"/>
    </row>
    <row r="85" spans="1:19" ht="22.0" hidden="false" customHeight="true" x14ac:dyDescent="0.25">
      <c r="A85" s="3069" t="s">
        <v>202</v>
      </c>
      <c r="B85" s="3068" t="s">
        <v>203</v>
      </c>
      <c r="C85" s="3068" t="s">
        <v>204</v>
      </c>
      <c r="D85" s="3068">
        <v>48579725000102</v>
      </c>
      <c r="E85" s="3068"/>
      <c r="F85" s="3068" t="s">
        <v>205</v>
      </c>
      <c r="G85" s="3068" t="s">
        <v>13</v>
      </c>
      <c r="H85" s="3068" t="s">
        <v>5</v>
      </c>
      <c r="I85" s="3068"/>
      <c r="J85" s="3068"/>
      <c r="K85" s="3068"/>
      <c r="L85" s="3068"/>
      <c r="M85" s="3068" t="s">
        <v>379</v>
      </c>
      <c r="N85" s="3068"/>
      <c r="O85" s="3068" t="s">
        <v>356</v>
      </c>
      <c r="P85" s="3068"/>
      <c r="Q85" s="3071"/>
      <c r="R85" s="3071"/>
      <c r="S85" s="3071"/>
      <c r="T85" s="3071"/>
      <c r="U85" s="3072"/>
      <c r="V85" s="3068"/>
      <c r="W85" s="3068"/>
      <c r="X85" s="3056">
        <f>IF(A85="","",IF(LEN(SUBSTITUTE(SUBSTITUTE(SUBSTITUTE(SUBSTITUTE(D85,".",""),"/",""),"-","")," ",""))&lt;&gt;14,"CNPJ INVALIDO","OK"))</f>
      </c>
      <c r="Y85" s="3056">
        <f>IF(A85="","",IF(R85="","REST PENDENTE","REST OK"))</f>
      </c>
      <c r="Z85" s="3056">
        <f>IF(A85="","",IF(AND(R85&lt;&gt;"",COUNTIFS($D$3:$D$164,D85,$R$3:$R$164,"&lt;&gt;")&gt;1),"DUPLICADO","OK"))</f>
      </c>
      <c r="AA85" s="3056">
        <f>IF(A85="","",IF(OR(LEN(Q85)&gt;180,LEN(R85)&gt;180,LEN(S85)&gt;180,LEN(T85)&gt;180),"CAMINHO LONGO","OK"))</f>
      </c>
      <c r="AB85" s="3056">
        <f>IF(A85="","",IF(U85="","",IFERROR(INT(U85-TODAY()),"")))</f>
      </c>
      <c r="AC85" s="3056">
        <f>IF(A85="","",IF(AND(T85="",U85=""),"",IF(T85="","SEM CAMINHO",IF(U85="","SEM DATA",IFERROR(IF(AB85&lt;15,"VERMELHO",IF(AB85&lt;=30,"AMARELO","VERDE")),"DATA INVALIDA")))))</f>
      </c>
      <c r="AD85" s="3056">
        <f>IF(OR(A85="",U85="",NOT(ISNUMBER(AB85))),"",RANK(AB85,$AB$3:$AB$164,1)+COUNTIFS($AB$3:AB85,AB85)-1)</f>
      </c>
      <c r="AE85" s="1736"/>
    </row>
    <row r="86" spans="1:19" ht="22.0" hidden="false" customHeight="true" x14ac:dyDescent="0.25">
      <c r="A86" s="3074" t="s">
        <v>206</v>
      </c>
      <c r="B86" s="3073" t="s">
        <v>207</v>
      </c>
      <c r="C86" s="3073" t="s">
        <v>62</v>
      </c>
      <c r="D86" s="3073">
        <v>21879417000146</v>
      </c>
      <c r="E86" s="3073"/>
      <c r="F86" s="3073" t="s">
        <v>208</v>
      </c>
      <c r="G86" s="3073" t="s">
        <v>41</v>
      </c>
      <c r="H86" s="3073" t="s">
        <v>5</v>
      </c>
      <c r="I86" s="3073"/>
      <c r="J86" s="3073"/>
      <c r="K86" s="3073"/>
      <c r="L86" s="3073"/>
      <c r="M86" s="3073" t="s">
        <v>379</v>
      </c>
      <c r="N86" s="3073"/>
      <c r="O86" s="3073" t="s">
        <v>349</v>
      </c>
      <c r="P86" s="3073"/>
      <c r="Q86" s="3076"/>
      <c r="R86" s="3076"/>
      <c r="S86" s="3076"/>
      <c r="T86" s="3076"/>
      <c r="U86" s="3077"/>
      <c r="V86" s="3073"/>
      <c r="W86" s="3073"/>
      <c r="X86" s="3056">
        <f>IF(A86="","",IF(LEN(SUBSTITUTE(SUBSTITUTE(SUBSTITUTE(SUBSTITUTE(D86,".",""),"/",""),"-","")," ",""))&lt;&gt;14,"CNPJ INVALIDO","OK"))</f>
      </c>
      <c r="Y86" s="3056">
        <f>IF(A86="","",IF(R86="","REST PENDENTE","REST OK"))</f>
      </c>
      <c r="Z86" s="3056">
        <f>IF(A86="","",IF(AND(R86&lt;&gt;"",COUNTIFS($D$3:$D$164,D86,$R$3:$R$164,"&lt;&gt;")&gt;1),"DUPLICADO","OK"))</f>
      </c>
      <c r="AA86" s="3056">
        <f>IF(A86="","",IF(OR(LEN(Q86)&gt;180,LEN(R86)&gt;180,LEN(S86)&gt;180,LEN(T86)&gt;180),"CAMINHO LONGO","OK"))</f>
      </c>
      <c r="AB86" s="3056">
        <f>IF(A86="","",IF(U86="","",IFERROR(INT(U86-TODAY()),"")))</f>
      </c>
      <c r="AC86" s="3056">
        <f>IF(A86="","",IF(AND(T86="",U86=""),"",IF(T86="","SEM CAMINHO",IF(U86="","SEM DATA",IFERROR(IF(AB86&lt;15,"VERMELHO",IF(AB86&lt;=30,"AMARELO","VERDE")),"DATA INVALIDA")))))</f>
      </c>
      <c r="AD86" s="3056">
        <f>IF(OR(A86="",U86="",NOT(ISNUMBER(AB86))),"",RANK(AB86,$AB$3:$AB$164,1)+COUNTIFS($AB$3:AB86,AB86)-1)</f>
      </c>
      <c r="AE86" s="1736"/>
    </row>
    <row r="87" spans="1:19" ht="22.0" hidden="false" customHeight="true" x14ac:dyDescent="0.25">
      <c r="A87" s="3069" t="s">
        <v>209</v>
      </c>
      <c r="B87" s="3068" t="s">
        <v>207</v>
      </c>
      <c r="C87" s="3068" t="s">
        <v>62</v>
      </c>
      <c r="D87" s="3068" t="s">
        <v>388</v>
      </c>
      <c r="E87" s="3068"/>
      <c r="F87" s="3068" t="s">
        <v>208</v>
      </c>
      <c r="G87" s="3068" t="s">
        <v>4</v>
      </c>
      <c r="H87" s="3068" t="s">
        <v>5</v>
      </c>
      <c r="I87" s="3068"/>
      <c r="J87" s="3068"/>
      <c r="K87" s="3068"/>
      <c r="L87" s="3068"/>
      <c r="M87" s="3068" t="s">
        <v>379</v>
      </c>
      <c r="N87" s="3068"/>
      <c r="O87" s="3068" t="s">
        <v>349</v>
      </c>
      <c r="P87" s="3068"/>
      <c r="Q87" s="3071"/>
      <c r="R87" s="3071"/>
      <c r="S87" s="3071"/>
      <c r="T87" s="3071"/>
      <c r="U87" s="3072"/>
      <c r="V87" s="3068"/>
      <c r="W87" s="3068"/>
      <c r="X87" s="3056">
        <f>IF(A87="","",IF(LEN(SUBSTITUTE(SUBSTITUTE(SUBSTITUTE(SUBSTITUTE(D87,".",""),"/",""),"-","")," ",""))&lt;&gt;14,"CNPJ INVALIDO","OK"))</f>
      </c>
      <c r="Y87" s="3056">
        <f>IF(A87="","",IF(R87="","REST PENDENTE","REST OK"))</f>
      </c>
      <c r="Z87" s="3056">
        <f>IF(A87="","",IF(AND(R87&lt;&gt;"",COUNTIFS($D$3:$D$164,D87,$R$3:$R$164,"&lt;&gt;")&gt;1),"DUPLICADO","OK"))</f>
      </c>
      <c r="AA87" s="3056">
        <f>IF(A87="","",IF(OR(LEN(Q87)&gt;180,LEN(R87)&gt;180,LEN(S87)&gt;180,LEN(T87)&gt;180),"CAMINHO LONGO","OK"))</f>
      </c>
      <c r="AB87" s="3056">
        <f>IF(A87="","",IF(U87="","",IFERROR(INT(U87-TODAY()),"")))</f>
      </c>
      <c r="AC87" s="3056">
        <f>IF(A87="","",IF(AND(T87="",U87=""),"",IF(T87="","SEM CAMINHO",IF(U87="","SEM DATA",IFERROR(IF(AB87&lt;15,"VERMELHO",IF(AB87&lt;=30,"AMARELO","VERDE")),"DATA INVALIDA")))))</f>
      </c>
      <c r="AD87" s="3056">
        <f>IF(OR(A87="",U87="",NOT(ISNUMBER(AB87))),"",RANK(AB87,$AB$3:$AB$164,1)+COUNTIFS($AB$3:AB87,AB87)-1)</f>
      </c>
      <c r="AE87" s="1736"/>
    </row>
    <row r="88" spans="1:19" ht="22.0" hidden="false" customHeight="true" x14ac:dyDescent="0.25">
      <c r="A88" s="3074" t="s">
        <v>210</v>
      </c>
      <c r="B88" s="3073" t="s">
        <v>211</v>
      </c>
      <c r="C88" s="3073" t="s">
        <v>69</v>
      </c>
      <c r="D88" s="3073" t="s">
        <v>387</v>
      </c>
      <c r="E88" s="3073"/>
      <c r="F88" s="3073"/>
      <c r="G88" s="3073" t="s">
        <v>4</v>
      </c>
      <c r="H88" s="3073" t="s">
        <v>49</v>
      </c>
      <c r="I88" s="3073"/>
      <c r="J88" s="3073"/>
      <c r="K88" s="3073"/>
      <c r="L88" s="3073"/>
      <c r="M88" s="3073" t="s">
        <v>379</v>
      </c>
      <c r="N88" s="3073"/>
      <c r="O88" s="3073" t="s">
        <v>349</v>
      </c>
      <c r="P88" s="3073"/>
      <c r="Q88" s="3076"/>
      <c r="R88" s="3076"/>
      <c r="S88" s="3076"/>
      <c r="T88" s="3076"/>
      <c r="U88" s="3077"/>
      <c r="V88" s="3073"/>
      <c r="W88" s="3073"/>
      <c r="X88" s="3056">
        <f>IF(A88="","",IF(LEN(SUBSTITUTE(SUBSTITUTE(SUBSTITUTE(SUBSTITUTE(D88,".",""),"/",""),"-","")," ",""))&lt;&gt;14,"CNPJ INVALIDO","OK"))</f>
      </c>
      <c r="Y88" s="3056">
        <f>IF(A88="","",IF(R88="","REST PENDENTE","REST OK"))</f>
      </c>
      <c r="Z88" s="3056">
        <f>IF(A88="","",IF(AND(R88&lt;&gt;"",COUNTIFS($D$3:$D$164,D88,$R$3:$R$164,"&lt;&gt;")&gt;1),"DUPLICADO","OK"))</f>
      </c>
      <c r="AA88" s="3056">
        <f>IF(A88="","",IF(OR(LEN(Q88)&gt;180,LEN(R88)&gt;180,LEN(S88)&gt;180,LEN(T88)&gt;180),"CAMINHO LONGO","OK"))</f>
      </c>
      <c r="AB88" s="3056">
        <f>IF(A88="","",IF(U88="","",IFERROR(INT(U88-TODAY()),"")))</f>
      </c>
      <c r="AC88" s="3056">
        <f>IF(A88="","",IF(AND(T88="",U88=""),"",IF(T88="","SEM CAMINHO",IF(U88="","SEM DATA",IFERROR(IF(AB88&lt;15,"VERMELHO",IF(AB88&lt;=30,"AMARELO","VERDE")),"DATA INVALIDA")))))</f>
      </c>
      <c r="AD88" s="3056">
        <f>IF(OR(A88="",U88="",NOT(ISNUMBER(AB88))),"",RANK(AB88,$AB$3:$AB$164,1)+COUNTIFS($AB$3:AB88,AB88)-1)</f>
      </c>
      <c r="AE88" s="1736"/>
    </row>
    <row r="89" spans="1:19" ht="22.0" hidden="false" customHeight="true" x14ac:dyDescent="0.25">
      <c r="A89" s="3069" t="s">
        <v>212</v>
      </c>
      <c r="B89" s="3068" t="s">
        <v>211</v>
      </c>
      <c r="C89" s="3068" t="s">
        <v>69</v>
      </c>
      <c r="D89" s="3068"/>
      <c r="E89" s="3068"/>
      <c r="F89" s="3068"/>
      <c r="G89" s="3068" t="s">
        <v>4</v>
      </c>
      <c r="H89" s="3068" t="s">
        <v>49</v>
      </c>
      <c r="I89" s="3068"/>
      <c r="J89" s="3068"/>
      <c r="K89" s="3068"/>
      <c r="L89" s="3068"/>
      <c r="M89" s="3068" t="s">
        <v>379</v>
      </c>
      <c r="N89" s="3068"/>
      <c r="O89" s="3068" t="s">
        <v>349</v>
      </c>
      <c r="P89" s="3068"/>
      <c r="Q89" s="3071"/>
      <c r="R89" s="3071"/>
      <c r="S89" s="3071"/>
      <c r="T89" s="3071"/>
      <c r="U89" s="3072"/>
      <c r="V89" s="3068"/>
      <c r="W89" s="3068"/>
      <c r="X89" s="3056">
        <f>IF(A89="","",IF(LEN(SUBSTITUTE(SUBSTITUTE(SUBSTITUTE(SUBSTITUTE(D89,".",""),"/",""),"-","")," ",""))&lt;&gt;14,"CNPJ INVALIDO","OK"))</f>
      </c>
      <c r="Y89" s="3056">
        <f>IF(A89="","",IF(R89="","REST PENDENTE","REST OK"))</f>
      </c>
      <c r="Z89" s="3056">
        <f>IF(A89="","",IF(AND(R89&lt;&gt;"",COUNTIFS($D$3:$D$164,D89,$R$3:$R$164,"&lt;&gt;")&gt;1),"DUPLICADO","OK"))</f>
      </c>
      <c r="AA89" s="3056">
        <f>IF(A89="","",IF(OR(LEN(Q89)&gt;180,LEN(R89)&gt;180,LEN(S89)&gt;180,LEN(T89)&gt;180),"CAMINHO LONGO","OK"))</f>
      </c>
      <c r="AB89" s="3056">
        <f>IF(A89="","",IF(U89="","",IFERROR(INT(U89-TODAY()),"")))</f>
      </c>
      <c r="AC89" s="3056">
        <f>IF(A89="","",IF(AND(T89="",U89=""),"",IF(T89="","SEM CAMINHO",IF(U89="","SEM DATA",IFERROR(IF(AB89&lt;15,"VERMELHO",IF(AB89&lt;=30,"AMARELO","VERDE")),"DATA INVALIDA")))))</f>
      </c>
      <c r="AD89" s="3056">
        <f>IF(OR(A89="",U89="",NOT(ISNUMBER(AB89))),"",RANK(AB89,$AB$3:$AB$164,1)+COUNTIFS($AB$3:AB89,AB89)-1)</f>
      </c>
      <c r="AE89" s="1736"/>
    </row>
    <row r="90" spans="1:19" ht="22.0" hidden="false" customHeight="true" x14ac:dyDescent="0.25">
      <c r="A90" s="3074" t="s">
        <v>213</v>
      </c>
      <c r="B90" s="3073" t="s">
        <v>214</v>
      </c>
      <c r="C90" s="3073" t="s">
        <v>62</v>
      </c>
      <c r="D90" s="3073">
        <v>44868733000118</v>
      </c>
      <c r="E90" s="3073"/>
      <c r="F90" s="3073" t="s">
        <v>215</v>
      </c>
      <c r="G90" s="3073" t="s">
        <v>4</v>
      </c>
      <c r="H90" s="3073" t="s">
        <v>5</v>
      </c>
      <c r="I90" s="3073"/>
      <c r="J90" s="3073"/>
      <c r="K90" s="3073"/>
      <c r="L90" s="3073"/>
      <c r="M90" s="3073" t="s">
        <v>379</v>
      </c>
      <c r="N90" s="3073"/>
      <c r="O90" s="3073" t="s">
        <v>350</v>
      </c>
      <c r="P90" s="3073"/>
      <c r="Q90" s="3076"/>
      <c r="R90" s="3076"/>
      <c r="S90" s="3076"/>
      <c r="T90" s="3076"/>
      <c r="U90" s="3077"/>
      <c r="V90" s="3073"/>
      <c r="W90" s="3073"/>
      <c r="X90" s="3056">
        <f>IF(A90="","",IF(LEN(SUBSTITUTE(SUBSTITUTE(SUBSTITUTE(SUBSTITUTE(D90,".",""),"/",""),"-","")," ",""))&lt;&gt;14,"CNPJ INVALIDO","OK"))</f>
      </c>
      <c r="Y90" s="3056">
        <f>IF(A90="","",IF(R90="","REST PENDENTE","REST OK"))</f>
      </c>
      <c r="Z90" s="3056">
        <f>IF(A90="","",IF(AND(R90&lt;&gt;"",COUNTIFS($D$3:$D$164,D90,$R$3:$R$164,"&lt;&gt;")&gt;1),"DUPLICADO","OK"))</f>
      </c>
      <c r="AA90" s="3056">
        <f>IF(A90="","",IF(OR(LEN(Q90)&gt;180,LEN(R90)&gt;180,LEN(S90)&gt;180,LEN(T90)&gt;180),"CAMINHO LONGO","OK"))</f>
      </c>
      <c r="AB90" s="3056">
        <f>IF(A90="","",IF(U90="","",IFERROR(INT(U90-TODAY()),"")))</f>
      </c>
      <c r="AC90" s="3056">
        <f>IF(A90="","",IF(AND(T90="",U90=""),"",IF(T90="","SEM CAMINHO",IF(U90="","SEM DATA",IFERROR(IF(AB90&lt;15,"VERMELHO",IF(AB90&lt;=30,"AMARELO","VERDE")),"DATA INVALIDA")))))</f>
      </c>
      <c r="AD90" s="3056">
        <f>IF(OR(A90="",U90="",NOT(ISNUMBER(AB90))),"",RANK(AB90,$AB$3:$AB$164,1)+COUNTIFS($AB$3:AB90,AB90)-1)</f>
      </c>
      <c r="AE90" s="1736"/>
    </row>
    <row r="91" spans="1:19" ht="22.0" hidden="false" customHeight="true" x14ac:dyDescent="0.25">
      <c r="A91" s="3069" t="s">
        <v>216</v>
      </c>
      <c r="B91" s="3068" t="s">
        <v>9</v>
      </c>
      <c r="C91" s="3068" t="s">
        <v>69</v>
      </c>
      <c r="D91" s="3068" t="s">
        <v>217</v>
      </c>
      <c r="E91" s="3068"/>
      <c r="F91" s="3068" t="s">
        <v>12</v>
      </c>
      <c r="G91" s="3068" t="s">
        <v>13</v>
      </c>
      <c r="H91" s="3068" t="s">
        <v>49</v>
      </c>
      <c r="I91" s="3068"/>
      <c r="J91" s="3068"/>
      <c r="K91" s="3068"/>
      <c r="L91" s="3068"/>
      <c r="M91" s="3068" t="s">
        <v>379</v>
      </c>
      <c r="N91" s="3068"/>
      <c r="O91" s="3068" t="s">
        <v>349</v>
      </c>
      <c r="P91" s="3068"/>
      <c r="Q91" s="3071"/>
      <c r="R91" s="3071"/>
      <c r="S91" s="3071"/>
      <c r="T91" s="3071"/>
      <c r="U91" s="3072"/>
      <c r="V91" s="3068"/>
      <c r="W91" s="3068"/>
      <c r="X91" s="3056">
        <f>IF(A91="","",IF(LEN(SUBSTITUTE(SUBSTITUTE(SUBSTITUTE(SUBSTITUTE(D91,".",""),"/",""),"-","")," ",""))&lt;&gt;14,"CNPJ INVALIDO","OK"))</f>
      </c>
      <c r="Y91" s="3056">
        <f>IF(A91="","",IF(R91="","REST PENDENTE","REST OK"))</f>
      </c>
      <c r="Z91" s="3056">
        <f>IF(A91="","",IF(AND(R91&lt;&gt;"",COUNTIFS($D$3:$D$164,D91,$R$3:$R$164,"&lt;&gt;")&gt;1),"DUPLICADO","OK"))</f>
      </c>
      <c r="AA91" s="3056">
        <f>IF(A91="","",IF(OR(LEN(Q91)&gt;180,LEN(R91)&gt;180,LEN(S91)&gt;180,LEN(T91)&gt;180),"CAMINHO LONGO","OK"))</f>
      </c>
      <c r="AB91" s="3056">
        <f>IF(A91="","",IF(U91="","",IFERROR(INT(U91-TODAY()),"")))</f>
      </c>
      <c r="AC91" s="3056">
        <f>IF(A91="","",IF(AND(T91="",U91=""),"",IF(T91="","SEM CAMINHO",IF(U91="","SEM DATA",IFERROR(IF(AB91&lt;15,"VERMELHO",IF(AB91&lt;=30,"AMARELO","VERDE")),"DATA INVALIDA")))))</f>
      </c>
      <c r="AD91" s="3056">
        <f>IF(OR(A91="",U91="",NOT(ISNUMBER(AB91))),"",RANK(AB91,$AB$3:$AB$164,1)+COUNTIFS($AB$3:AB91,AB91)-1)</f>
      </c>
      <c r="AE91" s="1736"/>
    </row>
    <row r="92" spans="1:19" ht="22.0" hidden="false" customHeight="true" x14ac:dyDescent="0.25">
      <c r="A92" s="3074" t="s">
        <v>218</v>
      </c>
      <c r="B92" s="3073" t="s">
        <v>219</v>
      </c>
      <c r="C92" s="3073" t="s">
        <v>62</v>
      </c>
      <c r="D92" s="3073">
        <v>51987426000111</v>
      </c>
      <c r="E92" s="3073"/>
      <c r="F92" s="3073" t="s">
        <v>220</v>
      </c>
      <c r="G92" s="3073" t="s">
        <v>4</v>
      </c>
      <c r="H92" s="3073" t="s">
        <v>5</v>
      </c>
      <c r="I92" s="3073"/>
      <c r="J92" s="3073"/>
      <c r="K92" s="3073"/>
      <c r="L92" s="3073"/>
      <c r="M92" s="3073" t="s">
        <v>389</v>
      </c>
      <c r="N92" s="3073"/>
      <c r="O92" s="3073" t="s">
        <v>350</v>
      </c>
      <c r="P92" s="3073"/>
      <c r="Q92" s="3076"/>
      <c r="R92" s="3076"/>
      <c r="S92" s="3076"/>
      <c r="T92" s="3076"/>
      <c r="U92" s="3077"/>
      <c r="V92" s="3073"/>
      <c r="W92" s="3073"/>
      <c r="X92" s="3056">
        <f>IF(A92="","",IF(LEN(SUBSTITUTE(SUBSTITUTE(SUBSTITUTE(SUBSTITUTE(D92,".",""),"/",""),"-","")," ",""))&lt;&gt;14,"CNPJ INVALIDO","OK"))</f>
      </c>
      <c r="Y92" s="3056">
        <f>IF(A92="","",IF(R92="","REST PENDENTE","REST OK"))</f>
      </c>
      <c r="Z92" s="3056">
        <f>IF(A92="","",IF(AND(R92&lt;&gt;"",COUNTIFS($D$3:$D$164,D92,$R$3:$R$164,"&lt;&gt;")&gt;1),"DUPLICADO","OK"))</f>
      </c>
      <c r="AA92" s="3056">
        <f>IF(A92="","",IF(OR(LEN(Q92)&gt;180,LEN(R92)&gt;180,LEN(S92)&gt;180,LEN(T92)&gt;180),"CAMINHO LONGO","OK"))</f>
      </c>
      <c r="AB92" s="3056">
        <f>IF(A92="","",IF(U92="","",IFERROR(INT(U92-TODAY()),"")))</f>
      </c>
      <c r="AC92" s="3056">
        <f>IF(A92="","",IF(AND(T92="",U92=""),"",IF(T92="","SEM CAMINHO",IF(U92="","SEM DATA",IFERROR(IF(AB92&lt;15,"VERMELHO",IF(AB92&lt;=30,"AMARELO","VERDE")),"DATA INVALIDA")))))</f>
      </c>
      <c r="AD92" s="3056">
        <f>IF(OR(A92="",U92="",NOT(ISNUMBER(AB92))),"",RANK(AB92,$AB$3:$AB$164,1)+COUNTIFS($AB$3:AB92,AB92)-1)</f>
      </c>
      <c r="AE92" s="1736"/>
    </row>
    <row r="93" spans="1:19" ht="22.0" hidden="false" customHeight="true" x14ac:dyDescent="0.25">
      <c r="A93" s="3069" t="s">
        <v>221</v>
      </c>
      <c r="B93" s="3068" t="s">
        <v>222</v>
      </c>
      <c r="C93" s="3068" t="s">
        <v>62</v>
      </c>
      <c r="D93" s="3068" t="s">
        <v>390</v>
      </c>
      <c r="E93" s="3068"/>
      <c r="F93" s="3068" t="s">
        <v>223</v>
      </c>
      <c r="G93" s="3068" t="s">
        <v>13</v>
      </c>
      <c r="H93" s="3068" t="s">
        <v>49</v>
      </c>
      <c r="I93" s="3068"/>
      <c r="J93" s="3068"/>
      <c r="K93" s="3068"/>
      <c r="L93" s="3068"/>
      <c r="M93" s="3068" t="s">
        <v>389</v>
      </c>
      <c r="N93" s="3068"/>
      <c r="O93" s="3068" t="s">
        <v>350</v>
      </c>
      <c r="P93" s="3068"/>
      <c r="Q93" s="3071"/>
      <c r="R93" s="3071"/>
      <c r="S93" s="3071"/>
      <c r="T93" s="3071"/>
      <c r="U93" s="3072"/>
      <c r="V93" s="3068"/>
      <c r="W93" s="3068"/>
      <c r="X93" s="3056">
        <f>IF(A93="","",IF(LEN(SUBSTITUTE(SUBSTITUTE(SUBSTITUTE(SUBSTITUTE(D93,".",""),"/",""),"-","")," ",""))&lt;&gt;14,"CNPJ INVALIDO","OK"))</f>
      </c>
      <c r="Y93" s="3056">
        <f>IF(A93="","",IF(R93="","REST PENDENTE","REST OK"))</f>
      </c>
      <c r="Z93" s="3056">
        <f>IF(A93="","",IF(AND(R93&lt;&gt;"",COUNTIFS($D$3:$D$164,D93,$R$3:$R$164,"&lt;&gt;")&gt;1),"DUPLICADO","OK"))</f>
      </c>
      <c r="AA93" s="3056">
        <f>IF(A93="","",IF(OR(LEN(Q93)&gt;180,LEN(R93)&gt;180,LEN(S93)&gt;180,LEN(T93)&gt;180),"CAMINHO LONGO","OK"))</f>
      </c>
      <c r="AB93" s="3056">
        <f>IF(A93="","",IF(U93="","",IFERROR(INT(U93-TODAY()),"")))</f>
      </c>
      <c r="AC93" s="3056">
        <f>IF(A93="","",IF(AND(T93="",U93=""),"",IF(T93="","SEM CAMINHO",IF(U93="","SEM DATA",IFERROR(IF(AB93&lt;15,"VERMELHO",IF(AB93&lt;=30,"AMARELO","VERDE")),"DATA INVALIDA")))))</f>
      </c>
      <c r="AD93" s="3056">
        <f>IF(OR(A93="",U93="",NOT(ISNUMBER(AB93))),"",RANK(AB93,$AB$3:$AB$164,1)+COUNTIFS($AB$3:AB93,AB93)-1)</f>
      </c>
      <c r="AE93" s="1736"/>
    </row>
    <row r="94" spans="1:19" ht="22.0" hidden="false" customHeight="true" x14ac:dyDescent="0.25">
      <c r="A94" s="3074" t="s">
        <v>224</v>
      </c>
      <c r="B94" s="3073" t="s">
        <v>182</v>
      </c>
      <c r="C94" s="3073" t="s">
        <v>83</v>
      </c>
      <c r="D94" s="3073">
        <v>21371431000134</v>
      </c>
      <c r="E94" s="3073"/>
      <c r="F94" s="3073" t="s">
        <v>225</v>
      </c>
      <c r="G94" s="3073" t="s">
        <v>4</v>
      </c>
      <c r="H94" s="3073" t="s">
        <v>5</v>
      </c>
      <c r="I94" s="3073"/>
      <c r="J94" s="3073"/>
      <c r="K94" s="3073"/>
      <c r="L94" s="3073"/>
      <c r="M94" s="3073" t="s">
        <v>375</v>
      </c>
      <c r="N94" s="3073"/>
      <c r="O94" s="3073" t="s">
        <v>357</v>
      </c>
      <c r="P94" s="3073"/>
      <c r="Q94" s="3076"/>
      <c r="R94" s="3076"/>
      <c r="S94" s="3076"/>
      <c r="T94" s="3076"/>
      <c r="U94" s="3077"/>
      <c r="V94" s="3073"/>
      <c r="W94" s="3073"/>
      <c r="X94" s="3056">
        <f>IF(A94="","",IF(LEN(SUBSTITUTE(SUBSTITUTE(SUBSTITUTE(SUBSTITUTE(D94,".",""),"/",""),"-","")," ",""))&lt;&gt;14,"CNPJ INVALIDO","OK"))</f>
      </c>
      <c r="Y94" s="3056">
        <f>IF(A94="","",IF(R94="","REST PENDENTE","REST OK"))</f>
      </c>
      <c r="Z94" s="3056">
        <f>IF(A94="","",IF(AND(R94&lt;&gt;"",COUNTIFS($D$3:$D$164,D94,$R$3:$R$164,"&lt;&gt;")&gt;1),"DUPLICADO","OK"))</f>
      </c>
      <c r="AA94" s="3056">
        <f>IF(A94="","",IF(OR(LEN(Q94)&gt;180,LEN(R94)&gt;180,LEN(S94)&gt;180,LEN(T94)&gt;180),"CAMINHO LONGO","OK"))</f>
      </c>
      <c r="AB94" s="3056">
        <f>IF(A94="","",IF(U94="","",IFERROR(INT(U94-TODAY()),"")))</f>
      </c>
      <c r="AC94" s="3056">
        <f>IF(A94="","",IF(AND(T94="",U94=""),"",IF(T94="","SEM CAMINHO",IF(U94="","SEM DATA",IFERROR(IF(AB94&lt;15,"VERMELHO",IF(AB94&lt;=30,"AMARELO","VERDE")),"DATA INVALIDA")))))</f>
      </c>
      <c r="AD94" s="3056">
        <f>IF(OR(A94="",U94="",NOT(ISNUMBER(AB94))),"",RANK(AB94,$AB$3:$AB$164,1)+COUNTIFS($AB$3:AB94,AB94)-1)</f>
      </c>
      <c r="AE94" s="1736"/>
    </row>
    <row r="95" spans="1:19" ht="22.0" hidden="false" customHeight="true" x14ac:dyDescent="0.25">
      <c r="A95" s="3069" t="s">
        <v>226</v>
      </c>
      <c r="B95" s="3068" t="s">
        <v>227</v>
      </c>
      <c r="C95" s="3068" t="s">
        <v>122</v>
      </c>
      <c r="D95" s="3068">
        <v>9421791000106</v>
      </c>
      <c r="E95" s="3068"/>
      <c r="F95" s="3068" t="s">
        <v>228</v>
      </c>
      <c r="G95" s="3068" t="s">
        <v>4</v>
      </c>
      <c r="H95" s="3068" t="s">
        <v>5</v>
      </c>
      <c r="I95" s="3068"/>
      <c r="J95" s="3068"/>
      <c r="K95" s="3068"/>
      <c r="L95" s="3068"/>
      <c r="M95" s="3068" t="s">
        <v>379</v>
      </c>
      <c r="N95" s="3068"/>
      <c r="O95" s="3068" t="s">
        <v>349</v>
      </c>
      <c r="P95" s="3068"/>
      <c r="Q95" s="3071"/>
      <c r="R95" s="3071"/>
      <c r="S95" s="3071"/>
      <c r="T95" s="3071"/>
      <c r="U95" s="3072"/>
      <c r="V95" s="3068"/>
      <c r="W95" s="3068"/>
      <c r="X95" s="3056">
        <f>IF(A95="","",IF(LEN(SUBSTITUTE(SUBSTITUTE(SUBSTITUTE(SUBSTITUTE(D95,".",""),"/",""),"-","")," ",""))&lt;&gt;14,"CNPJ INVALIDO","OK"))</f>
      </c>
      <c r="Y95" s="3056">
        <f>IF(A95="","",IF(R95="","REST PENDENTE","REST OK"))</f>
      </c>
      <c r="Z95" s="3056">
        <f>IF(A95="","",IF(AND(R95&lt;&gt;"",COUNTIFS($D$3:$D$164,D95,$R$3:$R$164,"&lt;&gt;")&gt;1),"DUPLICADO","OK"))</f>
      </c>
      <c r="AA95" s="3056">
        <f>IF(A95="","",IF(OR(LEN(Q95)&gt;180,LEN(R95)&gt;180,LEN(S95)&gt;180,LEN(T95)&gt;180),"CAMINHO LONGO","OK"))</f>
      </c>
      <c r="AB95" s="3056">
        <f>IF(A95="","",IF(U95="","",IFERROR(INT(U95-TODAY()),"")))</f>
      </c>
      <c r="AC95" s="3056">
        <f>IF(A95="","",IF(AND(T95="",U95=""),"",IF(T95="","SEM CAMINHO",IF(U95="","SEM DATA",IFERROR(IF(AB95&lt;15,"VERMELHO",IF(AB95&lt;=30,"AMARELO","VERDE")),"DATA INVALIDA")))))</f>
      </c>
      <c r="AD95" s="3056">
        <f>IF(OR(A95="",U95="",NOT(ISNUMBER(AB95))),"",RANK(AB95,$AB$3:$AB$164,1)+COUNTIFS($AB$3:AB95,AB95)-1)</f>
      </c>
      <c r="AE95" s="1736"/>
    </row>
    <row r="96" spans="1:19" ht="22.0" hidden="false" customHeight="true" x14ac:dyDescent="0.25">
      <c r="A96" s="3074" t="s">
        <v>229</v>
      </c>
      <c r="B96" s="3073" t="s">
        <v>96</v>
      </c>
      <c r="C96" s="3073" t="s">
        <v>230</v>
      </c>
      <c r="D96" s="3073" t="s">
        <v>391</v>
      </c>
      <c r="E96" s="3073"/>
      <c r="F96" s="3073" t="s">
        <v>99</v>
      </c>
      <c r="G96" s="3073" t="s">
        <v>4</v>
      </c>
      <c r="H96" s="3073" t="s">
        <v>14</v>
      </c>
      <c r="I96" s="3073"/>
      <c r="J96" s="3073"/>
      <c r="K96" s="3073"/>
      <c r="L96" s="3073"/>
      <c r="M96" s="3073" t="s">
        <v>376</v>
      </c>
      <c r="N96" s="3073"/>
      <c r="O96" s="3073" t="s">
        <v>349</v>
      </c>
      <c r="P96" s="3073"/>
      <c r="Q96" s="3076"/>
      <c r="R96" s="3076"/>
      <c r="S96" s="3076"/>
      <c r="T96" s="3076"/>
      <c r="U96" s="3077"/>
      <c r="V96" s="3073"/>
      <c r="W96" s="3073"/>
      <c r="X96" s="3056">
        <f>IF(A96="","",IF(LEN(SUBSTITUTE(SUBSTITUTE(SUBSTITUTE(SUBSTITUTE(D96,".",""),"/",""),"-","")," ",""))&lt;&gt;14,"CNPJ INVALIDO","OK"))</f>
      </c>
      <c r="Y96" s="3056">
        <f>IF(A96="","",IF(R96="","REST PENDENTE","REST OK"))</f>
      </c>
      <c r="Z96" s="3056">
        <f>IF(A96="","",IF(AND(R96&lt;&gt;"",COUNTIFS($D$3:$D$164,D96,$R$3:$R$164,"&lt;&gt;")&gt;1),"DUPLICADO","OK"))</f>
      </c>
      <c r="AA96" s="3056">
        <f>IF(A96="","",IF(OR(LEN(Q96)&gt;180,LEN(R96)&gt;180,LEN(S96)&gt;180,LEN(T96)&gt;180),"CAMINHO LONGO","OK"))</f>
      </c>
      <c r="AB96" s="3056">
        <f>IF(A96="","",IF(U96="","",IFERROR(INT(U96-TODAY()),"")))</f>
      </c>
      <c r="AC96" s="3056">
        <f>IF(A96="","",IF(AND(T96="",U96=""),"",IF(T96="","SEM CAMINHO",IF(U96="","SEM DATA",IFERROR(IF(AB96&lt;15,"VERMELHO",IF(AB96&lt;=30,"AMARELO","VERDE")),"DATA INVALIDA")))))</f>
      </c>
      <c r="AD96" s="3056">
        <f>IF(OR(A96="",U96="",NOT(ISNUMBER(AB96))),"",RANK(AB96,$AB$3:$AB$164,1)+COUNTIFS($AB$3:AB96,AB96)-1)</f>
      </c>
      <c r="AE96" s="1736"/>
    </row>
    <row r="97" spans="1:19" ht="22.0" hidden="false" customHeight="true" x14ac:dyDescent="0.25">
      <c r="A97" s="3069" t="s">
        <v>231</v>
      </c>
      <c r="B97" s="3068" t="s">
        <v>211</v>
      </c>
      <c r="C97" s="3068" t="s">
        <v>69</v>
      </c>
      <c r="D97" s="3068" t="s">
        <v>232</v>
      </c>
      <c r="E97" s="3068"/>
      <c r="F97" s="3068"/>
      <c r="G97" s="3068" t="s">
        <v>4</v>
      </c>
      <c r="H97" s="3068" t="s">
        <v>49</v>
      </c>
      <c r="I97" s="3068"/>
      <c r="J97" s="3068"/>
      <c r="K97" s="3068"/>
      <c r="L97" s="3068"/>
      <c r="M97" s="3068" t="s">
        <v>379</v>
      </c>
      <c r="N97" s="3068"/>
      <c r="O97" s="3068" t="s">
        <v>349</v>
      </c>
      <c r="P97" s="3068"/>
      <c r="Q97" s="3071"/>
      <c r="R97" s="3071"/>
      <c r="S97" s="3071"/>
      <c r="T97" s="3071"/>
      <c r="U97" s="3072"/>
      <c r="V97" s="3068"/>
      <c r="W97" s="3068"/>
      <c r="X97" s="3056">
        <f>IF(A97="","",IF(LEN(SUBSTITUTE(SUBSTITUTE(SUBSTITUTE(SUBSTITUTE(D97,".",""),"/",""),"-","")," ",""))&lt;&gt;14,"CNPJ INVALIDO","OK"))</f>
      </c>
      <c r="Y97" s="3056">
        <f>IF(A97="","",IF(R97="","REST PENDENTE","REST OK"))</f>
      </c>
      <c r="Z97" s="3056">
        <f>IF(A97="","",IF(AND(R97&lt;&gt;"",COUNTIFS($D$3:$D$164,D97,$R$3:$R$164,"&lt;&gt;")&gt;1),"DUPLICADO","OK"))</f>
      </c>
      <c r="AA97" s="3056">
        <f>IF(A97="","",IF(OR(LEN(Q97)&gt;180,LEN(R97)&gt;180,LEN(S97)&gt;180,LEN(T97)&gt;180),"CAMINHO LONGO","OK"))</f>
      </c>
      <c r="AB97" s="3056">
        <f>IF(A97="","",IF(U97="","",IFERROR(INT(U97-TODAY()),"")))</f>
      </c>
      <c r="AC97" s="3056">
        <f>IF(A97="","",IF(AND(T97="",U97=""),"",IF(T97="","SEM CAMINHO",IF(U97="","SEM DATA",IFERROR(IF(AB97&lt;15,"VERMELHO",IF(AB97&lt;=30,"AMARELO","VERDE")),"DATA INVALIDA")))))</f>
      </c>
      <c r="AD97" s="3056">
        <f>IF(OR(A97="",U97="",NOT(ISNUMBER(AB97))),"",RANK(AB97,$AB$3:$AB$164,1)+COUNTIFS($AB$3:AB97,AB97)-1)</f>
      </c>
      <c r="AE97" s="1736"/>
    </row>
    <row r="98" spans="1:19" ht="22.0" hidden="false" customHeight="true" x14ac:dyDescent="0.25">
      <c r="A98" s="3074" t="s">
        <v>233</v>
      </c>
      <c r="B98" s="3073" t="s">
        <v>134</v>
      </c>
      <c r="C98" s="3073" t="s">
        <v>116</v>
      </c>
      <c r="D98" s="3073" t="s">
        <v>234</v>
      </c>
      <c r="E98" s="3073"/>
      <c r="F98" s="3073" t="s">
        <v>138</v>
      </c>
      <c r="G98" s="3073" t="s">
        <v>13</v>
      </c>
      <c r="H98" s="3073" t="s">
        <v>14</v>
      </c>
      <c r="I98" s="3073"/>
      <c r="J98" s="3073"/>
      <c r="K98" s="3073"/>
      <c r="L98" s="3073"/>
      <c r="M98" s="3073" t="s">
        <v>359</v>
      </c>
      <c r="N98" s="3073"/>
      <c r="O98" s="3073" t="s">
        <v>358</v>
      </c>
      <c r="P98" s="3073"/>
      <c r="Q98" s="3076"/>
      <c r="R98" s="3076"/>
      <c r="S98" s="3076"/>
      <c r="T98" s="3076"/>
      <c r="U98" s="3077"/>
      <c r="V98" s="3073"/>
      <c r="W98" s="3073"/>
      <c r="X98" s="3056">
        <f>IF(A98="","",IF(LEN(SUBSTITUTE(SUBSTITUTE(SUBSTITUTE(SUBSTITUTE(D98,".",""),"/",""),"-","")," ",""))&lt;&gt;14,"CNPJ INVALIDO","OK"))</f>
      </c>
      <c r="Y98" s="3056">
        <f>IF(A98="","",IF(R98="","REST PENDENTE","REST OK"))</f>
      </c>
      <c r="Z98" s="3056">
        <f>IF(A98="","",IF(AND(R98&lt;&gt;"",COUNTIFS($D$3:$D$164,D98,$R$3:$R$164,"&lt;&gt;")&gt;1),"DUPLICADO","OK"))</f>
      </c>
      <c r="AA98" s="3056">
        <f>IF(A98="","",IF(OR(LEN(Q98)&gt;180,LEN(R98)&gt;180,LEN(S98)&gt;180,LEN(T98)&gt;180),"CAMINHO LONGO","OK"))</f>
      </c>
      <c r="AB98" s="3056">
        <f>IF(A98="","",IF(U98="","",IFERROR(INT(U98-TODAY()),"")))</f>
      </c>
      <c r="AC98" s="3056">
        <f>IF(A98="","",IF(AND(T98="",U98=""),"",IF(T98="","SEM CAMINHO",IF(U98="","SEM DATA",IFERROR(IF(AB98&lt;15,"VERMELHO",IF(AB98&lt;=30,"AMARELO","VERDE")),"DATA INVALIDA")))))</f>
      </c>
      <c r="AD98" s="3056">
        <f>IF(OR(A98="",U98="",NOT(ISNUMBER(AB98))),"",RANK(AB98,$AB$3:$AB$164,1)+COUNTIFS($AB$3:AB98,AB98)-1)</f>
      </c>
      <c r="AE98" s="1736"/>
    </row>
    <row r="99" spans="1:19" ht="22.0" hidden="false" customHeight="true" x14ac:dyDescent="0.25">
      <c r="A99" s="3069" t="s">
        <v>235</v>
      </c>
      <c r="B99" s="3068" t="s">
        <v>134</v>
      </c>
      <c r="C99" s="3068" t="s">
        <v>116</v>
      </c>
      <c r="D99" s="3068" t="s">
        <v>236</v>
      </c>
      <c r="E99" s="3068"/>
      <c r="F99" s="3068" t="s">
        <v>138</v>
      </c>
      <c r="G99" s="3068" t="s">
        <v>13</v>
      </c>
      <c r="H99" s="3068" t="s">
        <v>14</v>
      </c>
      <c r="I99" s="3068"/>
      <c r="J99" s="3068"/>
      <c r="K99" s="3068"/>
      <c r="L99" s="3068"/>
      <c r="M99" s="3068" t="s">
        <v>359</v>
      </c>
      <c r="N99" s="3068"/>
      <c r="O99" s="3068" t="s">
        <v>358</v>
      </c>
      <c r="P99" s="3068"/>
      <c r="Q99" s="3071"/>
      <c r="R99" s="3071"/>
      <c r="S99" s="3071"/>
      <c r="T99" s="3071"/>
      <c r="U99" s="3072"/>
      <c r="V99" s="3068"/>
      <c r="W99" s="3068"/>
      <c r="X99" s="3056">
        <f>IF(A99="","",IF(LEN(SUBSTITUTE(SUBSTITUTE(SUBSTITUTE(SUBSTITUTE(D99,".",""),"/",""),"-","")," ",""))&lt;&gt;14,"CNPJ INVALIDO","OK"))</f>
      </c>
      <c r="Y99" s="3056">
        <f>IF(A99="","",IF(R99="","REST PENDENTE","REST OK"))</f>
      </c>
      <c r="Z99" s="3056">
        <f>IF(A99="","",IF(AND(R99&lt;&gt;"",COUNTIFS($D$3:$D$164,D99,$R$3:$R$164,"&lt;&gt;")&gt;1),"DUPLICADO","OK"))</f>
      </c>
      <c r="AA99" s="3056">
        <f>IF(A99="","",IF(OR(LEN(Q99)&gt;180,LEN(R99)&gt;180,LEN(S99)&gt;180,LEN(T99)&gt;180),"CAMINHO LONGO","OK"))</f>
      </c>
      <c r="AB99" s="3056">
        <f>IF(A99="","",IF(U99="","",IFERROR(INT(U99-TODAY()),"")))</f>
      </c>
      <c r="AC99" s="3056">
        <f>IF(A99="","",IF(AND(T99="",U99=""),"",IF(T99="","SEM CAMINHO",IF(U99="","SEM DATA",IFERROR(IF(AB99&lt;15,"VERMELHO",IF(AB99&lt;=30,"AMARELO","VERDE")),"DATA INVALIDA")))))</f>
      </c>
      <c r="AD99" s="3056">
        <f>IF(OR(A99="",U99="",NOT(ISNUMBER(AB99))),"",RANK(AB99,$AB$3:$AB$164,1)+COUNTIFS($AB$3:AB99,AB99)-1)</f>
      </c>
      <c r="AE99" s="1736"/>
    </row>
    <row r="100" spans="1:19" ht="22.0" hidden="false" customHeight="true" x14ac:dyDescent="0.25">
      <c r="A100" s="3074" t="s">
        <v>237</v>
      </c>
      <c r="B100" s="3073" t="s">
        <v>134</v>
      </c>
      <c r="C100" s="3073" t="s">
        <v>116</v>
      </c>
      <c r="D100" s="3073" t="s">
        <v>238</v>
      </c>
      <c r="E100" s="3073"/>
      <c r="F100" s="3073" t="s">
        <v>138</v>
      </c>
      <c r="G100" s="3073" t="s">
        <v>13</v>
      </c>
      <c r="H100" s="3073" t="s">
        <v>14</v>
      </c>
      <c r="I100" s="3073"/>
      <c r="J100" s="3073"/>
      <c r="K100" s="3073"/>
      <c r="L100" s="3073"/>
      <c r="M100" s="3073" t="s">
        <v>359</v>
      </c>
      <c r="N100" s="3073"/>
      <c r="O100" s="3073" t="s">
        <v>358</v>
      </c>
      <c r="P100" s="3073"/>
      <c r="Q100" s="3076"/>
      <c r="R100" s="3076"/>
      <c r="S100" s="3076"/>
      <c r="T100" s="3076"/>
      <c r="U100" s="3077"/>
      <c r="V100" s="3073"/>
      <c r="W100" s="3073"/>
      <c r="X100" s="3056">
        <f>IF(A100="","",IF(LEN(SUBSTITUTE(SUBSTITUTE(SUBSTITUTE(SUBSTITUTE(D100,".",""),"/",""),"-","")," ",""))&lt;&gt;14,"CNPJ INVALIDO","OK"))</f>
      </c>
      <c r="Y100" s="3056">
        <f>IF(A100="","",IF(R100="","REST PENDENTE","REST OK"))</f>
      </c>
      <c r="Z100" s="3056">
        <f>IF(A100="","",IF(AND(R100&lt;&gt;"",COUNTIFS($D$3:$D$164,D100,$R$3:$R$164,"&lt;&gt;")&gt;1),"DUPLICADO","OK"))</f>
      </c>
      <c r="AA100" s="3056">
        <f>IF(A100="","",IF(OR(LEN(Q100)&gt;180,LEN(R100)&gt;180,LEN(S100)&gt;180,LEN(T100)&gt;180),"CAMINHO LONGO","OK"))</f>
      </c>
      <c r="AB100" s="3056">
        <f>IF(A100="","",IF(U100="","",IFERROR(INT(U100-TODAY()),"")))</f>
      </c>
      <c r="AC100" s="3056">
        <f>IF(A100="","",IF(AND(T100="",U100=""),"",IF(T100="","SEM CAMINHO",IF(U100="","SEM DATA",IFERROR(IF(AB100&lt;15,"VERMELHO",IF(AB100&lt;=30,"AMARELO","VERDE")),"DATA INVALIDA")))))</f>
      </c>
      <c r="AD100" s="3056">
        <f>IF(OR(A100="",U100="",NOT(ISNUMBER(AB100))),"",RANK(AB100,$AB$3:$AB$164,1)+COUNTIFS($AB$3:AB100,AB100)-1)</f>
      </c>
      <c r="AE100" s="1736"/>
    </row>
    <row r="101" spans="1:19" ht="22.0" hidden="false" customHeight="true" x14ac:dyDescent="0.25">
      <c r="A101" s="3069" t="s">
        <v>239</v>
      </c>
      <c r="B101" s="3068" t="s">
        <v>55</v>
      </c>
      <c r="C101" s="3068" t="s">
        <v>56</v>
      </c>
      <c r="D101" s="3068" t="s">
        <v>240</v>
      </c>
      <c r="E101" s="3068"/>
      <c r="F101" s="3068" t="s">
        <v>57</v>
      </c>
      <c r="G101" s="3068" t="s">
        <v>13</v>
      </c>
      <c r="H101" s="3068" t="s">
        <v>5</v>
      </c>
      <c r="I101" s="3068"/>
      <c r="J101" s="3068"/>
      <c r="K101" s="3068"/>
      <c r="L101" s="3068"/>
      <c r="M101" s="3068" t="s">
        <v>376</v>
      </c>
      <c r="N101" s="3068" t="s">
        <v>361</v>
      </c>
      <c r="O101" s="3068" t="s">
        <v>349</v>
      </c>
      <c r="P101" s="3068"/>
      <c r="Q101" s="3071"/>
      <c r="R101" s="3071"/>
      <c r="S101" s="3071"/>
      <c r="T101" s="3071"/>
      <c r="U101" s="3072"/>
      <c r="V101" s="3068"/>
      <c r="W101" s="3068"/>
      <c r="X101" s="3056">
        <f>IF(A101="","",IF(LEN(SUBSTITUTE(SUBSTITUTE(SUBSTITUTE(SUBSTITUTE(D101,".",""),"/",""),"-","")," ",""))&lt;&gt;14,"CNPJ INVALIDO","OK"))</f>
      </c>
      <c r="Y101" s="3056">
        <f>IF(A101="","",IF(R101="","REST PENDENTE","REST OK"))</f>
      </c>
      <c r="Z101" s="3056">
        <f>IF(A101="","",IF(AND(R101&lt;&gt;"",COUNTIFS($D$3:$D$164,D101,$R$3:$R$164,"&lt;&gt;")&gt;1),"DUPLICADO","OK"))</f>
      </c>
      <c r="AA101" s="3056">
        <f>IF(A101="","",IF(OR(LEN(Q101)&gt;180,LEN(R101)&gt;180,LEN(S101)&gt;180,LEN(T101)&gt;180),"CAMINHO LONGO","OK"))</f>
      </c>
      <c r="AB101" s="3056">
        <f>IF(A101="","",IF(U101="","",IFERROR(INT(U101-TODAY()),"")))</f>
      </c>
      <c r="AC101" s="3056">
        <f>IF(A101="","",IF(AND(T101="",U101=""),"",IF(T101="","SEM CAMINHO",IF(U101="","SEM DATA",IFERROR(IF(AB101&lt;15,"VERMELHO",IF(AB101&lt;=30,"AMARELO","VERDE")),"DATA INVALIDA")))))</f>
      </c>
      <c r="AD101" s="3056">
        <f>IF(OR(A101="",U101="",NOT(ISNUMBER(AB101))),"",RANK(AB101,$AB$3:$AB$164,1)+COUNTIFS($AB$3:AB101,AB101)-1)</f>
      </c>
      <c r="AE101" s="1736"/>
    </row>
    <row r="102" spans="1:19" ht="22.0" hidden="false" customHeight="true" x14ac:dyDescent="0.25">
      <c r="A102" s="3074" t="s">
        <v>241</v>
      </c>
      <c r="B102" s="3073" t="s">
        <v>55</v>
      </c>
      <c r="C102" s="3073" t="s">
        <v>242</v>
      </c>
      <c r="D102" s="3073" t="s">
        <v>243</v>
      </c>
      <c r="E102" s="3073"/>
      <c r="F102" s="3073" t="s">
        <v>57</v>
      </c>
      <c r="G102" s="3073" t="s">
        <v>13</v>
      </c>
      <c r="H102" s="3073" t="s">
        <v>5</v>
      </c>
      <c r="I102" s="3073"/>
      <c r="J102" s="3073"/>
      <c r="K102" s="3073"/>
      <c r="L102" s="3073"/>
      <c r="M102" s="3073" t="s">
        <v>376</v>
      </c>
      <c r="N102" s="3073" t="s">
        <v>372</v>
      </c>
      <c r="O102" s="3073" t="s">
        <v>349</v>
      </c>
      <c r="P102" s="3073"/>
      <c r="Q102" s="3076"/>
      <c r="R102" s="3076"/>
      <c r="S102" s="3076"/>
      <c r="T102" s="3076"/>
      <c r="U102" s="3077"/>
      <c r="V102" s="3073"/>
      <c r="W102" s="3073"/>
      <c r="X102" s="3056">
        <f>IF(A102="","",IF(LEN(SUBSTITUTE(SUBSTITUTE(SUBSTITUTE(SUBSTITUTE(D102,".",""),"/",""),"-","")," ",""))&lt;&gt;14,"CNPJ INVALIDO","OK"))</f>
      </c>
      <c r="Y102" s="3056">
        <f>IF(A102="","",IF(R102="","REST PENDENTE","REST OK"))</f>
      </c>
      <c r="Z102" s="3056">
        <f>IF(A102="","",IF(AND(R102&lt;&gt;"",COUNTIFS($D$3:$D$164,D102,$R$3:$R$164,"&lt;&gt;")&gt;1),"DUPLICADO","OK"))</f>
      </c>
      <c r="AA102" s="3056">
        <f>IF(A102="","",IF(OR(LEN(Q102)&gt;180,LEN(R102)&gt;180,LEN(S102)&gt;180,LEN(T102)&gt;180),"CAMINHO LONGO","OK"))</f>
      </c>
      <c r="AB102" s="3056">
        <f>IF(A102="","",IF(U102="","",IFERROR(INT(U102-TODAY()),"")))</f>
      </c>
      <c r="AC102" s="3056">
        <f>IF(A102="","",IF(AND(T102="",U102=""),"",IF(T102="","SEM CAMINHO",IF(U102="","SEM DATA",IFERROR(IF(AB102&lt;15,"VERMELHO",IF(AB102&lt;=30,"AMARELO","VERDE")),"DATA INVALIDA")))))</f>
      </c>
      <c r="AD102" s="3056">
        <f>IF(OR(A102="",U102="",NOT(ISNUMBER(AB102))),"",RANK(AB102,$AB$3:$AB$164,1)+COUNTIFS($AB$3:AB102,AB102)-1)</f>
      </c>
      <c r="AE102" s="1736"/>
    </row>
    <row r="103" spans="1:19" ht="22.0" hidden="false" customHeight="true" x14ac:dyDescent="0.25">
      <c r="A103" s="3069" t="s">
        <v>244</v>
      </c>
      <c r="B103" s="3068" t="s">
        <v>55</v>
      </c>
      <c r="C103" s="3068" t="s">
        <v>245</v>
      </c>
      <c r="D103" s="3068" t="s">
        <v>246</v>
      </c>
      <c r="E103" s="3068"/>
      <c r="F103" s="3068" t="s">
        <v>57</v>
      </c>
      <c r="G103" s="3068" t="s">
        <v>13</v>
      </c>
      <c r="H103" s="3068" t="s">
        <v>5</v>
      </c>
      <c r="I103" s="3068"/>
      <c r="J103" s="3068"/>
      <c r="K103" s="3068"/>
      <c r="L103" s="3068"/>
      <c r="M103" s="3068" t="s">
        <v>376</v>
      </c>
      <c r="N103" s="3068" t="s">
        <v>361</v>
      </c>
      <c r="O103" s="3068" t="s">
        <v>349</v>
      </c>
      <c r="P103" s="3068"/>
      <c r="Q103" s="3071"/>
      <c r="R103" s="3071"/>
      <c r="S103" s="3071"/>
      <c r="T103" s="3071"/>
      <c r="U103" s="3072"/>
      <c r="V103" s="3068"/>
      <c r="W103" s="3068"/>
      <c r="X103" s="3056">
        <f>IF(A103="","",IF(LEN(SUBSTITUTE(SUBSTITUTE(SUBSTITUTE(SUBSTITUTE(D103,".",""),"/",""),"-","")," ",""))&lt;&gt;14,"CNPJ INVALIDO","OK"))</f>
      </c>
      <c r="Y103" s="3056">
        <f>IF(A103="","",IF(R103="","REST PENDENTE","REST OK"))</f>
      </c>
      <c r="Z103" s="3056">
        <f>IF(A103="","",IF(AND(R103&lt;&gt;"",COUNTIFS($D$3:$D$164,D103,$R$3:$R$164,"&lt;&gt;")&gt;1),"DUPLICADO","OK"))</f>
      </c>
      <c r="AA103" s="3056">
        <f>IF(A103="","",IF(OR(LEN(Q103)&gt;180,LEN(R103)&gt;180,LEN(S103)&gt;180,LEN(T103)&gt;180),"CAMINHO LONGO","OK"))</f>
      </c>
      <c r="AB103" s="3056">
        <f>IF(A103="","",IF(U103="","",IFERROR(INT(U103-TODAY()),"")))</f>
      </c>
      <c r="AC103" s="3056">
        <f>IF(A103="","",IF(AND(T103="",U103=""),"",IF(T103="","SEM CAMINHO",IF(U103="","SEM DATA",IFERROR(IF(AB103&lt;15,"VERMELHO",IF(AB103&lt;=30,"AMARELO","VERDE")),"DATA INVALIDA")))))</f>
      </c>
      <c r="AD103" s="3056">
        <f>IF(OR(A103="",U103="",NOT(ISNUMBER(AB103))),"",RANK(AB103,$AB$3:$AB$164,1)+COUNTIFS($AB$3:AB103,AB103)-1)</f>
      </c>
      <c r="AE103" s="1736"/>
    </row>
    <row r="104" spans="1:19" ht="22.0" hidden="false" customHeight="true" x14ac:dyDescent="0.25">
      <c r="A104" s="3074" t="s">
        <v>247</v>
      </c>
      <c r="B104" s="3073" t="s">
        <v>55</v>
      </c>
      <c r="C104" s="3073" t="s">
        <v>248</v>
      </c>
      <c r="D104" s="3073" t="s">
        <v>249</v>
      </c>
      <c r="E104" s="3073"/>
      <c r="F104" s="3073" t="s">
        <v>57</v>
      </c>
      <c r="G104" s="3073" t="s">
        <v>13</v>
      </c>
      <c r="H104" s="3073" t="s">
        <v>49</v>
      </c>
      <c r="I104" s="3073"/>
      <c r="J104" s="3073"/>
      <c r="K104" s="3073"/>
      <c r="L104" s="3073"/>
      <c r="M104" s="3073" t="s">
        <v>376</v>
      </c>
      <c r="N104" s="3073" t="s">
        <v>373</v>
      </c>
      <c r="O104" s="3073" t="s">
        <v>349</v>
      </c>
      <c r="P104" s="3073"/>
      <c r="Q104" s="3076"/>
      <c r="R104" s="3076"/>
      <c r="S104" s="3076"/>
      <c r="T104" s="3076"/>
      <c r="U104" s="3077"/>
      <c r="V104" s="3073"/>
      <c r="W104" s="3073"/>
      <c r="X104" s="3056">
        <f>IF(A104="","",IF(LEN(SUBSTITUTE(SUBSTITUTE(SUBSTITUTE(SUBSTITUTE(D104,".",""),"/",""),"-","")," ",""))&lt;&gt;14,"CNPJ INVALIDO","OK"))</f>
      </c>
      <c r="Y104" s="3056">
        <f>IF(A104="","",IF(R104="","REST PENDENTE","REST OK"))</f>
      </c>
      <c r="Z104" s="3056">
        <f>IF(A104="","",IF(AND(R104&lt;&gt;"",COUNTIFS($D$3:$D$164,D104,$R$3:$R$164,"&lt;&gt;")&gt;1),"DUPLICADO","OK"))</f>
      </c>
      <c r="AA104" s="3056">
        <f>IF(A104="","",IF(OR(LEN(Q104)&gt;180,LEN(R104)&gt;180,LEN(S104)&gt;180,LEN(T104)&gt;180),"CAMINHO LONGO","OK"))</f>
      </c>
      <c r="AB104" s="3056">
        <f>IF(A104="","",IF(U104="","",IFERROR(INT(U104-TODAY()),"")))</f>
      </c>
      <c r="AC104" s="3056">
        <f>IF(A104="","",IF(AND(T104="",U104=""),"",IF(T104="","SEM CAMINHO",IF(U104="","SEM DATA",IFERROR(IF(AB104&lt;15,"VERMELHO",IF(AB104&lt;=30,"AMARELO","VERDE")),"DATA INVALIDA")))))</f>
      </c>
      <c r="AD104" s="3056">
        <f>IF(OR(A104="",U104="",NOT(ISNUMBER(AB104))),"",RANK(AB104,$AB$3:$AB$164,1)+COUNTIFS($AB$3:AB104,AB104)-1)</f>
      </c>
      <c r="AE104" s="1736"/>
    </row>
    <row r="105" spans="1:19" ht="22.0" hidden="false" customHeight="true" x14ac:dyDescent="0.25">
      <c r="A105" s="3069" t="s">
        <v>250</v>
      </c>
      <c r="B105" s="3068" t="s">
        <v>1</v>
      </c>
      <c r="C105" s="3068" t="s">
        <v>2</v>
      </c>
      <c r="D105" s="3068" t="s">
        <v>251</v>
      </c>
      <c r="E105" s="3068"/>
      <c r="F105" s="3068" t="s">
        <v>252</v>
      </c>
      <c r="G105" s="3068" t="s">
        <v>4</v>
      </c>
      <c r="H105" s="3068" t="s">
        <v>49</v>
      </c>
      <c r="I105" s="3068"/>
      <c r="J105" s="3068"/>
      <c r="K105" s="3068"/>
      <c r="L105" s="3068"/>
      <c r="M105" s="3068" t="s">
        <v>371</v>
      </c>
      <c r="N105" s="3068" t="s">
        <v>361</v>
      </c>
      <c r="O105" s="3068" t="s">
        <v>349</v>
      </c>
      <c r="P105" s="3068"/>
      <c r="Q105" s="3071"/>
      <c r="R105" s="3071"/>
      <c r="S105" s="3071"/>
      <c r="T105" s="3071"/>
      <c r="U105" s="3072"/>
      <c r="V105" s="3068"/>
      <c r="W105" s="3068"/>
      <c r="X105" s="3056">
        <f>IF(A105="","",IF(LEN(SUBSTITUTE(SUBSTITUTE(SUBSTITUTE(SUBSTITUTE(D105,".",""),"/",""),"-","")," ",""))&lt;&gt;14,"CNPJ INVALIDO","OK"))</f>
      </c>
      <c r="Y105" s="3056">
        <f>IF(A105="","",IF(R105="","REST PENDENTE","REST OK"))</f>
      </c>
      <c r="Z105" s="3056">
        <f>IF(A105="","",IF(AND(R105&lt;&gt;"",COUNTIFS($D$3:$D$164,D105,$R$3:$R$164,"&lt;&gt;")&gt;1),"DUPLICADO","OK"))</f>
      </c>
      <c r="AA105" s="3056">
        <f>IF(A105="","",IF(OR(LEN(Q105)&gt;180,LEN(R105)&gt;180,LEN(S105)&gt;180,LEN(T105)&gt;180),"CAMINHO LONGO","OK"))</f>
      </c>
      <c r="AB105" s="3056">
        <f>IF(A105="","",IF(U105="","",IFERROR(INT(U105-TODAY()),"")))</f>
      </c>
      <c r="AC105" s="3056">
        <f>IF(A105="","",IF(AND(T105="",U105=""),"",IF(T105="","SEM CAMINHO",IF(U105="","SEM DATA",IFERROR(IF(AB105&lt;15,"VERMELHO",IF(AB105&lt;=30,"AMARELO","VERDE")),"DATA INVALIDA")))))</f>
      </c>
      <c r="AD105" s="3056">
        <f>IF(OR(A105="",U105="",NOT(ISNUMBER(AB105))),"",RANK(AB105,$AB$3:$AB$164,1)+COUNTIFS($AB$3:AB105,AB105)-1)</f>
      </c>
      <c r="AE105" s="1736"/>
    </row>
    <row r="106" spans="1:19" ht="22.0" hidden="false" customHeight="true" x14ac:dyDescent="0.25">
      <c r="A106" s="3074" t="s">
        <v>253</v>
      </c>
      <c r="B106" s="3073" t="s">
        <v>214</v>
      </c>
      <c r="C106" s="3073" t="s">
        <v>62</v>
      </c>
      <c r="D106" s="3073" t="s">
        <v>392</v>
      </c>
      <c r="E106" s="3073"/>
      <c r="F106" s="3073" t="s">
        <v>254</v>
      </c>
      <c r="G106" s="3073" t="s">
        <v>13</v>
      </c>
      <c r="H106" s="3073" t="s">
        <v>5</v>
      </c>
      <c r="I106" s="3073"/>
      <c r="J106" s="3073"/>
      <c r="K106" s="3073"/>
      <c r="L106" s="3073"/>
      <c r="M106" s="3073" t="s">
        <v>376</v>
      </c>
      <c r="N106" s="3073"/>
      <c r="O106" s="3073" t="s">
        <v>349</v>
      </c>
      <c r="P106" s="3073"/>
      <c r="Q106" s="3076"/>
      <c r="R106" s="3076"/>
      <c r="S106" s="3076"/>
      <c r="T106" s="3076"/>
      <c r="U106" s="3077"/>
      <c r="V106" s="3073"/>
      <c r="W106" s="3073"/>
      <c r="X106" s="3056">
        <f>IF(A106="","",IF(LEN(SUBSTITUTE(SUBSTITUTE(SUBSTITUTE(SUBSTITUTE(D106,".",""),"/",""),"-","")," ",""))&lt;&gt;14,"CNPJ INVALIDO","OK"))</f>
      </c>
      <c r="Y106" s="3056">
        <f>IF(A106="","",IF(R106="","REST PENDENTE","REST OK"))</f>
      </c>
      <c r="Z106" s="3056">
        <f>IF(A106="","",IF(AND(R106&lt;&gt;"",COUNTIFS($D$3:$D$164,D106,$R$3:$R$164,"&lt;&gt;")&gt;1),"DUPLICADO","OK"))</f>
      </c>
      <c r="AA106" s="3056">
        <f>IF(A106="","",IF(OR(LEN(Q106)&gt;180,LEN(R106)&gt;180,LEN(S106)&gt;180,LEN(T106)&gt;180),"CAMINHO LONGO","OK"))</f>
      </c>
      <c r="AB106" s="3056">
        <f>IF(A106="","",IF(U106="","",IFERROR(INT(U106-TODAY()),"")))</f>
      </c>
      <c r="AC106" s="3056">
        <f>IF(A106="","",IF(AND(T106="",U106=""),"",IF(T106="","SEM CAMINHO",IF(U106="","SEM DATA",IFERROR(IF(AB106&lt;15,"VERMELHO",IF(AB106&lt;=30,"AMARELO","VERDE")),"DATA INVALIDA")))))</f>
      </c>
      <c r="AD106" s="3056">
        <f>IF(OR(A106="",U106="",NOT(ISNUMBER(AB106))),"",RANK(AB106,$AB$3:$AB$164,1)+COUNTIFS($AB$3:AB106,AB106)-1)</f>
      </c>
      <c r="AE106" s="1736"/>
    </row>
    <row r="107" spans="1:19" ht="22.0" hidden="false" customHeight="true" x14ac:dyDescent="0.25">
      <c r="A107" s="3069" t="s">
        <v>255</v>
      </c>
      <c r="B107" s="3068" t="s">
        <v>214</v>
      </c>
      <c r="C107" s="3068" t="s">
        <v>62</v>
      </c>
      <c r="D107" s="3068" t="s">
        <v>393</v>
      </c>
      <c r="E107" s="3068"/>
      <c r="F107" s="3068" t="s">
        <v>254</v>
      </c>
      <c r="G107" s="3068" t="s">
        <v>13</v>
      </c>
      <c r="H107" s="3068" t="s">
        <v>49</v>
      </c>
      <c r="I107" s="3068"/>
      <c r="J107" s="3068"/>
      <c r="K107" s="3068"/>
      <c r="L107" s="3068"/>
      <c r="M107" s="3068" t="s">
        <v>389</v>
      </c>
      <c r="N107" s="3068"/>
      <c r="O107" s="3068" t="s">
        <v>349</v>
      </c>
      <c r="P107" s="3068"/>
      <c r="Q107" s="3071"/>
      <c r="R107" s="3071"/>
      <c r="S107" s="3071"/>
      <c r="T107" s="3071"/>
      <c r="U107" s="3072"/>
      <c r="V107" s="3068"/>
      <c r="W107" s="3068"/>
      <c r="X107" s="3056">
        <f>IF(A107="","",IF(LEN(SUBSTITUTE(SUBSTITUTE(SUBSTITUTE(SUBSTITUTE(D107,".",""),"/",""),"-","")," ",""))&lt;&gt;14,"CNPJ INVALIDO","OK"))</f>
      </c>
      <c r="Y107" s="3056">
        <f>IF(A107="","",IF(R107="","REST PENDENTE","REST OK"))</f>
      </c>
      <c r="Z107" s="3056">
        <f>IF(A107="","",IF(AND(R107&lt;&gt;"",COUNTIFS($D$3:$D$164,D107,$R$3:$R$164,"&lt;&gt;")&gt;1),"DUPLICADO","OK"))</f>
      </c>
      <c r="AA107" s="3056">
        <f>IF(A107="","",IF(OR(LEN(Q107)&gt;180,LEN(R107)&gt;180,LEN(S107)&gt;180,LEN(T107)&gt;180),"CAMINHO LONGO","OK"))</f>
      </c>
      <c r="AB107" s="3056">
        <f>IF(A107="","",IF(U107="","",IFERROR(INT(U107-TODAY()),"")))</f>
      </c>
      <c r="AC107" s="3056">
        <f>IF(A107="","",IF(AND(T107="",U107=""),"",IF(T107="","SEM CAMINHO",IF(U107="","SEM DATA",IFERROR(IF(AB107&lt;15,"VERMELHO",IF(AB107&lt;=30,"AMARELO","VERDE")),"DATA INVALIDA")))))</f>
      </c>
      <c r="AD107" s="3056">
        <f>IF(OR(A107="",U107="",NOT(ISNUMBER(AB107))),"",RANK(AB107,$AB$3:$AB$164,1)+COUNTIFS($AB$3:AB107,AB107)-1)</f>
      </c>
      <c r="AE107" s="1736"/>
    </row>
    <row r="108" spans="1:19" ht="22.0" hidden="false" customHeight="true" x14ac:dyDescent="0.25">
      <c r="A108" s="3074" t="s">
        <v>256</v>
      </c>
      <c r="B108" s="3073" t="s">
        <v>214</v>
      </c>
      <c r="C108" s="3073" t="s">
        <v>62</v>
      </c>
      <c r="D108" s="3073" t="s">
        <v>394</v>
      </c>
      <c r="E108" s="3073"/>
      <c r="F108" s="3073" t="s">
        <v>257</v>
      </c>
      <c r="G108" s="3073" t="s">
        <v>4</v>
      </c>
      <c r="H108" s="3073" t="s">
        <v>5</v>
      </c>
      <c r="I108" s="3073"/>
      <c r="J108" s="3073"/>
      <c r="K108" s="3073"/>
      <c r="L108" s="3073"/>
      <c r="M108" s="3073" t="s">
        <v>379</v>
      </c>
      <c r="N108" s="3073"/>
      <c r="O108" s="3073" t="s">
        <v>349</v>
      </c>
      <c r="P108" s="3073"/>
      <c r="Q108" s="3076"/>
      <c r="R108" s="3076"/>
      <c r="S108" s="3076"/>
      <c r="T108" s="3076"/>
      <c r="U108" s="3077"/>
      <c r="V108" s="3073"/>
      <c r="W108" s="3073"/>
      <c r="X108" s="3056">
        <f>IF(A108="","",IF(LEN(SUBSTITUTE(SUBSTITUTE(SUBSTITUTE(SUBSTITUTE(D108,".",""),"/",""),"-","")," ",""))&lt;&gt;14,"CNPJ INVALIDO","OK"))</f>
      </c>
      <c r="Y108" s="3056">
        <f>IF(A108="","",IF(R108="","REST PENDENTE","REST OK"))</f>
      </c>
      <c r="Z108" s="3056">
        <f>IF(A108="","",IF(AND(R108&lt;&gt;"",COUNTIFS($D$3:$D$164,D108,$R$3:$R$164,"&lt;&gt;")&gt;1),"DUPLICADO","OK"))</f>
      </c>
      <c r="AA108" s="3056">
        <f>IF(A108="","",IF(OR(LEN(Q108)&gt;180,LEN(R108)&gt;180,LEN(S108)&gt;180,LEN(T108)&gt;180),"CAMINHO LONGO","OK"))</f>
      </c>
      <c r="AB108" s="3056">
        <f>IF(A108="","",IF(U108="","",IFERROR(INT(U108-TODAY()),"")))</f>
      </c>
      <c r="AC108" s="3056">
        <f>IF(A108="","",IF(AND(T108="",U108=""),"",IF(T108="","SEM CAMINHO",IF(U108="","SEM DATA",IFERROR(IF(AB108&lt;15,"VERMELHO",IF(AB108&lt;=30,"AMARELO","VERDE")),"DATA INVALIDA")))))</f>
      </c>
      <c r="AD108" s="3056">
        <f>IF(OR(A108="",U108="",NOT(ISNUMBER(AB108))),"",RANK(AB108,$AB$3:$AB$164,1)+COUNTIFS($AB$3:AB108,AB108)-1)</f>
      </c>
      <c r="AE108" s="1736"/>
    </row>
    <row r="109" spans="1:19" ht="22.0" hidden="false" customHeight="true" x14ac:dyDescent="0.25">
      <c r="A109" s="3069" t="s">
        <v>258</v>
      </c>
      <c r="B109" s="3068" t="s">
        <v>259</v>
      </c>
      <c r="C109" s="3068" t="s">
        <v>69</v>
      </c>
      <c r="D109" s="3068" t="s">
        <v>260</v>
      </c>
      <c r="E109" s="3068"/>
      <c r="F109" s="3068" t="s">
        <v>261</v>
      </c>
      <c r="G109" s="3068" t="s">
        <v>4</v>
      </c>
      <c r="H109" s="3068" t="s">
        <v>5</v>
      </c>
      <c r="I109" s="3068"/>
      <c r="J109" s="3068"/>
      <c r="K109" s="3068"/>
      <c r="L109" s="3068"/>
      <c r="M109" s="3068" t="s">
        <v>371</v>
      </c>
      <c r="N109" s="3068"/>
      <c r="O109" s="3068"/>
      <c r="P109" s="3068"/>
      <c r="Q109" s="3071"/>
      <c r="R109" s="3071"/>
      <c r="S109" s="3071"/>
      <c r="T109" s="3071"/>
      <c r="U109" s="3072"/>
      <c r="V109" s="3068"/>
      <c r="W109" s="3068"/>
      <c r="X109" s="3056">
        <f>IF(A109="","",IF(LEN(SUBSTITUTE(SUBSTITUTE(SUBSTITUTE(SUBSTITUTE(D109,".",""),"/",""),"-","")," ",""))&lt;&gt;14,"CNPJ INVALIDO","OK"))</f>
      </c>
      <c r="Y109" s="3056">
        <f>IF(A109="","",IF(R109="","REST PENDENTE","REST OK"))</f>
      </c>
      <c r="Z109" s="3056">
        <f>IF(A109="","",IF(AND(R109&lt;&gt;"",COUNTIFS($D$3:$D$164,D109,$R$3:$R$164,"&lt;&gt;")&gt;1),"DUPLICADO","OK"))</f>
      </c>
      <c r="AA109" s="3056">
        <f>IF(A109="","",IF(OR(LEN(Q109)&gt;180,LEN(R109)&gt;180,LEN(S109)&gt;180,LEN(T109)&gt;180),"CAMINHO LONGO","OK"))</f>
      </c>
      <c r="AB109" s="3056">
        <f>IF(A109="","",IF(U109="","",IFERROR(INT(U109-TODAY()),"")))</f>
      </c>
      <c r="AC109" s="3056">
        <f>IF(A109="","",IF(AND(T109="",U109=""),"",IF(T109="","SEM CAMINHO",IF(U109="","SEM DATA",IFERROR(IF(AB109&lt;15,"VERMELHO",IF(AB109&lt;=30,"AMARELO","VERDE")),"DATA INVALIDA")))))</f>
      </c>
      <c r="AD109" s="3056">
        <f>IF(OR(A109="",U109="",NOT(ISNUMBER(AB109))),"",RANK(AB109,$AB$3:$AB$164,1)+COUNTIFS($AB$3:AB109,AB109)-1)</f>
      </c>
      <c r="AE109" s="1736"/>
    </row>
    <row r="110" spans="1:19" ht="22.0" hidden="false" customHeight="true" x14ac:dyDescent="0.25">
      <c r="A110" s="3074" t="s">
        <v>262</v>
      </c>
      <c r="B110" s="3073" t="s">
        <v>259</v>
      </c>
      <c r="C110" s="3073" t="s">
        <v>69</v>
      </c>
      <c r="D110" s="3073" t="s">
        <v>263</v>
      </c>
      <c r="E110" s="3073"/>
      <c r="F110" s="3073" t="s">
        <v>261</v>
      </c>
      <c r="G110" s="3073" t="s">
        <v>13</v>
      </c>
      <c r="H110" s="3073" t="s">
        <v>5</v>
      </c>
      <c r="I110" s="3073"/>
      <c r="J110" s="3073"/>
      <c r="K110" s="3073"/>
      <c r="L110" s="3073"/>
      <c r="M110" s="3073" t="s">
        <v>371</v>
      </c>
      <c r="N110" s="3073"/>
      <c r="O110" s="3073"/>
      <c r="P110" s="3073"/>
      <c r="Q110" s="3076"/>
      <c r="R110" s="3076"/>
      <c r="S110" s="3076"/>
      <c r="T110" s="3076"/>
      <c r="U110" s="3077"/>
      <c r="V110" s="3073"/>
      <c r="W110" s="3073"/>
      <c r="X110" s="3056">
        <f>IF(A110="","",IF(LEN(SUBSTITUTE(SUBSTITUTE(SUBSTITUTE(SUBSTITUTE(D110,".",""),"/",""),"-","")," ",""))&lt;&gt;14,"CNPJ INVALIDO","OK"))</f>
      </c>
      <c r="Y110" s="3056">
        <f>IF(A110="","",IF(R110="","REST PENDENTE","REST OK"))</f>
      </c>
      <c r="Z110" s="3056">
        <f>IF(A110="","",IF(AND(R110&lt;&gt;"",COUNTIFS($D$3:$D$164,D110,$R$3:$R$164,"&lt;&gt;")&gt;1),"DUPLICADO","OK"))</f>
      </c>
      <c r="AA110" s="3056">
        <f>IF(A110="","",IF(OR(LEN(Q110)&gt;180,LEN(R110)&gt;180,LEN(S110)&gt;180,LEN(T110)&gt;180),"CAMINHO LONGO","OK"))</f>
      </c>
      <c r="AB110" s="3056">
        <f>IF(A110="","",IF(U110="","",IFERROR(INT(U110-TODAY()),"")))</f>
      </c>
      <c r="AC110" s="3056">
        <f>IF(A110="","",IF(AND(T110="",U110=""),"",IF(T110="","SEM CAMINHO",IF(U110="","SEM DATA",IFERROR(IF(AB110&lt;15,"VERMELHO",IF(AB110&lt;=30,"AMARELO","VERDE")),"DATA INVALIDA")))))</f>
      </c>
      <c r="AD110" s="3056">
        <f>IF(OR(A110="",U110="",NOT(ISNUMBER(AB110))),"",RANK(AB110,$AB$3:$AB$164,1)+COUNTIFS($AB$3:AB110,AB110)-1)</f>
      </c>
      <c r="AE110" s="1736"/>
    </row>
    <row r="111" spans="1:19" ht="22.0" hidden="false" customHeight="true" x14ac:dyDescent="0.25">
      <c r="A111" s="3069" t="s">
        <v>264</v>
      </c>
      <c r="B111" s="3068" t="s">
        <v>159</v>
      </c>
      <c r="C111" s="3068" t="s">
        <v>69</v>
      </c>
      <c r="D111" s="3068" t="s">
        <v>265</v>
      </c>
      <c r="E111" s="3068"/>
      <c r="F111" s="3068" t="s">
        <v>266</v>
      </c>
      <c r="G111" s="3068" t="s">
        <v>13</v>
      </c>
      <c r="H111" s="3068" t="s">
        <v>5</v>
      </c>
      <c r="I111" s="3068"/>
      <c r="J111" s="3068"/>
      <c r="K111" s="3068"/>
      <c r="L111" s="3068"/>
      <c r="M111" s="3068" t="s">
        <v>389</v>
      </c>
      <c r="N111" s="3068"/>
      <c r="O111" s="3068" t="s">
        <v>363</v>
      </c>
      <c r="P111" s="3068"/>
      <c r="Q111" s="3071"/>
      <c r="R111" s="3071"/>
      <c r="S111" s="3071"/>
      <c r="T111" s="3071"/>
      <c r="U111" s="3072"/>
      <c r="V111" s="3068"/>
      <c r="W111" s="3068"/>
      <c r="X111" s="3056">
        <f>IF(A111="","",IF(LEN(SUBSTITUTE(SUBSTITUTE(SUBSTITUTE(SUBSTITUTE(D111,".",""),"/",""),"-","")," ",""))&lt;&gt;14,"CNPJ INVALIDO","OK"))</f>
      </c>
      <c r="Y111" s="3056">
        <f>IF(A111="","",IF(R111="","REST PENDENTE","REST OK"))</f>
      </c>
      <c r="Z111" s="3056">
        <f>IF(A111="","",IF(AND(R111&lt;&gt;"",COUNTIFS($D$3:$D$164,D111,$R$3:$R$164,"&lt;&gt;")&gt;1),"DUPLICADO","OK"))</f>
      </c>
      <c r="AA111" s="3056">
        <f>IF(A111="","",IF(OR(LEN(Q111)&gt;180,LEN(R111)&gt;180,LEN(S111)&gt;180,LEN(T111)&gt;180),"CAMINHO LONGO","OK"))</f>
      </c>
      <c r="AB111" s="3056">
        <f>IF(A111="","",IF(U111="","",IFERROR(INT(U111-TODAY()),"")))</f>
      </c>
      <c r="AC111" s="3056">
        <f>IF(A111="","",IF(AND(T111="",U111=""),"",IF(T111="","SEM CAMINHO",IF(U111="","SEM DATA",IFERROR(IF(AB111&lt;15,"VERMELHO",IF(AB111&lt;=30,"AMARELO","VERDE")),"DATA INVALIDA")))))</f>
      </c>
      <c r="AD111" s="3056">
        <f>IF(OR(A111="",U111="",NOT(ISNUMBER(AB111))),"",RANK(AB111,$AB$3:$AB$164,1)+COUNTIFS($AB$3:AB111,AB111)-1)</f>
      </c>
      <c r="AE111" s="1736"/>
    </row>
    <row r="112" spans="1:19" ht="22.0" hidden="false" customHeight="true" x14ac:dyDescent="0.25">
      <c r="A112" s="3074" t="s">
        <v>267</v>
      </c>
      <c r="B112" s="3073" t="s">
        <v>159</v>
      </c>
      <c r="C112" s="3073" t="s">
        <v>268</v>
      </c>
      <c r="D112" s="3073" t="s">
        <v>269</v>
      </c>
      <c r="E112" s="3073"/>
      <c r="F112" s="3073" t="s">
        <v>266</v>
      </c>
      <c r="G112" s="3073" t="s">
        <v>13</v>
      </c>
      <c r="H112" s="3073" t="s">
        <v>14</v>
      </c>
      <c r="I112" s="3073"/>
      <c r="J112" s="3073"/>
      <c r="K112" s="3073"/>
      <c r="L112" s="3073"/>
      <c r="M112" s="3073" t="s">
        <v>376</v>
      </c>
      <c r="N112" s="3073"/>
      <c r="O112" s="3073" t="s">
        <v>349</v>
      </c>
      <c r="P112" s="3073"/>
      <c r="Q112" s="3076"/>
      <c r="R112" s="3076"/>
      <c r="S112" s="3076"/>
      <c r="T112" s="3076"/>
      <c r="U112" s="3077"/>
      <c r="V112" s="3073"/>
      <c r="W112" s="3073"/>
      <c r="X112" s="3056">
        <f>IF(A112="","",IF(LEN(SUBSTITUTE(SUBSTITUTE(SUBSTITUTE(SUBSTITUTE(D112,".",""),"/",""),"-","")," ",""))&lt;&gt;14,"CNPJ INVALIDO","OK"))</f>
      </c>
      <c r="Y112" s="3056">
        <f>IF(A112="","",IF(R112="","REST PENDENTE","REST OK"))</f>
      </c>
      <c r="Z112" s="3056">
        <f>IF(A112="","",IF(AND(R112&lt;&gt;"",COUNTIFS($D$3:$D$164,D112,$R$3:$R$164,"&lt;&gt;")&gt;1),"DUPLICADO","OK"))</f>
      </c>
      <c r="AA112" s="3056">
        <f>IF(A112="","",IF(OR(LEN(Q112)&gt;180,LEN(R112)&gt;180,LEN(S112)&gt;180,LEN(T112)&gt;180),"CAMINHO LONGO","OK"))</f>
      </c>
      <c r="AB112" s="3056">
        <f>IF(A112="","",IF(U112="","",IFERROR(INT(U112-TODAY()),"")))</f>
      </c>
      <c r="AC112" s="3056">
        <f>IF(A112="","",IF(AND(T112="",U112=""),"",IF(T112="","SEM CAMINHO",IF(U112="","SEM DATA",IFERROR(IF(AB112&lt;15,"VERMELHO",IF(AB112&lt;=30,"AMARELO","VERDE")),"DATA INVALIDA")))))</f>
      </c>
      <c r="AD112" s="3056">
        <f>IF(OR(A112="",U112="",NOT(ISNUMBER(AB112))),"",RANK(AB112,$AB$3:$AB$164,1)+COUNTIFS($AB$3:AB112,AB112)-1)</f>
      </c>
      <c r="AE112" s="1736"/>
    </row>
    <row r="113" spans="1:19" ht="22.0" hidden="false" customHeight="true" x14ac:dyDescent="0.25">
      <c r="A113" s="3069" t="s">
        <v>270</v>
      </c>
      <c r="B113" s="3068" t="s">
        <v>271</v>
      </c>
      <c r="C113" s="3068"/>
      <c r="D113" s="3068" t="s">
        <v>272</v>
      </c>
      <c r="E113" s="3068"/>
      <c r="F113" s="3068" t="s">
        <v>273</v>
      </c>
      <c r="G113" s="3068" t="s">
        <v>41</v>
      </c>
      <c r="H113" s="3068" t="s">
        <v>49</v>
      </c>
      <c r="I113" s="3068"/>
      <c r="J113" s="3068"/>
      <c r="K113" s="3068"/>
      <c r="L113" s="3068"/>
      <c r="M113" s="3068" t="s">
        <v>379</v>
      </c>
      <c r="N113" s="3068"/>
      <c r="O113" s="3068" t="s">
        <v>364</v>
      </c>
      <c r="P113" s="3068"/>
      <c r="Q113" s="3071"/>
      <c r="R113" s="3071"/>
      <c r="S113" s="3071"/>
      <c r="T113" s="3071"/>
      <c r="U113" s="3072"/>
      <c r="V113" s="3068"/>
      <c r="W113" s="3068"/>
      <c r="X113" s="3056">
        <f>IF(A113="","",IF(LEN(SUBSTITUTE(SUBSTITUTE(SUBSTITUTE(SUBSTITUTE(D113,".",""),"/",""),"-","")," ",""))&lt;&gt;14,"CNPJ INVALIDO","OK"))</f>
      </c>
      <c r="Y113" s="3056">
        <f>IF(A113="","",IF(R113="","REST PENDENTE","REST OK"))</f>
      </c>
      <c r="Z113" s="3056">
        <f>IF(A113="","",IF(AND(R113&lt;&gt;"",COUNTIFS($D$3:$D$164,D113,$R$3:$R$164,"&lt;&gt;")&gt;1),"DUPLICADO","OK"))</f>
      </c>
      <c r="AA113" s="3056">
        <f>IF(A113="","",IF(OR(LEN(Q113)&gt;180,LEN(R113)&gt;180,LEN(S113)&gt;180,LEN(T113)&gt;180),"CAMINHO LONGO","OK"))</f>
      </c>
      <c r="AB113" s="3056">
        <f>IF(A113="","",IF(U113="","",IFERROR(INT(U113-TODAY()),"")))</f>
      </c>
      <c r="AC113" s="3056">
        <f>IF(A113="","",IF(AND(T113="",U113=""),"",IF(T113="","SEM CAMINHO",IF(U113="","SEM DATA",IFERROR(IF(AB113&lt;15,"VERMELHO",IF(AB113&lt;=30,"AMARELO","VERDE")),"DATA INVALIDA")))))</f>
      </c>
      <c r="AD113" s="3056">
        <f>IF(OR(A113="",U113="",NOT(ISNUMBER(AB113))),"",RANK(AB113,$AB$3:$AB$164,1)+COUNTIFS($AB$3:AB113,AB113)-1)</f>
      </c>
      <c r="AE113" s="1736"/>
    </row>
    <row r="114" spans="1:19" ht="22.0" hidden="false" customHeight="true" x14ac:dyDescent="0.25">
      <c r="A114" s="3074" t="s">
        <v>274</v>
      </c>
      <c r="B114" s="3073" t="s">
        <v>134</v>
      </c>
      <c r="C114" s="3073" t="s">
        <v>122</v>
      </c>
      <c r="D114" s="3073" t="s">
        <v>395</v>
      </c>
      <c r="E114" s="3073"/>
      <c r="F114" s="3073" t="s">
        <v>275</v>
      </c>
      <c r="G114" s="3073" t="s">
        <v>4</v>
      </c>
      <c r="H114" s="3073" t="s">
        <v>5</v>
      </c>
      <c r="I114" s="3073"/>
      <c r="J114" s="3073"/>
      <c r="K114" s="3073"/>
      <c r="L114" s="3073"/>
      <c r="M114" s="3073" t="s">
        <v>379</v>
      </c>
      <c r="N114" s="3073"/>
      <c r="O114" s="3073" t="s">
        <v>365</v>
      </c>
      <c r="P114" s="3073"/>
      <c r="Q114" s="3076"/>
      <c r="R114" s="3076"/>
      <c r="S114" s="3076"/>
      <c r="T114" s="3076"/>
      <c r="U114" s="3077"/>
      <c r="V114" s="3073"/>
      <c r="W114" s="3073"/>
      <c r="X114" s="3056">
        <f>IF(A114="","",IF(LEN(SUBSTITUTE(SUBSTITUTE(SUBSTITUTE(SUBSTITUTE(D114,".",""),"/",""),"-","")," ",""))&lt;&gt;14,"CNPJ INVALIDO","OK"))</f>
      </c>
      <c r="Y114" s="3056">
        <f>IF(A114="","",IF(R114="","REST PENDENTE","REST OK"))</f>
      </c>
      <c r="Z114" s="3056">
        <f>IF(A114="","",IF(AND(R114&lt;&gt;"",COUNTIFS($D$3:$D$164,D114,$R$3:$R$164,"&lt;&gt;")&gt;1),"DUPLICADO","OK"))</f>
      </c>
      <c r="AA114" s="3056">
        <f>IF(A114="","",IF(OR(LEN(Q114)&gt;180,LEN(R114)&gt;180,LEN(S114)&gt;180,LEN(T114)&gt;180),"CAMINHO LONGO","OK"))</f>
      </c>
      <c r="AB114" s="3056">
        <f>IF(A114="","",IF(U114="","",IFERROR(INT(U114-TODAY()),"")))</f>
      </c>
      <c r="AC114" s="3056">
        <f>IF(A114="","",IF(AND(T114="",U114=""),"",IF(T114="","SEM CAMINHO",IF(U114="","SEM DATA",IFERROR(IF(AB114&lt;15,"VERMELHO",IF(AB114&lt;=30,"AMARELO","VERDE")),"DATA INVALIDA")))))</f>
      </c>
      <c r="AD114" s="3056">
        <f>IF(OR(A114="",U114="",NOT(ISNUMBER(AB114))),"",RANK(AB114,$AB$3:$AB$164,1)+COUNTIFS($AB$3:AB114,AB114)-1)</f>
      </c>
      <c r="AE114" s="1736"/>
    </row>
    <row r="115" spans="1:19" ht="22.0" hidden="false" customHeight="true" x14ac:dyDescent="0.25">
      <c r="A115" s="3069" t="s">
        <v>276</v>
      </c>
      <c r="B115" s="3068" t="s">
        <v>182</v>
      </c>
      <c r="C115" s="3068" t="s">
        <v>83</v>
      </c>
      <c r="D115" s="3068" t="s">
        <v>396</v>
      </c>
      <c r="E115" s="3068"/>
      <c r="F115" s="3068" t="s">
        <v>225</v>
      </c>
      <c r="G115" s="3068" t="s">
        <v>4</v>
      </c>
      <c r="H115" s="3068" t="s">
        <v>5</v>
      </c>
      <c r="I115" s="3068"/>
      <c r="J115" s="3068"/>
      <c r="K115" s="3068"/>
      <c r="L115" s="3068"/>
      <c r="M115" s="3068" t="s">
        <v>376</v>
      </c>
      <c r="N115" s="3068"/>
      <c r="O115" s="3068" t="s">
        <v>365</v>
      </c>
      <c r="P115" s="3068"/>
      <c r="Q115" s="3071"/>
      <c r="R115" s="3071"/>
      <c r="S115" s="3071"/>
      <c r="T115" s="3071"/>
      <c r="U115" s="3072"/>
      <c r="V115" s="3068"/>
      <c r="W115" s="3068"/>
      <c r="X115" s="3056">
        <f>IF(A115="","",IF(LEN(SUBSTITUTE(SUBSTITUTE(SUBSTITUTE(SUBSTITUTE(D115,".",""),"/",""),"-","")," ",""))&lt;&gt;14,"CNPJ INVALIDO","OK"))</f>
      </c>
      <c r="Y115" s="3056">
        <f>IF(A115="","",IF(R115="","REST PENDENTE","REST OK"))</f>
      </c>
      <c r="Z115" s="3056">
        <f>IF(A115="","",IF(AND(R115&lt;&gt;"",COUNTIFS($D$3:$D$164,D115,$R$3:$R$164,"&lt;&gt;")&gt;1),"DUPLICADO","OK"))</f>
      </c>
      <c r="AA115" s="3056">
        <f>IF(A115="","",IF(OR(LEN(Q115)&gt;180,LEN(R115)&gt;180,LEN(S115)&gt;180,LEN(T115)&gt;180),"CAMINHO LONGO","OK"))</f>
      </c>
      <c r="AB115" s="3056">
        <f>IF(A115="","",IF(U115="","",IFERROR(INT(U115-TODAY()),"")))</f>
      </c>
      <c r="AC115" s="3056">
        <f>IF(A115="","",IF(AND(T115="",U115=""),"",IF(T115="","SEM CAMINHO",IF(U115="","SEM DATA",IFERROR(IF(AB115&lt;15,"VERMELHO",IF(AB115&lt;=30,"AMARELO","VERDE")),"DATA INVALIDA")))))</f>
      </c>
      <c r="AD115" s="3056">
        <f>IF(OR(A115="",U115="",NOT(ISNUMBER(AB115))),"",RANK(AB115,$AB$3:$AB$164,1)+COUNTIFS($AB$3:AB115,AB115)-1)</f>
      </c>
      <c r="AE115" s="1736"/>
    </row>
    <row r="116" spans="1:19" ht="22.0" hidden="false" customHeight="true" x14ac:dyDescent="0.25">
      <c r="A116" s="3074" t="s">
        <v>277</v>
      </c>
      <c r="B116" s="3073" t="s">
        <v>211</v>
      </c>
      <c r="C116" s="3073" t="s">
        <v>69</v>
      </c>
      <c r="D116" s="3073" t="s">
        <v>278</v>
      </c>
      <c r="E116" s="3073"/>
      <c r="F116" s="3073" t="s">
        <v>279</v>
      </c>
      <c r="G116" s="3073" t="s">
        <v>13</v>
      </c>
      <c r="H116" s="3073" t="s">
        <v>49</v>
      </c>
      <c r="I116" s="3073">
        <v>46147</v>
      </c>
      <c r="J116" s="3073"/>
      <c r="K116" s="3073"/>
      <c r="L116" s="3073"/>
      <c r="M116" s="3073" t="s">
        <v>366</v>
      </c>
      <c r="N116" s="3073"/>
      <c r="O116" s="3073" t="s">
        <v>363</v>
      </c>
      <c r="P116" s="3073"/>
      <c r="Q116" s="3076"/>
      <c r="R116" s="3076"/>
      <c r="S116" s="3076"/>
      <c r="T116" s="3076"/>
      <c r="U116" s="3077"/>
      <c r="V116" s="3073"/>
      <c r="W116" s="3073"/>
      <c r="X116" s="3056">
        <f>IF(A116="","",IF(LEN(SUBSTITUTE(SUBSTITUTE(SUBSTITUTE(SUBSTITUTE(D116,".",""),"/",""),"-","")," ",""))&lt;&gt;14,"CNPJ INVALIDO","OK"))</f>
      </c>
      <c r="Y116" s="3056">
        <f>IF(A116="","",IF(R116="","REST PENDENTE","REST OK"))</f>
      </c>
      <c r="Z116" s="3056">
        <f>IF(A116="","",IF(AND(R116&lt;&gt;"",COUNTIFS($D$3:$D$164,D116,$R$3:$R$164,"&lt;&gt;")&gt;1),"DUPLICADO","OK"))</f>
      </c>
      <c r="AA116" s="3056">
        <f>IF(A116="","",IF(OR(LEN(Q116)&gt;180,LEN(R116)&gt;180,LEN(S116)&gt;180,LEN(T116)&gt;180),"CAMINHO LONGO","OK"))</f>
      </c>
      <c r="AB116" s="3056">
        <f>IF(A116="","",IF(U116="","",IFERROR(INT(U116-TODAY()),"")))</f>
      </c>
      <c r="AC116" s="3056">
        <f>IF(A116="","",IF(AND(T116="",U116=""),"",IF(T116="","SEM CAMINHO",IF(U116="","SEM DATA",IFERROR(IF(AB116&lt;15,"VERMELHO",IF(AB116&lt;=30,"AMARELO","VERDE")),"DATA INVALIDA")))))</f>
      </c>
      <c r="AD116" s="3056">
        <f>IF(OR(A116="",U116="",NOT(ISNUMBER(AB116))),"",RANK(AB116,$AB$3:$AB$164,1)+COUNTIFS($AB$3:AB116,AB116)-1)</f>
      </c>
      <c r="AE116" s="1736"/>
    </row>
    <row r="117" spans="1:19" ht="22.0" hidden="false" customHeight="true" x14ac:dyDescent="0.25">
      <c r="A117" s="3069" t="s">
        <v>280</v>
      </c>
      <c r="B117" s="3068" t="s">
        <v>162</v>
      </c>
      <c r="C117" s="3068" t="s">
        <v>281</v>
      </c>
      <c r="D117" s="3068" t="s">
        <v>282</v>
      </c>
      <c r="E117" s="3068"/>
      <c r="F117" s="3068"/>
      <c r="G117" s="3068" t="s">
        <v>4</v>
      </c>
      <c r="H117" s="3068" t="s">
        <v>49</v>
      </c>
      <c r="I117" s="3068"/>
      <c r="J117" s="3068"/>
      <c r="K117" s="3068"/>
      <c r="L117" s="3068"/>
      <c r="M117" s="3068" t="s">
        <v>376</v>
      </c>
      <c r="N117" s="3068" t="s">
        <v>362</v>
      </c>
      <c r="O117" s="3068" t="s">
        <v>365</v>
      </c>
      <c r="P117" s="3068"/>
      <c r="Q117" s="3071"/>
      <c r="R117" s="3071"/>
      <c r="S117" s="3071"/>
      <c r="T117" s="3071"/>
      <c r="U117" s="3072"/>
      <c r="V117" s="3068"/>
      <c r="W117" s="3068"/>
      <c r="X117" s="3056">
        <f>IF(A117="","",IF(LEN(SUBSTITUTE(SUBSTITUTE(SUBSTITUTE(SUBSTITUTE(D117,".",""),"/",""),"-","")," ",""))&lt;&gt;14,"CNPJ INVALIDO","OK"))</f>
      </c>
      <c r="Y117" s="3056">
        <f>IF(A117="","",IF(R117="","REST PENDENTE","REST OK"))</f>
      </c>
      <c r="Z117" s="3056">
        <f>IF(A117="","",IF(AND(R117&lt;&gt;"",COUNTIFS($D$3:$D$164,D117,$R$3:$R$164,"&lt;&gt;")&gt;1),"DUPLICADO","OK"))</f>
      </c>
      <c r="AA117" s="3056">
        <f>IF(A117="","",IF(OR(LEN(Q117)&gt;180,LEN(R117)&gt;180,LEN(S117)&gt;180,LEN(T117)&gt;180),"CAMINHO LONGO","OK"))</f>
      </c>
      <c r="AB117" s="3056">
        <f>IF(A117="","",IF(U117="","",IFERROR(INT(U117-TODAY()),"")))</f>
      </c>
      <c r="AC117" s="3056">
        <f>IF(A117="","",IF(AND(T117="",U117=""),"",IF(T117="","SEM CAMINHO",IF(U117="","SEM DATA",IFERROR(IF(AB117&lt;15,"VERMELHO",IF(AB117&lt;=30,"AMARELO","VERDE")),"DATA INVALIDA")))))</f>
      </c>
      <c r="AD117" s="3056">
        <f>IF(OR(A117="",U117="",NOT(ISNUMBER(AB117))),"",RANK(AB117,$AB$3:$AB$164,1)+COUNTIFS($AB$3:AB117,AB117)-1)</f>
      </c>
      <c r="AE117" s="1736"/>
    </row>
    <row r="118" spans="1:19" ht="22.0" hidden="false" customHeight="true" x14ac:dyDescent="0.25">
      <c r="A118" s="3074" t="s">
        <v>283</v>
      </c>
      <c r="B118" s="3073" t="s">
        <v>75</v>
      </c>
      <c r="C118" s="3073" t="s">
        <v>62</v>
      </c>
      <c r="D118" s="3073" t="s">
        <v>397</v>
      </c>
      <c r="E118" s="3073"/>
      <c r="F118" s="3073" t="s">
        <v>284</v>
      </c>
      <c r="G118" s="3073" t="s">
        <v>4</v>
      </c>
      <c r="H118" s="3073" t="s">
        <v>14</v>
      </c>
      <c r="I118" s="3073"/>
      <c r="J118" s="3073"/>
      <c r="K118" s="3073"/>
      <c r="L118" s="3073"/>
      <c r="M118" s="3073" t="s">
        <v>389</v>
      </c>
      <c r="N118" s="3073"/>
      <c r="O118" s="3073" t="s">
        <v>365</v>
      </c>
      <c r="P118" s="3073"/>
      <c r="Q118" s="3076"/>
      <c r="R118" s="3076"/>
      <c r="S118" s="3076"/>
      <c r="T118" s="3076"/>
      <c r="U118" s="3077"/>
      <c r="V118" s="3073"/>
      <c r="W118" s="3073"/>
      <c r="X118" s="3056">
        <f>IF(A118="","",IF(LEN(SUBSTITUTE(SUBSTITUTE(SUBSTITUTE(SUBSTITUTE(D118,".",""),"/",""),"-","")," ",""))&lt;&gt;14,"CNPJ INVALIDO","OK"))</f>
      </c>
      <c r="Y118" s="3056">
        <f>IF(A118="","",IF(R118="","REST PENDENTE","REST OK"))</f>
      </c>
      <c r="Z118" s="3056">
        <f>IF(A118="","",IF(AND(R118&lt;&gt;"",COUNTIFS($D$3:$D$164,D118,$R$3:$R$164,"&lt;&gt;")&gt;1),"DUPLICADO","OK"))</f>
      </c>
      <c r="AA118" s="3056">
        <f>IF(A118="","",IF(OR(LEN(Q118)&gt;180,LEN(R118)&gt;180,LEN(S118)&gt;180,LEN(T118)&gt;180),"CAMINHO LONGO","OK"))</f>
      </c>
      <c r="AB118" s="3056">
        <f>IF(A118="","",IF(U118="","",IFERROR(INT(U118-TODAY()),"")))</f>
      </c>
      <c r="AC118" s="3056">
        <f>IF(A118="","",IF(AND(T118="",U118=""),"",IF(T118="","SEM CAMINHO",IF(U118="","SEM DATA",IFERROR(IF(AB118&lt;15,"VERMELHO",IF(AB118&lt;=30,"AMARELO","VERDE")),"DATA INVALIDA")))))</f>
      </c>
      <c r="AD118" s="3056">
        <f>IF(OR(A118="",U118="",NOT(ISNUMBER(AB118))),"",RANK(AB118,$AB$3:$AB$164,1)+COUNTIFS($AB$3:AB118,AB118)-1)</f>
      </c>
      <c r="AE118" s="1736"/>
    </row>
    <row r="119" spans="1:19" ht="22.0" hidden="false" customHeight="true" x14ac:dyDescent="0.25">
      <c r="A119" s="3069" t="s">
        <v>285</v>
      </c>
      <c r="B119" s="3068" t="s">
        <v>286</v>
      </c>
      <c r="C119" s="3068"/>
      <c r="D119" s="3068" t="s">
        <v>398</v>
      </c>
      <c r="E119" s="3068"/>
      <c r="F119" s="3068" t="s">
        <v>287</v>
      </c>
      <c r="G119" s="3068" t="s">
        <v>4</v>
      </c>
      <c r="H119" s="3068" t="s">
        <v>49</v>
      </c>
      <c r="I119" s="3068"/>
      <c r="J119" s="3068"/>
      <c r="K119" s="3068"/>
      <c r="L119" s="3068"/>
      <c r="M119" s="3068" t="s">
        <v>379</v>
      </c>
      <c r="N119" s="3068"/>
      <c r="O119" s="3068" t="s">
        <v>365</v>
      </c>
      <c r="P119" s="3068"/>
      <c r="Q119" s="3071"/>
      <c r="R119" s="3071"/>
      <c r="S119" s="3071"/>
      <c r="T119" s="3071"/>
      <c r="U119" s="3072"/>
      <c r="V119" s="3068"/>
      <c r="W119" s="3068"/>
      <c r="X119" s="3056">
        <f>IF(A119="","",IF(LEN(SUBSTITUTE(SUBSTITUTE(SUBSTITUTE(SUBSTITUTE(D119,".",""),"/",""),"-","")," ",""))&lt;&gt;14,"CNPJ INVALIDO","OK"))</f>
      </c>
      <c r="Y119" s="3056">
        <f>IF(A119="","",IF(R119="","REST PENDENTE","REST OK"))</f>
      </c>
      <c r="Z119" s="3056">
        <f>IF(A119="","",IF(AND(R119&lt;&gt;"",COUNTIFS($D$3:$D$164,D119,$R$3:$R$164,"&lt;&gt;")&gt;1),"DUPLICADO","OK"))</f>
      </c>
      <c r="AA119" s="3056">
        <f>IF(A119="","",IF(OR(LEN(Q119)&gt;180,LEN(R119)&gt;180,LEN(S119)&gt;180,LEN(T119)&gt;180),"CAMINHO LONGO","OK"))</f>
      </c>
      <c r="AB119" s="3056">
        <f>IF(A119="","",IF(U119="","",IFERROR(INT(U119-TODAY()),"")))</f>
      </c>
      <c r="AC119" s="3056">
        <f>IF(A119="","",IF(AND(T119="",U119=""),"",IF(T119="","SEM CAMINHO",IF(U119="","SEM DATA",IFERROR(IF(AB119&lt;15,"VERMELHO",IF(AB119&lt;=30,"AMARELO","VERDE")),"DATA INVALIDA")))))</f>
      </c>
      <c r="AD119" s="3056">
        <f>IF(OR(A119="",U119="",NOT(ISNUMBER(AB119))),"",RANK(AB119,$AB$3:$AB$164,1)+COUNTIFS($AB$3:AB119,AB119)-1)</f>
      </c>
      <c r="AE119" s="1736"/>
    </row>
    <row r="120" spans="1:19" ht="22.0" hidden="false" customHeight="true" x14ac:dyDescent="0.25">
      <c r="A120" s="3074" t="s">
        <v>288</v>
      </c>
      <c r="B120" s="3073" t="s">
        <v>286</v>
      </c>
      <c r="C120" s="3073" t="s">
        <v>69</v>
      </c>
      <c r="D120" s="3073" t="s">
        <v>289</v>
      </c>
      <c r="E120" s="3073"/>
      <c r="F120" s="3073" t="s">
        <v>290</v>
      </c>
      <c r="G120" s="3073" t="s">
        <v>13</v>
      </c>
      <c r="H120" s="3073" t="s">
        <v>49</v>
      </c>
      <c r="I120" s="3073"/>
      <c r="J120" s="3073"/>
      <c r="K120" s="3073"/>
      <c r="L120" s="3073"/>
      <c r="M120" s="3073" t="s">
        <v>376</v>
      </c>
      <c r="N120" s="3073"/>
      <c r="O120" s="3073" t="s">
        <v>365</v>
      </c>
      <c r="P120" s="3073"/>
      <c r="Q120" s="3076"/>
      <c r="R120" s="3076"/>
      <c r="S120" s="3076"/>
      <c r="T120" s="3076"/>
      <c r="U120" s="3077"/>
      <c r="V120" s="3073"/>
      <c r="W120" s="3073"/>
      <c r="X120" s="3056">
        <f>IF(A120="","",IF(LEN(SUBSTITUTE(SUBSTITUTE(SUBSTITUTE(SUBSTITUTE(D120,".",""),"/",""),"-","")," ",""))&lt;&gt;14,"CNPJ INVALIDO","OK"))</f>
      </c>
      <c r="Y120" s="3056">
        <f>IF(A120="","",IF(R120="","REST PENDENTE","REST OK"))</f>
      </c>
      <c r="Z120" s="3056">
        <f>IF(A120="","",IF(AND(R120&lt;&gt;"",COUNTIFS($D$3:$D$164,D120,$R$3:$R$164,"&lt;&gt;")&gt;1),"DUPLICADO","OK"))</f>
      </c>
      <c r="AA120" s="3056">
        <f>IF(A120="","",IF(OR(LEN(Q120)&gt;180,LEN(R120)&gt;180,LEN(S120)&gt;180,LEN(T120)&gt;180),"CAMINHO LONGO","OK"))</f>
      </c>
      <c r="AB120" s="3056">
        <f>IF(A120="","",IF(U120="","",IFERROR(INT(U120-TODAY()),"")))</f>
      </c>
      <c r="AC120" s="3056">
        <f>IF(A120="","",IF(AND(T120="",U120=""),"",IF(T120="","SEM CAMINHO",IF(U120="","SEM DATA",IFERROR(IF(AB120&lt;15,"VERMELHO",IF(AB120&lt;=30,"AMARELO","VERDE")),"DATA INVALIDA")))))</f>
      </c>
      <c r="AD120" s="3056">
        <f>IF(OR(A120="",U120="",NOT(ISNUMBER(AB120))),"",RANK(AB120,$AB$3:$AB$164,1)+COUNTIFS($AB$3:AB120,AB120)-1)</f>
      </c>
      <c r="AE120" s="1736"/>
    </row>
    <row r="121" spans="1:19" ht="22.0" hidden="false" customHeight="true" x14ac:dyDescent="0.25">
      <c r="A121" s="3069" t="s">
        <v>291</v>
      </c>
      <c r="B121" s="3068" t="s">
        <v>75</v>
      </c>
      <c r="C121" s="3068" t="s">
        <v>69</v>
      </c>
      <c r="D121" s="3068" t="s">
        <v>292</v>
      </c>
      <c r="E121" s="3068"/>
      <c r="F121" s="3068"/>
      <c r="G121" s="3068"/>
      <c r="H121" s="3068"/>
      <c r="I121" s="3068"/>
      <c r="J121" s="3068"/>
      <c r="K121" s="3068"/>
      <c r="L121" s="3068"/>
      <c r="M121" s="3068" t="s">
        <v>371</v>
      </c>
      <c r="N121" s="3068"/>
      <c r="O121" s="3068"/>
      <c r="P121" s="3068"/>
      <c r="Q121" s="3071"/>
      <c r="R121" s="3071"/>
      <c r="S121" s="3071"/>
      <c r="T121" s="3071"/>
      <c r="U121" s="3072"/>
      <c r="V121" s="3068"/>
      <c r="W121" s="3068"/>
      <c r="X121" s="3056">
        <f>IF(A121="","",IF(LEN(SUBSTITUTE(SUBSTITUTE(SUBSTITUTE(SUBSTITUTE(D121,".",""),"/",""),"-","")," ",""))&lt;&gt;14,"CNPJ INVALIDO","OK"))</f>
      </c>
      <c r="Y121" s="3056">
        <f>IF(A121="","",IF(R121="","REST PENDENTE","REST OK"))</f>
      </c>
      <c r="Z121" s="3056">
        <f>IF(A121="","",IF(AND(R121&lt;&gt;"",COUNTIFS($D$3:$D$164,D121,$R$3:$R$164,"&lt;&gt;")&gt;1),"DUPLICADO","OK"))</f>
      </c>
      <c r="AA121" s="3056">
        <f>IF(A121="","",IF(OR(LEN(Q121)&gt;180,LEN(R121)&gt;180,LEN(S121)&gt;180,LEN(T121)&gt;180),"CAMINHO LONGO","OK"))</f>
      </c>
      <c r="AB121" s="3056">
        <f>IF(A121="","",IF(U121="","",IFERROR(INT(U121-TODAY()),"")))</f>
      </c>
      <c r="AC121" s="3056">
        <f>IF(A121="","",IF(AND(T121="",U121=""),"",IF(T121="","SEM CAMINHO",IF(U121="","SEM DATA",IFERROR(IF(AB121&lt;15,"VERMELHO",IF(AB121&lt;=30,"AMARELO","VERDE")),"DATA INVALIDA")))))</f>
      </c>
      <c r="AD121" s="3056">
        <f>IF(OR(A121="",U121="",NOT(ISNUMBER(AB121))),"",RANK(AB121,$AB$3:$AB$164,1)+COUNTIFS($AB$3:AB121,AB121)-1)</f>
      </c>
      <c r="AE121" s="1736"/>
    </row>
    <row r="122" spans="1:19" ht="22.0" hidden="false" customHeight="true" x14ac:dyDescent="0.25">
      <c r="A122" s="3074" t="s">
        <v>293</v>
      </c>
      <c r="B122" s="3073" t="s">
        <v>227</v>
      </c>
      <c r="C122" s="3073" t="s">
        <v>116</v>
      </c>
      <c r="D122" s="3073" t="s">
        <v>294</v>
      </c>
      <c r="E122" s="3073"/>
      <c r="F122" s="3073" t="s">
        <v>228</v>
      </c>
      <c r="G122" s="3073" t="s">
        <v>13</v>
      </c>
      <c r="H122" s="3073" t="s">
        <v>14</v>
      </c>
      <c r="I122" s="3073"/>
      <c r="J122" s="3073"/>
      <c r="K122" s="3073"/>
      <c r="L122" s="3073"/>
      <c r="M122" s="3073" t="s">
        <v>368</v>
      </c>
      <c r="N122" s="3073"/>
      <c r="O122" s="3073" t="s">
        <v>369</v>
      </c>
      <c r="P122" s="3073"/>
      <c r="Q122" s="3076"/>
      <c r="R122" s="3076"/>
      <c r="S122" s="3076"/>
      <c r="T122" s="3076"/>
      <c r="U122" s="3077"/>
      <c r="V122" s="3073"/>
      <c r="W122" s="3073"/>
      <c r="X122" s="3056">
        <f>IF(A122="","",IF(LEN(SUBSTITUTE(SUBSTITUTE(SUBSTITUTE(SUBSTITUTE(D122,".",""),"/",""),"-","")," ",""))&lt;&gt;14,"CNPJ INVALIDO","OK"))</f>
      </c>
      <c r="Y122" s="3056">
        <f>IF(A122="","",IF(R122="","REST PENDENTE","REST OK"))</f>
      </c>
      <c r="Z122" s="3056">
        <f>IF(A122="","",IF(AND(R122&lt;&gt;"",COUNTIFS($D$3:$D$164,D122,$R$3:$R$164,"&lt;&gt;")&gt;1),"DUPLICADO","OK"))</f>
      </c>
      <c r="AA122" s="3056">
        <f>IF(A122="","",IF(OR(LEN(Q122)&gt;180,LEN(R122)&gt;180,LEN(S122)&gt;180,LEN(T122)&gt;180),"CAMINHO LONGO","OK"))</f>
      </c>
      <c r="AB122" s="3056">
        <f>IF(A122="","",IF(U122="","",IFERROR(INT(U122-TODAY()),"")))</f>
      </c>
      <c r="AC122" s="3056">
        <f>IF(A122="","",IF(AND(T122="",U122=""),"",IF(T122="","SEM CAMINHO",IF(U122="","SEM DATA",IFERROR(IF(AB122&lt;15,"VERMELHO",IF(AB122&lt;=30,"AMARELO","VERDE")),"DATA INVALIDA")))))</f>
      </c>
      <c r="AD122" s="3056">
        <f>IF(OR(A122="",U122="",NOT(ISNUMBER(AB122))),"",RANK(AB122,$AB$3:$AB$164,1)+COUNTIFS($AB$3:AB122,AB122)-1)</f>
      </c>
      <c r="AE122" s="1736"/>
    </row>
    <row r="123" spans="1:19" ht="22.0" hidden="false" customHeight="true" x14ac:dyDescent="0.25">
      <c r="A123" s="3069" t="s">
        <v>295</v>
      </c>
      <c r="B123" s="3068" t="s">
        <v>45</v>
      </c>
      <c r="C123" s="3068" t="s">
        <v>296</v>
      </c>
      <c r="D123" s="3068" t="s">
        <v>297</v>
      </c>
      <c r="E123" s="3068"/>
      <c r="F123" s="3068" t="s">
        <v>48</v>
      </c>
      <c r="G123" s="3068" t="s">
        <v>13</v>
      </c>
      <c r="H123" s="3068" t="s">
        <v>14</v>
      </c>
      <c r="I123" s="3068"/>
      <c r="J123" s="3068"/>
      <c r="K123" s="3068"/>
      <c r="L123" s="3068"/>
      <c r="M123" s="3068" t="s">
        <v>371</v>
      </c>
      <c r="N123" s="3068"/>
      <c r="O123" s="3068" t="s">
        <v>367</v>
      </c>
      <c r="P123" s="3068"/>
      <c r="Q123" s="3071"/>
      <c r="R123" s="3071"/>
      <c r="S123" s="3071"/>
      <c r="T123" s="3071"/>
      <c r="U123" s="3072"/>
      <c r="V123" s="3068"/>
      <c r="W123" s="3068"/>
      <c r="X123" s="3056">
        <f>IF(A123="","",IF(LEN(SUBSTITUTE(SUBSTITUTE(SUBSTITUTE(SUBSTITUTE(D123,".",""),"/",""),"-","")," ",""))&lt;&gt;14,"CNPJ INVALIDO","OK"))</f>
      </c>
      <c r="Y123" s="3056">
        <f>IF(A123="","",IF(R123="","REST PENDENTE","REST OK"))</f>
      </c>
      <c r="Z123" s="3056">
        <f>IF(A123="","",IF(AND(R123&lt;&gt;"",COUNTIFS($D$3:$D$164,D123,$R$3:$R$164,"&lt;&gt;")&gt;1),"DUPLICADO","OK"))</f>
      </c>
      <c r="AA123" s="3056">
        <f>IF(A123="","",IF(OR(LEN(Q123)&gt;180,LEN(R123)&gt;180,LEN(S123)&gt;180,LEN(T123)&gt;180),"CAMINHO LONGO","OK"))</f>
      </c>
      <c r="AB123" s="3056">
        <f>IF(A123="","",IF(U123="","",IFERROR(INT(U123-TODAY()),"")))</f>
      </c>
      <c r="AC123" s="3056">
        <f>IF(A123="","",IF(AND(T123="",U123=""),"",IF(T123="","SEM CAMINHO",IF(U123="","SEM DATA",IFERROR(IF(AB123&lt;15,"VERMELHO",IF(AB123&lt;=30,"AMARELO","VERDE")),"DATA INVALIDA")))))</f>
      </c>
      <c r="AD123" s="3056">
        <f>IF(OR(A123="",U123="",NOT(ISNUMBER(AB123))),"",RANK(AB123,$AB$3:$AB$164,1)+COUNTIFS($AB$3:AB123,AB123)-1)</f>
      </c>
      <c r="AE123" s="1736"/>
    </row>
    <row r="124" spans="1:19" ht="22.0" hidden="false" customHeight="true" x14ac:dyDescent="0.25">
      <c r="A124" s="3074" t="s">
        <v>298</v>
      </c>
      <c r="B124" s="3073" t="s">
        <v>299</v>
      </c>
      <c r="C124" s="3073" t="s">
        <v>16</v>
      </c>
      <c r="D124" s="3073" t="s">
        <v>300</v>
      </c>
      <c r="E124" s="3073"/>
      <c r="F124" s="3073" t="s">
        <v>109</v>
      </c>
      <c r="G124" s="3073" t="s">
        <v>4</v>
      </c>
      <c r="H124" s="3073" t="s">
        <v>49</v>
      </c>
      <c r="I124" s="3073"/>
      <c r="J124" s="3073"/>
      <c r="K124" s="3073"/>
      <c r="L124" s="3073"/>
      <c r="M124" s="3073" t="s">
        <v>379</v>
      </c>
      <c r="N124" s="3073"/>
      <c r="O124" s="3073" t="s">
        <v>365</v>
      </c>
      <c r="P124" s="3073"/>
      <c r="Q124" s="3076"/>
      <c r="R124" s="3076"/>
      <c r="S124" s="3076"/>
      <c r="T124" s="3076"/>
      <c r="U124" s="3077"/>
      <c r="V124" s="3073"/>
      <c r="W124" s="3073"/>
      <c r="X124" s="3056">
        <f>IF(A124="","",IF(LEN(SUBSTITUTE(SUBSTITUTE(SUBSTITUTE(SUBSTITUTE(D124,".",""),"/",""),"-","")," ",""))&lt;&gt;14,"CNPJ INVALIDO","OK"))</f>
      </c>
      <c r="Y124" s="3056">
        <f>IF(A124="","",IF(R124="","REST PENDENTE","REST OK"))</f>
      </c>
      <c r="Z124" s="3056">
        <f>IF(A124="","",IF(AND(R124&lt;&gt;"",COUNTIFS($D$3:$D$164,D124,$R$3:$R$164,"&lt;&gt;")&gt;1),"DUPLICADO","OK"))</f>
      </c>
      <c r="AA124" s="3056">
        <f>IF(A124="","",IF(OR(LEN(Q124)&gt;180,LEN(R124)&gt;180,LEN(S124)&gt;180,LEN(T124)&gt;180),"CAMINHO LONGO","OK"))</f>
      </c>
      <c r="AB124" s="3056">
        <f>IF(A124="","",IF(U124="","",IFERROR(INT(U124-TODAY()),"")))</f>
      </c>
      <c r="AC124" s="3056">
        <f>IF(A124="","",IF(AND(T124="",U124=""),"",IF(T124="","SEM CAMINHO",IF(U124="","SEM DATA",IFERROR(IF(AB124&lt;15,"VERMELHO",IF(AB124&lt;=30,"AMARELO","VERDE")),"DATA INVALIDA")))))</f>
      </c>
      <c r="AD124" s="3056">
        <f>IF(OR(A124="",U124="",NOT(ISNUMBER(AB124))),"",RANK(AB124,$AB$3:$AB$164,1)+COUNTIFS($AB$3:AB124,AB124)-1)</f>
      </c>
      <c r="AE124" s="1736"/>
    </row>
    <row r="125" spans="1:19" ht="22.0" hidden="false" customHeight="true" x14ac:dyDescent="0.25">
      <c r="A125" s="3069" t="s">
        <v>301</v>
      </c>
      <c r="B125" s="3068" t="s">
        <v>302</v>
      </c>
      <c r="C125" s="3068" t="s">
        <v>69</v>
      </c>
      <c r="D125" s="3068" t="s">
        <v>303</v>
      </c>
      <c r="E125" s="3068"/>
      <c r="F125" s="3068"/>
      <c r="G125" s="3068" t="s">
        <v>4</v>
      </c>
      <c r="H125" s="3068" t="s">
        <v>49</v>
      </c>
      <c r="I125" s="3068"/>
      <c r="J125" s="3068"/>
      <c r="K125" s="3068"/>
      <c r="L125" s="3068"/>
      <c r="M125" s="3068" t="s">
        <v>379</v>
      </c>
      <c r="N125" s="3068"/>
      <c r="O125" s="3068" t="s">
        <v>365</v>
      </c>
      <c r="P125" s="3068"/>
      <c r="Q125" s="3071"/>
      <c r="R125" s="3071"/>
      <c r="S125" s="3071"/>
      <c r="T125" s="3071"/>
      <c r="U125" s="3072"/>
      <c r="V125" s="3068"/>
      <c r="W125" s="3068"/>
      <c r="X125" s="3056">
        <f>IF(A125="","",IF(LEN(SUBSTITUTE(SUBSTITUTE(SUBSTITUTE(SUBSTITUTE(D125,".",""),"/",""),"-","")," ",""))&lt;&gt;14,"CNPJ INVALIDO","OK"))</f>
      </c>
      <c r="Y125" s="3056">
        <f>IF(A125="","",IF(R125="","REST PENDENTE","REST OK"))</f>
      </c>
      <c r="Z125" s="3056">
        <f>IF(A125="","",IF(AND(R125&lt;&gt;"",COUNTIFS($D$3:$D$164,D125,$R$3:$R$164,"&lt;&gt;")&gt;1),"DUPLICADO","OK"))</f>
      </c>
      <c r="AA125" s="3056">
        <f>IF(A125="","",IF(OR(LEN(Q125)&gt;180,LEN(R125)&gt;180,LEN(S125)&gt;180,LEN(T125)&gt;180),"CAMINHO LONGO","OK"))</f>
      </c>
      <c r="AB125" s="3056">
        <f>IF(A125="","",IF(U125="","",IFERROR(INT(U125-TODAY()),"")))</f>
      </c>
      <c r="AC125" s="3056">
        <f>IF(A125="","",IF(AND(T125="",U125=""),"",IF(T125="","SEM CAMINHO",IF(U125="","SEM DATA",IFERROR(IF(AB125&lt;15,"VERMELHO",IF(AB125&lt;=30,"AMARELO","VERDE")),"DATA INVALIDA")))))</f>
      </c>
      <c r="AD125" s="3056">
        <f>IF(OR(A125="",U125="",NOT(ISNUMBER(AB125))),"",RANK(AB125,$AB$3:$AB$164,1)+COUNTIFS($AB$3:AB125,AB125)-1)</f>
      </c>
      <c r="AE125" s="1736"/>
    </row>
    <row r="126" spans="1:19" ht="22.0" hidden="false" customHeight="true" x14ac:dyDescent="0.25">
      <c r="A126" s="3074" t="s">
        <v>304</v>
      </c>
      <c r="B126" s="3073" t="s">
        <v>305</v>
      </c>
      <c r="C126" s="3073"/>
      <c r="D126" s="3073"/>
      <c r="E126" s="3073"/>
      <c r="F126" s="3073" t="s">
        <v>306</v>
      </c>
      <c r="G126" s="3073" t="s">
        <v>13</v>
      </c>
      <c r="H126" s="3073"/>
      <c r="I126" s="3073"/>
      <c r="J126" s="3073"/>
      <c r="K126" s="3073"/>
      <c r="L126" s="3073"/>
      <c r="M126" s="3073" t="s">
        <v>371</v>
      </c>
      <c r="N126" s="3073"/>
      <c r="O126" s="3073" t="s">
        <v>363</v>
      </c>
      <c r="P126" s="3073"/>
      <c r="Q126" s="3076"/>
      <c r="R126" s="3076"/>
      <c r="S126" s="3076"/>
      <c r="T126" s="3076"/>
      <c r="U126" s="3077"/>
      <c r="V126" s="3073"/>
      <c r="W126" s="3073"/>
      <c r="X126" s="3056">
        <f>IF(A126="","",IF(LEN(SUBSTITUTE(SUBSTITUTE(SUBSTITUTE(SUBSTITUTE(D126,".",""),"/",""),"-","")," ",""))&lt;&gt;14,"CNPJ INVALIDO","OK"))</f>
      </c>
      <c r="Y126" s="3056">
        <f>IF(A126="","",IF(R126="","REST PENDENTE","REST OK"))</f>
      </c>
      <c r="Z126" s="3056">
        <f>IF(A126="","",IF(AND(R126&lt;&gt;"",COUNTIFS($D$3:$D$164,D126,$R$3:$R$164,"&lt;&gt;")&gt;1),"DUPLICADO","OK"))</f>
      </c>
      <c r="AA126" s="3056">
        <f>IF(A126="","",IF(OR(LEN(Q126)&gt;180,LEN(R126)&gt;180,LEN(S126)&gt;180,LEN(T126)&gt;180),"CAMINHO LONGO","OK"))</f>
      </c>
      <c r="AB126" s="3056">
        <f>IF(A126="","",IF(U126="","",IFERROR(INT(U126-TODAY()),"")))</f>
      </c>
      <c r="AC126" s="3056">
        <f>IF(A126="","",IF(AND(T126="",U126=""),"",IF(T126="","SEM CAMINHO",IF(U126="","SEM DATA",IFERROR(IF(AB126&lt;15,"VERMELHO",IF(AB126&lt;=30,"AMARELO","VERDE")),"DATA INVALIDA")))))</f>
      </c>
      <c r="AD126" s="3056">
        <f>IF(OR(A126="",U126="",NOT(ISNUMBER(AB126))),"",RANK(AB126,$AB$3:$AB$164,1)+COUNTIFS($AB$3:AB126,AB126)-1)</f>
      </c>
      <c r="AE126" s="1736"/>
    </row>
    <row r="127" spans="1:19" ht="22.0" hidden="false" customHeight="true" x14ac:dyDescent="0.25">
      <c r="A127" s="3069" t="s">
        <v>307</v>
      </c>
      <c r="B127" s="3068" t="s">
        <v>305</v>
      </c>
      <c r="C127" s="3068"/>
      <c r="D127" s="3068"/>
      <c r="E127" s="3068"/>
      <c r="F127" s="3068" t="s">
        <v>306</v>
      </c>
      <c r="G127" s="3068" t="s">
        <v>308</v>
      </c>
      <c r="H127" s="3068"/>
      <c r="I127" s="3068"/>
      <c r="J127" s="3068"/>
      <c r="K127" s="3068"/>
      <c r="L127" s="3068"/>
      <c r="M127" s="3068" t="s">
        <v>371</v>
      </c>
      <c r="N127" s="3068"/>
      <c r="O127" s="3068" t="s">
        <v>363</v>
      </c>
      <c r="P127" s="3068"/>
      <c r="Q127" s="3071"/>
      <c r="R127" s="3071"/>
      <c r="S127" s="3071"/>
      <c r="T127" s="3071"/>
      <c r="U127" s="3072"/>
      <c r="V127" s="3068"/>
      <c r="W127" s="3068"/>
      <c r="X127" s="3056">
        <f>IF(A127="","",IF(LEN(SUBSTITUTE(SUBSTITUTE(SUBSTITUTE(SUBSTITUTE(D127,".",""),"/",""),"-","")," ",""))&lt;&gt;14,"CNPJ INVALIDO","OK"))</f>
      </c>
      <c r="Y127" s="3056">
        <f>IF(A127="","",IF(R127="","REST PENDENTE","REST OK"))</f>
      </c>
      <c r="Z127" s="3056">
        <f>IF(A127="","",IF(AND(R127&lt;&gt;"",COUNTIFS($D$3:$D$164,D127,$R$3:$R$164,"&lt;&gt;")&gt;1),"DUPLICADO","OK"))</f>
      </c>
      <c r="AA127" s="3056">
        <f>IF(A127="","",IF(OR(LEN(Q127)&gt;180,LEN(R127)&gt;180,LEN(S127)&gt;180,LEN(T127)&gt;180),"CAMINHO LONGO","OK"))</f>
      </c>
      <c r="AB127" s="3056">
        <f>IF(A127="","",IF(U127="","",IFERROR(INT(U127-TODAY()),"")))</f>
      </c>
      <c r="AC127" s="3056">
        <f>IF(A127="","",IF(AND(T127="",U127=""),"",IF(T127="","SEM CAMINHO",IF(U127="","SEM DATA",IFERROR(IF(AB127&lt;15,"VERMELHO",IF(AB127&lt;=30,"AMARELO","VERDE")),"DATA INVALIDA")))))</f>
      </c>
      <c r="AD127" s="3056">
        <f>IF(OR(A127="",U127="",NOT(ISNUMBER(AB127))),"",RANK(AB127,$AB$3:$AB$164,1)+COUNTIFS($AB$3:AB127,AB127)-1)</f>
      </c>
      <c r="AE127" s="1736"/>
    </row>
    <row r="128" spans="1:19" ht="22.0" hidden="false" customHeight="true" x14ac:dyDescent="0.25">
      <c r="A128" s="3074" t="s">
        <v>309</v>
      </c>
      <c r="B128" s="3073" t="s">
        <v>9</v>
      </c>
      <c r="C128" s="3073" t="s">
        <v>69</v>
      </c>
      <c r="D128" s="3073" t="s">
        <v>310</v>
      </c>
      <c r="E128" s="3073"/>
      <c r="F128" s="3073" t="s">
        <v>311</v>
      </c>
      <c r="G128" s="3073" t="s">
        <v>13</v>
      </c>
      <c r="H128" s="3073" t="s">
        <v>49</v>
      </c>
      <c r="I128" s="3073"/>
      <c r="J128" s="3073"/>
      <c r="K128" s="3073"/>
      <c r="L128" s="3073"/>
      <c r="M128" s="3073" t="s">
        <v>376</v>
      </c>
      <c r="N128" s="3073"/>
      <c r="O128" s="3073" t="s">
        <v>365</v>
      </c>
      <c r="P128" s="3073"/>
      <c r="Q128" s="3076"/>
      <c r="R128" s="3076"/>
      <c r="S128" s="3076"/>
      <c r="T128" s="3076"/>
      <c r="U128" s="3077"/>
      <c r="V128" s="3073"/>
      <c r="W128" s="3073"/>
      <c r="X128" s="3056">
        <f>IF(A128="","",IF(LEN(SUBSTITUTE(SUBSTITUTE(SUBSTITUTE(SUBSTITUTE(D128,".",""),"/",""),"-","")," ",""))&lt;&gt;14,"CNPJ INVALIDO","OK"))</f>
      </c>
      <c r="Y128" s="3056">
        <f>IF(A128="","",IF(R128="","REST PENDENTE","REST OK"))</f>
      </c>
      <c r="Z128" s="3056">
        <f>IF(A128="","",IF(AND(R128&lt;&gt;"",COUNTIFS($D$3:$D$164,D128,$R$3:$R$164,"&lt;&gt;")&gt;1),"DUPLICADO","OK"))</f>
      </c>
      <c r="AA128" s="3056">
        <f>IF(A128="","",IF(OR(LEN(Q128)&gt;180,LEN(R128)&gt;180,LEN(S128)&gt;180,LEN(T128)&gt;180),"CAMINHO LONGO","OK"))</f>
      </c>
      <c r="AB128" s="3056">
        <f>IF(A128="","",IF(U128="","",IFERROR(INT(U128-TODAY()),"")))</f>
      </c>
      <c r="AC128" s="3056">
        <f>IF(A128="","",IF(AND(T128="",U128=""),"",IF(T128="","SEM CAMINHO",IF(U128="","SEM DATA",IFERROR(IF(AB128&lt;15,"VERMELHO",IF(AB128&lt;=30,"AMARELO","VERDE")),"DATA INVALIDA")))))</f>
      </c>
      <c r="AD128" s="3056">
        <f>IF(OR(A128="",U128="",NOT(ISNUMBER(AB128))),"",RANK(AB128,$AB$3:$AB$164,1)+COUNTIFS($AB$3:AB128,AB128)-1)</f>
      </c>
      <c r="AE128" s="1736"/>
    </row>
    <row r="129" spans="1:19" ht="22.0" hidden="false" customHeight="true" x14ac:dyDescent="0.25">
      <c r="A129" s="3069" t="s">
        <v>312</v>
      </c>
      <c r="B129" s="3068" t="s">
        <v>75</v>
      </c>
      <c r="C129" s="3068" t="s">
        <v>69</v>
      </c>
      <c r="D129" s="3068" t="s">
        <v>313</v>
      </c>
      <c r="E129" s="3068"/>
      <c r="F129" s="3068" t="s">
        <v>314</v>
      </c>
      <c r="G129" s="3068" t="s">
        <v>4</v>
      </c>
      <c r="H129" s="3068" t="s">
        <v>49</v>
      </c>
      <c r="I129" s="3068"/>
      <c r="J129" s="3068"/>
      <c r="K129" s="3068"/>
      <c r="L129" s="3068"/>
      <c r="M129" s="3068" t="s">
        <v>379</v>
      </c>
      <c r="N129" s="3068"/>
      <c r="O129" s="3068" t="s">
        <v>370</v>
      </c>
      <c r="P129" s="3068"/>
      <c r="Q129" s="3071"/>
      <c r="R129" s="3071"/>
      <c r="S129" s="3071"/>
      <c r="T129" s="3071"/>
      <c r="U129" s="3072"/>
      <c r="V129" s="3068"/>
      <c r="W129" s="3068"/>
      <c r="X129" s="3056">
        <f>IF(A129="","",IF(LEN(SUBSTITUTE(SUBSTITUTE(SUBSTITUTE(SUBSTITUTE(D129,".",""),"/",""),"-","")," ",""))&lt;&gt;14,"CNPJ INVALIDO","OK"))</f>
      </c>
      <c r="Y129" s="3056">
        <f>IF(A129="","",IF(R129="","REST PENDENTE","REST OK"))</f>
      </c>
      <c r="Z129" s="3056">
        <f>IF(A129="","",IF(AND(R129&lt;&gt;"",COUNTIFS($D$3:$D$164,D129,$R$3:$R$164,"&lt;&gt;")&gt;1),"DUPLICADO","OK"))</f>
      </c>
      <c r="AA129" s="3056">
        <f>IF(A129="","",IF(OR(LEN(Q129)&gt;180,LEN(R129)&gt;180,LEN(S129)&gt;180,LEN(T129)&gt;180),"CAMINHO LONGO","OK"))</f>
      </c>
      <c r="AB129" s="3056">
        <f>IF(A129="","",IF(U129="","",IFERROR(INT(U129-TODAY()),"")))</f>
      </c>
      <c r="AC129" s="3056">
        <f>IF(A129="","",IF(AND(T129="",U129=""),"",IF(T129="","SEM CAMINHO",IF(U129="","SEM DATA",IFERROR(IF(AB129&lt;15,"VERMELHO",IF(AB129&lt;=30,"AMARELO","VERDE")),"DATA INVALIDA")))))</f>
      </c>
      <c r="AD129" s="3056">
        <f>IF(OR(A129="",U129="",NOT(ISNUMBER(AB129))),"",RANK(AB129,$AB$3:$AB$164,1)+COUNTIFS($AB$3:AB129,AB129)-1)</f>
      </c>
      <c r="AE129" s="1736"/>
    </row>
    <row r="130" spans="1:19" ht="22.0" hidden="false" customHeight="true" x14ac:dyDescent="0.25">
      <c r="A130" s="3074" t="s">
        <v>315</v>
      </c>
      <c r="B130" s="3073" t="s">
        <v>45</v>
      </c>
      <c r="C130" s="3073" t="s">
        <v>316</v>
      </c>
      <c r="D130" s="3073" t="s">
        <v>317</v>
      </c>
      <c r="E130" s="3073"/>
      <c r="F130" s="3073"/>
      <c r="G130" s="3073" t="s">
        <v>13</v>
      </c>
      <c r="H130" s="3073"/>
      <c r="I130" s="3073"/>
      <c r="J130" s="3073"/>
      <c r="K130" s="3073"/>
      <c r="L130" s="3073"/>
      <c r="M130" s="3073" t="s">
        <v>399</v>
      </c>
      <c r="N130" s="3073" t="s">
        <v>374</v>
      </c>
      <c r="O130" s="3073" t="s">
        <v>367</v>
      </c>
      <c r="P130" s="3073"/>
      <c r="Q130" s="3076"/>
      <c r="R130" s="3076"/>
      <c r="S130" s="3076"/>
      <c r="T130" s="3076"/>
      <c r="U130" s="3077"/>
      <c r="V130" s="3073"/>
      <c r="W130" s="3073"/>
      <c r="X130" s="3056">
        <f>IF(A130="","",IF(LEN(SUBSTITUTE(SUBSTITUTE(SUBSTITUTE(SUBSTITUTE(D130,".",""),"/",""),"-","")," ",""))&lt;&gt;14,"CNPJ INVALIDO","OK"))</f>
      </c>
      <c r="Y130" s="3056">
        <f>IF(A130="","",IF(R130="","REST PENDENTE","REST OK"))</f>
      </c>
      <c r="Z130" s="3056">
        <f>IF(A130="","",IF(AND(R130&lt;&gt;"",COUNTIFS($D$3:$D$164,D130,$R$3:$R$164,"&lt;&gt;")&gt;1),"DUPLICADO","OK"))</f>
      </c>
      <c r="AA130" s="3056">
        <f>IF(A130="","",IF(OR(LEN(Q130)&gt;180,LEN(R130)&gt;180,LEN(S130)&gt;180,LEN(T130)&gt;180),"CAMINHO LONGO","OK"))</f>
      </c>
      <c r="AB130" s="3056">
        <f>IF(A130="","",IF(U130="","",IFERROR(INT(U130-TODAY()),"")))</f>
      </c>
      <c r="AC130" s="3056">
        <f>IF(A130="","",IF(AND(T130="",U130=""),"",IF(T130="","SEM CAMINHO",IF(U130="","SEM DATA",IFERROR(IF(AB130&lt;15,"VERMELHO",IF(AB130&lt;=30,"AMARELO","VERDE")),"DATA INVALIDA")))))</f>
      </c>
      <c r="AD130" s="3056">
        <f>IF(OR(A130="",U130="",NOT(ISNUMBER(AB130))),"",RANK(AB130,$AB$3:$AB$164,1)+COUNTIFS($AB$3:AB130,AB130)-1)</f>
      </c>
      <c r="AE130" s="1736"/>
    </row>
    <row r="131" spans="1:19" ht="22.0" hidden="false" customHeight="true" x14ac:dyDescent="0.25">
      <c r="A131" s="3069" t="s">
        <v>318</v>
      </c>
      <c r="B131" s="3068" t="s">
        <v>45</v>
      </c>
      <c r="C131" s="3068" t="s">
        <v>316</v>
      </c>
      <c r="D131" s="3068" t="s">
        <v>319</v>
      </c>
      <c r="E131" s="3068"/>
      <c r="F131" s="3068" t="s">
        <v>48</v>
      </c>
      <c r="G131" s="3068" t="s">
        <v>320</v>
      </c>
      <c r="H131" s="3068"/>
      <c r="I131" s="3068"/>
      <c r="J131" s="3068"/>
      <c r="K131" s="3068"/>
      <c r="L131" s="3068"/>
      <c r="M131" s="3068" t="s">
        <v>399</v>
      </c>
      <c r="N131" s="3068" t="s">
        <v>374</v>
      </c>
      <c r="O131" s="3068" t="s">
        <v>371</v>
      </c>
      <c r="P131" s="3068"/>
      <c r="Q131" s="3071"/>
      <c r="R131" s="3071"/>
      <c r="S131" s="3071"/>
      <c r="T131" s="3071"/>
      <c r="U131" s="3072"/>
      <c r="V131" s="3068"/>
      <c r="W131" s="3068"/>
      <c r="X131" s="3056">
        <f>IF(A131="","",IF(LEN(SUBSTITUTE(SUBSTITUTE(SUBSTITUTE(SUBSTITUTE(D131,".",""),"/",""),"-","")," ",""))&lt;&gt;14,"CNPJ INVALIDO","OK"))</f>
      </c>
      <c r="Y131" s="3056">
        <f>IF(A131="","",IF(R131="","REST PENDENTE","REST OK"))</f>
      </c>
      <c r="Z131" s="3056">
        <f>IF(A131="","",IF(AND(R131&lt;&gt;"",COUNTIFS($D$3:$D$164,D131,$R$3:$R$164,"&lt;&gt;")&gt;1),"DUPLICADO","OK"))</f>
      </c>
      <c r="AA131" s="3056">
        <f>IF(A131="","",IF(OR(LEN(Q131)&gt;180,LEN(R131)&gt;180,LEN(S131)&gt;180,LEN(T131)&gt;180),"CAMINHO LONGO","OK"))</f>
      </c>
      <c r="AB131" s="3056">
        <f>IF(A131="","",IF(U131="","",IFERROR(INT(U131-TODAY()),"")))</f>
      </c>
      <c r="AC131" s="3056">
        <f>IF(A131="","",IF(AND(T131="",U131=""),"",IF(T131="","SEM CAMINHO",IF(U131="","SEM DATA",IFERROR(IF(AB131&lt;15,"VERMELHO",IF(AB131&lt;=30,"AMARELO","VERDE")),"DATA INVALIDA")))))</f>
      </c>
      <c r="AD131" s="3056">
        <f>IF(OR(A131="",U131="",NOT(ISNUMBER(AB131))),"",RANK(AB131,$AB$3:$AB$164,1)+COUNTIFS($AB$3:AB131,AB131)-1)</f>
      </c>
      <c r="AE131" s="1736"/>
    </row>
    <row r="132" spans="1:19" ht="22.0" hidden="false" customHeight="true" x14ac:dyDescent="0.25">
      <c r="A132" s="3074" t="s">
        <v>321</v>
      </c>
      <c r="B132" s="3073" t="s">
        <v>45</v>
      </c>
      <c r="C132" s="3073" t="s">
        <v>316</v>
      </c>
      <c r="D132" s="3073" t="s">
        <v>322</v>
      </c>
      <c r="E132" s="3073"/>
      <c r="F132" s="3073" t="s">
        <v>48</v>
      </c>
      <c r="G132" s="3073" t="s">
        <v>320</v>
      </c>
      <c r="H132" s="3073"/>
      <c r="I132" s="3073"/>
      <c r="J132" s="3073"/>
      <c r="K132" s="3073"/>
      <c r="L132" s="3073"/>
      <c r="M132" s="3073" t="s">
        <v>379</v>
      </c>
      <c r="N132" s="3073" t="s">
        <v>374</v>
      </c>
      <c r="O132" s="3073" t="s">
        <v>370</v>
      </c>
      <c r="P132" s="3073"/>
      <c r="Q132" s="3076"/>
      <c r="R132" s="3076"/>
      <c r="S132" s="3076"/>
      <c r="T132" s="3076"/>
      <c r="U132" s="3077"/>
      <c r="V132" s="3073"/>
      <c r="W132" s="3073"/>
      <c r="X132" s="3056">
        <f>IF(A132="","",IF(LEN(SUBSTITUTE(SUBSTITUTE(SUBSTITUTE(SUBSTITUTE(D132,".",""),"/",""),"-","")," ",""))&lt;&gt;14,"CNPJ INVALIDO","OK"))</f>
      </c>
      <c r="Y132" s="3056">
        <f>IF(A132="","",IF(R132="","REST PENDENTE","REST OK"))</f>
      </c>
      <c r="Z132" s="3056">
        <f>IF(A132="","",IF(AND(R132&lt;&gt;"",COUNTIFS($D$3:$D$164,D132,$R$3:$R$164,"&lt;&gt;")&gt;1),"DUPLICADO","OK"))</f>
      </c>
      <c r="AA132" s="3056">
        <f>IF(A132="","",IF(OR(LEN(Q132)&gt;180,LEN(R132)&gt;180,LEN(S132)&gt;180,LEN(T132)&gt;180),"CAMINHO LONGO","OK"))</f>
      </c>
      <c r="AB132" s="3056">
        <f>IF(A132="","",IF(U132="","",IFERROR(INT(U132-TODAY()),"")))</f>
      </c>
      <c r="AC132" s="3056">
        <f>IF(A132="","",IF(AND(T132="",U132=""),"",IF(T132="","SEM CAMINHO",IF(U132="","SEM DATA",IFERROR(IF(AB132&lt;15,"VERMELHO",IF(AB132&lt;=30,"AMARELO","VERDE")),"DATA INVALIDA")))))</f>
      </c>
      <c r="AD132" s="3056">
        <f>IF(OR(A132="",U132="",NOT(ISNUMBER(AB132))),"",RANK(AB132,$AB$3:$AB$164,1)+COUNTIFS($AB$3:AB132,AB132)-1)</f>
      </c>
      <c r="AE132" s="1736"/>
    </row>
    <row r="133" spans="1:19" ht="22.0" hidden="false" customHeight="true" x14ac:dyDescent="0.25">
      <c r="A133" s="3069" t="s">
        <v>323</v>
      </c>
      <c r="B133" s="3068" t="s">
        <v>305</v>
      </c>
      <c r="C133" s="3068"/>
      <c r="D133" s="3068"/>
      <c r="E133" s="3068"/>
      <c r="F133" s="3068" t="s">
        <v>306</v>
      </c>
      <c r="G133" s="3068" t="s">
        <v>4</v>
      </c>
      <c r="H133" s="3068"/>
      <c r="I133" s="3068"/>
      <c r="J133" s="3068"/>
      <c r="K133" s="3068"/>
      <c r="L133" s="3068"/>
      <c r="M133" s="3068" t="s">
        <v>371</v>
      </c>
      <c r="N133" s="3068"/>
      <c r="O133" s="3068" t="s">
        <v>365</v>
      </c>
      <c r="P133" s="3068"/>
      <c r="Q133" s="3071"/>
      <c r="R133" s="3071"/>
      <c r="S133" s="3071"/>
      <c r="T133" s="3071"/>
      <c r="U133" s="3072"/>
      <c r="V133" s="3068"/>
      <c r="W133" s="3068"/>
      <c r="X133" s="3056">
        <f>IF(A133="","",IF(LEN(SUBSTITUTE(SUBSTITUTE(SUBSTITUTE(SUBSTITUTE(D133,".",""),"/",""),"-","")," ",""))&lt;&gt;14,"CNPJ INVALIDO","OK"))</f>
      </c>
      <c r="Y133" s="3056">
        <f>IF(A133="","",IF(R133="","REST PENDENTE","REST OK"))</f>
      </c>
      <c r="Z133" s="3056">
        <f>IF(A133="","",IF(AND(R133&lt;&gt;"",COUNTIFS($D$3:$D$164,D133,$R$3:$R$164,"&lt;&gt;")&gt;1),"DUPLICADO","OK"))</f>
      </c>
      <c r="AA133" s="3056">
        <f>IF(A133="","",IF(OR(LEN(Q133)&gt;180,LEN(R133)&gt;180,LEN(S133)&gt;180,LEN(T133)&gt;180),"CAMINHO LONGO","OK"))</f>
      </c>
      <c r="AB133" s="3056">
        <f>IF(A133="","",IF(U133="","",IFERROR(INT(U133-TODAY()),"")))</f>
      </c>
      <c r="AC133" s="3056">
        <f>IF(A133="","",IF(AND(T133="",U133=""),"",IF(T133="","SEM CAMINHO",IF(U133="","SEM DATA",IFERROR(IF(AB133&lt;15,"VERMELHO",IF(AB133&lt;=30,"AMARELO","VERDE")),"DATA INVALIDA")))))</f>
      </c>
      <c r="AD133" s="3056">
        <f>IF(OR(A133="",U133="",NOT(ISNUMBER(AB133))),"",RANK(AB133,$AB$3:$AB$164,1)+COUNTIFS($AB$3:AB133,AB133)-1)</f>
      </c>
      <c r="AE133" s="1736"/>
    </row>
    <row r="134" spans="1:19" ht="22.0" hidden="false" customHeight="true" x14ac:dyDescent="0.25">
      <c r="A134" s="3074" t="s">
        <v>324</v>
      </c>
      <c r="B134" s="3073" t="s">
        <v>75</v>
      </c>
      <c r="C134" s="3073"/>
      <c r="D134" s="3073"/>
      <c r="E134" s="3073"/>
      <c r="F134" s="3073"/>
      <c r="G134" s="3073"/>
      <c r="H134" s="3073"/>
      <c r="I134" s="3073"/>
      <c r="J134" s="3073"/>
      <c r="K134" s="3073"/>
      <c r="L134" s="3073"/>
      <c r="M134" s="3073" t="s">
        <v>371</v>
      </c>
      <c r="N134" s="3073"/>
      <c r="O134" s="3073" t="s">
        <v>371</v>
      </c>
      <c r="P134" s="3073"/>
      <c r="Q134" s="3076"/>
      <c r="R134" s="3076"/>
      <c r="S134" s="3076"/>
      <c r="T134" s="3076"/>
      <c r="U134" s="3077"/>
      <c r="V134" s="3073"/>
      <c r="W134" s="3073"/>
      <c r="X134" s="3056">
        <f>IF(A134="","",IF(LEN(SUBSTITUTE(SUBSTITUTE(SUBSTITUTE(SUBSTITUTE(D134,".",""),"/",""),"-","")," ",""))&lt;&gt;14,"CNPJ INVALIDO","OK"))</f>
      </c>
      <c r="Y134" s="3056">
        <f>IF(A134="","",IF(R134="","REST PENDENTE","REST OK"))</f>
      </c>
      <c r="Z134" s="3056">
        <f>IF(A134="","",IF(AND(R134&lt;&gt;"",COUNTIFS($D$3:$D$164,D134,$R$3:$R$164,"&lt;&gt;")&gt;1),"DUPLICADO","OK"))</f>
      </c>
      <c r="AA134" s="3056">
        <f>IF(A134="","",IF(OR(LEN(Q134)&gt;180,LEN(R134)&gt;180,LEN(S134)&gt;180,LEN(T134)&gt;180),"CAMINHO LONGO","OK"))</f>
      </c>
      <c r="AB134" s="3056">
        <f>IF(A134="","",IF(U134="","",IFERROR(INT(U134-TODAY()),"")))</f>
      </c>
      <c r="AC134" s="3056">
        <f>IF(A134="","",IF(AND(T134="",U134=""),"",IF(T134="","SEM CAMINHO",IF(U134="","SEM DATA",IFERROR(IF(AB134&lt;15,"VERMELHO",IF(AB134&lt;=30,"AMARELO","VERDE")),"DATA INVALIDA")))))</f>
      </c>
      <c r="AD134" s="3056">
        <f>IF(OR(A134="",U134="",NOT(ISNUMBER(AB134))),"",RANK(AB134,$AB$3:$AB$164,1)+COUNTIFS($AB$3:AB134,AB134)-1)</f>
      </c>
      <c r="AE134" s="1736"/>
    </row>
    <row r="135" ht="22.0" customHeight="true" hidden="false">
      <c r="A135" s="3069"/>
      <c r="B135" s="3068"/>
      <c r="C135" s="3068"/>
      <c r="D135" s="3068"/>
      <c r="E135" s="3068"/>
      <c r="F135" s="3068"/>
      <c r="G135" s="3068"/>
      <c r="H135" s="3068"/>
      <c r="I135" s="3068"/>
      <c r="J135" s="3068"/>
      <c r="K135" s="3068"/>
      <c r="L135" s="3068"/>
      <c r="M135" s="3068"/>
      <c r="N135" s="3068"/>
      <c r="O135" s="3068"/>
      <c r="P135" s="3068"/>
      <c r="Q135" s="3071"/>
      <c r="R135" s="3071"/>
      <c r="S135" s="3071"/>
      <c r="T135" s="3071"/>
      <c r="U135" s="3072"/>
      <c r="V135" s="3068"/>
      <c r="W135" s="3068"/>
      <c r="X135" s="3056">
        <f>IF(A135="","",IF(LEN(SUBSTITUTE(SUBSTITUTE(SUBSTITUTE(SUBSTITUTE(D135,".",""),"/",""),"-","")," ",""))&lt;&gt;14,"CNPJ INVALIDO","OK"))</f>
      </c>
      <c r="Y135" s="3056">
        <f>IF(A135="","",IF(R135="","REST PENDENTE","REST OK"))</f>
      </c>
      <c r="Z135" s="3056">
        <f>IF(A135="","",IF(AND(R135&lt;&gt;"",COUNTIFS($D$3:$D$164,D135,$R$3:$R$164,"&lt;&gt;")&gt;1),"DUPLICADO","OK"))</f>
      </c>
      <c r="AA135" s="3056">
        <f>IF(A135="","",IF(OR(LEN(Q135)&gt;180,LEN(R135)&gt;180,LEN(S135)&gt;180,LEN(T135)&gt;180),"CAMINHO LONGO","OK"))</f>
      </c>
      <c r="AB135" s="3056">
        <f>IF(A135="","",IF(U135="","",IFERROR(INT(U135-TODAY()),"")))</f>
      </c>
      <c r="AC135" s="3056">
        <f>IF(A135="","",IF(AND(T135="",U135=""),"",IF(T135="","SEM CAMINHO",IF(U135="","SEM DATA",IFERROR(IF(AB135&lt;15,"VERMELHO",IF(AB135&lt;=30,"AMARELO","VERDE")),"DATA INVALIDA")))))</f>
      </c>
      <c r="AD135" s="3056">
        <f>IF(OR(A135="",U135="",NOT(ISNUMBER(AB135))),"",RANK(AB135,$AB$3:$AB$164,1)+COUNTIFS($AB$3:AB135,AB135)-1)</f>
      </c>
      <c r="AE135" s="1736"/>
    </row>
    <row r="136" ht="22.0" customHeight="true" hidden="false">
      <c r="A136" s="3074"/>
      <c r="B136" s="3073"/>
      <c r="C136" s="3073"/>
      <c r="D136" s="3073"/>
      <c r="E136" s="3073"/>
      <c r="F136" s="3073"/>
      <c r="G136" s="3073"/>
      <c r="H136" s="3073"/>
      <c r="I136" s="3073"/>
      <c r="J136" s="3073"/>
      <c r="K136" s="3073"/>
      <c r="L136" s="3073"/>
      <c r="M136" s="3073"/>
      <c r="N136" s="3073"/>
      <c r="O136" s="3073"/>
      <c r="P136" s="3073"/>
      <c r="Q136" s="3076"/>
      <c r="R136" s="3076"/>
      <c r="S136" s="3076"/>
      <c r="T136" s="3076"/>
      <c r="U136" s="3077"/>
      <c r="V136" s="3073"/>
      <c r="W136" s="3073"/>
      <c r="X136" s="3056">
        <f>IF(A136="","",IF(LEN(SUBSTITUTE(SUBSTITUTE(SUBSTITUTE(SUBSTITUTE(D136,".",""),"/",""),"-","")," ",""))&lt;&gt;14,"CNPJ INVALIDO","OK"))</f>
      </c>
      <c r="Y136" s="3056">
        <f>IF(A136="","",IF(R136="","REST PENDENTE","REST OK"))</f>
      </c>
      <c r="Z136" s="3056">
        <f>IF(A136="","",IF(AND(R136&lt;&gt;"",COUNTIFS($D$3:$D$164,D136,$R$3:$R$164,"&lt;&gt;")&gt;1),"DUPLICADO","OK"))</f>
      </c>
      <c r="AA136" s="3056">
        <f>IF(A136="","",IF(OR(LEN(Q136)&gt;180,LEN(R136)&gt;180,LEN(S136)&gt;180,LEN(T136)&gt;180),"CAMINHO LONGO","OK"))</f>
      </c>
      <c r="AB136" s="3056">
        <f>IF(A136="","",IF(U136="","",IFERROR(INT(U136-TODAY()),"")))</f>
      </c>
      <c r="AC136" s="3056">
        <f>IF(A136="","",IF(AND(T136="",U136=""),"",IF(T136="","SEM CAMINHO",IF(U136="","SEM DATA",IFERROR(IF(AB136&lt;15,"VERMELHO",IF(AB136&lt;=30,"AMARELO","VERDE")),"DATA INVALIDA")))))</f>
      </c>
      <c r="AD136" s="3056">
        <f>IF(OR(A136="",U136="",NOT(ISNUMBER(AB136))),"",RANK(AB136,$AB$3:$AB$164,1)+COUNTIFS($AB$3:AB136,AB136)-1)</f>
      </c>
      <c r="AE136" s="1736"/>
    </row>
    <row r="137" ht="22.0" customHeight="true" hidden="false">
      <c r="A137" s="3069"/>
      <c r="B137" s="3068"/>
      <c r="C137" s="3068"/>
      <c r="D137" s="3068"/>
      <c r="E137" s="3068"/>
      <c r="F137" s="3068"/>
      <c r="G137" s="3068"/>
      <c r="H137" s="3068"/>
      <c r="I137" s="3068"/>
      <c r="J137" s="3068"/>
      <c r="K137" s="3068"/>
      <c r="L137" s="3068"/>
      <c r="M137" s="3068"/>
      <c r="N137" s="3068"/>
      <c r="O137" s="3068"/>
      <c r="P137" s="3068"/>
      <c r="Q137" s="3071"/>
      <c r="R137" s="3071"/>
      <c r="S137" s="3071"/>
      <c r="T137" s="3071"/>
      <c r="U137" s="3072"/>
      <c r="V137" s="3068"/>
      <c r="W137" s="3068"/>
      <c r="X137" s="3056">
        <f>IF(A137="","",IF(LEN(SUBSTITUTE(SUBSTITUTE(SUBSTITUTE(SUBSTITUTE(D137,".",""),"/",""),"-","")," ",""))&lt;&gt;14,"CNPJ INVALIDO","OK"))</f>
      </c>
      <c r="Y137" s="3056">
        <f>IF(A137="","",IF(R137="","REST PENDENTE","REST OK"))</f>
      </c>
      <c r="Z137" s="3056">
        <f>IF(A137="","",IF(AND(R137&lt;&gt;"",COUNTIFS($D$3:$D$164,D137,$R$3:$R$164,"&lt;&gt;")&gt;1),"DUPLICADO","OK"))</f>
      </c>
      <c r="AA137" s="3056">
        <f>IF(A137="","",IF(OR(LEN(Q137)&gt;180,LEN(R137)&gt;180,LEN(S137)&gt;180,LEN(T137)&gt;180),"CAMINHO LONGO","OK"))</f>
      </c>
      <c r="AB137" s="3056">
        <f>IF(A137="","",IF(U137="","",IFERROR(INT(U137-TODAY()),"")))</f>
      </c>
      <c r="AC137" s="3056">
        <f>IF(A137="","",IF(AND(T137="",U137=""),"",IF(T137="","SEM CAMINHO",IF(U137="","SEM DATA",IFERROR(IF(AB137&lt;15,"VERMELHO",IF(AB137&lt;=30,"AMARELO","VERDE")),"DATA INVALIDA")))))</f>
      </c>
      <c r="AD137" s="3056">
        <f>IF(OR(A137="",U137="",NOT(ISNUMBER(AB137))),"",RANK(AB137,$AB$3:$AB$164,1)+COUNTIFS($AB$3:AB137,AB137)-1)</f>
      </c>
      <c r="AE137" s="1736"/>
    </row>
    <row r="138" ht="22.0" customHeight="true" hidden="false">
      <c r="A138" s="3074"/>
      <c r="B138" s="3073"/>
      <c r="C138" s="3073"/>
      <c r="D138" s="3073"/>
      <c r="E138" s="3073"/>
      <c r="F138" s="3073"/>
      <c r="G138" s="3073"/>
      <c r="H138" s="3073"/>
      <c r="I138" s="3073"/>
      <c r="J138" s="3073"/>
      <c r="K138" s="3073"/>
      <c r="L138" s="3073"/>
      <c r="M138" s="3073"/>
      <c r="N138" s="3073"/>
      <c r="O138" s="3073"/>
      <c r="P138" s="3073"/>
      <c r="Q138" s="3076"/>
      <c r="R138" s="3076"/>
      <c r="S138" s="3076"/>
      <c r="T138" s="3076"/>
      <c r="U138" s="3077"/>
      <c r="V138" s="3073"/>
      <c r="W138" s="3073"/>
      <c r="X138" s="3056">
        <f>IF(A138="","",IF(LEN(SUBSTITUTE(SUBSTITUTE(SUBSTITUTE(SUBSTITUTE(D138,".",""),"/",""),"-","")," ",""))&lt;&gt;14,"CNPJ INVALIDO","OK"))</f>
      </c>
      <c r="Y138" s="3056">
        <f>IF(A138="","",IF(R138="","REST PENDENTE","REST OK"))</f>
      </c>
      <c r="Z138" s="3056">
        <f>IF(A138="","",IF(AND(R138&lt;&gt;"",COUNTIFS($D$3:$D$164,D138,$R$3:$R$164,"&lt;&gt;")&gt;1),"DUPLICADO","OK"))</f>
      </c>
      <c r="AA138" s="3056">
        <f>IF(A138="","",IF(OR(LEN(Q138)&gt;180,LEN(R138)&gt;180,LEN(S138)&gt;180,LEN(T138)&gt;180),"CAMINHO LONGO","OK"))</f>
      </c>
      <c r="AB138" s="3056">
        <f>IF(A138="","",IF(U138="","",IFERROR(INT(U138-TODAY()),"")))</f>
      </c>
      <c r="AC138" s="3056">
        <f>IF(A138="","",IF(AND(T138="",U138=""),"",IF(T138="","SEM CAMINHO",IF(U138="","SEM DATA",IFERROR(IF(AB138&lt;15,"VERMELHO",IF(AB138&lt;=30,"AMARELO","VERDE")),"DATA INVALIDA")))))</f>
      </c>
      <c r="AD138" s="3056">
        <f>IF(OR(A138="",U138="",NOT(ISNUMBER(AB138))),"",RANK(AB138,$AB$3:$AB$164,1)+COUNTIFS($AB$3:AB138,AB138)-1)</f>
      </c>
      <c r="AE138" s="1736"/>
    </row>
    <row r="139" ht="22.0" customHeight="true" hidden="false">
      <c r="A139" s="3069"/>
      <c r="B139" s="3068"/>
      <c r="C139" s="3068"/>
      <c r="D139" s="3068"/>
      <c r="E139" s="3068"/>
      <c r="F139" s="3068"/>
      <c r="G139" s="3068"/>
      <c r="H139" s="3068"/>
      <c r="I139" s="3068"/>
      <c r="J139" s="3068"/>
      <c r="K139" s="3068"/>
      <c r="L139" s="3068"/>
      <c r="M139" s="3068"/>
      <c r="N139" s="3068"/>
      <c r="O139" s="3068"/>
      <c r="P139" s="3068"/>
      <c r="Q139" s="3071"/>
      <c r="R139" s="3071"/>
      <c r="S139" s="3071"/>
      <c r="T139" s="3071"/>
      <c r="U139" s="3072"/>
      <c r="V139" s="3068"/>
      <c r="W139" s="3068"/>
      <c r="X139" s="3056">
        <f>IF(A139="","",IF(LEN(SUBSTITUTE(SUBSTITUTE(SUBSTITUTE(SUBSTITUTE(D139,".",""),"/",""),"-","")," ",""))&lt;&gt;14,"CNPJ INVALIDO","OK"))</f>
      </c>
      <c r="Y139" s="3056">
        <f>IF(A139="","",IF(R139="","REST PENDENTE","REST OK"))</f>
      </c>
      <c r="Z139" s="3056">
        <f>IF(A139="","",IF(AND(R139&lt;&gt;"",COUNTIFS($D$3:$D$164,D139,$R$3:$R$164,"&lt;&gt;")&gt;1),"DUPLICADO","OK"))</f>
      </c>
      <c r="AA139" s="3056">
        <f>IF(A139="","",IF(OR(LEN(Q139)&gt;180,LEN(R139)&gt;180,LEN(S139)&gt;180,LEN(T139)&gt;180),"CAMINHO LONGO","OK"))</f>
      </c>
      <c r="AB139" s="3056">
        <f>IF(A139="","",IF(U139="","",IFERROR(INT(U139-TODAY()),"")))</f>
      </c>
      <c r="AC139" s="3056">
        <f>IF(A139="","",IF(AND(T139="",U139=""),"",IF(T139="","SEM CAMINHO",IF(U139="","SEM DATA",IFERROR(IF(AB139&lt;15,"VERMELHO",IF(AB139&lt;=30,"AMARELO","VERDE")),"DATA INVALIDA")))))</f>
      </c>
      <c r="AD139" s="3056">
        <f>IF(OR(A139="",U139="",NOT(ISNUMBER(AB139))),"",RANK(AB139,$AB$3:$AB$164,1)+COUNTIFS($AB$3:AB139,AB139)-1)</f>
      </c>
      <c r="AE139" s="1736"/>
    </row>
    <row r="140" ht="22.0" customHeight="true" hidden="false">
      <c r="A140" s="3074"/>
      <c r="B140" s="3073"/>
      <c r="C140" s="3073"/>
      <c r="D140" s="3073"/>
      <c r="E140" s="3073"/>
      <c r="F140" s="3073"/>
      <c r="G140" s="3073"/>
      <c r="H140" s="3073"/>
      <c r="I140" s="3073"/>
      <c r="J140" s="3073"/>
      <c r="K140" s="3073"/>
      <c r="L140" s="3073"/>
      <c r="M140" s="3073"/>
      <c r="N140" s="3073"/>
      <c r="O140" s="3073"/>
      <c r="P140" s="3073"/>
      <c r="Q140" s="3076"/>
      <c r="R140" s="3076"/>
      <c r="S140" s="3076"/>
      <c r="T140" s="3076"/>
      <c r="U140" s="3077"/>
      <c r="V140" s="3073"/>
      <c r="W140" s="3073"/>
      <c r="X140" s="3056">
        <f>IF(A140="","",IF(LEN(SUBSTITUTE(SUBSTITUTE(SUBSTITUTE(SUBSTITUTE(D140,".",""),"/",""),"-","")," ",""))&lt;&gt;14,"CNPJ INVALIDO","OK"))</f>
      </c>
      <c r="Y140" s="3056">
        <f>IF(A140="","",IF(R140="","REST PENDENTE","REST OK"))</f>
      </c>
      <c r="Z140" s="3056">
        <f>IF(A140="","",IF(AND(R140&lt;&gt;"",COUNTIFS($D$3:$D$164,D140,$R$3:$R$164,"&lt;&gt;")&gt;1),"DUPLICADO","OK"))</f>
      </c>
      <c r="AA140" s="3056">
        <f>IF(A140="","",IF(OR(LEN(Q140)&gt;180,LEN(R140)&gt;180,LEN(S140)&gt;180,LEN(T140)&gt;180),"CAMINHO LONGO","OK"))</f>
      </c>
      <c r="AB140" s="3056">
        <f>IF(A140="","",IF(U140="","",IFERROR(INT(U140-TODAY()),"")))</f>
      </c>
      <c r="AC140" s="3056">
        <f>IF(A140="","",IF(AND(T140="",U140=""),"",IF(T140="","SEM CAMINHO",IF(U140="","SEM DATA",IFERROR(IF(AB140&lt;15,"VERMELHO",IF(AB140&lt;=30,"AMARELO","VERDE")),"DATA INVALIDA")))))</f>
      </c>
      <c r="AD140" s="3056">
        <f>IF(OR(A140="",U140="",NOT(ISNUMBER(AB140))),"",RANK(AB140,$AB$3:$AB$164,1)+COUNTIFS($AB$3:AB140,AB140)-1)</f>
      </c>
      <c r="AE140" s="1736"/>
    </row>
    <row r="141" ht="22.0" customHeight="true" hidden="false">
      <c r="A141" s="3069"/>
      <c r="B141" s="3068"/>
      <c r="C141" s="3068"/>
      <c r="D141" s="3068"/>
      <c r="E141" s="3068"/>
      <c r="F141" s="3068"/>
      <c r="G141" s="3068"/>
      <c r="H141" s="3068"/>
      <c r="I141" s="3068"/>
      <c r="J141" s="3068"/>
      <c r="K141" s="3068"/>
      <c r="L141" s="3068"/>
      <c r="M141" s="3068"/>
      <c r="N141" s="3068"/>
      <c r="O141" s="3068"/>
      <c r="P141" s="3068"/>
      <c r="Q141" s="3071"/>
      <c r="R141" s="3071"/>
      <c r="S141" s="3071"/>
      <c r="T141" s="3071"/>
      <c r="U141" s="3072"/>
      <c r="V141" s="3068"/>
      <c r="W141" s="3068"/>
      <c r="X141" s="3056">
        <f>IF(A141="","",IF(LEN(SUBSTITUTE(SUBSTITUTE(SUBSTITUTE(SUBSTITUTE(D141,".",""),"/",""),"-","")," ",""))&lt;&gt;14,"CNPJ INVALIDO","OK"))</f>
      </c>
      <c r="Y141" s="3056">
        <f>IF(A141="","",IF(R141="","REST PENDENTE","REST OK"))</f>
      </c>
      <c r="Z141" s="3056">
        <f>IF(A141="","",IF(AND(R141&lt;&gt;"",COUNTIFS($D$3:$D$164,D141,$R$3:$R$164,"&lt;&gt;")&gt;1),"DUPLICADO","OK"))</f>
      </c>
      <c r="AA141" s="3056">
        <f>IF(A141="","",IF(OR(LEN(Q141)&gt;180,LEN(R141)&gt;180,LEN(S141)&gt;180,LEN(T141)&gt;180),"CAMINHO LONGO","OK"))</f>
      </c>
      <c r="AB141" s="3056">
        <f>IF(A141="","",IF(U141="","",IFERROR(INT(U141-TODAY()),"")))</f>
      </c>
      <c r="AC141" s="3056">
        <f>IF(A141="","",IF(AND(T141="",U141=""),"",IF(T141="","SEM CAMINHO",IF(U141="","SEM DATA",IFERROR(IF(AB141&lt;15,"VERMELHO",IF(AB141&lt;=30,"AMARELO","VERDE")),"DATA INVALIDA")))))</f>
      </c>
      <c r="AD141" s="3056">
        <f>IF(OR(A141="",U141="",NOT(ISNUMBER(AB141))),"",RANK(AB141,$AB$3:$AB$164,1)+COUNTIFS($AB$3:AB141,AB141)-1)</f>
      </c>
      <c r="AE141" s="1736"/>
    </row>
    <row r="142" ht="22.0" customHeight="true" hidden="false">
      <c r="A142" s="3074"/>
      <c r="B142" s="3073"/>
      <c r="C142" s="3073"/>
      <c r="D142" s="3073"/>
      <c r="E142" s="3073"/>
      <c r="F142" s="3073"/>
      <c r="G142" s="3073"/>
      <c r="H142" s="3073"/>
      <c r="I142" s="3073"/>
      <c r="J142" s="3073"/>
      <c r="K142" s="3073"/>
      <c r="L142" s="3073"/>
      <c r="M142" s="3073"/>
      <c r="N142" s="3073"/>
      <c r="O142" s="3073"/>
      <c r="P142" s="3073"/>
      <c r="Q142" s="3076"/>
      <c r="R142" s="3076"/>
      <c r="S142" s="3076"/>
      <c r="T142" s="3076"/>
      <c r="U142" s="3077"/>
      <c r="V142" s="3073"/>
      <c r="W142" s="3073"/>
      <c r="X142" s="3056">
        <f>IF(A142="","",IF(LEN(SUBSTITUTE(SUBSTITUTE(SUBSTITUTE(SUBSTITUTE(D142,".",""),"/",""),"-","")," ",""))&lt;&gt;14,"CNPJ INVALIDO","OK"))</f>
      </c>
      <c r="Y142" s="3056">
        <f>IF(A142="","",IF(R142="","REST PENDENTE","REST OK"))</f>
      </c>
      <c r="Z142" s="3056">
        <f>IF(A142="","",IF(AND(R142&lt;&gt;"",COUNTIFS($D$3:$D$164,D142,$R$3:$R$164,"&lt;&gt;")&gt;1),"DUPLICADO","OK"))</f>
      </c>
      <c r="AA142" s="3056">
        <f>IF(A142="","",IF(OR(LEN(Q142)&gt;180,LEN(R142)&gt;180,LEN(S142)&gt;180,LEN(T142)&gt;180),"CAMINHO LONGO","OK"))</f>
      </c>
      <c r="AB142" s="3056">
        <f>IF(A142="","",IF(U142="","",IFERROR(INT(U142-TODAY()),"")))</f>
      </c>
      <c r="AC142" s="3056">
        <f>IF(A142="","",IF(AND(T142="",U142=""),"",IF(T142="","SEM CAMINHO",IF(U142="","SEM DATA",IFERROR(IF(AB142&lt;15,"VERMELHO",IF(AB142&lt;=30,"AMARELO","VERDE")),"DATA INVALIDA")))))</f>
      </c>
      <c r="AD142" s="3056">
        <f>IF(OR(A142="",U142="",NOT(ISNUMBER(AB142))),"",RANK(AB142,$AB$3:$AB$164,1)+COUNTIFS($AB$3:AB142,AB142)-1)</f>
      </c>
      <c r="AE142" s="1736"/>
    </row>
    <row r="143" ht="22.0" customHeight="true" hidden="false">
      <c r="A143" s="3069"/>
      <c r="B143" s="3068"/>
      <c r="C143" s="3068"/>
      <c r="D143" s="3068"/>
      <c r="E143" s="3068"/>
      <c r="F143" s="3068"/>
      <c r="G143" s="3068"/>
      <c r="H143" s="3068"/>
      <c r="I143" s="3068"/>
      <c r="J143" s="3068"/>
      <c r="K143" s="3068"/>
      <c r="L143" s="3068"/>
      <c r="M143" s="3068"/>
      <c r="N143" s="3068"/>
      <c r="O143" s="3068"/>
      <c r="P143" s="3068"/>
      <c r="Q143" s="3071"/>
      <c r="R143" s="3071"/>
      <c r="S143" s="3071"/>
      <c r="T143" s="3071"/>
      <c r="U143" s="3072"/>
      <c r="V143" s="3068"/>
      <c r="W143" s="3068"/>
      <c r="X143" s="3056">
        <f>IF(A143="","",IF(LEN(SUBSTITUTE(SUBSTITUTE(SUBSTITUTE(SUBSTITUTE(D143,".",""),"/",""),"-","")," ",""))&lt;&gt;14,"CNPJ INVALIDO","OK"))</f>
      </c>
      <c r="Y143" s="3056">
        <f>IF(A143="","",IF(R143="","REST PENDENTE","REST OK"))</f>
      </c>
      <c r="Z143" s="3056">
        <f>IF(A143="","",IF(AND(R143&lt;&gt;"",COUNTIFS($D$3:$D$164,D143,$R$3:$R$164,"&lt;&gt;")&gt;1),"DUPLICADO","OK"))</f>
      </c>
      <c r="AA143" s="3056">
        <f>IF(A143="","",IF(OR(LEN(Q143)&gt;180,LEN(R143)&gt;180,LEN(S143)&gt;180,LEN(T143)&gt;180),"CAMINHO LONGO","OK"))</f>
      </c>
      <c r="AB143" s="3056">
        <f>IF(A143="","",IF(U143="","",IFERROR(INT(U143-TODAY()),"")))</f>
      </c>
      <c r="AC143" s="3056">
        <f>IF(A143="","",IF(AND(T143="",U143=""),"",IF(T143="","SEM CAMINHO",IF(U143="","SEM DATA",IFERROR(IF(AB143&lt;15,"VERMELHO",IF(AB143&lt;=30,"AMARELO","VERDE")),"DATA INVALIDA")))))</f>
      </c>
      <c r="AD143" s="3056">
        <f>IF(OR(A143="",U143="",NOT(ISNUMBER(AB143))),"",RANK(AB143,$AB$3:$AB$164,1)+COUNTIFS($AB$3:AB143,AB143)-1)</f>
      </c>
      <c r="AE143" s="1736"/>
    </row>
    <row r="144" ht="22.0" customHeight="true" hidden="false">
      <c r="A144" s="3074"/>
      <c r="B144" s="3073"/>
      <c r="C144" s="3073"/>
      <c r="D144" s="3073"/>
      <c r="E144" s="3073"/>
      <c r="F144" s="3073"/>
      <c r="G144" s="3073"/>
      <c r="H144" s="3073"/>
      <c r="I144" s="3073"/>
      <c r="J144" s="3073"/>
      <c r="K144" s="3073"/>
      <c r="L144" s="3073"/>
      <c r="M144" s="3073"/>
      <c r="N144" s="3073"/>
      <c r="O144" s="3073"/>
      <c r="P144" s="3073"/>
      <c r="Q144" s="3076"/>
      <c r="R144" s="3076"/>
      <c r="S144" s="3076"/>
      <c r="T144" s="3076"/>
      <c r="U144" s="3077"/>
      <c r="V144" s="3073"/>
      <c r="W144" s="3073"/>
      <c r="X144" s="3056">
        <f>IF(A144="","",IF(LEN(SUBSTITUTE(SUBSTITUTE(SUBSTITUTE(SUBSTITUTE(D144,".",""),"/",""),"-","")," ",""))&lt;&gt;14,"CNPJ INVALIDO","OK"))</f>
      </c>
      <c r="Y144" s="3056">
        <f>IF(A144="","",IF(R144="","REST PENDENTE","REST OK"))</f>
      </c>
      <c r="Z144" s="3056">
        <f>IF(A144="","",IF(AND(R144&lt;&gt;"",COUNTIFS($D$3:$D$164,D144,$R$3:$R$164,"&lt;&gt;")&gt;1),"DUPLICADO","OK"))</f>
      </c>
      <c r="AA144" s="3056">
        <f>IF(A144="","",IF(OR(LEN(Q144)&gt;180,LEN(R144)&gt;180,LEN(S144)&gt;180,LEN(T144)&gt;180),"CAMINHO LONGO","OK"))</f>
      </c>
      <c r="AB144" s="3056">
        <f>IF(A144="","",IF(U144="","",IFERROR(INT(U144-TODAY()),"")))</f>
      </c>
      <c r="AC144" s="3056">
        <f>IF(A144="","",IF(AND(T144="",U144=""),"",IF(T144="","SEM CAMINHO",IF(U144="","SEM DATA",IFERROR(IF(AB144&lt;15,"VERMELHO",IF(AB144&lt;=30,"AMARELO","VERDE")),"DATA INVALIDA")))))</f>
      </c>
      <c r="AD144" s="3056">
        <f>IF(OR(A144="",U144="",NOT(ISNUMBER(AB144))),"",RANK(AB144,$AB$3:$AB$164,1)+COUNTIFS($AB$3:AB144,AB144)-1)</f>
      </c>
      <c r="AE144" s="1736"/>
    </row>
    <row r="145" ht="22.0" customHeight="true" hidden="false">
      <c r="A145" s="3069"/>
      <c r="B145" s="3068"/>
      <c r="C145" s="3068"/>
      <c r="D145" s="3068"/>
      <c r="E145" s="3068"/>
      <c r="F145" s="3068"/>
      <c r="G145" s="3068"/>
      <c r="H145" s="3068"/>
      <c r="I145" s="3068"/>
      <c r="J145" s="3068"/>
      <c r="K145" s="3068"/>
      <c r="L145" s="3068"/>
      <c r="M145" s="3068"/>
      <c r="N145" s="3068"/>
      <c r="O145" s="3068"/>
      <c r="P145" s="3068"/>
      <c r="Q145" s="3071"/>
      <c r="R145" s="3071"/>
      <c r="S145" s="3071"/>
      <c r="T145" s="3071"/>
      <c r="U145" s="3072"/>
      <c r="V145" s="3068"/>
      <c r="W145" s="3068"/>
      <c r="X145" s="3056">
        <f>IF(A145="","",IF(LEN(SUBSTITUTE(SUBSTITUTE(SUBSTITUTE(SUBSTITUTE(D145,".",""),"/",""),"-","")," ",""))&lt;&gt;14,"CNPJ INVALIDO","OK"))</f>
      </c>
      <c r="Y145" s="3056">
        <f>IF(A145="","",IF(R145="","REST PENDENTE","REST OK"))</f>
      </c>
      <c r="Z145" s="3056">
        <f>IF(A145="","",IF(AND(R145&lt;&gt;"",COUNTIFS($D$3:$D$164,D145,$R$3:$R$164,"&lt;&gt;")&gt;1),"DUPLICADO","OK"))</f>
      </c>
      <c r="AA145" s="3056">
        <f>IF(A145="","",IF(OR(LEN(Q145)&gt;180,LEN(R145)&gt;180,LEN(S145)&gt;180,LEN(T145)&gt;180),"CAMINHO LONGO","OK"))</f>
      </c>
      <c r="AB145" s="3056">
        <f>IF(A145="","",IF(U145="","",IFERROR(INT(U145-TODAY()),"")))</f>
      </c>
      <c r="AC145" s="3056">
        <f>IF(A145="","",IF(AND(T145="",U145=""),"",IF(T145="","SEM CAMINHO",IF(U145="","SEM DATA",IFERROR(IF(AB145&lt;15,"VERMELHO",IF(AB145&lt;=30,"AMARELO","VERDE")),"DATA INVALIDA")))))</f>
      </c>
      <c r="AD145" s="3056">
        <f>IF(OR(A145="",U145="",NOT(ISNUMBER(AB145))),"",RANK(AB145,$AB$3:$AB$164,1)+COUNTIFS($AB$3:AB145,AB145)-1)</f>
      </c>
      <c r="AE145" s="1736"/>
    </row>
    <row r="146" ht="22.0" customHeight="true" hidden="false">
      <c r="A146" s="3074"/>
      <c r="B146" s="3073"/>
      <c r="C146" s="3073"/>
      <c r="D146" s="3073"/>
      <c r="E146" s="3073"/>
      <c r="F146" s="3073"/>
      <c r="G146" s="3073"/>
      <c r="H146" s="3073"/>
      <c r="I146" s="3073"/>
      <c r="J146" s="3073"/>
      <c r="K146" s="3073"/>
      <c r="L146" s="3073"/>
      <c r="M146" s="3073"/>
      <c r="N146" s="3073"/>
      <c r="O146" s="3073"/>
      <c r="P146" s="3073"/>
      <c r="Q146" s="3076"/>
      <c r="R146" s="3076"/>
      <c r="S146" s="3076"/>
      <c r="T146" s="3076"/>
      <c r="U146" s="3077"/>
      <c r="V146" s="3073"/>
      <c r="W146" s="3073"/>
      <c r="X146" s="3056">
        <f>IF(A146="","",IF(LEN(SUBSTITUTE(SUBSTITUTE(SUBSTITUTE(SUBSTITUTE(D146,".",""),"/",""),"-","")," ",""))&lt;&gt;14,"CNPJ INVALIDO","OK"))</f>
      </c>
      <c r="Y146" s="3056">
        <f>IF(A146="","",IF(R146="","REST PENDENTE","REST OK"))</f>
      </c>
      <c r="Z146" s="3056">
        <f>IF(A146="","",IF(AND(R146&lt;&gt;"",COUNTIFS($D$3:$D$164,D146,$R$3:$R$164,"&lt;&gt;")&gt;1),"DUPLICADO","OK"))</f>
      </c>
      <c r="AA146" s="3056">
        <f>IF(A146="","",IF(OR(LEN(Q146)&gt;180,LEN(R146)&gt;180,LEN(S146)&gt;180,LEN(T146)&gt;180),"CAMINHO LONGO","OK"))</f>
      </c>
      <c r="AB146" s="3056">
        <f>IF(A146="","",IF(U146="","",IFERROR(INT(U146-TODAY()),"")))</f>
      </c>
      <c r="AC146" s="3056">
        <f>IF(A146="","",IF(AND(T146="",U146=""),"",IF(T146="","SEM CAMINHO",IF(U146="","SEM DATA",IFERROR(IF(AB146&lt;15,"VERMELHO",IF(AB146&lt;=30,"AMARELO","VERDE")),"DATA INVALIDA")))))</f>
      </c>
      <c r="AD146" s="3056">
        <f>IF(OR(A146="",U146="",NOT(ISNUMBER(AB146))),"",RANK(AB146,$AB$3:$AB$164,1)+COUNTIFS($AB$3:AB146,AB146)-1)</f>
      </c>
      <c r="AE146" s="1736"/>
    </row>
    <row r="147" ht="22.0" customHeight="true" hidden="false">
      <c r="A147" s="3069"/>
      <c r="B147" s="3068"/>
      <c r="C147" s="3068"/>
      <c r="D147" s="3068"/>
      <c r="E147" s="3068"/>
      <c r="F147" s="3068"/>
      <c r="G147" s="3068"/>
      <c r="H147" s="3068"/>
      <c r="I147" s="3068"/>
      <c r="J147" s="3068"/>
      <c r="K147" s="3068"/>
      <c r="L147" s="3068"/>
      <c r="M147" s="3068"/>
      <c r="N147" s="3068"/>
      <c r="O147" s="3068"/>
      <c r="P147" s="3068"/>
      <c r="Q147" s="3071"/>
      <c r="R147" s="3071"/>
      <c r="S147" s="3071"/>
      <c r="T147" s="3071"/>
      <c r="U147" s="3072"/>
      <c r="V147" s="3068"/>
      <c r="W147" s="3068"/>
      <c r="X147" s="3056">
        <f>IF(A147="","",IF(LEN(SUBSTITUTE(SUBSTITUTE(SUBSTITUTE(SUBSTITUTE(D147,".",""),"/",""),"-","")," ",""))&lt;&gt;14,"CNPJ INVALIDO","OK"))</f>
      </c>
      <c r="Y147" s="3056">
        <f>IF(A147="","",IF(R147="","REST PENDENTE","REST OK"))</f>
      </c>
      <c r="Z147" s="3056">
        <f>IF(A147="","",IF(AND(R147&lt;&gt;"",COUNTIFS($D$3:$D$164,D147,$R$3:$R$164,"&lt;&gt;")&gt;1),"DUPLICADO","OK"))</f>
      </c>
      <c r="AA147" s="3056">
        <f>IF(A147="","",IF(OR(LEN(Q147)&gt;180,LEN(R147)&gt;180,LEN(S147)&gt;180,LEN(T147)&gt;180),"CAMINHO LONGO","OK"))</f>
      </c>
      <c r="AB147" s="3056">
        <f>IF(A147="","",IF(U147="","",IFERROR(INT(U147-TODAY()),"")))</f>
      </c>
      <c r="AC147" s="3056">
        <f>IF(A147="","",IF(AND(T147="",U147=""),"",IF(T147="","SEM CAMINHO",IF(U147="","SEM DATA",IFERROR(IF(AB147&lt;15,"VERMELHO",IF(AB147&lt;=30,"AMARELO","VERDE")),"DATA INVALIDA")))))</f>
      </c>
      <c r="AD147" s="3056">
        <f>IF(OR(A147="",U147="",NOT(ISNUMBER(AB147))),"",RANK(AB147,$AB$3:$AB$164,1)+COUNTIFS($AB$3:AB147,AB147)-1)</f>
      </c>
      <c r="AE147" s="1736"/>
    </row>
    <row r="148" ht="22.0" customHeight="true" hidden="false">
      <c r="A148" s="3074"/>
      <c r="B148" s="3073"/>
      <c r="C148" s="3073"/>
      <c r="D148" s="3073"/>
      <c r="E148" s="3073"/>
      <c r="F148" s="3073"/>
      <c r="G148" s="3073"/>
      <c r="H148" s="3073"/>
      <c r="I148" s="3073"/>
      <c r="J148" s="3073"/>
      <c r="K148" s="3073"/>
      <c r="L148" s="3073"/>
      <c r="M148" s="3073"/>
      <c r="N148" s="3073"/>
      <c r="O148" s="3073"/>
      <c r="P148" s="3073"/>
      <c r="Q148" s="3076"/>
      <c r="R148" s="3076"/>
      <c r="S148" s="3076"/>
      <c r="T148" s="3076"/>
      <c r="U148" s="3077"/>
      <c r="V148" s="3073"/>
      <c r="W148" s="3073"/>
      <c r="X148" s="3056">
        <f>IF(A148="","",IF(LEN(SUBSTITUTE(SUBSTITUTE(SUBSTITUTE(SUBSTITUTE(D148,".",""),"/",""),"-","")," ",""))&lt;&gt;14,"CNPJ INVALIDO","OK"))</f>
      </c>
      <c r="Y148" s="3056">
        <f>IF(A148="","",IF(R148="","REST PENDENTE","REST OK"))</f>
      </c>
      <c r="Z148" s="3056">
        <f>IF(A148="","",IF(AND(R148&lt;&gt;"",COUNTIFS($D$3:$D$164,D148,$R$3:$R$164,"&lt;&gt;")&gt;1),"DUPLICADO","OK"))</f>
      </c>
      <c r="AA148" s="3056">
        <f>IF(A148="","",IF(OR(LEN(Q148)&gt;180,LEN(R148)&gt;180,LEN(S148)&gt;180,LEN(T148)&gt;180),"CAMINHO LONGO","OK"))</f>
      </c>
      <c r="AB148" s="3056">
        <f>IF(A148="","",IF(U148="","",IFERROR(INT(U148-TODAY()),"")))</f>
      </c>
      <c r="AC148" s="3056">
        <f>IF(A148="","",IF(AND(T148="",U148=""),"",IF(T148="","SEM CAMINHO",IF(U148="","SEM DATA",IFERROR(IF(AB148&lt;15,"VERMELHO",IF(AB148&lt;=30,"AMARELO","VERDE")),"DATA INVALIDA")))))</f>
      </c>
      <c r="AD148" s="3056">
        <f>IF(OR(A148="",U148="",NOT(ISNUMBER(AB148))),"",RANK(AB148,$AB$3:$AB$164,1)+COUNTIFS($AB$3:AB148,AB148)-1)</f>
      </c>
      <c r="AE148" s="1736"/>
    </row>
    <row r="149" ht="22.0" customHeight="true" hidden="false">
      <c r="A149" s="3069"/>
      <c r="B149" s="3068"/>
      <c r="C149" s="3068"/>
      <c r="D149" s="3068"/>
      <c r="E149" s="3068"/>
      <c r="F149" s="3068"/>
      <c r="G149" s="3068"/>
      <c r="H149" s="3068"/>
      <c r="I149" s="3068"/>
      <c r="J149" s="3068"/>
      <c r="K149" s="3068"/>
      <c r="L149" s="3068"/>
      <c r="M149" s="3068"/>
      <c r="N149" s="3068"/>
      <c r="O149" s="3068"/>
      <c r="P149" s="3068"/>
      <c r="Q149" s="3071"/>
      <c r="R149" s="3071"/>
      <c r="S149" s="3071"/>
      <c r="T149" s="3071"/>
      <c r="U149" s="3072"/>
      <c r="V149" s="3068"/>
      <c r="W149" s="3068"/>
      <c r="X149" s="3056">
        <f>IF(A149="","",IF(LEN(SUBSTITUTE(SUBSTITUTE(SUBSTITUTE(SUBSTITUTE(D149,".",""),"/",""),"-","")," ",""))&lt;&gt;14,"CNPJ INVALIDO","OK"))</f>
      </c>
      <c r="Y149" s="3056">
        <f>IF(A149="","",IF(R149="","REST PENDENTE","REST OK"))</f>
      </c>
      <c r="Z149" s="3056">
        <f>IF(A149="","",IF(AND(R149&lt;&gt;"",COUNTIFS($D$3:$D$164,D149,$R$3:$R$164,"&lt;&gt;")&gt;1),"DUPLICADO","OK"))</f>
      </c>
      <c r="AA149" s="3056">
        <f>IF(A149="","",IF(OR(LEN(Q149)&gt;180,LEN(R149)&gt;180,LEN(S149)&gt;180,LEN(T149)&gt;180),"CAMINHO LONGO","OK"))</f>
      </c>
      <c r="AB149" s="3056">
        <f>IF(A149="","",IF(U149="","",IFERROR(INT(U149-TODAY()),"")))</f>
      </c>
      <c r="AC149" s="3056">
        <f>IF(A149="","",IF(AND(T149="",U149=""),"",IF(T149="","SEM CAMINHO",IF(U149="","SEM DATA",IFERROR(IF(AB149&lt;15,"VERMELHO",IF(AB149&lt;=30,"AMARELO","VERDE")),"DATA INVALIDA")))))</f>
      </c>
      <c r="AD149" s="3056">
        <f>IF(OR(A149="",U149="",NOT(ISNUMBER(AB149))),"",RANK(AB149,$AB$3:$AB$164,1)+COUNTIFS($AB$3:AB149,AB149)-1)</f>
      </c>
      <c r="AE149" s="1736"/>
    </row>
    <row r="150" ht="22.0" customHeight="true" hidden="false">
      <c r="A150" s="3074"/>
      <c r="B150" s="3073"/>
      <c r="C150" s="3073"/>
      <c r="D150" s="3073"/>
      <c r="E150" s="3073"/>
      <c r="F150" s="3073"/>
      <c r="G150" s="3073"/>
      <c r="H150" s="3073"/>
      <c r="I150" s="3073"/>
      <c r="J150" s="3073"/>
      <c r="K150" s="3073"/>
      <c r="L150" s="3073"/>
      <c r="M150" s="3073"/>
      <c r="N150" s="3073"/>
      <c r="O150" s="3073"/>
      <c r="P150" s="3073"/>
      <c r="Q150" s="3076"/>
      <c r="R150" s="3076"/>
      <c r="S150" s="3076"/>
      <c r="T150" s="3076"/>
      <c r="U150" s="3077"/>
      <c r="V150" s="3073"/>
      <c r="W150" s="3073"/>
      <c r="X150" s="3056">
        <f>IF(A150="","",IF(LEN(SUBSTITUTE(SUBSTITUTE(SUBSTITUTE(SUBSTITUTE(D150,".",""),"/",""),"-","")," ",""))&lt;&gt;14,"CNPJ INVALIDO","OK"))</f>
      </c>
      <c r="Y150" s="3056">
        <f>IF(A150="","",IF(R150="","REST PENDENTE","REST OK"))</f>
      </c>
      <c r="Z150" s="3056">
        <f>IF(A150="","",IF(AND(R150&lt;&gt;"",COUNTIFS($D$3:$D$164,D150,$R$3:$R$164,"&lt;&gt;")&gt;1),"DUPLICADO","OK"))</f>
      </c>
      <c r="AA150" s="3056">
        <f>IF(A150="","",IF(OR(LEN(Q150)&gt;180,LEN(R150)&gt;180,LEN(S150)&gt;180,LEN(T150)&gt;180),"CAMINHO LONGO","OK"))</f>
      </c>
      <c r="AB150" s="3056">
        <f>IF(A150="","",IF(U150="","",IFERROR(INT(U150-TODAY()),"")))</f>
      </c>
      <c r="AC150" s="3056">
        <f>IF(A150="","",IF(AND(T150="",U150=""),"",IF(T150="","SEM CAMINHO",IF(U150="","SEM DATA",IFERROR(IF(AB150&lt;15,"VERMELHO",IF(AB150&lt;=30,"AMARELO","VERDE")),"DATA INVALIDA")))))</f>
      </c>
      <c r="AD150" s="3056">
        <f>IF(OR(A150="",U150="",NOT(ISNUMBER(AB150))),"",RANK(AB150,$AB$3:$AB$164,1)+COUNTIFS($AB$3:AB150,AB150)-1)</f>
      </c>
      <c r="AE150" s="1736"/>
    </row>
    <row r="151" ht="22.0" customHeight="true" hidden="false">
      <c r="A151" s="3069"/>
      <c r="B151" s="3068"/>
      <c r="C151" s="3068"/>
      <c r="D151" s="3068"/>
      <c r="E151" s="3068"/>
      <c r="F151" s="3068"/>
      <c r="G151" s="3068"/>
      <c r="H151" s="3068"/>
      <c r="I151" s="3068"/>
      <c r="J151" s="3068"/>
      <c r="K151" s="3068"/>
      <c r="L151" s="3068"/>
      <c r="M151" s="3068"/>
      <c r="N151" s="3068"/>
      <c r="O151" s="3068"/>
      <c r="P151" s="3068"/>
      <c r="Q151" s="3071"/>
      <c r="R151" s="3071"/>
      <c r="S151" s="3071"/>
      <c r="T151" s="3071"/>
      <c r="U151" s="3072"/>
      <c r="V151" s="3068"/>
      <c r="W151" s="3068"/>
      <c r="X151" s="3056">
        <f>IF(A151="","",IF(LEN(SUBSTITUTE(SUBSTITUTE(SUBSTITUTE(SUBSTITUTE(D151,".",""),"/",""),"-","")," ",""))&lt;&gt;14,"CNPJ INVALIDO","OK"))</f>
      </c>
      <c r="Y151" s="3056">
        <f>IF(A151="","",IF(R151="","REST PENDENTE","REST OK"))</f>
      </c>
      <c r="Z151" s="3056">
        <f>IF(A151="","",IF(AND(R151&lt;&gt;"",COUNTIFS($D$3:$D$164,D151,$R$3:$R$164,"&lt;&gt;")&gt;1),"DUPLICADO","OK"))</f>
      </c>
      <c r="AA151" s="3056">
        <f>IF(A151="","",IF(OR(LEN(Q151)&gt;180,LEN(R151)&gt;180,LEN(S151)&gt;180,LEN(T151)&gt;180),"CAMINHO LONGO","OK"))</f>
      </c>
      <c r="AB151" s="3056">
        <f>IF(A151="","",IF(U151="","",IFERROR(INT(U151-TODAY()),"")))</f>
      </c>
      <c r="AC151" s="3056">
        <f>IF(A151="","",IF(AND(T151="",U151=""),"",IF(T151="","SEM CAMINHO",IF(U151="","SEM DATA",IFERROR(IF(AB151&lt;15,"VERMELHO",IF(AB151&lt;=30,"AMARELO","VERDE")),"DATA INVALIDA")))))</f>
      </c>
      <c r="AD151" s="3056">
        <f>IF(OR(A151="",U151="",NOT(ISNUMBER(AB151))),"",RANK(AB151,$AB$3:$AB$164,1)+COUNTIFS($AB$3:AB151,AB151)-1)</f>
      </c>
      <c r="AE151" s="1736"/>
    </row>
    <row r="152" ht="22.0" customHeight="true" hidden="false">
      <c r="A152" s="3074"/>
      <c r="B152" s="3073"/>
      <c r="C152" s="3073"/>
      <c r="D152" s="3073"/>
      <c r="E152" s="3073"/>
      <c r="F152" s="3073"/>
      <c r="G152" s="3073"/>
      <c r="H152" s="3073"/>
      <c r="I152" s="3073"/>
      <c r="J152" s="3073"/>
      <c r="K152" s="3073"/>
      <c r="L152" s="3073"/>
      <c r="M152" s="3073"/>
      <c r="N152" s="3073"/>
      <c r="O152" s="3073"/>
      <c r="P152" s="3073"/>
      <c r="Q152" s="3076"/>
      <c r="R152" s="3076"/>
      <c r="S152" s="3076"/>
      <c r="T152" s="3076"/>
      <c r="U152" s="3077"/>
      <c r="V152" s="3073"/>
      <c r="W152" s="3073"/>
      <c r="X152" s="3056">
        <f>IF(A152="","",IF(LEN(SUBSTITUTE(SUBSTITUTE(SUBSTITUTE(SUBSTITUTE(D152,".",""),"/",""),"-","")," ",""))&lt;&gt;14,"CNPJ INVALIDO","OK"))</f>
      </c>
      <c r="Y152" s="3056">
        <f>IF(A152="","",IF(R152="","REST PENDENTE","REST OK"))</f>
      </c>
      <c r="Z152" s="3056">
        <f>IF(A152="","",IF(AND(R152&lt;&gt;"",COUNTIFS($D$3:$D$164,D152,$R$3:$R$164,"&lt;&gt;")&gt;1),"DUPLICADO","OK"))</f>
      </c>
      <c r="AA152" s="3056">
        <f>IF(A152="","",IF(OR(LEN(Q152)&gt;180,LEN(R152)&gt;180,LEN(S152)&gt;180,LEN(T152)&gt;180),"CAMINHO LONGO","OK"))</f>
      </c>
      <c r="AB152" s="3056">
        <f>IF(A152="","",IF(U152="","",IFERROR(INT(U152-TODAY()),"")))</f>
      </c>
      <c r="AC152" s="3056">
        <f>IF(A152="","",IF(AND(T152="",U152=""),"",IF(T152="","SEM CAMINHO",IF(U152="","SEM DATA",IFERROR(IF(AB152&lt;15,"VERMELHO",IF(AB152&lt;=30,"AMARELO","VERDE")),"DATA INVALIDA")))))</f>
      </c>
      <c r="AD152" s="3056">
        <f>IF(OR(A152="",U152="",NOT(ISNUMBER(AB152))),"",RANK(AB152,$AB$3:$AB$164,1)+COUNTIFS($AB$3:AB152,AB152)-1)</f>
      </c>
      <c r="AE152" s="1736"/>
    </row>
    <row r="153" ht="22.0" customHeight="true" hidden="false">
      <c r="A153" s="3069"/>
      <c r="B153" s="3068"/>
      <c r="C153" s="3068"/>
      <c r="D153" s="3068"/>
      <c r="E153" s="3068"/>
      <c r="F153" s="3068"/>
      <c r="G153" s="3068"/>
      <c r="H153" s="3068"/>
      <c r="I153" s="3068"/>
      <c r="J153" s="3068"/>
      <c r="K153" s="3068"/>
      <c r="L153" s="3068"/>
      <c r="M153" s="3068"/>
      <c r="N153" s="3068"/>
      <c r="O153" s="3068"/>
      <c r="P153" s="3068"/>
      <c r="Q153" s="3071"/>
      <c r="R153" s="3071"/>
      <c r="S153" s="3071"/>
      <c r="T153" s="3071"/>
      <c r="U153" s="3072"/>
      <c r="V153" s="3068"/>
      <c r="W153" s="3068"/>
      <c r="X153" s="3056">
        <f>IF(A153="","",IF(LEN(SUBSTITUTE(SUBSTITUTE(SUBSTITUTE(SUBSTITUTE(D153,".",""),"/",""),"-","")," ",""))&lt;&gt;14,"CNPJ INVALIDO","OK"))</f>
      </c>
      <c r="Y153" s="3056">
        <f>IF(A153="","",IF(R153="","REST PENDENTE","REST OK"))</f>
      </c>
      <c r="Z153" s="3056">
        <f>IF(A153="","",IF(AND(R153&lt;&gt;"",COUNTIFS($D$3:$D$164,D153,$R$3:$R$164,"&lt;&gt;")&gt;1),"DUPLICADO","OK"))</f>
      </c>
      <c r="AA153" s="3056">
        <f>IF(A153="","",IF(OR(LEN(Q153)&gt;180,LEN(R153)&gt;180,LEN(S153)&gt;180,LEN(T153)&gt;180),"CAMINHO LONGO","OK"))</f>
      </c>
      <c r="AB153" s="3056">
        <f>IF(A153="","",IF(U153="","",IFERROR(INT(U153-TODAY()),"")))</f>
      </c>
      <c r="AC153" s="3056">
        <f>IF(A153="","",IF(AND(T153="",U153=""),"",IF(T153="","SEM CAMINHO",IF(U153="","SEM DATA",IFERROR(IF(AB153&lt;15,"VERMELHO",IF(AB153&lt;=30,"AMARELO","VERDE")),"DATA INVALIDA")))))</f>
      </c>
      <c r="AD153" s="3056">
        <f>IF(OR(A153="",U153="",NOT(ISNUMBER(AB153))),"",RANK(AB153,$AB$3:$AB$164,1)+COUNTIFS($AB$3:AB153,AB153)-1)</f>
      </c>
      <c r="AE153" s="1736"/>
    </row>
    <row r="154" ht="22.0" customHeight="true" hidden="false">
      <c r="A154" s="3074"/>
      <c r="B154" s="3073"/>
      <c r="C154" s="3073"/>
      <c r="D154" s="3073"/>
      <c r="E154" s="3073"/>
      <c r="F154" s="3073"/>
      <c r="G154" s="3073"/>
      <c r="H154" s="3073"/>
      <c r="I154" s="3073"/>
      <c r="J154" s="3073"/>
      <c r="K154" s="3073"/>
      <c r="L154" s="3073"/>
      <c r="M154" s="3073"/>
      <c r="N154" s="3073"/>
      <c r="O154" s="3073"/>
      <c r="P154" s="3073"/>
      <c r="Q154" s="3076"/>
      <c r="R154" s="3076"/>
      <c r="S154" s="3076"/>
      <c r="T154" s="3076"/>
      <c r="U154" s="3077"/>
      <c r="V154" s="3073"/>
      <c r="W154" s="3073"/>
      <c r="X154" s="3056">
        <f>IF(A154="","",IF(LEN(SUBSTITUTE(SUBSTITUTE(SUBSTITUTE(SUBSTITUTE(D154,".",""),"/",""),"-","")," ",""))&lt;&gt;14,"CNPJ INVALIDO","OK"))</f>
      </c>
      <c r="Y154" s="3056">
        <f>IF(A154="","",IF(R154="","REST PENDENTE","REST OK"))</f>
      </c>
      <c r="Z154" s="3056">
        <f>IF(A154="","",IF(AND(R154&lt;&gt;"",COUNTIFS($D$3:$D$164,D154,$R$3:$R$164,"&lt;&gt;")&gt;1),"DUPLICADO","OK"))</f>
      </c>
      <c r="AA154" s="3056">
        <f>IF(A154="","",IF(OR(LEN(Q154)&gt;180,LEN(R154)&gt;180,LEN(S154)&gt;180,LEN(T154)&gt;180),"CAMINHO LONGO","OK"))</f>
      </c>
      <c r="AB154" s="3056">
        <f>IF(A154="","",IF(U154="","",IFERROR(INT(U154-TODAY()),"")))</f>
      </c>
      <c r="AC154" s="3056">
        <f>IF(A154="","",IF(AND(T154="",U154=""),"",IF(T154="","SEM CAMINHO",IF(U154="","SEM DATA",IFERROR(IF(AB154&lt;15,"VERMELHO",IF(AB154&lt;=30,"AMARELO","VERDE")),"DATA INVALIDA")))))</f>
      </c>
      <c r="AD154" s="3056">
        <f>IF(OR(A154="",U154="",NOT(ISNUMBER(AB154))),"",RANK(AB154,$AB$3:$AB$164,1)+COUNTIFS($AB$3:AB154,AB154)-1)</f>
      </c>
      <c r="AE154" s="1736"/>
    </row>
    <row r="155" ht="22.0" customHeight="true" hidden="false">
      <c r="A155" s="3069"/>
      <c r="B155" s="3068"/>
      <c r="C155" s="3068"/>
      <c r="D155" s="3068"/>
      <c r="E155" s="3068"/>
      <c r="F155" s="3068"/>
      <c r="G155" s="3068"/>
      <c r="H155" s="3068"/>
      <c r="I155" s="3068"/>
      <c r="J155" s="3068"/>
      <c r="K155" s="3068"/>
      <c r="L155" s="3068"/>
      <c r="M155" s="3068"/>
      <c r="N155" s="3068"/>
      <c r="O155" s="3068"/>
      <c r="P155" s="3068"/>
      <c r="Q155" s="3071"/>
      <c r="R155" s="3071"/>
      <c r="S155" s="3071"/>
      <c r="T155" s="3071"/>
      <c r="U155" s="3072"/>
      <c r="V155" s="3068"/>
      <c r="W155" s="3068"/>
      <c r="X155" s="3056">
        <f>IF(A155="","",IF(LEN(SUBSTITUTE(SUBSTITUTE(SUBSTITUTE(SUBSTITUTE(D155,".",""),"/",""),"-","")," ",""))&lt;&gt;14,"CNPJ INVALIDO","OK"))</f>
      </c>
      <c r="Y155" s="3056">
        <f>IF(A155="","",IF(R155="","REST PENDENTE","REST OK"))</f>
      </c>
      <c r="Z155" s="3056">
        <f>IF(A155="","",IF(AND(R155&lt;&gt;"",COUNTIFS($D$3:$D$164,D155,$R$3:$R$164,"&lt;&gt;")&gt;1),"DUPLICADO","OK"))</f>
      </c>
      <c r="AA155" s="3056">
        <f>IF(A155="","",IF(OR(LEN(Q155)&gt;180,LEN(R155)&gt;180,LEN(S155)&gt;180,LEN(T155)&gt;180),"CAMINHO LONGO","OK"))</f>
      </c>
      <c r="AB155" s="3056">
        <f>IF(A155="","",IF(U155="","",IFERROR(INT(U155-TODAY()),"")))</f>
      </c>
      <c r="AC155" s="3056">
        <f>IF(A155="","",IF(AND(T155="",U155=""),"",IF(T155="","SEM CAMINHO",IF(U155="","SEM DATA",IFERROR(IF(AB155&lt;15,"VERMELHO",IF(AB155&lt;=30,"AMARELO","VERDE")),"DATA INVALIDA")))))</f>
      </c>
      <c r="AD155" s="3056">
        <f>IF(OR(A155="",U155="",NOT(ISNUMBER(AB155))),"",RANK(AB155,$AB$3:$AB$164,1)+COUNTIFS($AB$3:AB155,AB155)-1)</f>
      </c>
      <c r="AE155" s="1736"/>
    </row>
    <row r="156" ht="22.0" customHeight="true" hidden="false">
      <c r="A156" s="3074"/>
      <c r="B156" s="3073"/>
      <c r="C156" s="3073"/>
      <c r="D156" s="3073"/>
      <c r="E156" s="3073"/>
      <c r="F156" s="3073"/>
      <c r="G156" s="3073"/>
      <c r="H156" s="3073"/>
      <c r="I156" s="3073"/>
      <c r="J156" s="3073"/>
      <c r="K156" s="3073"/>
      <c r="L156" s="3073"/>
      <c r="M156" s="3073"/>
      <c r="N156" s="3073"/>
      <c r="O156" s="3073"/>
      <c r="P156" s="3073"/>
      <c r="Q156" s="3076"/>
      <c r="R156" s="3076"/>
      <c r="S156" s="3076"/>
      <c r="T156" s="3076"/>
      <c r="U156" s="3077"/>
      <c r="V156" s="3073"/>
      <c r="W156" s="3073"/>
      <c r="X156" s="3056">
        <f>IF(A156="","",IF(LEN(SUBSTITUTE(SUBSTITUTE(SUBSTITUTE(SUBSTITUTE(D156,".",""),"/",""),"-","")," ",""))&lt;&gt;14,"CNPJ INVALIDO","OK"))</f>
      </c>
      <c r="Y156" s="3056">
        <f>IF(A156="","",IF(R156="","REST PENDENTE","REST OK"))</f>
      </c>
      <c r="Z156" s="3056">
        <f>IF(A156="","",IF(AND(R156&lt;&gt;"",COUNTIFS($D$3:$D$164,D156,$R$3:$R$164,"&lt;&gt;")&gt;1),"DUPLICADO","OK"))</f>
      </c>
      <c r="AA156" s="3056">
        <f>IF(A156="","",IF(OR(LEN(Q156)&gt;180,LEN(R156)&gt;180,LEN(S156)&gt;180,LEN(T156)&gt;180),"CAMINHO LONGO","OK"))</f>
      </c>
      <c r="AB156" s="3056">
        <f>IF(A156="","",IF(U156="","",IFERROR(INT(U156-TODAY()),"")))</f>
      </c>
      <c r="AC156" s="3056">
        <f>IF(A156="","",IF(AND(T156="",U156=""),"",IF(T156="","SEM CAMINHO",IF(U156="","SEM DATA",IFERROR(IF(AB156&lt;15,"VERMELHO",IF(AB156&lt;=30,"AMARELO","VERDE")),"DATA INVALIDA")))))</f>
      </c>
      <c r="AD156" s="3056">
        <f>IF(OR(A156="",U156="",NOT(ISNUMBER(AB156))),"",RANK(AB156,$AB$3:$AB$164,1)+COUNTIFS($AB$3:AB156,AB156)-1)</f>
      </c>
      <c r="AE156" s="1736"/>
    </row>
    <row r="157" ht="22.0" customHeight="true" hidden="false">
      <c r="A157" s="3069"/>
      <c r="B157" s="3068"/>
      <c r="C157" s="3068"/>
      <c r="D157" s="3068"/>
      <c r="E157" s="3068"/>
      <c r="F157" s="3068"/>
      <c r="G157" s="3068"/>
      <c r="H157" s="3068"/>
      <c r="I157" s="3068"/>
      <c r="J157" s="3068"/>
      <c r="K157" s="3068"/>
      <c r="L157" s="3068"/>
      <c r="M157" s="3068"/>
      <c r="N157" s="3068"/>
      <c r="O157" s="3068"/>
      <c r="P157" s="3068"/>
      <c r="Q157" s="3071"/>
      <c r="R157" s="3071"/>
      <c r="S157" s="3071"/>
      <c r="T157" s="3071"/>
      <c r="U157" s="3072"/>
      <c r="V157" s="3068"/>
      <c r="W157" s="3068"/>
      <c r="X157" s="3056">
        <f>IF(A157="","",IF(LEN(SUBSTITUTE(SUBSTITUTE(SUBSTITUTE(SUBSTITUTE(D157,".",""),"/",""),"-","")," ",""))&lt;&gt;14,"CNPJ INVALIDO","OK"))</f>
      </c>
      <c r="Y157" s="3056">
        <f>IF(A157="","",IF(R157="","REST PENDENTE","REST OK"))</f>
      </c>
      <c r="Z157" s="3056">
        <f>IF(A157="","",IF(AND(R157&lt;&gt;"",COUNTIFS($D$3:$D$164,D157,$R$3:$R$164,"&lt;&gt;")&gt;1),"DUPLICADO","OK"))</f>
      </c>
      <c r="AA157" s="3056">
        <f>IF(A157="","",IF(OR(LEN(Q157)&gt;180,LEN(R157)&gt;180,LEN(S157)&gt;180,LEN(T157)&gt;180),"CAMINHO LONGO","OK"))</f>
      </c>
      <c r="AB157" s="3056">
        <f>IF(A157="","",IF(U157="","",IFERROR(INT(U157-TODAY()),"")))</f>
      </c>
      <c r="AC157" s="3056">
        <f>IF(A157="","",IF(AND(T157="",U157=""),"",IF(T157="","SEM CAMINHO",IF(U157="","SEM DATA",IFERROR(IF(AB157&lt;15,"VERMELHO",IF(AB157&lt;=30,"AMARELO","VERDE")),"DATA INVALIDA")))))</f>
      </c>
      <c r="AD157" s="3056">
        <f>IF(OR(A157="",U157="",NOT(ISNUMBER(AB157))),"",RANK(AB157,$AB$3:$AB$164,1)+COUNTIFS($AB$3:AB157,AB157)-1)</f>
      </c>
      <c r="AE157" s="1736"/>
    </row>
    <row r="158" ht="22.0" customHeight="true" hidden="false">
      <c r="A158" s="3074"/>
      <c r="B158" s="3073"/>
      <c r="C158" s="3073"/>
      <c r="D158" s="3073"/>
      <c r="E158" s="3073"/>
      <c r="F158" s="3073"/>
      <c r="G158" s="3073"/>
      <c r="H158" s="3073"/>
      <c r="I158" s="3073"/>
      <c r="J158" s="3073"/>
      <c r="K158" s="3073"/>
      <c r="L158" s="3073"/>
      <c r="M158" s="3073"/>
      <c r="N158" s="3073"/>
      <c r="O158" s="3073"/>
      <c r="P158" s="3073"/>
      <c r="Q158" s="3076"/>
      <c r="R158" s="3076"/>
      <c r="S158" s="3076"/>
      <c r="T158" s="3076"/>
      <c r="U158" s="3077"/>
      <c r="V158" s="3073"/>
      <c r="W158" s="3073"/>
      <c r="X158" s="3056">
        <f>IF(A158="","",IF(LEN(SUBSTITUTE(SUBSTITUTE(SUBSTITUTE(SUBSTITUTE(D158,".",""),"/",""),"-","")," ",""))&lt;&gt;14,"CNPJ INVALIDO","OK"))</f>
      </c>
      <c r="Y158" s="3056">
        <f>IF(A158="","",IF(R158="","REST PENDENTE","REST OK"))</f>
      </c>
      <c r="Z158" s="3056">
        <f>IF(A158="","",IF(AND(R158&lt;&gt;"",COUNTIFS($D$3:$D$164,D158,$R$3:$R$164,"&lt;&gt;")&gt;1),"DUPLICADO","OK"))</f>
      </c>
      <c r="AA158" s="3056">
        <f>IF(A158="","",IF(OR(LEN(Q158)&gt;180,LEN(R158)&gt;180,LEN(S158)&gt;180,LEN(T158)&gt;180),"CAMINHO LONGO","OK"))</f>
      </c>
      <c r="AB158" s="3056">
        <f>IF(A158="","",IF(U158="","",IFERROR(INT(U158-TODAY()),"")))</f>
      </c>
      <c r="AC158" s="3056">
        <f>IF(A158="","",IF(AND(T158="",U158=""),"",IF(T158="","SEM CAMINHO",IF(U158="","SEM DATA",IFERROR(IF(AB158&lt;15,"VERMELHO",IF(AB158&lt;=30,"AMARELO","VERDE")),"DATA INVALIDA")))))</f>
      </c>
      <c r="AD158" s="3056">
        <f>IF(OR(A158="",U158="",NOT(ISNUMBER(AB158))),"",RANK(AB158,$AB$3:$AB$164,1)+COUNTIFS($AB$3:AB158,AB158)-1)</f>
      </c>
      <c r="AE158" s="1736"/>
    </row>
    <row r="159" ht="22.0" customHeight="true" hidden="false">
      <c r="A159" s="3069"/>
      <c r="B159" s="3068"/>
      <c r="C159" s="3068"/>
      <c r="D159" s="3068"/>
      <c r="E159" s="3068"/>
      <c r="F159" s="3068"/>
      <c r="G159" s="3068"/>
      <c r="H159" s="3068"/>
      <c r="I159" s="3068"/>
      <c r="J159" s="3068"/>
      <c r="K159" s="3068"/>
      <c r="L159" s="3068"/>
      <c r="M159" s="3068"/>
      <c r="N159" s="3068"/>
      <c r="O159" s="3068"/>
      <c r="P159" s="3068"/>
      <c r="Q159" s="3071"/>
      <c r="R159" s="3071"/>
      <c r="S159" s="3071"/>
      <c r="T159" s="3071"/>
      <c r="U159" s="3072"/>
      <c r="V159" s="3068"/>
      <c r="W159" s="3068"/>
      <c r="X159" s="3056">
        <f>IF(A159="","",IF(LEN(SUBSTITUTE(SUBSTITUTE(SUBSTITUTE(SUBSTITUTE(D159,".",""),"/",""),"-","")," ",""))&lt;&gt;14,"CNPJ INVALIDO","OK"))</f>
      </c>
      <c r="Y159" s="3056">
        <f>IF(A159="","",IF(R159="","REST PENDENTE","REST OK"))</f>
      </c>
      <c r="Z159" s="3056">
        <f>IF(A159="","",IF(AND(R159&lt;&gt;"",COUNTIFS($D$3:$D$164,D159,$R$3:$R$164,"&lt;&gt;")&gt;1),"DUPLICADO","OK"))</f>
      </c>
      <c r="AA159" s="3056">
        <f>IF(A159="","",IF(OR(LEN(Q159)&gt;180,LEN(R159)&gt;180,LEN(S159)&gt;180,LEN(T159)&gt;180),"CAMINHO LONGO","OK"))</f>
      </c>
      <c r="AB159" s="3056">
        <f>IF(A159="","",IF(U159="","",IFERROR(INT(U159-TODAY()),"")))</f>
      </c>
      <c r="AC159" s="3056">
        <f>IF(A159="","",IF(AND(T159="",U159=""),"",IF(T159="","SEM CAMINHO",IF(U159="","SEM DATA",IFERROR(IF(AB159&lt;15,"VERMELHO",IF(AB159&lt;=30,"AMARELO","VERDE")),"DATA INVALIDA")))))</f>
      </c>
      <c r="AD159" s="3056">
        <f>IF(OR(A159="",U159="",NOT(ISNUMBER(AB159))),"",RANK(AB159,$AB$3:$AB$164,1)+COUNTIFS($AB$3:AB159,AB159)-1)</f>
      </c>
      <c r="AE159" s="1736"/>
    </row>
    <row r="160" ht="22.0" customHeight="true" hidden="false">
      <c r="A160" s="3074"/>
      <c r="B160" s="3073"/>
      <c r="C160" s="3073"/>
      <c r="D160" s="3073"/>
      <c r="E160" s="3073"/>
      <c r="F160" s="3073"/>
      <c r="G160" s="3073"/>
      <c r="H160" s="3073"/>
      <c r="I160" s="3073"/>
      <c r="J160" s="3073"/>
      <c r="K160" s="3073"/>
      <c r="L160" s="3073"/>
      <c r="M160" s="3073"/>
      <c r="N160" s="3073"/>
      <c r="O160" s="3073"/>
      <c r="P160" s="3073"/>
      <c r="Q160" s="3076"/>
      <c r="R160" s="3076"/>
      <c r="S160" s="3076"/>
      <c r="T160" s="3076"/>
      <c r="U160" s="3077"/>
      <c r="V160" s="3073"/>
      <c r="W160" s="3073"/>
      <c r="X160" s="3056">
        <f>IF(A160="","",IF(LEN(SUBSTITUTE(SUBSTITUTE(SUBSTITUTE(SUBSTITUTE(D160,".",""),"/",""),"-","")," ",""))&lt;&gt;14,"CNPJ INVALIDO","OK"))</f>
      </c>
      <c r="Y160" s="3056">
        <f>IF(A160="","",IF(R160="","REST PENDENTE","REST OK"))</f>
      </c>
      <c r="Z160" s="3056">
        <f>IF(A160="","",IF(AND(R160&lt;&gt;"",COUNTIFS($D$3:$D$164,D160,$R$3:$R$164,"&lt;&gt;")&gt;1),"DUPLICADO","OK"))</f>
      </c>
      <c r="AA160" s="3056">
        <f>IF(A160="","",IF(OR(LEN(Q160)&gt;180,LEN(R160)&gt;180,LEN(S160)&gt;180,LEN(T160)&gt;180),"CAMINHO LONGO","OK"))</f>
      </c>
      <c r="AB160" s="3056">
        <f>IF(A160="","",IF(U160="","",IFERROR(INT(U160-TODAY()),"")))</f>
      </c>
      <c r="AC160" s="3056">
        <f>IF(A160="","",IF(AND(T160="",U160=""),"",IF(T160="","SEM CAMINHO",IF(U160="","SEM DATA",IFERROR(IF(AB160&lt;15,"VERMELHO",IF(AB160&lt;=30,"AMARELO","VERDE")),"DATA INVALIDA")))))</f>
      </c>
      <c r="AD160" s="3056">
        <f>IF(OR(A160="",U160="",NOT(ISNUMBER(AB160))),"",RANK(AB160,$AB$3:$AB$164,1)+COUNTIFS($AB$3:AB160,AB160)-1)</f>
      </c>
      <c r="AE160" s="1736"/>
    </row>
    <row r="161" ht="22.0" customHeight="true" hidden="false">
      <c r="A161" s="3069"/>
      <c r="B161" s="3068"/>
      <c r="C161" s="3068"/>
      <c r="D161" s="3068"/>
      <c r="E161" s="3068"/>
      <c r="F161" s="3068"/>
      <c r="G161" s="3068"/>
      <c r="H161" s="3068"/>
      <c r="I161" s="3068"/>
      <c r="J161" s="3068"/>
      <c r="K161" s="3068"/>
      <c r="L161" s="3068"/>
      <c r="M161" s="3068"/>
      <c r="N161" s="3068"/>
      <c r="O161" s="3068"/>
      <c r="P161" s="3068"/>
      <c r="Q161" s="3071"/>
      <c r="R161" s="3071"/>
      <c r="S161" s="3071"/>
      <c r="T161" s="3071"/>
      <c r="U161" s="3072"/>
      <c r="V161" s="3068"/>
      <c r="W161" s="3068"/>
      <c r="X161" s="3056">
        <f>IF(A161="","",IF(LEN(SUBSTITUTE(SUBSTITUTE(SUBSTITUTE(SUBSTITUTE(D161,".",""),"/",""),"-","")," ",""))&lt;&gt;14,"CNPJ INVALIDO","OK"))</f>
      </c>
      <c r="Y161" s="3056">
        <f>IF(A161="","",IF(R161="","REST PENDENTE","REST OK"))</f>
      </c>
      <c r="Z161" s="3056">
        <f>IF(A161="","",IF(AND(R161&lt;&gt;"",COUNTIFS($D$3:$D$164,D161,$R$3:$R$164,"&lt;&gt;")&gt;1),"DUPLICADO","OK"))</f>
      </c>
      <c r="AA161" s="3056">
        <f>IF(A161="","",IF(OR(LEN(Q161)&gt;180,LEN(R161)&gt;180,LEN(S161)&gt;180,LEN(T161)&gt;180),"CAMINHO LONGO","OK"))</f>
      </c>
      <c r="AB161" s="3056">
        <f>IF(A161="","",IF(U161="","",IFERROR(INT(U161-TODAY()),"")))</f>
      </c>
      <c r="AC161" s="3056">
        <f>IF(A161="","",IF(AND(T161="",U161=""),"",IF(T161="","SEM CAMINHO",IF(U161="","SEM DATA",IFERROR(IF(AB161&lt;15,"VERMELHO",IF(AB161&lt;=30,"AMARELO","VERDE")),"DATA INVALIDA")))))</f>
      </c>
      <c r="AD161" s="3056">
        <f>IF(OR(A161="",U161="",NOT(ISNUMBER(AB161))),"",RANK(AB161,$AB$3:$AB$164,1)+COUNTIFS($AB$3:AB161,AB161)-1)</f>
      </c>
      <c r="AE161" s="1736"/>
    </row>
    <row r="162" ht="22.0" customHeight="true" hidden="false">
      <c r="A162" s="3074"/>
      <c r="B162" s="3073"/>
      <c r="C162" s="3073"/>
      <c r="D162" s="3073"/>
      <c r="E162" s="3073"/>
      <c r="F162" s="3073"/>
      <c r="G162" s="3073"/>
      <c r="H162" s="3073"/>
      <c r="I162" s="3073"/>
      <c r="J162" s="3073"/>
      <c r="K162" s="3073"/>
      <c r="L162" s="3073"/>
      <c r="M162" s="3073"/>
      <c r="N162" s="3073"/>
      <c r="O162" s="3073"/>
      <c r="P162" s="3073"/>
      <c r="Q162" s="3076"/>
      <c r="R162" s="3076"/>
      <c r="S162" s="3076"/>
      <c r="T162" s="3076"/>
      <c r="U162" s="3077"/>
      <c r="V162" s="3073"/>
      <c r="W162" s="3073"/>
      <c r="X162" s="3056">
        <f>IF(A162="","",IF(LEN(SUBSTITUTE(SUBSTITUTE(SUBSTITUTE(SUBSTITUTE(D162,".",""),"/",""),"-","")," ",""))&lt;&gt;14,"CNPJ INVALIDO","OK"))</f>
      </c>
      <c r="Y162" s="3056">
        <f>IF(A162="","",IF(R162="","REST PENDENTE","REST OK"))</f>
      </c>
      <c r="Z162" s="3056">
        <f>IF(A162="","",IF(AND(R162&lt;&gt;"",COUNTIFS($D$3:$D$164,D162,$R$3:$R$164,"&lt;&gt;")&gt;1),"DUPLICADO","OK"))</f>
      </c>
      <c r="AA162" s="3056">
        <f>IF(A162="","",IF(OR(LEN(Q162)&gt;180,LEN(R162)&gt;180,LEN(S162)&gt;180,LEN(T162)&gt;180),"CAMINHO LONGO","OK"))</f>
      </c>
      <c r="AB162" s="3056">
        <f>IF(A162="","",IF(U162="","",IFERROR(INT(U162-TODAY()),"")))</f>
      </c>
      <c r="AC162" s="3056">
        <f>IF(A162="","",IF(AND(T162="",U162=""),"",IF(T162="","SEM CAMINHO",IF(U162="","SEM DATA",IFERROR(IF(AB162&lt;15,"VERMELHO",IF(AB162&lt;=30,"AMARELO","VERDE")),"DATA INVALIDA")))))</f>
      </c>
      <c r="AD162" s="3056">
        <f>IF(OR(A162="",U162="",NOT(ISNUMBER(AB162))),"",RANK(AB162,$AB$3:$AB$164,1)+COUNTIFS($AB$3:AB162,AB162)-1)</f>
      </c>
      <c r="AE162" s="1736"/>
    </row>
    <row r="163" ht="22.0" customHeight="true" hidden="false">
      <c r="A163" s="3069"/>
      <c r="B163" s="3068"/>
      <c r="C163" s="3068"/>
      <c r="D163" s="3068"/>
      <c r="E163" s="3068"/>
      <c r="F163" s="3068"/>
      <c r="G163" s="3068"/>
      <c r="H163" s="3068"/>
      <c r="I163" s="3068"/>
      <c r="J163" s="3068"/>
      <c r="K163" s="3068"/>
      <c r="L163" s="3068"/>
      <c r="M163" s="3068"/>
      <c r="N163" s="3068"/>
      <c r="O163" s="3068"/>
      <c r="P163" s="3068"/>
      <c r="Q163" s="3071"/>
      <c r="R163" s="3071"/>
      <c r="S163" s="3071"/>
      <c r="T163" s="3071"/>
      <c r="U163" s="3072"/>
      <c r="V163" s="3068"/>
      <c r="W163" s="3068"/>
      <c r="X163" s="3056">
        <f>IF(A163="","",IF(LEN(SUBSTITUTE(SUBSTITUTE(SUBSTITUTE(SUBSTITUTE(D163,".",""),"/",""),"-","")," ",""))&lt;&gt;14,"CNPJ INVALIDO","OK"))</f>
      </c>
      <c r="Y163" s="3056">
        <f>IF(A163="","",IF(R163="","REST PENDENTE","REST OK"))</f>
      </c>
      <c r="Z163" s="3056">
        <f>IF(A163="","",IF(AND(R163&lt;&gt;"",COUNTIFS($D$3:$D$164,D163,$R$3:$R$164,"&lt;&gt;")&gt;1),"DUPLICADO","OK"))</f>
      </c>
      <c r="AA163" s="3056">
        <f>IF(A163="","",IF(OR(LEN(Q163)&gt;180,LEN(R163)&gt;180,LEN(S163)&gt;180,LEN(T163)&gt;180),"CAMINHO LONGO","OK"))</f>
      </c>
      <c r="AB163" s="3056">
        <f>IF(A163="","",IF(U163="","",IFERROR(INT(U163-TODAY()),"")))</f>
      </c>
      <c r="AC163" s="3056">
        <f>IF(A163="","",IF(AND(T163="",U163=""),"",IF(T163="","SEM CAMINHO",IF(U163="","SEM DATA",IFERROR(IF(AB163&lt;15,"VERMELHO",IF(AB163&lt;=30,"AMARELO","VERDE")),"DATA INVALIDA")))))</f>
      </c>
      <c r="AD163" s="3056">
        <f>IF(OR(A163="",U163="",NOT(ISNUMBER(AB163))),"",RANK(AB163,$AB$3:$AB$164,1)+COUNTIFS($AB$3:AB163,AB163)-1)</f>
      </c>
      <c r="AE163" s="1736"/>
    </row>
    <row r="164" ht="22.0" customHeight="true" hidden="false">
      <c r="A164" s="3074"/>
      <c r="B164" s="3073"/>
      <c r="C164" s="3073"/>
      <c r="D164" s="3073"/>
      <c r="E164" s="3073"/>
      <c r="F164" s="3073"/>
      <c r="G164" s="3073"/>
      <c r="H164" s="3073"/>
      <c r="I164" s="3073"/>
      <c r="J164" s="3073"/>
      <c r="K164" s="3073"/>
      <c r="L164" s="3073"/>
      <c r="M164" s="3073"/>
      <c r="N164" s="3073"/>
      <c r="O164" s="3073"/>
      <c r="P164" s="3073"/>
      <c r="Q164" s="3076"/>
      <c r="R164" s="3076"/>
      <c r="S164" s="3076"/>
      <c r="T164" s="3076"/>
      <c r="U164" s="3077"/>
      <c r="V164" s="3073"/>
      <c r="W164" s="3073"/>
      <c r="X164" s="3056">
        <f>IF(A164="","",IF(LEN(SUBSTITUTE(SUBSTITUTE(SUBSTITUTE(SUBSTITUTE(D164,".",""),"/",""),"-","")," ",""))&lt;&gt;14,"CNPJ INVALIDO","OK"))</f>
      </c>
      <c r="Y164" s="3056">
        <f>IF(A164="","",IF(R164="","REST PENDENTE","REST OK"))</f>
      </c>
      <c r="Z164" s="3056">
        <f>IF(A164="","",IF(AND(R164&lt;&gt;"",COUNTIFS($D$3:$D$164,D164,$R$3:$R$164,"&lt;&gt;")&gt;1),"DUPLICADO","OK"))</f>
      </c>
      <c r="AA164" s="3056">
        <f>IF(A164="","",IF(OR(LEN(Q164)&gt;180,LEN(R164)&gt;180,LEN(S164)&gt;180,LEN(T164)&gt;180),"CAMINHO LONGO","OK"))</f>
      </c>
      <c r="AB164" s="3056">
        <f>IF(A164="","",IF(U164="","",IFERROR(INT(U164-TODAY()),"")))</f>
      </c>
      <c r="AC164" s="3056">
        <f>IF(A164="","",IF(AND(T164="",U164=""),"",IF(T164="","SEM CAMINHO",IF(U164="","SEM DATA",IFERROR(IF(AB164&lt;15,"VERMELHO",IF(AB164&lt;=30,"AMARELO","VERDE")),"DATA INVALIDA")))))</f>
      </c>
      <c r="AD164" s="3056">
        <f>IF(OR(A164="",U164="",NOT(ISNUMBER(AB164))),"",RANK(AB164,$AB$3:$AB$164,1)+COUNTIFS($AB$3:AB164,AB164)-1)</f>
      </c>
      <c r="AE164" s="1736"/>
    </row>
  </sheetData>
  <autoFilter ref="A2:W164"/>
  <mergeCells count="1">
    <mergeCell ref="A1:W1"/>
  </mergeCells>
  <phoneticPr fontId="6" type="noConversion"/>
  <printOptions gridLines="false"/>
  <pageMargins left="0.511811024" right="0.511811024" top="0.78740157499999996" bottom="0.78740157499999996" header="0.31496062000000002" footer="0.31496062000000002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664CF-DAE5-4396-BA73-B978C471E6A7}">
  <sheetPr codeName="Planilha1" filterMode="1"/>
  <dimension ref="A1:AE164"/>
  <sheetViews>
    <sheetView tabSelected="false" workbookViewId="0" showGridLines="false" zoomScale="90">
      <pane ySplit="2.0" topLeftCell="A3" activePane="bottomLeft" state="frozen"/>
      <selection pane="bottomLeft"/>
    </sheetView>
  </sheetViews>
  <sheetFormatPr defaultRowHeight="15" x14ac:dyDescent="0.25"/>
  <cols>
    <col min="1" max="1" customWidth="true" hidden="false" width="52.0"/>
    <col min="2" max="2" customWidth="true" hidden="false" width="22.0"/>
    <col min="3" max="3" customWidth="true" hidden="false" width="26.0"/>
    <col min="4" max="4" customWidth="true" hidden="false" width="20.0"/>
    <col min="5" max="5" customWidth="true" hidden="false" width="17.7109375"/>
    <col min="6" max="6" customWidth="true" hidden="false" width="18.0"/>
    <col min="7" max="7" customWidth="true" hidden="false" width="20.0"/>
    <col min="8" max="8" customWidth="true" hidden="false" width="8.7109375"/>
    <col min="9" max="9" customWidth="true" hidden="false" width="16.7109375"/>
    <col min="10" max="10" customWidth="true" hidden="false" width="10.85546875"/>
    <col min="11" max="11" customWidth="true" hidden="false" width="16.7109375"/>
    <col min="12" max="12" customWidth="true" hidden="false" width="11.7109375"/>
    <col min="13" max="13" customWidth="true" hidden="false" width="16.7109375"/>
    <col min="14" max="14" customWidth="true" hidden="false" width="10.28515625"/>
    <col min="15" max="15" customWidth="true" hidden="false" width="16.7109375"/>
    <col min="16" max="16" customWidth="true" hidden="false" width="13.7109375"/>
    <col min="17" max="17" customWidth="true" hidden="false" width="44.0"/>
    <col min="18" max="18" customWidth="true" hidden="false" width="62.0"/>
    <col min="19" max="19" customWidth="true" hidden="false" width="42.0"/>
    <col min="20" max="20" customWidth="true" hidden="false" width="48.0"/>
    <col min="21" max="21" customWidth="true" hidden="false" width="18.0"/>
    <col min="22" max="22" customWidth="true" hidden="false" width="24.0"/>
    <col min="23" max="23" customWidth="true" hidden="false" width="18.0"/>
    <col min="24" max="24" customWidth="true" hidden="true" width="22.0"/>
    <col min="25" max="25" customWidth="true" hidden="true" width="22.0"/>
    <col min="26" max="26" customWidth="true" hidden="true" width="22.0"/>
    <col min="27" max="27" customWidth="true" hidden="true" width="22.0"/>
    <col min="28" max="28" customWidth="true" hidden="true" width="22.0"/>
    <col min="29" max="29" customWidth="true" hidden="true" width="22.0"/>
    <col min="30" max="30" customWidth="true" hidden="true" width="22.0"/>
    <col min="31" max="31" customWidth="true" hidden="true" width="22.0"/>
  </cols>
  <sheetData>
    <row r="1" spans="1:19" ht="42.0" customHeight="true" x14ac:dyDescent="0.25">
      <c r="A1" s="3037" t="s">
        <v>407</v>
      </c>
      <c r="B1" s="3037"/>
      <c r="C1" s="3037"/>
      <c r="D1" s="3037"/>
      <c r="E1" s="3037"/>
      <c r="F1" s="3037"/>
      <c r="G1" s="3037"/>
      <c r="H1" s="3037"/>
      <c r="I1" s="3037"/>
      <c r="J1" s="3037"/>
      <c r="K1" s="3037"/>
      <c r="L1" s="3037"/>
      <c r="M1" s="3037"/>
      <c r="N1" s="3037"/>
      <c r="O1" s="3037"/>
      <c r="P1" s="3037"/>
      <c r="Q1" s="3037"/>
      <c r="R1" s="3037"/>
      <c r="S1" s="3037"/>
      <c r="T1" s="3037"/>
      <c r="U1" s="3037"/>
      <c r="V1" s="3037"/>
      <c r="W1" s="3037"/>
      <c r="X1" s="1716"/>
      <c r="AE1" s="0"/>
    </row>
    <row r="2" spans="1:19" ht="32.0" customHeight="true" thickBot="1" x14ac:dyDescent="0.3">
      <c r="A2" s="3038" t="s">
        <v>325</v>
      </c>
      <c r="B2" s="3038" t="s">
        <v>326</v>
      </c>
      <c r="C2" s="3038" t="s">
        <v>408</v>
      </c>
      <c r="D2" s="3038" t="s">
        <v>328</v>
      </c>
      <c r="E2" s="3038" t="s">
        <v>329</v>
      </c>
      <c r="F2" s="3038" t="s">
        <v>330</v>
      </c>
      <c r="G2" s="3038" t="s">
        <v>331</v>
      </c>
      <c r="H2" s="3038" t="s">
        <v>332</v>
      </c>
      <c r="I2" s="3038" t="s">
        <v>333</v>
      </c>
      <c r="J2" s="3038" t="s">
        <v>334</v>
      </c>
      <c r="K2" s="3038" t="s">
        <v>335</v>
      </c>
      <c r="L2" s="3038" t="s">
        <v>336</v>
      </c>
      <c r="M2" s="3038" t="s">
        <v>337</v>
      </c>
      <c r="N2" s="3038" t="s">
        <v>338</v>
      </c>
      <c r="O2" s="3038" t="s">
        <v>339</v>
      </c>
      <c r="P2" s="3038" t="s">
        <v>340</v>
      </c>
      <c r="Q2" s="3039" t="s">
        <v>409</v>
      </c>
      <c r="R2" s="3040" t="s">
        <v>410</v>
      </c>
      <c r="S2" s="3041" t="s">
        <v>523</v>
      </c>
      <c r="T2" s="3042" t="s">
        <v>470</v>
      </c>
      <c r="U2" s="3043" t="s">
        <v>471</v>
      </c>
      <c r="V2" s="3044" t="s">
        <v>472</v>
      </c>
      <c r="W2" s="3045" t="s">
        <v>412</v>
      </c>
      <c r="X2" s="3038" t="s">
        <v>413</v>
      </c>
      <c r="Y2" s="3038" t="s">
        <v>414</v>
      </c>
      <c r="Z2" s="3038" t="s">
        <v>415</v>
      </c>
      <c r="AA2" s="3038" t="s">
        <v>416</v>
      </c>
      <c r="AB2" s="3038" t="s">
        <v>473</v>
      </c>
      <c r="AC2" s="3038" t="s">
        <v>474</v>
      </c>
      <c r="AD2" s="3038" t="s">
        <v>475</v>
      </c>
      <c r="AE2" s="1717"/>
    </row>
    <row r="3" spans="1:19" ht="22.0" hidden="false" customHeight="true" thickTop="1" x14ac:dyDescent="0.25">
      <c r="A3" s="3079" t="s">
        <v>0</v>
      </c>
      <c r="B3" s="3078" t="s">
        <v>1</v>
      </c>
      <c r="C3" s="3078" t="s">
        <v>2</v>
      </c>
      <c r="D3" s="3078">
        <v>35381421000194</v>
      </c>
      <c r="E3" s="3078"/>
      <c r="F3" s="3078" t="s">
        <v>3</v>
      </c>
      <c r="G3" s="3078" t="s">
        <v>4</v>
      </c>
      <c r="H3" s="3078" t="s">
        <v>5</v>
      </c>
      <c r="I3" s="3078" t="s">
        <v>344</v>
      </c>
      <c r="J3" s="3078"/>
      <c r="K3" s="3078"/>
      <c r="L3" s="3078"/>
      <c r="M3" s="3078"/>
      <c r="N3" s="3078"/>
      <c r="O3" s="3078"/>
      <c r="P3" s="3078"/>
      <c r="Q3" s="3081"/>
      <c r="R3" s="3081"/>
      <c r="S3" s="3081"/>
      <c r="T3" s="3081"/>
      <c r="U3" s="3082"/>
      <c r="V3" s="3078"/>
      <c r="W3" s="3078" t="s">
        <v>417</v>
      </c>
      <c r="X3" s="3056">
        <f>IF(A3="","",IF(LEN(SUBSTITUTE(SUBSTITUTE(SUBSTITUTE(SUBSTITUTE(D3,".",""),"/",""),"-","")," ",""))&lt;&gt;14,"CNPJ INVALIDO","OK"))</f>
      </c>
      <c r="Y3" s="3056">
        <f>IF(A3="","",IF(R3="","REST PENDENTE","REST OK"))</f>
      </c>
      <c r="Z3" s="3056">
        <f>IF(A3="","",IF(AND(R3&lt;&gt;"",COUNTIFS($D$3:$D$164,D3,$R$3:$R$164,"&lt;&gt;")&gt;1),"DUPLICADO","OK"))</f>
      </c>
      <c r="AA3" s="3056">
        <f>IF(A3="","",IF(OR(LEN(Q3)&gt;180,LEN(R3)&gt;180,LEN(S3)&gt;180,LEN(T3)&gt;180),"CAMINHO LONGO","OK"))</f>
      </c>
      <c r="AB3" s="3056">
        <f>IF(A3="","",IF(U3="","",IFERROR(INT(U3-TODAY()),"")))</f>
      </c>
      <c r="AC3" s="3056">
        <f>IF(A3="","",IF(AND(T3="",U3=""),"",IF(T3="","SEM CAMINHO",IF(U3="","SEM DATA",IFERROR(IF(AB3&lt;15,"VERMELHO",IF(AB3&lt;=30,"AMARELO","VERDE")),"DATA INVALIDA")))))</f>
      </c>
      <c r="AD3" s="3056">
        <f>IF(OR(A3="",U3="",NOT(ISNUMBER(AB3))),"",RANK(AB3,$AB$3:$AB$164,1)+COUNTIFS($AB$3:AB3,AB3)-1)</f>
      </c>
      <c r="AE3" s="1736"/>
    </row>
    <row r="4" spans="1:19" ht="22.0" hidden="false" customHeight="true" x14ac:dyDescent="0.25">
      <c r="A4" s="3084" t="s">
        <v>6</v>
      </c>
      <c r="B4" s="3083" t="s">
        <v>1</v>
      </c>
      <c r="C4" s="3083" t="s">
        <v>2</v>
      </c>
      <c r="D4" s="3083" t="s">
        <v>7</v>
      </c>
      <c r="E4" s="3083"/>
      <c r="F4" s="3083" t="s">
        <v>3</v>
      </c>
      <c r="G4" s="3083" t="s">
        <v>4</v>
      </c>
      <c r="H4" s="3083" t="s">
        <v>5</v>
      </c>
      <c r="I4" s="3083" t="s">
        <v>344</v>
      </c>
      <c r="J4" s="3083"/>
      <c r="K4" s="3083"/>
      <c r="L4" s="3083"/>
      <c r="M4" s="3083"/>
      <c r="N4" s="3083"/>
      <c r="O4" s="3083"/>
      <c r="P4" s="3083"/>
      <c r="Q4" s="3086"/>
      <c r="R4" s="3086"/>
      <c r="S4" s="3086"/>
      <c r="T4" s="3086"/>
      <c r="U4" s="3087"/>
      <c r="V4" s="3083"/>
      <c r="W4" s="3083"/>
      <c r="X4" s="3056">
        <f>IF(A4="","",IF(LEN(SUBSTITUTE(SUBSTITUTE(SUBSTITUTE(SUBSTITUTE(D4,".",""),"/",""),"-","")," ",""))&lt;&gt;14,"CNPJ INVALIDO","OK"))</f>
      </c>
      <c r="Y4" s="3056">
        <f>IF(A4="","",IF(R4="","REST PENDENTE","REST OK"))</f>
      </c>
      <c r="Z4" s="3056">
        <f>IF(A4="","",IF(AND(R4&lt;&gt;"",COUNTIFS($D$3:$D$164,D4,$R$3:$R$164,"&lt;&gt;")&gt;1),"DUPLICADO","OK"))</f>
      </c>
      <c r="AA4" s="3056">
        <f>IF(A4="","",IF(OR(LEN(Q4)&gt;180,LEN(R4)&gt;180,LEN(S4)&gt;180,LEN(T4)&gt;180),"CAMINHO LONGO","OK"))</f>
      </c>
      <c r="AB4" s="3056">
        <f>IF(A4="","",IF(U4="","",IFERROR(INT(U4-TODAY()),"")))</f>
      </c>
      <c r="AC4" s="3056">
        <f>IF(A4="","",IF(AND(T4="",U4=""),"",IF(T4="","SEM CAMINHO",IF(U4="","SEM DATA",IFERROR(IF(AB4&lt;15,"VERMELHO",IF(AB4&lt;=30,"AMARELO","VERDE")),"DATA INVALIDA")))))</f>
      </c>
      <c r="AD4" s="3056">
        <f>IF(OR(A4="",U4="",NOT(ISNUMBER(AB4))),"",RANK(AB4,$AB$3:$AB$164,1)+COUNTIFS($AB$3:AB4,AB4)-1)</f>
      </c>
      <c r="AE4" s="1736"/>
    </row>
    <row r="5" spans="1:19" ht="22.0" hidden="false" customHeight="true" x14ac:dyDescent="0.25">
      <c r="A5" s="3079" t="s">
        <v>8</v>
      </c>
      <c r="B5" s="3078" t="s">
        <v>9</v>
      </c>
      <c r="C5" s="3078" t="s">
        <v>10</v>
      </c>
      <c r="D5" s="3078" t="s">
        <v>11</v>
      </c>
      <c r="E5" s="3078"/>
      <c r="F5" s="3078" t="s">
        <v>12</v>
      </c>
      <c r="G5" s="3078" t="s">
        <v>13</v>
      </c>
      <c r="H5" s="3078" t="s">
        <v>14</v>
      </c>
      <c r="I5" s="3078" t="s">
        <v>344</v>
      </c>
      <c r="J5" s="3078"/>
      <c r="K5" s="3078"/>
      <c r="L5" s="3078"/>
      <c r="M5" s="3078"/>
      <c r="N5" s="3078"/>
      <c r="O5" s="3078"/>
      <c r="P5" s="3078"/>
      <c r="Q5" s="3081"/>
      <c r="R5" s="3081"/>
      <c r="S5" s="3081"/>
      <c r="T5" s="3081"/>
      <c r="U5" s="3082"/>
      <c r="V5" s="3078"/>
      <c r="W5" s="3078"/>
      <c r="X5" s="3056">
        <f>IF(A5="","",IF(LEN(SUBSTITUTE(SUBSTITUTE(SUBSTITUTE(SUBSTITUTE(D5,".",""),"/",""),"-","")," ",""))&lt;&gt;14,"CNPJ INVALIDO","OK"))</f>
      </c>
      <c r="Y5" s="3056">
        <f>IF(A5="","",IF(R5="","REST PENDENTE","REST OK"))</f>
      </c>
      <c r="Z5" s="3056">
        <f>IF(A5="","",IF(AND(R5&lt;&gt;"",COUNTIFS($D$3:$D$164,D5,$R$3:$R$164,"&lt;&gt;")&gt;1),"DUPLICADO","OK"))</f>
      </c>
      <c r="AA5" s="3056">
        <f>IF(A5="","",IF(OR(LEN(Q5)&gt;180,LEN(R5)&gt;180,LEN(S5)&gt;180,LEN(T5)&gt;180),"CAMINHO LONGO","OK"))</f>
      </c>
      <c r="AB5" s="3056">
        <f>IF(A5="","",IF(U5="","",IFERROR(INT(U5-TODAY()),"")))</f>
      </c>
      <c r="AC5" s="3056">
        <f>IF(A5="","",IF(AND(T5="",U5=""),"",IF(T5="","SEM CAMINHO",IF(U5="","SEM DATA",IFERROR(IF(AB5&lt;15,"VERMELHO",IF(AB5&lt;=30,"AMARELO","VERDE")),"DATA INVALIDA")))))</f>
      </c>
      <c r="AD5" s="3056">
        <f>IF(OR(A5="",U5="",NOT(ISNUMBER(AB5))),"",RANK(AB5,$AB$3:$AB$164,1)+COUNTIFS($AB$3:AB5,AB5)-1)</f>
      </c>
      <c r="AE5" s="1736"/>
    </row>
    <row r="6" spans="1:19" ht="22.0" hidden="false" customHeight="true" x14ac:dyDescent="0.25">
      <c r="A6" s="3084" t="s">
        <v>15</v>
      </c>
      <c r="B6" s="3083" t="s">
        <v>9</v>
      </c>
      <c r="C6" s="3083" t="s">
        <v>16</v>
      </c>
      <c r="D6" s="3083" t="s">
        <v>17</v>
      </c>
      <c r="E6" s="3083"/>
      <c r="F6" s="3083" t="s">
        <v>12</v>
      </c>
      <c r="G6" s="3083" t="s">
        <v>13</v>
      </c>
      <c r="H6" s="3083" t="s">
        <v>14</v>
      </c>
      <c r="I6" s="3083" t="s">
        <v>344</v>
      </c>
      <c r="J6" s="3083" t="s">
        <v>344</v>
      </c>
      <c r="K6" s="3083" t="s">
        <v>344</v>
      </c>
      <c r="L6" s="3083" t="s">
        <v>344</v>
      </c>
      <c r="M6" s="3083" t="s">
        <v>344</v>
      </c>
      <c r="N6" s="3083" t="s">
        <v>344</v>
      </c>
      <c r="O6" s="3083" t="s">
        <v>344</v>
      </c>
      <c r="P6" s="3083" t="s">
        <v>344</v>
      </c>
      <c r="Q6" s="3086"/>
      <c r="R6" s="3086"/>
      <c r="S6" s="3086"/>
      <c r="T6" s="3086"/>
      <c r="U6" s="3087"/>
      <c r="V6" s="3083"/>
      <c r="W6" s="3083"/>
      <c r="X6" s="3056">
        <f>IF(A6="","",IF(LEN(SUBSTITUTE(SUBSTITUTE(SUBSTITUTE(SUBSTITUTE(D6,".",""),"/",""),"-","")," ",""))&lt;&gt;14,"CNPJ INVALIDO","OK"))</f>
      </c>
      <c r="Y6" s="3056">
        <f>IF(A6="","",IF(R6="","REST PENDENTE","REST OK"))</f>
      </c>
      <c r="Z6" s="3056">
        <f>IF(A6="","",IF(AND(R6&lt;&gt;"",COUNTIFS($D$3:$D$164,D6,$R$3:$R$164,"&lt;&gt;")&gt;1),"DUPLICADO","OK"))</f>
      </c>
      <c r="AA6" s="3056">
        <f>IF(A6="","",IF(OR(LEN(Q6)&gt;180,LEN(R6)&gt;180,LEN(S6)&gt;180,LEN(T6)&gt;180),"CAMINHO LONGO","OK"))</f>
      </c>
      <c r="AB6" s="3056">
        <f>IF(A6="","",IF(U6="","",IFERROR(INT(U6-TODAY()),"")))</f>
      </c>
      <c r="AC6" s="3056">
        <f>IF(A6="","",IF(AND(T6="",U6=""),"",IF(T6="","SEM CAMINHO",IF(U6="","SEM DATA",IFERROR(IF(AB6&lt;15,"VERMELHO",IF(AB6&lt;=30,"AMARELO","VERDE")),"DATA INVALIDA")))))</f>
      </c>
      <c r="AD6" s="3056">
        <f>IF(OR(A6="",U6="",NOT(ISNUMBER(AB6))),"",RANK(AB6,$AB$3:$AB$164,1)+COUNTIFS($AB$3:AB6,AB6)-1)</f>
      </c>
      <c r="AE6" s="1736"/>
    </row>
    <row r="7" spans="1:19" ht="22.0" hidden="false" customHeight="true" x14ac:dyDescent="0.25">
      <c r="A7" s="3079" t="s">
        <v>18</v>
      </c>
      <c r="B7" s="3078" t="s">
        <v>9</v>
      </c>
      <c r="C7" s="3078" t="s">
        <v>19</v>
      </c>
      <c r="D7" s="3078" t="s">
        <v>20</v>
      </c>
      <c r="E7" s="3078"/>
      <c r="F7" s="3078" t="s">
        <v>12</v>
      </c>
      <c r="G7" s="3078" t="s">
        <v>13</v>
      </c>
      <c r="H7" s="3078" t="s">
        <v>14</v>
      </c>
      <c r="I7" s="3078" t="s">
        <v>344</v>
      </c>
      <c r="J7" s="3078" t="s">
        <v>344</v>
      </c>
      <c r="K7" s="3078" t="s">
        <v>344</v>
      </c>
      <c r="L7" s="3078" t="s">
        <v>344</v>
      </c>
      <c r="M7" s="3078" t="s">
        <v>344</v>
      </c>
      <c r="N7" s="3078" t="s">
        <v>344</v>
      </c>
      <c r="O7" s="3078" t="s">
        <v>344</v>
      </c>
      <c r="P7" s="3078" t="s">
        <v>344</v>
      </c>
      <c r="Q7" s="3081"/>
      <c r="R7" s="3081"/>
      <c r="S7" s="3081"/>
      <c r="T7" s="3081"/>
      <c r="U7" s="3082"/>
      <c r="V7" s="3078"/>
      <c r="W7" s="3078"/>
      <c r="X7" s="3056">
        <f>IF(A7="","",IF(LEN(SUBSTITUTE(SUBSTITUTE(SUBSTITUTE(SUBSTITUTE(D7,".",""),"/",""),"-","")," ",""))&lt;&gt;14,"CNPJ INVALIDO","OK"))</f>
      </c>
      <c r="Y7" s="3056">
        <f>IF(A7="","",IF(R7="","REST PENDENTE","REST OK"))</f>
      </c>
      <c r="Z7" s="3056">
        <f>IF(A7="","",IF(AND(R7&lt;&gt;"",COUNTIFS($D$3:$D$164,D7,$R$3:$R$164,"&lt;&gt;")&gt;1),"DUPLICADO","OK"))</f>
      </c>
      <c r="AA7" s="3056">
        <f>IF(A7="","",IF(OR(LEN(Q7)&gt;180,LEN(R7)&gt;180,LEN(S7)&gt;180,LEN(T7)&gt;180),"CAMINHO LONGO","OK"))</f>
      </c>
      <c r="AB7" s="3056">
        <f>IF(A7="","",IF(U7="","",IFERROR(INT(U7-TODAY()),"")))</f>
      </c>
      <c r="AC7" s="3056">
        <f>IF(A7="","",IF(AND(T7="",U7=""),"",IF(T7="","SEM CAMINHO",IF(U7="","SEM DATA",IFERROR(IF(AB7&lt;15,"VERMELHO",IF(AB7&lt;=30,"AMARELO","VERDE")),"DATA INVALIDA")))))</f>
      </c>
      <c r="AD7" s="3056">
        <f>IF(OR(A7="",U7="",NOT(ISNUMBER(AB7))),"",RANK(AB7,$AB$3:$AB$164,1)+COUNTIFS($AB$3:AB7,AB7)-1)</f>
      </c>
      <c r="AE7" s="1736"/>
    </row>
    <row r="8" spans="1:19" ht="22.0" hidden="false" customHeight="true" x14ac:dyDescent="0.25">
      <c r="A8" s="3084" t="s">
        <v>21</v>
      </c>
      <c r="B8" s="3083" t="s">
        <v>9</v>
      </c>
      <c r="C8" s="3083" t="s">
        <v>19</v>
      </c>
      <c r="D8" s="3083" t="s">
        <v>22</v>
      </c>
      <c r="E8" s="3083"/>
      <c r="F8" s="3083" t="s">
        <v>12</v>
      </c>
      <c r="G8" s="3083" t="s">
        <v>13</v>
      </c>
      <c r="H8" s="3083" t="s">
        <v>14</v>
      </c>
      <c r="I8" s="3083" t="s">
        <v>344</v>
      </c>
      <c r="J8" s="3083" t="s">
        <v>344</v>
      </c>
      <c r="K8" s="3083" t="s">
        <v>344</v>
      </c>
      <c r="L8" s="3083" t="s">
        <v>344</v>
      </c>
      <c r="M8" s="3083" t="s">
        <v>344</v>
      </c>
      <c r="N8" s="3083" t="s">
        <v>344</v>
      </c>
      <c r="O8" s="3083" t="s">
        <v>344</v>
      </c>
      <c r="P8" s="3083" t="s">
        <v>344</v>
      </c>
      <c r="Q8" s="3086"/>
      <c r="R8" s="3086"/>
      <c r="S8" s="3086"/>
      <c r="T8" s="3086"/>
      <c r="U8" s="3087"/>
      <c r="V8" s="3083"/>
      <c r="W8" s="3083"/>
      <c r="X8" s="3056">
        <f>IF(A8="","",IF(LEN(SUBSTITUTE(SUBSTITUTE(SUBSTITUTE(SUBSTITUTE(D8,".",""),"/",""),"-","")," ",""))&lt;&gt;14,"CNPJ INVALIDO","OK"))</f>
      </c>
      <c r="Y8" s="3056">
        <f>IF(A8="","",IF(R8="","REST PENDENTE","REST OK"))</f>
      </c>
      <c r="Z8" s="3056">
        <f>IF(A8="","",IF(AND(R8&lt;&gt;"",COUNTIFS($D$3:$D$164,D8,$R$3:$R$164,"&lt;&gt;")&gt;1),"DUPLICADO","OK"))</f>
      </c>
      <c r="AA8" s="3056">
        <f>IF(A8="","",IF(OR(LEN(Q8)&gt;180,LEN(R8)&gt;180,LEN(S8)&gt;180,LEN(T8)&gt;180),"CAMINHO LONGO","OK"))</f>
      </c>
      <c r="AB8" s="3056">
        <f>IF(A8="","",IF(U8="","",IFERROR(INT(U8-TODAY()),"")))</f>
      </c>
      <c r="AC8" s="3056">
        <f>IF(A8="","",IF(AND(T8="",U8=""),"",IF(T8="","SEM CAMINHO",IF(U8="","SEM DATA",IFERROR(IF(AB8&lt;15,"VERMELHO",IF(AB8&lt;=30,"AMARELO","VERDE")),"DATA INVALIDA")))))</f>
      </c>
      <c r="AD8" s="3056">
        <f>IF(OR(A8="",U8="",NOT(ISNUMBER(AB8))),"",RANK(AB8,$AB$3:$AB$164,1)+COUNTIFS($AB$3:AB8,AB8)-1)</f>
      </c>
      <c r="AE8" s="1736"/>
    </row>
    <row r="9" spans="1:19" ht="22.0" hidden="false" customHeight="true" x14ac:dyDescent="0.25">
      <c r="A9" s="3079" t="s">
        <v>23</v>
      </c>
      <c r="B9" s="3078" t="s">
        <v>9</v>
      </c>
      <c r="C9" s="3078" t="s">
        <v>24</v>
      </c>
      <c r="D9" s="3078" t="s">
        <v>25</v>
      </c>
      <c r="E9" s="3078"/>
      <c r="F9" s="3078" t="s">
        <v>12</v>
      </c>
      <c r="G9" s="3078" t="s">
        <v>13</v>
      </c>
      <c r="H9" s="3078" t="s">
        <v>14</v>
      </c>
      <c r="I9" s="3078" t="s">
        <v>344</v>
      </c>
      <c r="J9" s="3078" t="s">
        <v>344</v>
      </c>
      <c r="K9" s="3078" t="s">
        <v>344</v>
      </c>
      <c r="L9" s="3078" t="s">
        <v>344</v>
      </c>
      <c r="M9" s="3078" t="s">
        <v>344</v>
      </c>
      <c r="N9" s="3078" t="s">
        <v>344</v>
      </c>
      <c r="O9" s="3078" t="s">
        <v>344</v>
      </c>
      <c r="P9" s="3078" t="s">
        <v>344</v>
      </c>
      <c r="Q9" s="3081"/>
      <c r="R9" s="3081"/>
      <c r="S9" s="3081"/>
      <c r="T9" s="3081"/>
      <c r="U9" s="3082"/>
      <c r="V9" s="3078"/>
      <c r="W9" s="3078"/>
      <c r="X9" s="3056">
        <f>IF(A9="","",IF(LEN(SUBSTITUTE(SUBSTITUTE(SUBSTITUTE(SUBSTITUTE(D9,".",""),"/",""),"-","")," ",""))&lt;&gt;14,"CNPJ INVALIDO","OK"))</f>
      </c>
      <c r="Y9" s="3056">
        <f>IF(A9="","",IF(R9="","REST PENDENTE","REST OK"))</f>
      </c>
      <c r="Z9" s="3056">
        <f>IF(A9="","",IF(AND(R9&lt;&gt;"",COUNTIFS($D$3:$D$164,D9,$R$3:$R$164,"&lt;&gt;")&gt;1),"DUPLICADO","OK"))</f>
      </c>
      <c r="AA9" s="3056">
        <f>IF(A9="","",IF(OR(LEN(Q9)&gt;180,LEN(R9)&gt;180,LEN(S9)&gt;180,LEN(T9)&gt;180),"CAMINHO LONGO","OK"))</f>
      </c>
      <c r="AB9" s="3056">
        <f>IF(A9="","",IF(U9="","",IFERROR(INT(U9-TODAY()),"")))</f>
      </c>
      <c r="AC9" s="3056">
        <f>IF(A9="","",IF(AND(T9="",U9=""),"",IF(T9="","SEM CAMINHO",IF(U9="","SEM DATA",IFERROR(IF(AB9&lt;15,"VERMELHO",IF(AB9&lt;=30,"AMARELO","VERDE")),"DATA INVALIDA")))))</f>
      </c>
      <c r="AD9" s="3056">
        <f>IF(OR(A9="",U9="",NOT(ISNUMBER(AB9))),"",RANK(AB9,$AB$3:$AB$164,1)+COUNTIFS($AB$3:AB9,AB9)-1)</f>
      </c>
      <c r="AE9" s="1736"/>
    </row>
    <row r="10" spans="1:19" ht="22.0" hidden="false" customHeight="true" x14ac:dyDescent="0.25">
      <c r="A10" s="3084" t="s">
        <v>26</v>
      </c>
      <c r="B10" s="3083" t="s">
        <v>9</v>
      </c>
      <c r="C10" s="3083" t="s">
        <v>27</v>
      </c>
      <c r="D10" s="3083" t="s">
        <v>28</v>
      </c>
      <c r="E10" s="3083"/>
      <c r="F10" s="3083" t="s">
        <v>12</v>
      </c>
      <c r="G10" s="3083" t="s">
        <v>13</v>
      </c>
      <c r="H10" s="3083" t="s">
        <v>14</v>
      </c>
      <c r="I10" s="3083" t="s">
        <v>344</v>
      </c>
      <c r="J10" s="3083" t="s">
        <v>344</v>
      </c>
      <c r="K10" s="3083" t="s">
        <v>344</v>
      </c>
      <c r="L10" s="3083" t="s">
        <v>344</v>
      </c>
      <c r="M10" s="3083" t="s">
        <v>344</v>
      </c>
      <c r="N10" s="3083" t="s">
        <v>344</v>
      </c>
      <c r="O10" s="3083" t="s">
        <v>344</v>
      </c>
      <c r="P10" s="3083" t="s">
        <v>344</v>
      </c>
      <c r="Q10" s="3086"/>
      <c r="R10" s="3086"/>
      <c r="S10" s="3086"/>
      <c r="T10" s="3086"/>
      <c r="U10" s="3087"/>
      <c r="V10" s="3083"/>
      <c r="W10" s="3083"/>
      <c r="X10" s="3056">
        <f>IF(A10="","",IF(LEN(SUBSTITUTE(SUBSTITUTE(SUBSTITUTE(SUBSTITUTE(D10,".",""),"/",""),"-","")," ",""))&lt;&gt;14,"CNPJ INVALIDO","OK"))</f>
      </c>
      <c r="Y10" s="3056">
        <f>IF(A10="","",IF(R10="","REST PENDENTE","REST OK"))</f>
      </c>
      <c r="Z10" s="3056">
        <f>IF(A10="","",IF(AND(R10&lt;&gt;"",COUNTIFS($D$3:$D$164,D10,$R$3:$R$164,"&lt;&gt;")&gt;1),"DUPLICADO","OK"))</f>
      </c>
      <c r="AA10" s="3056">
        <f>IF(A10="","",IF(OR(LEN(Q10)&gt;180,LEN(R10)&gt;180,LEN(S10)&gt;180,LEN(T10)&gt;180),"CAMINHO LONGO","OK"))</f>
      </c>
      <c r="AB10" s="3056">
        <f>IF(A10="","",IF(U10="","",IFERROR(INT(U10-TODAY()),"")))</f>
      </c>
      <c r="AC10" s="3056">
        <f>IF(A10="","",IF(AND(T10="",U10=""),"",IF(T10="","SEM CAMINHO",IF(U10="","SEM DATA",IFERROR(IF(AB10&lt;15,"VERMELHO",IF(AB10&lt;=30,"AMARELO","VERDE")),"DATA INVALIDA")))))</f>
      </c>
      <c r="AD10" s="3056">
        <f>IF(OR(A10="",U10="",NOT(ISNUMBER(AB10))),"",RANK(AB10,$AB$3:$AB$164,1)+COUNTIFS($AB$3:AB10,AB10)-1)</f>
      </c>
      <c r="AE10" s="1736"/>
    </row>
    <row r="11" spans="1:19" ht="22.0" hidden="false" customHeight="true" x14ac:dyDescent="0.25">
      <c r="A11" s="3079" t="s">
        <v>29</v>
      </c>
      <c r="B11" s="3078" t="s">
        <v>9</v>
      </c>
      <c r="C11" s="3078" t="s">
        <v>16</v>
      </c>
      <c r="D11" s="3078" t="s">
        <v>30</v>
      </c>
      <c r="E11" s="3078"/>
      <c r="F11" s="3078" t="s">
        <v>12</v>
      </c>
      <c r="G11" s="3078" t="s">
        <v>13</v>
      </c>
      <c r="H11" s="3078" t="s">
        <v>14</v>
      </c>
      <c r="I11" s="3078" t="s">
        <v>344</v>
      </c>
      <c r="J11" s="3078" t="s">
        <v>344</v>
      </c>
      <c r="K11" s="3078" t="s">
        <v>344</v>
      </c>
      <c r="L11" s="3078" t="s">
        <v>344</v>
      </c>
      <c r="M11" s="3078" t="s">
        <v>344</v>
      </c>
      <c r="N11" s="3078" t="s">
        <v>344</v>
      </c>
      <c r="O11" s="3078" t="s">
        <v>344</v>
      </c>
      <c r="P11" s="3078" t="s">
        <v>344</v>
      </c>
      <c r="Q11" s="3081"/>
      <c r="R11" s="3081"/>
      <c r="S11" s="3081"/>
      <c r="T11" s="3081"/>
      <c r="U11" s="3082"/>
      <c r="V11" s="3078"/>
      <c r="W11" s="3078"/>
      <c r="X11" s="3056">
        <f>IF(A11="","",IF(LEN(SUBSTITUTE(SUBSTITUTE(SUBSTITUTE(SUBSTITUTE(D11,".",""),"/",""),"-","")," ",""))&lt;&gt;14,"CNPJ INVALIDO","OK"))</f>
      </c>
      <c r="Y11" s="3056">
        <f>IF(A11="","",IF(R11="","REST PENDENTE","REST OK"))</f>
      </c>
      <c r="Z11" s="3056">
        <f>IF(A11="","",IF(AND(R11&lt;&gt;"",COUNTIFS($D$3:$D$164,D11,$R$3:$R$164,"&lt;&gt;")&gt;1),"DUPLICADO","OK"))</f>
      </c>
      <c r="AA11" s="3056">
        <f>IF(A11="","",IF(OR(LEN(Q11)&gt;180,LEN(R11)&gt;180,LEN(S11)&gt;180,LEN(T11)&gt;180),"CAMINHO LONGO","OK"))</f>
      </c>
      <c r="AB11" s="3056">
        <f>IF(A11="","",IF(U11="","",IFERROR(INT(U11-TODAY()),"")))</f>
      </c>
      <c r="AC11" s="3056">
        <f>IF(A11="","",IF(AND(T11="",U11=""),"",IF(T11="","SEM CAMINHO",IF(U11="","SEM DATA",IFERROR(IF(AB11&lt;15,"VERMELHO",IF(AB11&lt;=30,"AMARELO","VERDE")),"DATA INVALIDA")))))</f>
      </c>
      <c r="AD11" s="3056">
        <f>IF(OR(A11="",U11="",NOT(ISNUMBER(AB11))),"",RANK(AB11,$AB$3:$AB$164,1)+COUNTIFS($AB$3:AB11,AB11)-1)</f>
      </c>
      <c r="AE11" s="1736"/>
    </row>
    <row r="12" spans="1:19" ht="22.0" hidden="false" customHeight="true" x14ac:dyDescent="0.25">
      <c r="A12" s="3084" t="s">
        <v>31</v>
      </c>
      <c r="B12" s="3083" t="s">
        <v>9</v>
      </c>
      <c r="C12" s="3083" t="s">
        <v>24</v>
      </c>
      <c r="D12" s="3083" t="s">
        <v>32</v>
      </c>
      <c r="E12" s="3083"/>
      <c r="F12" s="3083" t="s">
        <v>12</v>
      </c>
      <c r="G12" s="3083" t="s">
        <v>13</v>
      </c>
      <c r="H12" s="3083" t="s">
        <v>14</v>
      </c>
      <c r="I12" s="3083" t="s">
        <v>344</v>
      </c>
      <c r="J12" s="3083" t="s">
        <v>344</v>
      </c>
      <c r="K12" s="3083" t="s">
        <v>344</v>
      </c>
      <c r="L12" s="3083" t="s">
        <v>344</v>
      </c>
      <c r="M12" s="3083" t="s">
        <v>344</v>
      </c>
      <c r="N12" s="3083" t="s">
        <v>344</v>
      </c>
      <c r="O12" s="3083" t="s">
        <v>344</v>
      </c>
      <c r="P12" s="3083" t="s">
        <v>344</v>
      </c>
      <c r="Q12" s="3086"/>
      <c r="R12" s="3086"/>
      <c r="S12" s="3086"/>
      <c r="T12" s="3086"/>
      <c r="U12" s="3087"/>
      <c r="V12" s="3083"/>
      <c r="W12" s="3083"/>
      <c r="X12" s="3056">
        <f>IF(A12="","",IF(LEN(SUBSTITUTE(SUBSTITUTE(SUBSTITUTE(SUBSTITUTE(D12,".",""),"/",""),"-","")," ",""))&lt;&gt;14,"CNPJ INVALIDO","OK"))</f>
      </c>
      <c r="Y12" s="3056">
        <f>IF(A12="","",IF(R12="","REST PENDENTE","REST OK"))</f>
      </c>
      <c r="Z12" s="3056">
        <f>IF(A12="","",IF(AND(R12&lt;&gt;"",COUNTIFS($D$3:$D$164,D12,$R$3:$R$164,"&lt;&gt;")&gt;1),"DUPLICADO","OK"))</f>
      </c>
      <c r="AA12" s="3056">
        <f>IF(A12="","",IF(OR(LEN(Q12)&gt;180,LEN(R12)&gt;180,LEN(S12)&gt;180,LEN(T12)&gt;180),"CAMINHO LONGO","OK"))</f>
      </c>
      <c r="AB12" s="3056">
        <f>IF(A12="","",IF(U12="","",IFERROR(INT(U12-TODAY()),"")))</f>
      </c>
      <c r="AC12" s="3056">
        <f>IF(A12="","",IF(AND(T12="",U12=""),"",IF(T12="","SEM CAMINHO",IF(U12="","SEM DATA",IFERROR(IF(AB12&lt;15,"VERMELHO",IF(AB12&lt;=30,"AMARELO","VERDE")),"DATA INVALIDA")))))</f>
      </c>
      <c r="AD12" s="3056">
        <f>IF(OR(A12="",U12="",NOT(ISNUMBER(AB12))),"",RANK(AB12,$AB$3:$AB$164,1)+COUNTIFS($AB$3:AB12,AB12)-1)</f>
      </c>
      <c r="AE12" s="1736"/>
    </row>
    <row r="13" spans="1:19" ht="22.0" hidden="false" customHeight="true" x14ac:dyDescent="0.25">
      <c r="A13" s="3079" t="s">
        <v>33</v>
      </c>
      <c r="B13" s="3078" t="s">
        <v>9</v>
      </c>
      <c r="C13" s="3078" t="s">
        <v>24</v>
      </c>
      <c r="D13" s="3078" t="s">
        <v>34</v>
      </c>
      <c r="E13" s="3078"/>
      <c r="F13" s="3078" t="s">
        <v>12</v>
      </c>
      <c r="G13" s="3078" t="s">
        <v>13</v>
      </c>
      <c r="H13" s="3078" t="s">
        <v>14</v>
      </c>
      <c r="I13" s="3078" t="s">
        <v>344</v>
      </c>
      <c r="J13" s="3078" t="s">
        <v>344</v>
      </c>
      <c r="K13" s="3078" t="s">
        <v>344</v>
      </c>
      <c r="L13" s="3078" t="s">
        <v>344</v>
      </c>
      <c r="M13" s="3078" t="s">
        <v>344</v>
      </c>
      <c r="N13" s="3078" t="s">
        <v>344</v>
      </c>
      <c r="O13" s="3078" t="s">
        <v>344</v>
      </c>
      <c r="P13" s="3078" t="s">
        <v>344</v>
      </c>
      <c r="Q13" s="3081"/>
      <c r="R13" s="3081"/>
      <c r="S13" s="3081"/>
      <c r="T13" s="3081"/>
      <c r="U13" s="3082"/>
      <c r="V13" s="3078"/>
      <c r="W13" s="3078"/>
      <c r="X13" s="3056">
        <f>IF(A13="","",IF(LEN(SUBSTITUTE(SUBSTITUTE(SUBSTITUTE(SUBSTITUTE(D13,".",""),"/",""),"-","")," ",""))&lt;&gt;14,"CNPJ INVALIDO","OK"))</f>
      </c>
      <c r="Y13" s="3056">
        <f>IF(A13="","",IF(R13="","REST PENDENTE","REST OK"))</f>
      </c>
      <c r="Z13" s="3056">
        <f>IF(A13="","",IF(AND(R13&lt;&gt;"",COUNTIFS($D$3:$D$164,D13,$R$3:$R$164,"&lt;&gt;")&gt;1),"DUPLICADO","OK"))</f>
      </c>
      <c r="AA13" s="3056">
        <f>IF(A13="","",IF(OR(LEN(Q13)&gt;180,LEN(R13)&gt;180,LEN(S13)&gt;180,LEN(T13)&gt;180),"CAMINHO LONGO","OK"))</f>
      </c>
      <c r="AB13" s="3056">
        <f>IF(A13="","",IF(U13="","",IFERROR(INT(U13-TODAY()),"")))</f>
      </c>
      <c r="AC13" s="3056">
        <f>IF(A13="","",IF(AND(T13="",U13=""),"",IF(T13="","SEM CAMINHO",IF(U13="","SEM DATA",IFERROR(IF(AB13&lt;15,"VERMELHO",IF(AB13&lt;=30,"AMARELO","VERDE")),"DATA INVALIDA")))))</f>
      </c>
      <c r="AD13" s="3056">
        <f>IF(OR(A13="",U13="",NOT(ISNUMBER(AB13))),"",RANK(AB13,$AB$3:$AB$164,1)+COUNTIFS($AB$3:AB13,AB13)-1)</f>
      </c>
      <c r="AE13" s="1736"/>
    </row>
    <row r="14" spans="1:19" ht="22.0" hidden="false" customHeight="true" x14ac:dyDescent="0.25">
      <c r="A14" s="3084" t="s">
        <v>35</v>
      </c>
      <c r="B14" s="3083" t="s">
        <v>9</v>
      </c>
      <c r="C14" s="3083" t="s">
        <v>24</v>
      </c>
      <c r="D14" s="3083" t="s">
        <v>36</v>
      </c>
      <c r="E14" s="3083"/>
      <c r="F14" s="3083" t="s">
        <v>37</v>
      </c>
      <c r="G14" s="3083" t="s">
        <v>13</v>
      </c>
      <c r="H14" s="3083" t="s">
        <v>14</v>
      </c>
      <c r="I14" s="3083" t="s">
        <v>344</v>
      </c>
      <c r="J14" s="3083" t="s">
        <v>344</v>
      </c>
      <c r="K14" s="3083" t="s">
        <v>344</v>
      </c>
      <c r="L14" s="3083" t="s">
        <v>344</v>
      </c>
      <c r="M14" s="3083" t="s">
        <v>344</v>
      </c>
      <c r="N14" s="3083" t="s">
        <v>344</v>
      </c>
      <c r="O14" s="3083" t="s">
        <v>344</v>
      </c>
      <c r="P14" s="3083" t="s">
        <v>344</v>
      </c>
      <c r="Q14" s="3086"/>
      <c r="R14" s="3086"/>
      <c r="S14" s="3086"/>
      <c r="T14" s="3086"/>
      <c r="U14" s="3087"/>
      <c r="V14" s="3083"/>
      <c r="W14" s="3083"/>
      <c r="X14" s="3056">
        <f>IF(A14="","",IF(LEN(SUBSTITUTE(SUBSTITUTE(SUBSTITUTE(SUBSTITUTE(D14,".",""),"/",""),"-","")," ",""))&lt;&gt;14,"CNPJ INVALIDO","OK"))</f>
      </c>
      <c r="Y14" s="3056">
        <f>IF(A14="","",IF(R14="","REST PENDENTE","REST OK"))</f>
      </c>
      <c r="Z14" s="3056">
        <f>IF(A14="","",IF(AND(R14&lt;&gt;"",COUNTIFS($D$3:$D$164,D14,$R$3:$R$164,"&lt;&gt;")&gt;1),"DUPLICADO","OK"))</f>
      </c>
      <c r="AA14" s="3056">
        <f>IF(A14="","",IF(OR(LEN(Q14)&gt;180,LEN(R14)&gt;180,LEN(S14)&gt;180,LEN(T14)&gt;180),"CAMINHO LONGO","OK"))</f>
      </c>
      <c r="AB14" s="3056">
        <f>IF(A14="","",IF(U14="","",IFERROR(INT(U14-TODAY()),"")))</f>
      </c>
      <c r="AC14" s="3056">
        <f>IF(A14="","",IF(AND(T14="",U14=""),"",IF(T14="","SEM CAMINHO",IF(U14="","SEM DATA",IFERROR(IF(AB14&lt;15,"VERMELHO",IF(AB14&lt;=30,"AMARELO","VERDE")),"DATA INVALIDA")))))</f>
      </c>
      <c r="AD14" s="3056">
        <f>IF(OR(A14="",U14="",NOT(ISNUMBER(AB14))),"",RANK(AB14,$AB$3:$AB$164,1)+COUNTIFS($AB$3:AB14,AB14)-1)</f>
      </c>
      <c r="AE14" s="1736"/>
    </row>
    <row r="15" spans="1:19" ht="22.0" hidden="false" customHeight="true" x14ac:dyDescent="0.25">
      <c r="A15" s="3079" t="s">
        <v>38</v>
      </c>
      <c r="B15" s="3078" t="s">
        <v>9</v>
      </c>
      <c r="C15" s="3078" t="s">
        <v>16</v>
      </c>
      <c r="D15" s="3078" t="s">
        <v>39</v>
      </c>
      <c r="E15" s="3078"/>
      <c r="F15" s="3078" t="s">
        <v>37</v>
      </c>
      <c r="G15" s="3078" t="s">
        <v>13</v>
      </c>
      <c r="H15" s="3078" t="s">
        <v>14</v>
      </c>
      <c r="I15" s="3078" t="s">
        <v>344</v>
      </c>
      <c r="J15" s="3078" t="s">
        <v>344</v>
      </c>
      <c r="K15" s="3078" t="s">
        <v>344</v>
      </c>
      <c r="L15" s="3078" t="s">
        <v>344</v>
      </c>
      <c r="M15" s="3078" t="s">
        <v>344</v>
      </c>
      <c r="N15" s="3078" t="s">
        <v>344</v>
      </c>
      <c r="O15" s="3078" t="s">
        <v>344</v>
      </c>
      <c r="P15" s="3078" t="s">
        <v>344</v>
      </c>
      <c r="Q15" s="3081"/>
      <c r="R15" s="3081"/>
      <c r="S15" s="3081"/>
      <c r="T15" s="3081"/>
      <c r="U15" s="3082"/>
      <c r="V15" s="3078"/>
      <c r="W15" s="3078"/>
      <c r="X15" s="3056">
        <f>IF(A15="","",IF(LEN(SUBSTITUTE(SUBSTITUTE(SUBSTITUTE(SUBSTITUTE(D15,".",""),"/",""),"-","")," ",""))&lt;&gt;14,"CNPJ INVALIDO","OK"))</f>
      </c>
      <c r="Y15" s="3056">
        <f>IF(A15="","",IF(R15="","REST PENDENTE","REST OK"))</f>
      </c>
      <c r="Z15" s="3056">
        <f>IF(A15="","",IF(AND(R15&lt;&gt;"",COUNTIFS($D$3:$D$164,D15,$R$3:$R$164,"&lt;&gt;")&gt;1),"DUPLICADO","OK"))</f>
      </c>
      <c r="AA15" s="3056">
        <f>IF(A15="","",IF(OR(LEN(Q15)&gt;180,LEN(R15)&gt;180,LEN(S15)&gt;180,LEN(T15)&gt;180),"CAMINHO LONGO","OK"))</f>
      </c>
      <c r="AB15" s="3056">
        <f>IF(A15="","",IF(U15="","",IFERROR(INT(U15-TODAY()),"")))</f>
      </c>
      <c r="AC15" s="3056">
        <f>IF(A15="","",IF(AND(T15="",U15=""),"",IF(T15="","SEM CAMINHO",IF(U15="","SEM DATA",IFERROR(IF(AB15&lt;15,"VERMELHO",IF(AB15&lt;=30,"AMARELO","VERDE")),"DATA INVALIDA")))))</f>
      </c>
      <c r="AD15" s="3056">
        <f>IF(OR(A15="",U15="",NOT(ISNUMBER(AB15))),"",RANK(AB15,$AB$3:$AB$164,1)+COUNTIFS($AB$3:AB15,AB15)-1)</f>
      </c>
      <c r="AE15" s="1736"/>
    </row>
    <row r="16" spans="1:19" ht="22.0" hidden="false" customHeight="true" x14ac:dyDescent="0.25">
      <c r="A16" s="3084" t="s">
        <v>40</v>
      </c>
      <c r="B16" s="3083" t="s">
        <v>9</v>
      </c>
      <c r="C16" s="3083" t="s">
        <v>24</v>
      </c>
      <c r="D16" s="3083">
        <v>17608570000161</v>
      </c>
      <c r="E16" s="3083"/>
      <c r="F16" s="3083" t="s">
        <v>12</v>
      </c>
      <c r="G16" s="3083" t="s">
        <v>41</v>
      </c>
      <c r="H16" s="3083" t="s">
        <v>5</v>
      </c>
      <c r="I16" s="3083" t="s">
        <v>344</v>
      </c>
      <c r="J16" s="3083" t="s">
        <v>344</v>
      </c>
      <c r="K16" s="3083" t="s">
        <v>344</v>
      </c>
      <c r="L16" s="3083" t="s">
        <v>344</v>
      </c>
      <c r="M16" s="3083" t="s">
        <v>344</v>
      </c>
      <c r="N16" s="3083" t="s">
        <v>344</v>
      </c>
      <c r="O16" s="3083" t="s">
        <v>344</v>
      </c>
      <c r="P16" s="3083" t="s">
        <v>344</v>
      </c>
      <c r="Q16" s="3086"/>
      <c r="R16" s="3086"/>
      <c r="S16" s="3086"/>
      <c r="T16" s="3086"/>
      <c r="U16" s="3087"/>
      <c r="V16" s="3083"/>
      <c r="W16" s="3083"/>
      <c r="X16" s="3056">
        <f>IF(A16="","",IF(LEN(SUBSTITUTE(SUBSTITUTE(SUBSTITUTE(SUBSTITUTE(D16,".",""),"/",""),"-","")," ",""))&lt;&gt;14,"CNPJ INVALIDO","OK"))</f>
      </c>
      <c r="Y16" s="3056">
        <f>IF(A16="","",IF(R16="","REST PENDENTE","REST OK"))</f>
      </c>
      <c r="Z16" s="3056">
        <f>IF(A16="","",IF(AND(R16&lt;&gt;"",COUNTIFS($D$3:$D$164,D16,$R$3:$R$164,"&lt;&gt;")&gt;1),"DUPLICADO","OK"))</f>
      </c>
      <c r="AA16" s="3056">
        <f>IF(A16="","",IF(OR(LEN(Q16)&gt;180,LEN(R16)&gt;180,LEN(S16)&gt;180,LEN(T16)&gt;180),"CAMINHO LONGO","OK"))</f>
      </c>
      <c r="AB16" s="3056">
        <f>IF(A16="","",IF(U16="","",IFERROR(INT(U16-TODAY()),"")))</f>
      </c>
      <c r="AC16" s="3056">
        <f>IF(A16="","",IF(AND(T16="",U16=""),"",IF(T16="","SEM CAMINHO",IF(U16="","SEM DATA",IFERROR(IF(AB16&lt;15,"VERMELHO",IF(AB16&lt;=30,"AMARELO","VERDE")),"DATA INVALIDA")))))</f>
      </c>
      <c r="AD16" s="3056">
        <f>IF(OR(A16="",U16="",NOT(ISNUMBER(AB16))),"",RANK(AB16,$AB$3:$AB$164,1)+COUNTIFS($AB$3:AB16,AB16)-1)</f>
      </c>
      <c r="AE16" s="1736"/>
    </row>
    <row r="17" spans="1:19" ht="22.0" hidden="false" customHeight="true" x14ac:dyDescent="0.25">
      <c r="A17" s="3079" t="s">
        <v>42</v>
      </c>
      <c r="B17" s="3078" t="s">
        <v>9</v>
      </c>
      <c r="C17" s="3078" t="s">
        <v>24</v>
      </c>
      <c r="D17" s="3078" t="s">
        <v>43</v>
      </c>
      <c r="E17" s="3078"/>
      <c r="F17" s="3078" t="s">
        <v>12</v>
      </c>
      <c r="G17" s="3078" t="s">
        <v>41</v>
      </c>
      <c r="H17" s="3078" t="s">
        <v>5</v>
      </c>
      <c r="I17" s="3078"/>
      <c r="J17" s="3078"/>
      <c r="K17" s="3078"/>
      <c r="L17" s="3078"/>
      <c r="M17" s="3078" t="s">
        <v>376</v>
      </c>
      <c r="N17" s="3078"/>
      <c r="O17" s="3078" t="s">
        <v>345</v>
      </c>
      <c r="P17" s="3078" t="s">
        <v>346</v>
      </c>
      <c r="Q17" s="3081"/>
      <c r="R17" s="3081"/>
      <c r="S17" s="3081"/>
      <c r="T17" s="3081"/>
      <c r="U17" s="3082"/>
      <c r="V17" s="3078"/>
      <c r="W17" s="3078"/>
      <c r="X17" s="3056">
        <f>IF(A17="","",IF(LEN(SUBSTITUTE(SUBSTITUTE(SUBSTITUTE(SUBSTITUTE(D17,".",""),"/",""),"-","")," ",""))&lt;&gt;14,"CNPJ INVALIDO","OK"))</f>
      </c>
      <c r="Y17" s="3056">
        <f>IF(A17="","",IF(R17="","REST PENDENTE","REST OK"))</f>
      </c>
      <c r="Z17" s="3056">
        <f>IF(A17="","",IF(AND(R17&lt;&gt;"",COUNTIFS($D$3:$D$164,D17,$R$3:$R$164,"&lt;&gt;")&gt;1),"DUPLICADO","OK"))</f>
      </c>
      <c r="AA17" s="3056">
        <f>IF(A17="","",IF(OR(LEN(Q17)&gt;180,LEN(R17)&gt;180,LEN(S17)&gt;180,LEN(T17)&gt;180),"CAMINHO LONGO","OK"))</f>
      </c>
      <c r="AB17" s="3056">
        <f>IF(A17="","",IF(U17="","",IFERROR(INT(U17-TODAY()),"")))</f>
      </c>
      <c r="AC17" s="3056">
        <f>IF(A17="","",IF(AND(T17="",U17=""),"",IF(T17="","SEM CAMINHO",IF(U17="","SEM DATA",IFERROR(IF(AB17&lt;15,"VERMELHO",IF(AB17&lt;=30,"AMARELO","VERDE")),"DATA INVALIDA")))))</f>
      </c>
      <c r="AD17" s="3056">
        <f>IF(OR(A17="",U17="",NOT(ISNUMBER(AB17))),"",RANK(AB17,$AB$3:$AB$164,1)+COUNTIFS($AB$3:AB17,AB17)-1)</f>
      </c>
      <c r="AE17" s="1736"/>
    </row>
    <row r="18" spans="1:19" ht="22.0" hidden="false" customHeight="true" x14ac:dyDescent="0.25">
      <c r="A18" s="3084" t="s">
        <v>44</v>
      </c>
      <c r="B18" s="3083" t="s">
        <v>45</v>
      </c>
      <c r="C18" s="3083" t="s">
        <v>46</v>
      </c>
      <c r="D18" s="3083" t="s">
        <v>47</v>
      </c>
      <c r="E18" s="3083"/>
      <c r="F18" s="3083" t="s">
        <v>48</v>
      </c>
      <c r="G18" s="3083" t="s">
        <v>13</v>
      </c>
      <c r="H18" s="3083" t="s">
        <v>49</v>
      </c>
      <c r="I18" s="3083"/>
      <c r="J18" s="3083"/>
      <c r="K18" s="3083"/>
      <c r="L18" s="3083"/>
      <c r="M18" s="3083" t="s">
        <v>377</v>
      </c>
      <c r="N18" s="3083"/>
      <c r="O18" s="3083" t="s">
        <v>347</v>
      </c>
      <c r="P18" s="3083"/>
      <c r="Q18" s="3086"/>
      <c r="R18" s="3086"/>
      <c r="S18" s="3086"/>
      <c r="T18" s="3086"/>
      <c r="U18" s="3087"/>
      <c r="V18" s="3083"/>
      <c r="W18" s="3083"/>
      <c r="X18" s="3056">
        <f>IF(A18="","",IF(LEN(SUBSTITUTE(SUBSTITUTE(SUBSTITUTE(SUBSTITUTE(D18,".",""),"/",""),"-","")," ",""))&lt;&gt;14,"CNPJ INVALIDO","OK"))</f>
      </c>
      <c r="Y18" s="3056">
        <f>IF(A18="","",IF(R18="","REST PENDENTE","REST OK"))</f>
      </c>
      <c r="Z18" s="3056">
        <f>IF(A18="","",IF(AND(R18&lt;&gt;"",COUNTIFS($D$3:$D$164,D18,$R$3:$R$164,"&lt;&gt;")&gt;1),"DUPLICADO","OK"))</f>
      </c>
      <c r="AA18" s="3056">
        <f>IF(A18="","",IF(OR(LEN(Q18)&gt;180,LEN(R18)&gt;180,LEN(S18)&gt;180,LEN(T18)&gt;180),"CAMINHO LONGO","OK"))</f>
      </c>
      <c r="AB18" s="3056">
        <f>IF(A18="","",IF(U18="","",IFERROR(INT(U18-TODAY()),"")))</f>
      </c>
      <c r="AC18" s="3056">
        <f>IF(A18="","",IF(AND(T18="",U18=""),"",IF(T18="","SEM CAMINHO",IF(U18="","SEM DATA",IFERROR(IF(AB18&lt;15,"VERMELHO",IF(AB18&lt;=30,"AMARELO","VERDE")),"DATA INVALIDA")))))</f>
      </c>
      <c r="AD18" s="3056">
        <f>IF(OR(A18="",U18="",NOT(ISNUMBER(AB18))),"",RANK(AB18,$AB$3:$AB$164,1)+COUNTIFS($AB$3:AB18,AB18)-1)</f>
      </c>
      <c r="AE18" s="1736"/>
    </row>
    <row r="19" spans="1:19" ht="22.0" hidden="false" customHeight="true" x14ac:dyDescent="0.25">
      <c r="A19" s="3079" t="s">
        <v>50</v>
      </c>
      <c r="B19" s="3078" t="s">
        <v>45</v>
      </c>
      <c r="C19" s="3078" t="s">
        <v>46</v>
      </c>
      <c r="D19" s="3078" t="s">
        <v>51</v>
      </c>
      <c r="E19" s="3078"/>
      <c r="F19" s="3078" t="s">
        <v>48</v>
      </c>
      <c r="G19" s="3078" t="s">
        <v>13</v>
      </c>
      <c r="H19" s="3078" t="s">
        <v>49</v>
      </c>
      <c r="I19" s="3078"/>
      <c r="J19" s="3078"/>
      <c r="K19" s="3078"/>
      <c r="L19" s="3078"/>
      <c r="M19" s="3078" t="s">
        <v>377</v>
      </c>
      <c r="N19" s="3078"/>
      <c r="O19" s="3078" t="s">
        <v>347</v>
      </c>
      <c r="P19" s="3078"/>
      <c r="Q19" s="3081"/>
      <c r="R19" s="3081"/>
      <c r="S19" s="3081"/>
      <c r="T19" s="3081"/>
      <c r="U19" s="3082"/>
      <c r="V19" s="3078"/>
      <c r="W19" s="3078"/>
      <c r="X19" s="3056">
        <f>IF(A19="","",IF(LEN(SUBSTITUTE(SUBSTITUTE(SUBSTITUTE(SUBSTITUTE(D19,".",""),"/",""),"-","")," ",""))&lt;&gt;14,"CNPJ INVALIDO","OK"))</f>
      </c>
      <c r="Y19" s="3056">
        <f>IF(A19="","",IF(R19="","REST PENDENTE","REST OK"))</f>
      </c>
      <c r="Z19" s="3056">
        <f>IF(A19="","",IF(AND(R19&lt;&gt;"",COUNTIFS($D$3:$D$164,D19,$R$3:$R$164,"&lt;&gt;")&gt;1),"DUPLICADO","OK"))</f>
      </c>
      <c r="AA19" s="3056">
        <f>IF(A19="","",IF(OR(LEN(Q19)&gt;180,LEN(R19)&gt;180,LEN(S19)&gt;180,LEN(T19)&gt;180),"CAMINHO LONGO","OK"))</f>
      </c>
      <c r="AB19" s="3056">
        <f>IF(A19="","",IF(U19="","",IFERROR(INT(U19-TODAY()),"")))</f>
      </c>
      <c r="AC19" s="3056">
        <f>IF(A19="","",IF(AND(T19="",U19=""),"",IF(T19="","SEM CAMINHO",IF(U19="","SEM DATA",IFERROR(IF(AB19&lt;15,"VERMELHO",IF(AB19&lt;=30,"AMARELO","VERDE")),"DATA INVALIDA")))))</f>
      </c>
      <c r="AD19" s="3056">
        <f>IF(OR(A19="",U19="",NOT(ISNUMBER(AB19))),"",RANK(AB19,$AB$3:$AB$164,1)+COUNTIFS($AB$3:AB19,AB19)-1)</f>
      </c>
      <c r="AE19" s="1736"/>
    </row>
    <row r="20" spans="1:19" ht="22.0" hidden="false" customHeight="true" x14ac:dyDescent="0.25">
      <c r="A20" s="3084" t="s">
        <v>52</v>
      </c>
      <c r="B20" s="3083" t="s">
        <v>45</v>
      </c>
      <c r="C20" s="3083" t="s">
        <v>46</v>
      </c>
      <c r="D20" s="3083" t="s">
        <v>53</v>
      </c>
      <c r="E20" s="3083"/>
      <c r="F20" s="3083" t="s">
        <v>48</v>
      </c>
      <c r="G20" s="3083" t="s">
        <v>13</v>
      </c>
      <c r="H20" s="3083" t="s">
        <v>14</v>
      </c>
      <c r="I20" s="3083"/>
      <c r="J20" s="3083"/>
      <c r="K20" s="3083"/>
      <c r="L20" s="3083"/>
      <c r="M20" s="3083" t="s">
        <v>377</v>
      </c>
      <c r="N20" s="3083"/>
      <c r="O20" s="3083" t="s">
        <v>347</v>
      </c>
      <c r="P20" s="3083"/>
      <c r="Q20" s="3086"/>
      <c r="R20" s="3086"/>
      <c r="S20" s="3086"/>
      <c r="T20" s="3086"/>
      <c r="U20" s="3087"/>
      <c r="V20" s="3083"/>
      <c r="W20" s="3083"/>
      <c r="X20" s="3056">
        <f>IF(A20="","",IF(LEN(SUBSTITUTE(SUBSTITUTE(SUBSTITUTE(SUBSTITUTE(D20,".",""),"/",""),"-","")," ",""))&lt;&gt;14,"CNPJ INVALIDO","OK"))</f>
      </c>
      <c r="Y20" s="3056">
        <f>IF(A20="","",IF(R20="","REST PENDENTE","REST OK"))</f>
      </c>
      <c r="Z20" s="3056">
        <f>IF(A20="","",IF(AND(R20&lt;&gt;"",COUNTIFS($D$3:$D$164,D20,$R$3:$R$164,"&lt;&gt;")&gt;1),"DUPLICADO","OK"))</f>
      </c>
      <c r="AA20" s="3056">
        <f>IF(A20="","",IF(OR(LEN(Q20)&gt;180,LEN(R20)&gt;180,LEN(S20)&gt;180,LEN(T20)&gt;180),"CAMINHO LONGO","OK"))</f>
      </c>
      <c r="AB20" s="3056">
        <f>IF(A20="","",IF(U20="","",IFERROR(INT(U20-TODAY()),"")))</f>
      </c>
      <c r="AC20" s="3056">
        <f>IF(A20="","",IF(AND(T20="",U20=""),"",IF(T20="","SEM CAMINHO",IF(U20="","SEM DATA",IFERROR(IF(AB20&lt;15,"VERMELHO",IF(AB20&lt;=30,"AMARELO","VERDE")),"DATA INVALIDA")))))</f>
      </c>
      <c r="AD20" s="3056">
        <f>IF(OR(A20="",U20="",NOT(ISNUMBER(AB20))),"",RANK(AB20,$AB$3:$AB$164,1)+COUNTIFS($AB$3:AB20,AB20)-1)</f>
      </c>
      <c r="AE20" s="1736"/>
    </row>
    <row r="21" spans="1:19" ht="22.0" hidden="false" customHeight="true" x14ac:dyDescent="0.25">
      <c r="A21" s="3079" t="s">
        <v>54</v>
      </c>
      <c r="B21" s="3078" t="s">
        <v>55</v>
      </c>
      <c r="C21" s="3078" t="s">
        <v>56</v>
      </c>
      <c r="D21" s="3078">
        <v>57123358000129</v>
      </c>
      <c r="E21" s="3078"/>
      <c r="F21" s="3078" t="s">
        <v>57</v>
      </c>
      <c r="G21" s="3078" t="s">
        <v>4</v>
      </c>
      <c r="H21" s="3078" t="s">
        <v>14</v>
      </c>
      <c r="I21" s="3078"/>
      <c r="J21" s="3078"/>
      <c r="K21" s="3078"/>
      <c r="L21" s="3078"/>
      <c r="M21" s="3078" t="s">
        <v>376</v>
      </c>
      <c r="N21" s="3078"/>
      <c r="O21" s="3078" t="s">
        <v>349</v>
      </c>
      <c r="P21" s="3078"/>
      <c r="Q21" s="3081"/>
      <c r="R21" s="3081"/>
      <c r="S21" s="3081"/>
      <c r="T21" s="3081"/>
      <c r="U21" s="3082"/>
      <c r="V21" s="3078"/>
      <c r="W21" s="3078"/>
      <c r="X21" s="3056">
        <f>IF(A21="","",IF(LEN(SUBSTITUTE(SUBSTITUTE(SUBSTITUTE(SUBSTITUTE(D21,".",""),"/",""),"-","")," ",""))&lt;&gt;14,"CNPJ INVALIDO","OK"))</f>
      </c>
      <c r="Y21" s="3056">
        <f>IF(A21="","",IF(R21="","REST PENDENTE","REST OK"))</f>
      </c>
      <c r="Z21" s="3056">
        <f>IF(A21="","",IF(AND(R21&lt;&gt;"",COUNTIFS($D$3:$D$164,D21,$R$3:$R$164,"&lt;&gt;")&gt;1),"DUPLICADO","OK"))</f>
      </c>
      <c r="AA21" s="3056">
        <f>IF(A21="","",IF(OR(LEN(Q21)&gt;180,LEN(R21)&gt;180,LEN(S21)&gt;180,LEN(T21)&gt;180),"CAMINHO LONGO","OK"))</f>
      </c>
      <c r="AB21" s="3056">
        <f>IF(A21="","",IF(U21="","",IFERROR(INT(U21-TODAY()),"")))</f>
      </c>
      <c r="AC21" s="3056">
        <f>IF(A21="","",IF(AND(T21="",U21=""),"",IF(T21="","SEM CAMINHO",IF(U21="","SEM DATA",IFERROR(IF(AB21&lt;15,"VERMELHO",IF(AB21&lt;=30,"AMARELO","VERDE")),"DATA INVALIDA")))))</f>
      </c>
      <c r="AD21" s="3056">
        <f>IF(OR(A21="",U21="",NOT(ISNUMBER(AB21))),"",RANK(AB21,$AB$3:$AB$164,1)+COUNTIFS($AB$3:AB21,AB21)-1)</f>
      </c>
      <c r="AE21" s="1736"/>
    </row>
    <row r="22" spans="1:19" ht="22.0" hidden="false" customHeight="true" x14ac:dyDescent="0.25">
      <c r="A22" s="3084" t="s">
        <v>58</v>
      </c>
      <c r="B22" s="3083" t="s">
        <v>45</v>
      </c>
      <c r="C22" s="3083" t="s">
        <v>59</v>
      </c>
      <c r="D22" s="3083">
        <v>40870380000130</v>
      </c>
      <c r="E22" s="3083"/>
      <c r="F22" s="3083" t="s">
        <v>48</v>
      </c>
      <c r="G22" s="3083" t="s">
        <v>4</v>
      </c>
      <c r="H22" s="3083" t="s">
        <v>14</v>
      </c>
      <c r="I22" s="3083"/>
      <c r="J22" s="3083"/>
      <c r="K22" s="3083"/>
      <c r="L22" s="3083"/>
      <c r="M22" s="3083" t="s">
        <v>378</v>
      </c>
      <c r="N22" s="3083"/>
      <c r="O22" s="3083" t="s">
        <v>348</v>
      </c>
      <c r="P22" s="3083"/>
      <c r="Q22" s="3086"/>
      <c r="R22" s="3086"/>
      <c r="S22" s="3086"/>
      <c r="T22" s="3086"/>
      <c r="U22" s="3087"/>
      <c r="V22" s="3083"/>
      <c r="W22" s="3083"/>
      <c r="X22" s="3056">
        <f>IF(A22="","",IF(LEN(SUBSTITUTE(SUBSTITUTE(SUBSTITUTE(SUBSTITUTE(D22,".",""),"/",""),"-","")," ",""))&lt;&gt;14,"CNPJ INVALIDO","OK"))</f>
      </c>
      <c r="Y22" s="3056">
        <f>IF(A22="","",IF(R22="","REST PENDENTE","REST OK"))</f>
      </c>
      <c r="Z22" s="3056">
        <f>IF(A22="","",IF(AND(R22&lt;&gt;"",COUNTIFS($D$3:$D$164,D22,$R$3:$R$164,"&lt;&gt;")&gt;1),"DUPLICADO","OK"))</f>
      </c>
      <c r="AA22" s="3056">
        <f>IF(A22="","",IF(OR(LEN(Q22)&gt;180,LEN(R22)&gt;180,LEN(S22)&gt;180,LEN(T22)&gt;180),"CAMINHO LONGO","OK"))</f>
      </c>
      <c r="AB22" s="3056">
        <f>IF(A22="","",IF(U22="","",IFERROR(INT(U22-TODAY()),"")))</f>
      </c>
      <c r="AC22" s="3056">
        <f>IF(A22="","",IF(AND(T22="",U22=""),"",IF(T22="","SEM CAMINHO",IF(U22="","SEM DATA",IFERROR(IF(AB22&lt;15,"VERMELHO",IF(AB22&lt;=30,"AMARELO","VERDE")),"DATA INVALIDA")))))</f>
      </c>
      <c r="AD22" s="3056">
        <f>IF(OR(A22="",U22="",NOT(ISNUMBER(AB22))),"",RANK(AB22,$AB$3:$AB$164,1)+COUNTIFS($AB$3:AB22,AB22)-1)</f>
      </c>
      <c r="AE22" s="1736"/>
    </row>
    <row r="23" spans="1:19" ht="22.0" hidden="false" customHeight="true" x14ac:dyDescent="0.25">
      <c r="A23" s="3079" t="s">
        <v>60</v>
      </c>
      <c r="B23" s="3078" t="s">
        <v>61</v>
      </c>
      <c r="C23" s="3078" t="s">
        <v>62</v>
      </c>
      <c r="D23" s="3078">
        <v>26837949000134</v>
      </c>
      <c r="E23" s="3078"/>
      <c r="F23" s="3078" t="s">
        <v>63</v>
      </c>
      <c r="G23" s="3078" t="s">
        <v>41</v>
      </c>
      <c r="H23" s="3078" t="s">
        <v>5</v>
      </c>
      <c r="I23" s="3078"/>
      <c r="J23" s="3078"/>
      <c r="K23" s="3078"/>
      <c r="L23" s="3078"/>
      <c r="M23" s="3078" t="s">
        <v>379</v>
      </c>
      <c r="N23" s="3078"/>
      <c r="O23" s="3078"/>
      <c r="P23" s="3078"/>
      <c r="Q23" s="3081"/>
      <c r="R23" s="3081"/>
      <c r="S23" s="3081"/>
      <c r="T23" s="3081"/>
      <c r="U23" s="3082"/>
      <c r="V23" s="3078"/>
      <c r="W23" s="3078"/>
      <c r="X23" s="3056">
        <f>IF(A23="","",IF(LEN(SUBSTITUTE(SUBSTITUTE(SUBSTITUTE(SUBSTITUTE(D23,".",""),"/",""),"-","")," ",""))&lt;&gt;14,"CNPJ INVALIDO","OK"))</f>
      </c>
      <c r="Y23" s="3056">
        <f>IF(A23="","",IF(R23="","REST PENDENTE","REST OK"))</f>
      </c>
      <c r="Z23" s="3056">
        <f>IF(A23="","",IF(AND(R23&lt;&gt;"",COUNTIFS($D$3:$D$164,D23,$R$3:$R$164,"&lt;&gt;")&gt;1),"DUPLICADO","OK"))</f>
      </c>
      <c r="AA23" s="3056">
        <f>IF(A23="","",IF(OR(LEN(Q23)&gt;180,LEN(R23)&gt;180,LEN(S23)&gt;180,LEN(T23)&gt;180),"CAMINHO LONGO","OK"))</f>
      </c>
      <c r="AB23" s="3056">
        <f>IF(A23="","",IF(U23="","",IFERROR(INT(U23-TODAY()),"")))</f>
      </c>
      <c r="AC23" s="3056">
        <f>IF(A23="","",IF(AND(T23="",U23=""),"",IF(T23="","SEM CAMINHO",IF(U23="","SEM DATA",IFERROR(IF(AB23&lt;15,"VERMELHO",IF(AB23&lt;=30,"AMARELO","VERDE")),"DATA INVALIDA")))))</f>
      </c>
      <c r="AD23" s="3056">
        <f>IF(OR(A23="",U23="",NOT(ISNUMBER(AB23))),"",RANK(AB23,$AB$3:$AB$164,1)+COUNTIFS($AB$3:AB23,AB23)-1)</f>
      </c>
      <c r="AE23" s="1736"/>
    </row>
    <row r="24" spans="1:19" ht="22.0" hidden="false" customHeight="true" x14ac:dyDescent="0.25">
      <c r="A24" s="3084" t="s">
        <v>64</v>
      </c>
      <c r="B24" s="3083" t="s">
        <v>65</v>
      </c>
      <c r="C24" s="3083" t="s">
        <v>62</v>
      </c>
      <c r="D24" s="3083">
        <v>12923820000134</v>
      </c>
      <c r="E24" s="3083"/>
      <c r="F24" s="3083" t="s">
        <v>66</v>
      </c>
      <c r="G24" s="3083" t="s">
        <v>13</v>
      </c>
      <c r="H24" s="3083" t="s">
        <v>49</v>
      </c>
      <c r="I24" s="3083"/>
      <c r="J24" s="3083"/>
      <c r="K24" s="3083"/>
      <c r="L24" s="3083"/>
      <c r="M24" s="3083" t="s">
        <v>377</v>
      </c>
      <c r="N24" s="3083"/>
      <c r="O24" s="3083" t="s">
        <v>347</v>
      </c>
      <c r="P24" s="3083"/>
      <c r="Q24" s="3086"/>
      <c r="R24" s="3086"/>
      <c r="S24" s="3086"/>
      <c r="T24" s="3086"/>
      <c r="U24" s="3087"/>
      <c r="V24" s="3083"/>
      <c r="W24" s="3083"/>
      <c r="X24" s="3056">
        <f>IF(A24="","",IF(LEN(SUBSTITUTE(SUBSTITUTE(SUBSTITUTE(SUBSTITUTE(D24,".",""),"/",""),"-","")," ",""))&lt;&gt;14,"CNPJ INVALIDO","OK"))</f>
      </c>
      <c r="Y24" s="3056">
        <f>IF(A24="","",IF(R24="","REST PENDENTE","REST OK"))</f>
      </c>
      <c r="Z24" s="3056">
        <f>IF(A24="","",IF(AND(R24&lt;&gt;"",COUNTIFS($D$3:$D$164,D24,$R$3:$R$164,"&lt;&gt;")&gt;1),"DUPLICADO","OK"))</f>
      </c>
      <c r="AA24" s="3056">
        <f>IF(A24="","",IF(OR(LEN(Q24)&gt;180,LEN(R24)&gt;180,LEN(S24)&gt;180,LEN(T24)&gt;180),"CAMINHO LONGO","OK"))</f>
      </c>
      <c r="AB24" s="3056">
        <f>IF(A24="","",IF(U24="","",IFERROR(INT(U24-TODAY()),"")))</f>
      </c>
      <c r="AC24" s="3056">
        <f>IF(A24="","",IF(AND(T24="",U24=""),"",IF(T24="","SEM CAMINHO",IF(U24="","SEM DATA",IFERROR(IF(AB24&lt;15,"VERMELHO",IF(AB24&lt;=30,"AMARELO","VERDE")),"DATA INVALIDA")))))</f>
      </c>
      <c r="AD24" s="3056">
        <f>IF(OR(A24="",U24="",NOT(ISNUMBER(AB24))),"",RANK(AB24,$AB$3:$AB$164,1)+COUNTIFS($AB$3:AB24,AB24)-1)</f>
      </c>
      <c r="AE24" s="1736"/>
    </row>
    <row r="25" spans="1:19" ht="22.0" hidden="false" customHeight="true" x14ac:dyDescent="0.25">
      <c r="A25" s="3079" t="s">
        <v>67</v>
      </c>
      <c r="B25" s="3078" t="s">
        <v>68</v>
      </c>
      <c r="C25" s="3078" t="s">
        <v>69</v>
      </c>
      <c r="D25" s="3078" t="s">
        <v>70</v>
      </c>
      <c r="E25" s="3078"/>
      <c r="F25" s="3078" t="s">
        <v>71</v>
      </c>
      <c r="G25" s="3078" t="s">
        <v>4</v>
      </c>
      <c r="H25" s="3078" t="s">
        <v>49</v>
      </c>
      <c r="I25" s="3078"/>
      <c r="J25" s="3078"/>
      <c r="K25" s="3078"/>
      <c r="L25" s="3078"/>
      <c r="M25" s="3078" t="s">
        <v>379</v>
      </c>
      <c r="N25" s="3078"/>
      <c r="O25" s="3078" t="s">
        <v>349</v>
      </c>
      <c r="P25" s="3078"/>
      <c r="Q25" s="3081"/>
      <c r="R25" s="3081"/>
      <c r="S25" s="3081"/>
      <c r="T25" s="3081"/>
      <c r="U25" s="3082"/>
      <c r="V25" s="3078"/>
      <c r="W25" s="3078"/>
      <c r="X25" s="3056">
        <f>IF(A25="","",IF(LEN(SUBSTITUTE(SUBSTITUTE(SUBSTITUTE(SUBSTITUTE(D25,".",""),"/",""),"-","")," ",""))&lt;&gt;14,"CNPJ INVALIDO","OK"))</f>
      </c>
      <c r="Y25" s="3056">
        <f>IF(A25="","",IF(R25="","REST PENDENTE","REST OK"))</f>
      </c>
      <c r="Z25" s="3056">
        <f>IF(A25="","",IF(AND(R25&lt;&gt;"",COUNTIFS($D$3:$D$164,D25,$R$3:$R$164,"&lt;&gt;")&gt;1),"DUPLICADO","OK"))</f>
      </c>
      <c r="AA25" s="3056">
        <f>IF(A25="","",IF(OR(LEN(Q25)&gt;180,LEN(R25)&gt;180,LEN(S25)&gt;180,LEN(T25)&gt;180),"CAMINHO LONGO","OK"))</f>
      </c>
      <c r="AB25" s="3056">
        <f>IF(A25="","",IF(U25="","",IFERROR(INT(U25-TODAY()),"")))</f>
      </c>
      <c r="AC25" s="3056">
        <f>IF(A25="","",IF(AND(T25="",U25=""),"",IF(T25="","SEM CAMINHO",IF(U25="","SEM DATA",IFERROR(IF(AB25&lt;15,"VERMELHO",IF(AB25&lt;=30,"AMARELO","VERDE")),"DATA INVALIDA")))))</f>
      </c>
      <c r="AD25" s="3056">
        <f>IF(OR(A25="",U25="",NOT(ISNUMBER(AB25))),"",RANK(AB25,$AB$3:$AB$164,1)+COUNTIFS($AB$3:AB25,AB25)-1)</f>
      </c>
      <c r="AE25" s="1736"/>
    </row>
    <row r="26" spans="1:19" ht="22.0" hidden="false" customHeight="true" x14ac:dyDescent="0.25">
      <c r="A26" s="3084" t="s">
        <v>72</v>
      </c>
      <c r="B26" s="3083" t="s">
        <v>9</v>
      </c>
      <c r="C26" s="3083" t="s">
        <v>24</v>
      </c>
      <c r="D26" s="3083">
        <v>41597807000130</v>
      </c>
      <c r="E26" s="3083"/>
      <c r="F26" s="3083" t="s">
        <v>73</v>
      </c>
      <c r="G26" s="3083" t="s">
        <v>4</v>
      </c>
      <c r="H26" s="3083" t="s">
        <v>5</v>
      </c>
      <c r="I26" s="3083"/>
      <c r="J26" s="3083"/>
      <c r="K26" s="3083"/>
      <c r="L26" s="3083"/>
      <c r="M26" s="3083" t="s">
        <v>379</v>
      </c>
      <c r="N26" s="3083"/>
      <c r="O26" s="3083" t="s">
        <v>347</v>
      </c>
      <c r="P26" s="3083"/>
      <c r="Q26" s="3086"/>
      <c r="R26" s="3086"/>
      <c r="S26" s="3086"/>
      <c r="T26" s="3086"/>
      <c r="U26" s="3087"/>
      <c r="V26" s="3083"/>
      <c r="W26" s="3083"/>
      <c r="X26" s="3056">
        <f>IF(A26="","",IF(LEN(SUBSTITUTE(SUBSTITUTE(SUBSTITUTE(SUBSTITUTE(D26,".",""),"/",""),"-","")," ",""))&lt;&gt;14,"CNPJ INVALIDO","OK"))</f>
      </c>
      <c r="Y26" s="3056">
        <f>IF(A26="","",IF(R26="","REST PENDENTE","REST OK"))</f>
      </c>
      <c r="Z26" s="3056">
        <f>IF(A26="","",IF(AND(R26&lt;&gt;"",COUNTIFS($D$3:$D$164,D26,$R$3:$R$164,"&lt;&gt;")&gt;1),"DUPLICADO","OK"))</f>
      </c>
      <c r="AA26" s="3056">
        <f>IF(A26="","",IF(OR(LEN(Q26)&gt;180,LEN(R26)&gt;180,LEN(S26)&gt;180,LEN(T26)&gt;180),"CAMINHO LONGO","OK"))</f>
      </c>
      <c r="AB26" s="3056">
        <f>IF(A26="","",IF(U26="","",IFERROR(INT(U26-TODAY()),"")))</f>
      </c>
      <c r="AC26" s="3056">
        <f>IF(A26="","",IF(AND(T26="",U26=""),"",IF(T26="","SEM CAMINHO",IF(U26="","SEM DATA",IFERROR(IF(AB26&lt;15,"VERMELHO",IF(AB26&lt;=30,"AMARELO","VERDE")),"DATA INVALIDA")))))</f>
      </c>
      <c r="AD26" s="3056">
        <f>IF(OR(A26="",U26="",NOT(ISNUMBER(AB26))),"",RANK(AB26,$AB$3:$AB$164,1)+COUNTIFS($AB$3:AB26,AB26)-1)</f>
      </c>
      <c r="AE26" s="1736"/>
    </row>
    <row r="27" spans="1:19" ht="22.0" hidden="false" customHeight="true" x14ac:dyDescent="0.25">
      <c r="A27" s="3079" t="s">
        <v>74</v>
      </c>
      <c r="B27" s="3078" t="s">
        <v>75</v>
      </c>
      <c r="C27" s="3078" t="s">
        <v>62</v>
      </c>
      <c r="D27" s="3078">
        <v>21430001000146</v>
      </c>
      <c r="E27" s="3078"/>
      <c r="F27" s="3078" t="s">
        <v>76</v>
      </c>
      <c r="G27" s="3078" t="s">
        <v>4</v>
      </c>
      <c r="H27" s="3078" t="s">
        <v>5</v>
      </c>
      <c r="I27" s="3078"/>
      <c r="J27" s="3078"/>
      <c r="K27" s="3078"/>
      <c r="L27" s="3078"/>
      <c r="M27" s="3078" t="s">
        <v>377</v>
      </c>
      <c r="N27" s="3078"/>
      <c r="O27" s="3078" t="s">
        <v>347</v>
      </c>
      <c r="P27" s="3078"/>
      <c r="Q27" s="3081"/>
      <c r="R27" s="3081"/>
      <c r="S27" s="3081"/>
      <c r="T27" s="3081"/>
      <c r="U27" s="3082"/>
      <c r="V27" s="3078"/>
      <c r="W27" s="3078"/>
      <c r="X27" s="3056">
        <f>IF(A27="","",IF(LEN(SUBSTITUTE(SUBSTITUTE(SUBSTITUTE(SUBSTITUTE(D27,".",""),"/",""),"-","")," ",""))&lt;&gt;14,"CNPJ INVALIDO","OK"))</f>
      </c>
      <c r="Y27" s="3056">
        <f>IF(A27="","",IF(R27="","REST PENDENTE","REST OK"))</f>
      </c>
      <c r="Z27" s="3056">
        <f>IF(A27="","",IF(AND(R27&lt;&gt;"",COUNTIFS($D$3:$D$164,D27,$R$3:$R$164,"&lt;&gt;")&gt;1),"DUPLICADO","OK"))</f>
      </c>
      <c r="AA27" s="3056">
        <f>IF(A27="","",IF(OR(LEN(Q27)&gt;180,LEN(R27)&gt;180,LEN(S27)&gt;180,LEN(T27)&gt;180),"CAMINHO LONGO","OK"))</f>
      </c>
      <c r="AB27" s="3056">
        <f>IF(A27="","",IF(U27="","",IFERROR(INT(U27-TODAY()),"")))</f>
      </c>
      <c r="AC27" s="3056">
        <f>IF(A27="","",IF(AND(T27="",U27=""),"",IF(T27="","SEM CAMINHO",IF(U27="","SEM DATA",IFERROR(IF(AB27&lt;15,"VERMELHO",IF(AB27&lt;=30,"AMARELO","VERDE")),"DATA INVALIDA")))))</f>
      </c>
      <c r="AD27" s="3056">
        <f>IF(OR(A27="",U27="",NOT(ISNUMBER(AB27))),"",RANK(AB27,$AB$3:$AB$164,1)+COUNTIFS($AB$3:AB27,AB27)-1)</f>
      </c>
      <c r="AE27" s="1736"/>
    </row>
    <row r="28" spans="1:19" ht="22.0" hidden="false" customHeight="true" x14ac:dyDescent="0.25">
      <c r="A28" s="3084" t="s">
        <v>77</v>
      </c>
      <c r="B28" s="3083" t="s">
        <v>78</v>
      </c>
      <c r="C28" s="3083" t="s">
        <v>79</v>
      </c>
      <c r="D28" s="3083" t="s">
        <v>80</v>
      </c>
      <c r="E28" s="3083"/>
      <c r="F28" s="3083" t="s">
        <v>81</v>
      </c>
      <c r="G28" s="3083" t="s">
        <v>13</v>
      </c>
      <c r="H28" s="3083" t="s">
        <v>49</v>
      </c>
      <c r="I28" s="3083"/>
      <c r="J28" s="3083"/>
      <c r="K28" s="3083"/>
      <c r="L28" s="3083"/>
      <c r="M28" s="3083" t="s">
        <v>377</v>
      </c>
      <c r="N28" s="3083"/>
      <c r="O28" s="3083" t="s">
        <v>347</v>
      </c>
      <c r="P28" s="3083"/>
      <c r="Q28" s="3086"/>
      <c r="R28" s="3086"/>
      <c r="S28" s="3086"/>
      <c r="T28" s="3086"/>
      <c r="U28" s="3087"/>
      <c r="V28" s="3083"/>
      <c r="W28" s="3083"/>
      <c r="X28" s="3056">
        <f>IF(A28="","",IF(LEN(SUBSTITUTE(SUBSTITUTE(SUBSTITUTE(SUBSTITUTE(D28,".",""),"/",""),"-","")," ",""))&lt;&gt;14,"CNPJ INVALIDO","OK"))</f>
      </c>
      <c r="Y28" s="3056">
        <f>IF(A28="","",IF(R28="","REST PENDENTE","REST OK"))</f>
      </c>
      <c r="Z28" s="3056">
        <f>IF(A28="","",IF(AND(R28&lt;&gt;"",COUNTIFS($D$3:$D$164,D28,$R$3:$R$164,"&lt;&gt;")&gt;1),"DUPLICADO","OK"))</f>
      </c>
      <c r="AA28" s="3056">
        <f>IF(A28="","",IF(OR(LEN(Q28)&gt;180,LEN(R28)&gt;180,LEN(S28)&gt;180,LEN(T28)&gt;180),"CAMINHO LONGO","OK"))</f>
      </c>
      <c r="AB28" s="3056">
        <f>IF(A28="","",IF(U28="","",IFERROR(INT(U28-TODAY()),"")))</f>
      </c>
      <c r="AC28" s="3056">
        <f>IF(A28="","",IF(AND(T28="",U28=""),"",IF(T28="","SEM CAMINHO",IF(U28="","SEM DATA",IFERROR(IF(AB28&lt;15,"VERMELHO",IF(AB28&lt;=30,"AMARELO","VERDE")),"DATA INVALIDA")))))</f>
      </c>
      <c r="AD28" s="3056">
        <f>IF(OR(A28="",U28="",NOT(ISNUMBER(AB28))),"",RANK(AB28,$AB$3:$AB$164,1)+COUNTIFS($AB$3:AB28,AB28)-1)</f>
      </c>
      <c r="AE28" s="1736"/>
    </row>
    <row r="29" spans="1:19" ht="22.0" hidden="false" customHeight="true" x14ac:dyDescent="0.25">
      <c r="A29" s="3079" t="s">
        <v>82</v>
      </c>
      <c r="B29" s="3078" t="s">
        <v>78</v>
      </c>
      <c r="C29" s="3078" t="s">
        <v>83</v>
      </c>
      <c r="D29" s="3078">
        <v>62220305000166</v>
      </c>
      <c r="E29" s="3078"/>
      <c r="F29" s="3078" t="s">
        <v>81</v>
      </c>
      <c r="G29" s="3078" t="s">
        <v>4</v>
      </c>
      <c r="H29" s="3078" t="s">
        <v>5</v>
      </c>
      <c r="I29" s="3078"/>
      <c r="J29" s="3078"/>
      <c r="K29" s="3078"/>
      <c r="L29" s="3078"/>
      <c r="M29" s="3078" t="s">
        <v>378</v>
      </c>
      <c r="N29" s="3078"/>
      <c r="O29" s="3078" t="s">
        <v>349</v>
      </c>
      <c r="P29" s="3078"/>
      <c r="Q29" s="3081"/>
      <c r="R29" s="3081"/>
      <c r="S29" s="3081"/>
      <c r="T29" s="3081"/>
      <c r="U29" s="3082"/>
      <c r="V29" s="3078"/>
      <c r="W29" s="3078"/>
      <c r="X29" s="3056">
        <f>IF(A29="","",IF(LEN(SUBSTITUTE(SUBSTITUTE(SUBSTITUTE(SUBSTITUTE(D29,".",""),"/",""),"-","")," ",""))&lt;&gt;14,"CNPJ INVALIDO","OK"))</f>
      </c>
      <c r="Y29" s="3056">
        <f>IF(A29="","",IF(R29="","REST PENDENTE","REST OK"))</f>
      </c>
      <c r="Z29" s="3056">
        <f>IF(A29="","",IF(AND(R29&lt;&gt;"",COUNTIFS($D$3:$D$164,D29,$R$3:$R$164,"&lt;&gt;")&gt;1),"DUPLICADO","OK"))</f>
      </c>
      <c r="AA29" s="3056">
        <f>IF(A29="","",IF(OR(LEN(Q29)&gt;180,LEN(R29)&gt;180,LEN(S29)&gt;180,LEN(T29)&gt;180),"CAMINHO LONGO","OK"))</f>
      </c>
      <c r="AB29" s="3056">
        <f>IF(A29="","",IF(U29="","",IFERROR(INT(U29-TODAY()),"")))</f>
      </c>
      <c r="AC29" s="3056">
        <f>IF(A29="","",IF(AND(T29="",U29=""),"",IF(T29="","SEM CAMINHO",IF(U29="","SEM DATA",IFERROR(IF(AB29&lt;15,"VERMELHO",IF(AB29&lt;=30,"AMARELO","VERDE")),"DATA INVALIDA")))))</f>
      </c>
      <c r="AD29" s="3056">
        <f>IF(OR(A29="",U29="",NOT(ISNUMBER(AB29))),"",RANK(AB29,$AB$3:$AB$164,1)+COUNTIFS($AB$3:AB29,AB29)-1)</f>
      </c>
      <c r="AE29" s="1736"/>
    </row>
    <row r="30" spans="1:19" ht="22.0" hidden="false" customHeight="true" x14ac:dyDescent="0.25">
      <c r="A30" s="3084" t="s">
        <v>84</v>
      </c>
      <c r="B30" s="3083" t="s">
        <v>85</v>
      </c>
      <c r="C30" s="3083" t="s">
        <v>46</v>
      </c>
      <c r="D30" s="3083">
        <v>10712858000132</v>
      </c>
      <c r="E30" s="3083"/>
      <c r="F30" s="3083" t="s">
        <v>86</v>
      </c>
      <c r="G30" s="3083" t="s">
        <v>13</v>
      </c>
      <c r="H30" s="3083" t="s">
        <v>5</v>
      </c>
      <c r="I30" s="3083"/>
      <c r="J30" s="3083"/>
      <c r="K30" s="3083"/>
      <c r="L30" s="3083"/>
      <c r="M30" s="3083" t="s">
        <v>377</v>
      </c>
      <c r="N30" s="3083"/>
      <c r="O30" s="3083" t="s">
        <v>349</v>
      </c>
      <c r="P30" s="3083"/>
      <c r="Q30" s="3086"/>
      <c r="R30" s="3086"/>
      <c r="S30" s="3086"/>
      <c r="T30" s="3086"/>
      <c r="U30" s="3087"/>
      <c r="V30" s="3083"/>
      <c r="W30" s="3083"/>
      <c r="X30" s="3056">
        <f>IF(A30="","",IF(LEN(SUBSTITUTE(SUBSTITUTE(SUBSTITUTE(SUBSTITUTE(D30,".",""),"/",""),"-","")," ",""))&lt;&gt;14,"CNPJ INVALIDO","OK"))</f>
      </c>
      <c r="Y30" s="3056">
        <f>IF(A30="","",IF(R30="","REST PENDENTE","REST OK"))</f>
      </c>
      <c r="Z30" s="3056">
        <f>IF(A30="","",IF(AND(R30&lt;&gt;"",COUNTIFS($D$3:$D$164,D30,$R$3:$R$164,"&lt;&gt;")&gt;1),"DUPLICADO","OK"))</f>
      </c>
      <c r="AA30" s="3056">
        <f>IF(A30="","",IF(OR(LEN(Q30)&gt;180,LEN(R30)&gt;180,LEN(S30)&gt;180,LEN(T30)&gt;180),"CAMINHO LONGO","OK"))</f>
      </c>
      <c r="AB30" s="3056">
        <f>IF(A30="","",IF(U30="","",IFERROR(INT(U30-TODAY()),"")))</f>
      </c>
      <c r="AC30" s="3056">
        <f>IF(A30="","",IF(AND(T30="",U30=""),"",IF(T30="","SEM CAMINHO",IF(U30="","SEM DATA",IFERROR(IF(AB30&lt;15,"VERMELHO",IF(AB30&lt;=30,"AMARELO","VERDE")),"DATA INVALIDA")))))</f>
      </c>
      <c r="AD30" s="3056">
        <f>IF(OR(A30="",U30="",NOT(ISNUMBER(AB30))),"",RANK(AB30,$AB$3:$AB$164,1)+COUNTIFS($AB$3:AB30,AB30)-1)</f>
      </c>
      <c r="AE30" s="1736"/>
    </row>
    <row r="31" spans="1:19" ht="22.0" hidden="false" customHeight="true" x14ac:dyDescent="0.25">
      <c r="A31" s="3079" t="s">
        <v>87</v>
      </c>
      <c r="B31" s="3078" t="s">
        <v>61</v>
      </c>
      <c r="C31" s="3078" t="s">
        <v>62</v>
      </c>
      <c r="D31" s="3078">
        <v>53665434000177</v>
      </c>
      <c r="E31" s="3078"/>
      <c r="F31" s="3078" t="s">
        <v>63</v>
      </c>
      <c r="G31" s="3078" t="s">
        <v>4</v>
      </c>
      <c r="H31" s="3078" t="s">
        <v>5</v>
      </c>
      <c r="I31" s="3078"/>
      <c r="J31" s="3078"/>
      <c r="K31" s="3078"/>
      <c r="L31" s="3078"/>
      <c r="M31" s="3078" t="s">
        <v>379</v>
      </c>
      <c r="N31" s="3078"/>
      <c r="O31" s="3078" t="s">
        <v>349</v>
      </c>
      <c r="P31" s="3078"/>
      <c r="Q31" s="3081"/>
      <c r="R31" s="3081"/>
      <c r="S31" s="3081"/>
      <c r="T31" s="3081"/>
      <c r="U31" s="3082"/>
      <c r="V31" s="3078"/>
      <c r="W31" s="3078"/>
      <c r="X31" s="3056">
        <f>IF(A31="","",IF(LEN(SUBSTITUTE(SUBSTITUTE(SUBSTITUTE(SUBSTITUTE(D31,".",""),"/",""),"-","")," ",""))&lt;&gt;14,"CNPJ INVALIDO","OK"))</f>
      </c>
      <c r="Y31" s="3056">
        <f>IF(A31="","",IF(R31="","REST PENDENTE","REST OK"))</f>
      </c>
      <c r="Z31" s="3056">
        <f>IF(A31="","",IF(AND(R31&lt;&gt;"",COUNTIFS($D$3:$D$164,D31,$R$3:$R$164,"&lt;&gt;")&gt;1),"DUPLICADO","OK"))</f>
      </c>
      <c r="AA31" s="3056">
        <f>IF(A31="","",IF(OR(LEN(Q31)&gt;180,LEN(R31)&gt;180,LEN(S31)&gt;180,LEN(T31)&gt;180),"CAMINHO LONGO","OK"))</f>
      </c>
      <c r="AB31" s="3056">
        <f>IF(A31="","",IF(U31="","",IFERROR(INT(U31-TODAY()),"")))</f>
      </c>
      <c r="AC31" s="3056">
        <f>IF(A31="","",IF(AND(T31="",U31=""),"",IF(T31="","SEM CAMINHO",IF(U31="","SEM DATA",IFERROR(IF(AB31&lt;15,"VERMELHO",IF(AB31&lt;=30,"AMARELO","VERDE")),"DATA INVALIDA")))))</f>
      </c>
      <c r="AD31" s="3056">
        <f>IF(OR(A31="",U31="",NOT(ISNUMBER(AB31))),"",RANK(AB31,$AB$3:$AB$164,1)+COUNTIFS($AB$3:AB31,AB31)-1)</f>
      </c>
      <c r="AE31" s="1736"/>
    </row>
    <row r="32" spans="1:19" ht="22.0" hidden="false" customHeight="true" x14ac:dyDescent="0.25">
      <c r="A32" s="3084" t="s">
        <v>88</v>
      </c>
      <c r="B32" s="3083" t="s">
        <v>61</v>
      </c>
      <c r="C32" s="3083" t="s">
        <v>62</v>
      </c>
      <c r="D32" s="3083">
        <v>53665515000177</v>
      </c>
      <c r="E32" s="3083"/>
      <c r="F32" s="3083" t="s">
        <v>63</v>
      </c>
      <c r="G32" s="3083" t="s">
        <v>4</v>
      </c>
      <c r="H32" s="3083" t="s">
        <v>5</v>
      </c>
      <c r="I32" s="3083"/>
      <c r="J32" s="3083"/>
      <c r="K32" s="3083"/>
      <c r="L32" s="3083"/>
      <c r="M32" s="3083" t="s">
        <v>379</v>
      </c>
      <c r="N32" s="3083"/>
      <c r="O32" s="3083" t="s">
        <v>349</v>
      </c>
      <c r="P32" s="3083"/>
      <c r="Q32" s="3086"/>
      <c r="R32" s="3086"/>
      <c r="S32" s="3086"/>
      <c r="T32" s="3086"/>
      <c r="U32" s="3087"/>
      <c r="V32" s="3083"/>
      <c r="W32" s="3083"/>
      <c r="X32" s="3056">
        <f>IF(A32="","",IF(LEN(SUBSTITUTE(SUBSTITUTE(SUBSTITUTE(SUBSTITUTE(D32,".",""),"/",""),"-","")," ",""))&lt;&gt;14,"CNPJ INVALIDO","OK"))</f>
      </c>
      <c r="Y32" s="3056">
        <f>IF(A32="","",IF(R32="","REST PENDENTE","REST OK"))</f>
      </c>
      <c r="Z32" s="3056">
        <f>IF(A32="","",IF(AND(R32&lt;&gt;"",COUNTIFS($D$3:$D$164,D32,$R$3:$R$164,"&lt;&gt;")&gt;1),"DUPLICADO","OK"))</f>
      </c>
      <c r="AA32" s="3056">
        <f>IF(A32="","",IF(OR(LEN(Q32)&gt;180,LEN(R32)&gt;180,LEN(S32)&gt;180,LEN(T32)&gt;180),"CAMINHO LONGO","OK"))</f>
      </c>
      <c r="AB32" s="3056">
        <f>IF(A32="","",IF(U32="","",IFERROR(INT(U32-TODAY()),"")))</f>
      </c>
      <c r="AC32" s="3056">
        <f>IF(A32="","",IF(AND(T32="",U32=""),"",IF(T32="","SEM CAMINHO",IF(U32="","SEM DATA",IFERROR(IF(AB32&lt;15,"VERMELHO",IF(AB32&lt;=30,"AMARELO","VERDE")),"DATA INVALIDA")))))</f>
      </c>
      <c r="AD32" s="3056">
        <f>IF(OR(A32="",U32="",NOT(ISNUMBER(AB32))),"",RANK(AB32,$AB$3:$AB$164,1)+COUNTIFS($AB$3:AB32,AB32)-1)</f>
      </c>
      <c r="AE32" s="1736"/>
    </row>
    <row r="33" spans="1:19" ht="22.0" hidden="false" customHeight="true" x14ac:dyDescent="0.25">
      <c r="A33" s="3079" t="s">
        <v>89</v>
      </c>
      <c r="B33" s="3078" t="s">
        <v>61</v>
      </c>
      <c r="C33" s="3078" t="s">
        <v>62</v>
      </c>
      <c r="D33" s="3078">
        <v>53666225000148</v>
      </c>
      <c r="E33" s="3078"/>
      <c r="F33" s="3078" t="s">
        <v>63</v>
      </c>
      <c r="G33" s="3078" t="s">
        <v>4</v>
      </c>
      <c r="H33" s="3078" t="s">
        <v>5</v>
      </c>
      <c r="I33" s="3078"/>
      <c r="J33" s="3078"/>
      <c r="K33" s="3078"/>
      <c r="L33" s="3078"/>
      <c r="M33" s="3078" t="s">
        <v>379</v>
      </c>
      <c r="N33" s="3078"/>
      <c r="O33" s="3078" t="s">
        <v>349</v>
      </c>
      <c r="P33" s="3078"/>
      <c r="Q33" s="3081"/>
      <c r="R33" s="3081"/>
      <c r="S33" s="3081"/>
      <c r="T33" s="3081"/>
      <c r="U33" s="3082"/>
      <c r="V33" s="3078"/>
      <c r="W33" s="3078"/>
      <c r="X33" s="3056">
        <f>IF(A33="","",IF(LEN(SUBSTITUTE(SUBSTITUTE(SUBSTITUTE(SUBSTITUTE(D33,".",""),"/",""),"-","")," ",""))&lt;&gt;14,"CNPJ INVALIDO","OK"))</f>
      </c>
      <c r="Y33" s="3056">
        <f>IF(A33="","",IF(R33="","REST PENDENTE","REST OK"))</f>
      </c>
      <c r="Z33" s="3056">
        <f>IF(A33="","",IF(AND(R33&lt;&gt;"",COUNTIFS($D$3:$D$164,D33,$R$3:$R$164,"&lt;&gt;")&gt;1),"DUPLICADO","OK"))</f>
      </c>
      <c r="AA33" s="3056">
        <f>IF(A33="","",IF(OR(LEN(Q33)&gt;180,LEN(R33)&gt;180,LEN(S33)&gt;180,LEN(T33)&gt;180),"CAMINHO LONGO","OK"))</f>
      </c>
      <c r="AB33" s="3056">
        <f>IF(A33="","",IF(U33="","",IFERROR(INT(U33-TODAY()),"")))</f>
      </c>
      <c r="AC33" s="3056">
        <f>IF(A33="","",IF(AND(T33="",U33=""),"",IF(T33="","SEM CAMINHO",IF(U33="","SEM DATA",IFERROR(IF(AB33&lt;15,"VERMELHO",IF(AB33&lt;=30,"AMARELO","VERDE")),"DATA INVALIDA")))))</f>
      </c>
      <c r="AD33" s="3056">
        <f>IF(OR(A33="",U33="",NOT(ISNUMBER(AB33))),"",RANK(AB33,$AB$3:$AB$164,1)+COUNTIFS($AB$3:AB33,AB33)-1)</f>
      </c>
      <c r="AE33" s="1736"/>
    </row>
    <row r="34" spans="1:19" ht="22.0" hidden="false" customHeight="true" x14ac:dyDescent="0.25">
      <c r="A34" s="3084" t="s">
        <v>90</v>
      </c>
      <c r="B34" s="3083" t="s">
        <v>61</v>
      </c>
      <c r="C34" s="3083" t="s">
        <v>62</v>
      </c>
      <c r="D34" s="3083">
        <v>17845752000156</v>
      </c>
      <c r="E34" s="3083"/>
      <c r="F34" s="3083" t="s">
        <v>63</v>
      </c>
      <c r="G34" s="3083" t="s">
        <v>41</v>
      </c>
      <c r="H34" s="3083" t="s">
        <v>5</v>
      </c>
      <c r="I34" s="3083"/>
      <c r="J34" s="3083"/>
      <c r="K34" s="3083"/>
      <c r="L34" s="3083"/>
      <c r="M34" s="3083" t="s">
        <v>380</v>
      </c>
      <c r="N34" s="3083"/>
      <c r="O34" s="3083" t="s">
        <v>349</v>
      </c>
      <c r="P34" s="3083"/>
      <c r="Q34" s="3086"/>
      <c r="R34" s="3086"/>
      <c r="S34" s="3086"/>
      <c r="T34" s="3086"/>
      <c r="U34" s="3087"/>
      <c r="V34" s="3083"/>
      <c r="W34" s="3083"/>
      <c r="X34" s="3056">
        <f>IF(A34="","",IF(LEN(SUBSTITUTE(SUBSTITUTE(SUBSTITUTE(SUBSTITUTE(D34,".",""),"/",""),"-","")," ",""))&lt;&gt;14,"CNPJ INVALIDO","OK"))</f>
      </c>
      <c r="Y34" s="3056">
        <f>IF(A34="","",IF(R34="","REST PENDENTE","REST OK"))</f>
      </c>
      <c r="Z34" s="3056">
        <f>IF(A34="","",IF(AND(R34&lt;&gt;"",COUNTIFS($D$3:$D$164,D34,$R$3:$R$164,"&lt;&gt;")&gt;1),"DUPLICADO","OK"))</f>
      </c>
      <c r="AA34" s="3056">
        <f>IF(A34="","",IF(OR(LEN(Q34)&gt;180,LEN(R34)&gt;180,LEN(S34)&gt;180,LEN(T34)&gt;180),"CAMINHO LONGO","OK"))</f>
      </c>
      <c r="AB34" s="3056">
        <f>IF(A34="","",IF(U34="","",IFERROR(INT(U34-TODAY()),"")))</f>
      </c>
      <c r="AC34" s="3056">
        <f>IF(A34="","",IF(AND(T34="",U34=""),"",IF(T34="","SEM CAMINHO",IF(U34="","SEM DATA",IFERROR(IF(AB34&lt;15,"VERMELHO",IF(AB34&lt;=30,"AMARELO","VERDE")),"DATA INVALIDA")))))</f>
      </c>
      <c r="AD34" s="3056">
        <f>IF(OR(A34="",U34="",NOT(ISNUMBER(AB34))),"",RANK(AB34,$AB$3:$AB$164,1)+COUNTIFS($AB$3:AB34,AB34)-1)</f>
      </c>
      <c r="AE34" s="1736"/>
    </row>
    <row r="35" spans="1:19" ht="22.0" hidden="false" customHeight="true" x14ac:dyDescent="0.25">
      <c r="A35" s="3079" t="s">
        <v>91</v>
      </c>
      <c r="B35" s="3078" t="s">
        <v>61</v>
      </c>
      <c r="C35" s="3078" t="s">
        <v>62</v>
      </c>
      <c r="D35" s="3078">
        <v>17813257000165</v>
      </c>
      <c r="E35" s="3078"/>
      <c r="F35" s="3078" t="s">
        <v>63</v>
      </c>
      <c r="G35" s="3078" t="s">
        <v>13</v>
      </c>
      <c r="H35" s="3078" t="s">
        <v>5</v>
      </c>
      <c r="I35" s="3078"/>
      <c r="J35" s="3078"/>
      <c r="K35" s="3078"/>
      <c r="L35" s="3078"/>
      <c r="M35" s="3078" t="s">
        <v>381</v>
      </c>
      <c r="N35" s="3078"/>
      <c r="O35" s="3078" t="s">
        <v>349</v>
      </c>
      <c r="P35" s="3078"/>
      <c r="Q35" s="3081"/>
      <c r="R35" s="3081"/>
      <c r="S35" s="3081"/>
      <c r="T35" s="3081"/>
      <c r="U35" s="3082"/>
      <c r="V35" s="3078"/>
      <c r="W35" s="3078"/>
      <c r="X35" s="3056">
        <f>IF(A35="","",IF(LEN(SUBSTITUTE(SUBSTITUTE(SUBSTITUTE(SUBSTITUTE(D35,".",""),"/",""),"-","")," ",""))&lt;&gt;14,"CNPJ INVALIDO","OK"))</f>
      </c>
      <c r="Y35" s="3056">
        <f>IF(A35="","",IF(R35="","REST PENDENTE","REST OK"))</f>
      </c>
      <c r="Z35" s="3056">
        <f>IF(A35="","",IF(AND(R35&lt;&gt;"",COUNTIFS($D$3:$D$164,D35,$R$3:$R$164,"&lt;&gt;")&gt;1),"DUPLICADO","OK"))</f>
      </c>
      <c r="AA35" s="3056">
        <f>IF(A35="","",IF(OR(LEN(Q35)&gt;180,LEN(R35)&gt;180,LEN(S35)&gt;180,LEN(T35)&gt;180),"CAMINHO LONGO","OK"))</f>
      </c>
      <c r="AB35" s="3056">
        <f>IF(A35="","",IF(U35="","",IFERROR(INT(U35-TODAY()),"")))</f>
      </c>
      <c r="AC35" s="3056">
        <f>IF(A35="","",IF(AND(T35="",U35=""),"",IF(T35="","SEM CAMINHO",IF(U35="","SEM DATA",IFERROR(IF(AB35&lt;15,"VERMELHO",IF(AB35&lt;=30,"AMARELO","VERDE")),"DATA INVALIDA")))))</f>
      </c>
      <c r="AD35" s="3056">
        <f>IF(OR(A35="",U35="",NOT(ISNUMBER(AB35))),"",RANK(AB35,$AB$3:$AB$164,1)+COUNTIFS($AB$3:AB35,AB35)-1)</f>
      </c>
      <c r="AE35" s="1736"/>
    </row>
    <row r="36" spans="1:19" ht="22.0" hidden="false" customHeight="true" x14ac:dyDescent="0.25">
      <c r="A36" s="3084" t="s">
        <v>92</v>
      </c>
      <c r="B36" s="3083" t="s">
        <v>1</v>
      </c>
      <c r="C36" s="3083" t="s">
        <v>93</v>
      </c>
      <c r="D36" s="3083" t="s">
        <v>94</v>
      </c>
      <c r="E36" s="3083"/>
      <c r="F36" s="3083" t="s">
        <v>3</v>
      </c>
      <c r="G36" s="3083" t="s">
        <v>4</v>
      </c>
      <c r="H36" s="3083" t="s">
        <v>5</v>
      </c>
      <c r="I36" s="3083"/>
      <c r="J36" s="3083"/>
      <c r="K36" s="3083"/>
      <c r="L36" s="3083"/>
      <c r="M36" s="3083" t="s">
        <v>377</v>
      </c>
      <c r="N36" s="3083"/>
      <c r="O36" s="3083" t="s">
        <v>349</v>
      </c>
      <c r="P36" s="3083"/>
      <c r="Q36" s="3086"/>
      <c r="R36" s="3086"/>
      <c r="S36" s="3086"/>
      <c r="T36" s="3086"/>
      <c r="U36" s="3087"/>
      <c r="V36" s="3083"/>
      <c r="W36" s="3083"/>
      <c r="X36" s="3056">
        <f>IF(A36="","",IF(LEN(SUBSTITUTE(SUBSTITUTE(SUBSTITUTE(SUBSTITUTE(D36,".",""),"/",""),"-","")," ",""))&lt;&gt;14,"CNPJ INVALIDO","OK"))</f>
      </c>
      <c r="Y36" s="3056">
        <f>IF(A36="","",IF(R36="","REST PENDENTE","REST OK"))</f>
      </c>
      <c r="Z36" s="3056">
        <f>IF(A36="","",IF(AND(R36&lt;&gt;"",COUNTIFS($D$3:$D$164,D36,$R$3:$R$164,"&lt;&gt;")&gt;1),"DUPLICADO","OK"))</f>
      </c>
      <c r="AA36" s="3056">
        <f>IF(A36="","",IF(OR(LEN(Q36)&gt;180,LEN(R36)&gt;180,LEN(S36)&gt;180,LEN(T36)&gt;180),"CAMINHO LONGO","OK"))</f>
      </c>
      <c r="AB36" s="3056">
        <f>IF(A36="","",IF(U36="","",IFERROR(INT(U36-TODAY()),"")))</f>
      </c>
      <c r="AC36" s="3056">
        <f>IF(A36="","",IF(AND(T36="",U36=""),"",IF(T36="","SEM CAMINHO",IF(U36="","SEM DATA",IFERROR(IF(AB36&lt;15,"VERMELHO",IF(AB36&lt;=30,"AMARELO","VERDE")),"DATA INVALIDA")))))</f>
      </c>
      <c r="AD36" s="3056">
        <f>IF(OR(A36="",U36="",NOT(ISNUMBER(AB36))),"",RANK(AB36,$AB$3:$AB$164,1)+COUNTIFS($AB$3:AB36,AB36)-1)</f>
      </c>
      <c r="AE36" s="1736"/>
    </row>
    <row r="37" spans="1:19" ht="22.0" hidden="false" customHeight="true" x14ac:dyDescent="0.25">
      <c r="A37" s="3079" t="s">
        <v>95</v>
      </c>
      <c r="B37" s="3078" t="s">
        <v>96</v>
      </c>
      <c r="C37" s="3078" t="s">
        <v>97</v>
      </c>
      <c r="D37" s="3078" t="s">
        <v>98</v>
      </c>
      <c r="E37" s="3078"/>
      <c r="F37" s="3078" t="s">
        <v>99</v>
      </c>
      <c r="G37" s="3078" t="s">
        <v>41</v>
      </c>
      <c r="H37" s="3078" t="s">
        <v>14</v>
      </c>
      <c r="I37" s="3078"/>
      <c r="J37" s="3078"/>
      <c r="K37" s="3078"/>
      <c r="L37" s="3078"/>
      <c r="M37" s="3078" t="s">
        <v>383</v>
      </c>
      <c r="N37" s="3078" t="s">
        <v>362</v>
      </c>
      <c r="O37" s="3078" t="s">
        <v>349</v>
      </c>
      <c r="P37" s="3078"/>
      <c r="Q37" s="3081"/>
      <c r="R37" s="3081"/>
      <c r="S37" s="3081"/>
      <c r="T37" s="3081"/>
      <c r="U37" s="3082"/>
      <c r="V37" s="3078"/>
      <c r="W37" s="3078"/>
      <c r="X37" s="3056">
        <f>IF(A37="","",IF(LEN(SUBSTITUTE(SUBSTITUTE(SUBSTITUTE(SUBSTITUTE(D37,".",""),"/",""),"-","")," ",""))&lt;&gt;14,"CNPJ INVALIDO","OK"))</f>
      </c>
      <c r="Y37" s="3056">
        <f>IF(A37="","",IF(R37="","REST PENDENTE","REST OK"))</f>
      </c>
      <c r="Z37" s="3056">
        <f>IF(A37="","",IF(AND(R37&lt;&gt;"",COUNTIFS($D$3:$D$164,D37,$R$3:$R$164,"&lt;&gt;")&gt;1),"DUPLICADO","OK"))</f>
      </c>
      <c r="AA37" s="3056">
        <f>IF(A37="","",IF(OR(LEN(Q37)&gt;180,LEN(R37)&gt;180,LEN(S37)&gt;180,LEN(T37)&gt;180),"CAMINHO LONGO","OK"))</f>
      </c>
      <c r="AB37" s="3056">
        <f>IF(A37="","",IF(U37="","",IFERROR(INT(U37-TODAY()),"")))</f>
      </c>
      <c r="AC37" s="3056">
        <f>IF(A37="","",IF(AND(T37="",U37=""),"",IF(T37="","SEM CAMINHO",IF(U37="","SEM DATA",IFERROR(IF(AB37&lt;15,"VERMELHO",IF(AB37&lt;=30,"AMARELO","VERDE")),"DATA INVALIDA")))))</f>
      </c>
      <c r="AD37" s="3056">
        <f>IF(OR(A37="",U37="",NOT(ISNUMBER(AB37))),"",RANK(AB37,$AB$3:$AB$164,1)+COUNTIFS($AB$3:AB37,AB37)-1)</f>
      </c>
      <c r="AE37" s="1736"/>
    </row>
    <row r="38" spans="1:19" ht="22.0" hidden="false" customHeight="true" x14ac:dyDescent="0.25">
      <c r="A38" s="3084" t="s">
        <v>95</v>
      </c>
      <c r="B38" s="3083" t="s">
        <v>96</v>
      </c>
      <c r="C38" s="3083" t="s">
        <v>97</v>
      </c>
      <c r="D38" s="3083" t="s">
        <v>100</v>
      </c>
      <c r="E38" s="3083"/>
      <c r="F38" s="3083" t="s">
        <v>99</v>
      </c>
      <c r="G38" s="3083" t="s">
        <v>13</v>
      </c>
      <c r="H38" s="3083" t="s">
        <v>14</v>
      </c>
      <c r="I38" s="3083"/>
      <c r="J38" s="3083"/>
      <c r="K38" s="3083"/>
      <c r="L38" s="3083"/>
      <c r="M38" s="3083" t="s">
        <v>382</v>
      </c>
      <c r="N38" s="3083" t="s">
        <v>362</v>
      </c>
      <c r="O38" s="3083" t="s">
        <v>349</v>
      </c>
      <c r="P38" s="3083"/>
      <c r="Q38" s="3086"/>
      <c r="R38" s="3086"/>
      <c r="S38" s="3086"/>
      <c r="T38" s="3086"/>
      <c r="U38" s="3087"/>
      <c r="V38" s="3083"/>
      <c r="W38" s="3083"/>
      <c r="X38" s="3056">
        <f>IF(A38="","",IF(LEN(SUBSTITUTE(SUBSTITUTE(SUBSTITUTE(SUBSTITUTE(D38,".",""),"/",""),"-","")," ",""))&lt;&gt;14,"CNPJ INVALIDO","OK"))</f>
      </c>
      <c r="Y38" s="3056">
        <f>IF(A38="","",IF(R38="","REST PENDENTE","REST OK"))</f>
      </c>
      <c r="Z38" s="3056">
        <f>IF(A38="","",IF(AND(R38&lt;&gt;"",COUNTIFS($D$3:$D$164,D38,$R$3:$R$164,"&lt;&gt;")&gt;1),"DUPLICADO","OK"))</f>
      </c>
      <c r="AA38" s="3056">
        <f>IF(A38="","",IF(OR(LEN(Q38)&gt;180,LEN(R38)&gt;180,LEN(S38)&gt;180,LEN(T38)&gt;180),"CAMINHO LONGO","OK"))</f>
      </c>
      <c r="AB38" s="3056">
        <f>IF(A38="","",IF(U38="","",IFERROR(INT(U38-TODAY()),"")))</f>
      </c>
      <c r="AC38" s="3056">
        <f>IF(A38="","",IF(AND(T38="",U38=""),"",IF(T38="","SEM CAMINHO",IF(U38="","SEM DATA",IFERROR(IF(AB38&lt;15,"VERMELHO",IF(AB38&lt;=30,"AMARELO","VERDE")),"DATA INVALIDA")))))</f>
      </c>
      <c r="AD38" s="3056">
        <f>IF(OR(A38="",U38="",NOT(ISNUMBER(AB38))),"",RANK(AB38,$AB$3:$AB$164,1)+COUNTIFS($AB$3:AB38,AB38)-1)</f>
      </c>
      <c r="AE38" s="1736"/>
    </row>
    <row r="39" spans="1:19" ht="22.0" hidden="false" customHeight="true" x14ac:dyDescent="0.25">
      <c r="A39" s="3079" t="s">
        <v>95</v>
      </c>
      <c r="B39" s="3078" t="s">
        <v>96</v>
      </c>
      <c r="C39" s="3078" t="s">
        <v>97</v>
      </c>
      <c r="D39" s="3078" t="s">
        <v>101</v>
      </c>
      <c r="E39" s="3078"/>
      <c r="F39" s="3078" t="s">
        <v>99</v>
      </c>
      <c r="G39" s="3078" t="s">
        <v>13</v>
      </c>
      <c r="H39" s="3078" t="s">
        <v>14</v>
      </c>
      <c r="I39" s="3078"/>
      <c r="J39" s="3078"/>
      <c r="K39" s="3078"/>
      <c r="L39" s="3078"/>
      <c r="M39" s="3078" t="s">
        <v>382</v>
      </c>
      <c r="N39" s="3078" t="s">
        <v>362</v>
      </c>
      <c r="O39" s="3078" t="s">
        <v>349</v>
      </c>
      <c r="P39" s="3078"/>
      <c r="Q39" s="3081"/>
      <c r="R39" s="3081"/>
      <c r="S39" s="3081"/>
      <c r="T39" s="3081"/>
      <c r="U39" s="3082"/>
      <c r="V39" s="3078"/>
      <c r="W39" s="3078"/>
      <c r="X39" s="3056">
        <f>IF(A39="","",IF(LEN(SUBSTITUTE(SUBSTITUTE(SUBSTITUTE(SUBSTITUTE(D39,".",""),"/",""),"-","")," ",""))&lt;&gt;14,"CNPJ INVALIDO","OK"))</f>
      </c>
      <c r="Y39" s="3056">
        <f>IF(A39="","",IF(R39="","REST PENDENTE","REST OK"))</f>
      </c>
      <c r="Z39" s="3056">
        <f>IF(A39="","",IF(AND(R39&lt;&gt;"",COUNTIFS($D$3:$D$164,D39,$R$3:$R$164,"&lt;&gt;")&gt;1),"DUPLICADO","OK"))</f>
      </c>
      <c r="AA39" s="3056">
        <f>IF(A39="","",IF(OR(LEN(Q39)&gt;180,LEN(R39)&gt;180,LEN(S39)&gt;180,LEN(T39)&gt;180),"CAMINHO LONGO","OK"))</f>
      </c>
      <c r="AB39" s="3056">
        <f>IF(A39="","",IF(U39="","",IFERROR(INT(U39-TODAY()),"")))</f>
      </c>
      <c r="AC39" s="3056">
        <f>IF(A39="","",IF(AND(T39="",U39=""),"",IF(T39="","SEM CAMINHO",IF(U39="","SEM DATA",IFERROR(IF(AB39&lt;15,"VERMELHO",IF(AB39&lt;=30,"AMARELO","VERDE")),"DATA INVALIDA")))))</f>
      </c>
      <c r="AD39" s="3056">
        <f>IF(OR(A39="",U39="",NOT(ISNUMBER(AB39))),"",RANK(AB39,$AB$3:$AB$164,1)+COUNTIFS($AB$3:AB39,AB39)-1)</f>
      </c>
      <c r="AE39" s="1736"/>
    </row>
    <row r="40" spans="1:19" ht="22.0" hidden="false" customHeight="true" x14ac:dyDescent="0.25">
      <c r="A40" s="3084" t="s">
        <v>95</v>
      </c>
      <c r="B40" s="3083" t="s">
        <v>96</v>
      </c>
      <c r="C40" s="3083" t="s">
        <v>97</v>
      </c>
      <c r="D40" s="3083" t="s">
        <v>102</v>
      </c>
      <c r="E40" s="3083"/>
      <c r="F40" s="3083" t="s">
        <v>99</v>
      </c>
      <c r="G40" s="3083" t="s">
        <v>13</v>
      </c>
      <c r="H40" s="3083" t="s">
        <v>14</v>
      </c>
      <c r="I40" s="3083"/>
      <c r="J40" s="3083"/>
      <c r="K40" s="3083"/>
      <c r="L40" s="3083"/>
      <c r="M40" s="3083" t="s">
        <v>382</v>
      </c>
      <c r="N40" s="3083" t="s">
        <v>362</v>
      </c>
      <c r="O40" s="3083" t="s">
        <v>349</v>
      </c>
      <c r="P40" s="3083"/>
      <c r="Q40" s="3086"/>
      <c r="R40" s="3086"/>
      <c r="S40" s="3086"/>
      <c r="T40" s="3086"/>
      <c r="U40" s="3087"/>
      <c r="V40" s="3083"/>
      <c r="W40" s="3083"/>
      <c r="X40" s="3056">
        <f>IF(A40="","",IF(LEN(SUBSTITUTE(SUBSTITUTE(SUBSTITUTE(SUBSTITUTE(D40,".",""),"/",""),"-","")," ",""))&lt;&gt;14,"CNPJ INVALIDO","OK"))</f>
      </c>
      <c r="Y40" s="3056">
        <f>IF(A40="","",IF(R40="","REST PENDENTE","REST OK"))</f>
      </c>
      <c r="Z40" s="3056">
        <f>IF(A40="","",IF(AND(R40&lt;&gt;"",COUNTIFS($D$3:$D$164,D40,$R$3:$R$164,"&lt;&gt;")&gt;1),"DUPLICADO","OK"))</f>
      </c>
      <c r="AA40" s="3056">
        <f>IF(A40="","",IF(OR(LEN(Q40)&gt;180,LEN(R40)&gt;180,LEN(S40)&gt;180,LEN(T40)&gt;180),"CAMINHO LONGO","OK"))</f>
      </c>
      <c r="AB40" s="3056">
        <f>IF(A40="","",IF(U40="","",IFERROR(INT(U40-TODAY()),"")))</f>
      </c>
      <c r="AC40" s="3056">
        <f>IF(A40="","",IF(AND(T40="",U40=""),"",IF(T40="","SEM CAMINHO",IF(U40="","SEM DATA",IFERROR(IF(AB40&lt;15,"VERMELHO",IF(AB40&lt;=30,"AMARELO","VERDE")),"DATA INVALIDA")))))</f>
      </c>
      <c r="AD40" s="3056">
        <f>IF(OR(A40="",U40="",NOT(ISNUMBER(AB40))),"",RANK(AB40,$AB$3:$AB$164,1)+COUNTIFS($AB$3:AB40,AB40)-1)</f>
      </c>
      <c r="AE40" s="1736"/>
    </row>
    <row r="41" spans="1:19" ht="22.0" hidden="false" customHeight="true" x14ac:dyDescent="0.25">
      <c r="A41" s="3079" t="s">
        <v>95</v>
      </c>
      <c r="B41" s="3078" t="s">
        <v>96</v>
      </c>
      <c r="C41" s="3078" t="s">
        <v>97</v>
      </c>
      <c r="D41" s="3078" t="s">
        <v>103</v>
      </c>
      <c r="E41" s="3078"/>
      <c r="F41" s="3078" t="s">
        <v>99</v>
      </c>
      <c r="G41" s="3078" t="s">
        <v>13</v>
      </c>
      <c r="H41" s="3078" t="s">
        <v>14</v>
      </c>
      <c r="I41" s="3078"/>
      <c r="J41" s="3078"/>
      <c r="K41" s="3078"/>
      <c r="L41" s="3078"/>
      <c r="M41" s="3078" t="s">
        <v>382</v>
      </c>
      <c r="N41" s="3078" t="s">
        <v>362</v>
      </c>
      <c r="O41" s="3078" t="s">
        <v>349</v>
      </c>
      <c r="P41" s="3078"/>
      <c r="Q41" s="3081"/>
      <c r="R41" s="3081"/>
      <c r="S41" s="3081"/>
      <c r="T41" s="3081"/>
      <c r="U41" s="3082"/>
      <c r="V41" s="3078"/>
      <c r="W41" s="3078"/>
      <c r="X41" s="3056">
        <f>IF(A41="","",IF(LEN(SUBSTITUTE(SUBSTITUTE(SUBSTITUTE(SUBSTITUTE(D41,".",""),"/",""),"-","")," ",""))&lt;&gt;14,"CNPJ INVALIDO","OK"))</f>
      </c>
      <c r="Y41" s="3056">
        <f>IF(A41="","",IF(R41="","REST PENDENTE","REST OK"))</f>
      </c>
      <c r="Z41" s="3056">
        <f>IF(A41="","",IF(AND(R41&lt;&gt;"",COUNTIFS($D$3:$D$164,D41,$R$3:$R$164,"&lt;&gt;")&gt;1),"DUPLICADO","OK"))</f>
      </c>
      <c r="AA41" s="3056">
        <f>IF(A41="","",IF(OR(LEN(Q41)&gt;180,LEN(R41)&gt;180,LEN(S41)&gt;180,LEN(T41)&gt;180),"CAMINHO LONGO","OK"))</f>
      </c>
      <c r="AB41" s="3056">
        <f>IF(A41="","",IF(U41="","",IFERROR(INT(U41-TODAY()),"")))</f>
      </c>
      <c r="AC41" s="3056">
        <f>IF(A41="","",IF(AND(T41="",U41=""),"",IF(T41="","SEM CAMINHO",IF(U41="","SEM DATA",IFERROR(IF(AB41&lt;15,"VERMELHO",IF(AB41&lt;=30,"AMARELO","VERDE")),"DATA INVALIDA")))))</f>
      </c>
      <c r="AD41" s="3056">
        <f>IF(OR(A41="",U41="",NOT(ISNUMBER(AB41))),"",RANK(AB41,$AB$3:$AB$164,1)+COUNTIFS($AB$3:AB41,AB41)-1)</f>
      </c>
      <c r="AE41" s="1736"/>
    </row>
    <row r="42" spans="1:19" ht="22.0" hidden="false" customHeight="true" x14ac:dyDescent="0.25">
      <c r="A42" s="3084" t="s">
        <v>95</v>
      </c>
      <c r="B42" s="3083" t="s">
        <v>96</v>
      </c>
      <c r="C42" s="3083" t="s">
        <v>104</v>
      </c>
      <c r="D42" s="3083" t="s">
        <v>105</v>
      </c>
      <c r="E42" s="3083"/>
      <c r="F42" s="3083" t="s">
        <v>99</v>
      </c>
      <c r="G42" s="3083" t="s">
        <v>13</v>
      </c>
      <c r="H42" s="3083" t="s">
        <v>14</v>
      </c>
      <c r="I42" s="3083"/>
      <c r="J42" s="3083"/>
      <c r="K42" s="3083"/>
      <c r="L42" s="3083"/>
      <c r="M42" s="3083" t="s">
        <v>382</v>
      </c>
      <c r="N42" s="3083" t="s">
        <v>362</v>
      </c>
      <c r="O42" s="3083" t="s">
        <v>349</v>
      </c>
      <c r="P42" s="3083"/>
      <c r="Q42" s="3086"/>
      <c r="R42" s="3086"/>
      <c r="S42" s="3086"/>
      <c r="T42" s="3086"/>
      <c r="U42" s="3087"/>
      <c r="V42" s="3083"/>
      <c r="W42" s="3083"/>
      <c r="X42" s="3056">
        <f>IF(A42="","",IF(LEN(SUBSTITUTE(SUBSTITUTE(SUBSTITUTE(SUBSTITUTE(D42,".",""),"/",""),"-","")," ",""))&lt;&gt;14,"CNPJ INVALIDO","OK"))</f>
      </c>
      <c r="Y42" s="3056">
        <f>IF(A42="","",IF(R42="","REST PENDENTE","REST OK"))</f>
      </c>
      <c r="Z42" s="3056">
        <f>IF(A42="","",IF(AND(R42&lt;&gt;"",COUNTIFS($D$3:$D$164,D42,$R$3:$R$164,"&lt;&gt;")&gt;1),"DUPLICADO","OK"))</f>
      </c>
      <c r="AA42" s="3056">
        <f>IF(A42="","",IF(OR(LEN(Q42)&gt;180,LEN(R42)&gt;180,LEN(S42)&gt;180,LEN(T42)&gt;180),"CAMINHO LONGO","OK"))</f>
      </c>
      <c r="AB42" s="3056">
        <f>IF(A42="","",IF(U42="","",IFERROR(INT(U42-TODAY()),"")))</f>
      </c>
      <c r="AC42" s="3056">
        <f>IF(A42="","",IF(AND(T42="",U42=""),"",IF(T42="","SEM CAMINHO",IF(U42="","SEM DATA",IFERROR(IF(AB42&lt;15,"VERMELHO",IF(AB42&lt;=30,"AMARELO","VERDE")),"DATA INVALIDA")))))</f>
      </c>
      <c r="AD42" s="3056">
        <f>IF(OR(A42="",U42="",NOT(ISNUMBER(AB42))),"",RANK(AB42,$AB$3:$AB$164,1)+COUNTIFS($AB$3:AB42,AB42)-1)</f>
      </c>
      <c r="AE42" s="1736"/>
    </row>
    <row r="43" spans="1:19" ht="22.0" hidden="false" customHeight="true" x14ac:dyDescent="0.25">
      <c r="A43" s="3079" t="s">
        <v>95</v>
      </c>
      <c r="B43" s="3078" t="s">
        <v>96</v>
      </c>
      <c r="C43" s="3078" t="s">
        <v>104</v>
      </c>
      <c r="D43" s="3078" t="s">
        <v>106</v>
      </c>
      <c r="E43" s="3078"/>
      <c r="F43" s="3078" t="s">
        <v>99</v>
      </c>
      <c r="G43" s="3078" t="s">
        <v>13</v>
      </c>
      <c r="H43" s="3078" t="s">
        <v>14</v>
      </c>
      <c r="I43" s="3078"/>
      <c r="J43" s="3078"/>
      <c r="K43" s="3078"/>
      <c r="L43" s="3078"/>
      <c r="M43" s="3078" t="s">
        <v>382</v>
      </c>
      <c r="N43" s="3078" t="s">
        <v>362</v>
      </c>
      <c r="O43" s="3078" t="s">
        <v>349</v>
      </c>
      <c r="P43" s="3078"/>
      <c r="Q43" s="3081"/>
      <c r="R43" s="3081"/>
      <c r="S43" s="3081"/>
      <c r="T43" s="3081"/>
      <c r="U43" s="3082"/>
      <c r="V43" s="3078"/>
      <c r="W43" s="3078"/>
      <c r="X43" s="3056">
        <f>IF(A43="","",IF(LEN(SUBSTITUTE(SUBSTITUTE(SUBSTITUTE(SUBSTITUTE(D43,".",""),"/",""),"-","")," ",""))&lt;&gt;14,"CNPJ INVALIDO","OK"))</f>
      </c>
      <c r="Y43" s="3056">
        <f>IF(A43="","",IF(R43="","REST PENDENTE","REST OK"))</f>
      </c>
      <c r="Z43" s="3056">
        <f>IF(A43="","",IF(AND(R43&lt;&gt;"",COUNTIFS($D$3:$D$164,D43,$R$3:$R$164,"&lt;&gt;")&gt;1),"DUPLICADO","OK"))</f>
      </c>
      <c r="AA43" s="3056">
        <f>IF(A43="","",IF(OR(LEN(Q43)&gt;180,LEN(R43)&gt;180,LEN(S43)&gt;180,LEN(T43)&gt;180),"CAMINHO LONGO","OK"))</f>
      </c>
      <c r="AB43" s="3056">
        <f>IF(A43="","",IF(U43="","",IFERROR(INT(U43-TODAY()),"")))</f>
      </c>
      <c r="AC43" s="3056">
        <f>IF(A43="","",IF(AND(T43="",U43=""),"",IF(T43="","SEM CAMINHO",IF(U43="","SEM DATA",IFERROR(IF(AB43&lt;15,"VERMELHO",IF(AB43&lt;=30,"AMARELO","VERDE")),"DATA INVALIDA")))))</f>
      </c>
      <c r="AD43" s="3056">
        <f>IF(OR(A43="",U43="",NOT(ISNUMBER(AB43))),"",RANK(AB43,$AB$3:$AB$164,1)+COUNTIFS($AB$3:AB43,AB43)-1)</f>
      </c>
      <c r="AE43" s="1736"/>
    </row>
    <row r="44" spans="1:19" ht="22.0" hidden="false" customHeight="true" x14ac:dyDescent="0.25">
      <c r="A44" s="3084" t="s">
        <v>107</v>
      </c>
      <c r="B44" s="3083" t="s">
        <v>108</v>
      </c>
      <c r="C44" s="3083" t="s">
        <v>62</v>
      </c>
      <c r="D44" s="3083">
        <v>50056304000149</v>
      </c>
      <c r="E44" s="3083"/>
      <c r="F44" s="3083" t="s">
        <v>109</v>
      </c>
      <c r="G44" s="3083" t="s">
        <v>4</v>
      </c>
      <c r="H44" s="3083" t="s">
        <v>49</v>
      </c>
      <c r="I44" s="3083"/>
      <c r="J44" s="3083"/>
      <c r="K44" s="3083"/>
      <c r="L44" s="3083"/>
      <c r="M44" s="3083" t="s">
        <v>379</v>
      </c>
      <c r="N44" s="3083"/>
      <c r="O44" s="3083" t="s">
        <v>349</v>
      </c>
      <c r="P44" s="3083"/>
      <c r="Q44" s="3086"/>
      <c r="R44" s="3086"/>
      <c r="S44" s="3086"/>
      <c r="T44" s="3086"/>
      <c r="U44" s="3087"/>
      <c r="V44" s="3083"/>
      <c r="W44" s="3083"/>
      <c r="X44" s="3056">
        <f>IF(A44="","",IF(LEN(SUBSTITUTE(SUBSTITUTE(SUBSTITUTE(SUBSTITUTE(D44,".",""),"/",""),"-","")," ",""))&lt;&gt;14,"CNPJ INVALIDO","OK"))</f>
      </c>
      <c r="Y44" s="3056">
        <f>IF(A44="","",IF(R44="","REST PENDENTE","REST OK"))</f>
      </c>
      <c r="Z44" s="3056">
        <f>IF(A44="","",IF(AND(R44&lt;&gt;"",COUNTIFS($D$3:$D$164,D44,$R$3:$R$164,"&lt;&gt;")&gt;1),"DUPLICADO","OK"))</f>
      </c>
      <c r="AA44" s="3056">
        <f>IF(A44="","",IF(OR(LEN(Q44)&gt;180,LEN(R44)&gt;180,LEN(S44)&gt;180,LEN(T44)&gt;180),"CAMINHO LONGO","OK"))</f>
      </c>
      <c r="AB44" s="3056">
        <f>IF(A44="","",IF(U44="","",IFERROR(INT(U44-TODAY()),"")))</f>
      </c>
      <c r="AC44" s="3056">
        <f>IF(A44="","",IF(AND(T44="",U44=""),"",IF(T44="","SEM CAMINHO",IF(U44="","SEM DATA",IFERROR(IF(AB44&lt;15,"VERMELHO",IF(AB44&lt;=30,"AMARELO","VERDE")),"DATA INVALIDA")))))</f>
      </c>
      <c r="AD44" s="3056">
        <f>IF(OR(A44="",U44="",NOT(ISNUMBER(AB44))),"",RANK(AB44,$AB$3:$AB$164,1)+COUNTIFS($AB$3:AB44,AB44)-1)</f>
      </c>
      <c r="AE44" s="1736"/>
    </row>
    <row r="45" spans="1:19" ht="22.0" hidden="false" customHeight="true" x14ac:dyDescent="0.25">
      <c r="A45" s="3079" t="s">
        <v>110</v>
      </c>
      <c r="B45" s="3078" t="s">
        <v>108</v>
      </c>
      <c r="C45" s="3078" t="s">
        <v>62</v>
      </c>
      <c r="D45" s="3078">
        <v>59971731000127</v>
      </c>
      <c r="E45" s="3078"/>
      <c r="F45" s="3078" t="s">
        <v>109</v>
      </c>
      <c r="G45" s="3078" t="s">
        <v>4</v>
      </c>
      <c r="H45" s="3078" t="s">
        <v>49</v>
      </c>
      <c r="I45" s="3078"/>
      <c r="J45" s="3078"/>
      <c r="K45" s="3078"/>
      <c r="L45" s="3078"/>
      <c r="M45" s="3078" t="s">
        <v>379</v>
      </c>
      <c r="N45" s="3078"/>
      <c r="O45" s="3078" t="s">
        <v>349</v>
      </c>
      <c r="P45" s="3078"/>
      <c r="Q45" s="3081"/>
      <c r="R45" s="3081"/>
      <c r="S45" s="3081"/>
      <c r="T45" s="3081"/>
      <c r="U45" s="3082"/>
      <c r="V45" s="3078"/>
      <c r="W45" s="3078"/>
      <c r="X45" s="3056">
        <f>IF(A45="","",IF(LEN(SUBSTITUTE(SUBSTITUTE(SUBSTITUTE(SUBSTITUTE(D45,".",""),"/",""),"-","")," ",""))&lt;&gt;14,"CNPJ INVALIDO","OK"))</f>
      </c>
      <c r="Y45" s="3056">
        <f>IF(A45="","",IF(R45="","REST PENDENTE","REST OK"))</f>
      </c>
      <c r="Z45" s="3056">
        <f>IF(A45="","",IF(AND(R45&lt;&gt;"",COUNTIFS($D$3:$D$164,D45,$R$3:$R$164,"&lt;&gt;")&gt;1),"DUPLICADO","OK"))</f>
      </c>
      <c r="AA45" s="3056">
        <f>IF(A45="","",IF(OR(LEN(Q45)&gt;180,LEN(R45)&gt;180,LEN(S45)&gt;180,LEN(T45)&gt;180),"CAMINHO LONGO","OK"))</f>
      </c>
      <c r="AB45" s="3056">
        <f>IF(A45="","",IF(U45="","",IFERROR(INT(U45-TODAY()),"")))</f>
      </c>
      <c r="AC45" s="3056">
        <f>IF(A45="","",IF(AND(T45="",U45=""),"",IF(T45="","SEM CAMINHO",IF(U45="","SEM DATA",IFERROR(IF(AB45&lt;15,"VERMELHO",IF(AB45&lt;=30,"AMARELO","VERDE")),"DATA INVALIDA")))))</f>
      </c>
      <c r="AD45" s="3056">
        <f>IF(OR(A45="",U45="",NOT(ISNUMBER(AB45))),"",RANK(AB45,$AB$3:$AB$164,1)+COUNTIFS($AB$3:AB45,AB45)-1)</f>
      </c>
      <c r="AE45" s="1736"/>
    </row>
    <row r="46" spans="1:19" ht="22.0" hidden="false" customHeight="true" x14ac:dyDescent="0.25">
      <c r="A46" s="3084" t="s">
        <v>111</v>
      </c>
      <c r="B46" s="3083" t="s">
        <v>108</v>
      </c>
      <c r="C46" s="3083" t="s">
        <v>69</v>
      </c>
      <c r="D46" s="3083" t="s">
        <v>112</v>
      </c>
      <c r="E46" s="3083"/>
      <c r="F46" s="3083" t="s">
        <v>113</v>
      </c>
      <c r="G46" s="3083" t="s">
        <v>13</v>
      </c>
      <c r="H46" s="3083" t="s">
        <v>49</v>
      </c>
      <c r="I46" s="3083"/>
      <c r="J46" s="3083"/>
      <c r="K46" s="3083"/>
      <c r="L46" s="3083"/>
      <c r="M46" s="3083" t="s">
        <v>377</v>
      </c>
      <c r="N46" s="3083"/>
      <c r="O46" s="3083" t="s">
        <v>347</v>
      </c>
      <c r="P46" s="3083"/>
      <c r="Q46" s="3086"/>
      <c r="R46" s="3086"/>
      <c r="S46" s="3086"/>
      <c r="T46" s="3086"/>
      <c r="U46" s="3087"/>
      <c r="V46" s="3083"/>
      <c r="W46" s="3083"/>
      <c r="X46" s="3056">
        <f>IF(A46="","",IF(LEN(SUBSTITUTE(SUBSTITUTE(SUBSTITUTE(SUBSTITUTE(D46,".",""),"/",""),"-","")," ",""))&lt;&gt;14,"CNPJ INVALIDO","OK"))</f>
      </c>
      <c r="Y46" s="3056">
        <f>IF(A46="","",IF(R46="","REST PENDENTE","REST OK"))</f>
      </c>
      <c r="Z46" s="3056">
        <f>IF(A46="","",IF(AND(R46&lt;&gt;"",COUNTIFS($D$3:$D$164,D46,$R$3:$R$164,"&lt;&gt;")&gt;1),"DUPLICADO","OK"))</f>
      </c>
      <c r="AA46" s="3056">
        <f>IF(A46="","",IF(OR(LEN(Q46)&gt;180,LEN(R46)&gt;180,LEN(S46)&gt;180,LEN(T46)&gt;180),"CAMINHO LONGO","OK"))</f>
      </c>
      <c r="AB46" s="3056">
        <f>IF(A46="","",IF(U46="","",IFERROR(INT(U46-TODAY()),"")))</f>
      </c>
      <c r="AC46" s="3056">
        <f>IF(A46="","",IF(AND(T46="",U46=""),"",IF(T46="","SEM CAMINHO",IF(U46="","SEM DATA",IFERROR(IF(AB46&lt;15,"VERMELHO",IF(AB46&lt;=30,"AMARELO","VERDE")),"DATA INVALIDA")))))</f>
      </c>
      <c r="AD46" s="3056">
        <f>IF(OR(A46="",U46="",NOT(ISNUMBER(AB46))),"",RANK(AB46,$AB$3:$AB$164,1)+COUNTIFS($AB$3:AB46,AB46)-1)</f>
      </c>
      <c r="AE46" s="1736"/>
    </row>
    <row r="47" spans="1:19" ht="22.0" hidden="false" customHeight="true" x14ac:dyDescent="0.25">
      <c r="A47" s="3079" t="s">
        <v>114</v>
      </c>
      <c r="B47" s="3078" t="s">
        <v>115</v>
      </c>
      <c r="C47" s="3078" t="s">
        <v>116</v>
      </c>
      <c r="D47" s="3078" t="s">
        <v>117</v>
      </c>
      <c r="E47" s="3078"/>
      <c r="F47" s="3078" t="s">
        <v>118</v>
      </c>
      <c r="G47" s="3078" t="s">
        <v>13</v>
      </c>
      <c r="H47" s="3078" t="s">
        <v>14</v>
      </c>
      <c r="I47" s="3078"/>
      <c r="J47" s="3078"/>
      <c r="K47" s="3078"/>
      <c r="L47" s="3078"/>
      <c r="M47" s="3078" t="s">
        <v>377</v>
      </c>
      <c r="N47" s="3078"/>
      <c r="O47" s="3078" t="s">
        <v>350</v>
      </c>
      <c r="P47" s="3078"/>
      <c r="Q47" s="3081"/>
      <c r="R47" s="3081"/>
      <c r="S47" s="3081"/>
      <c r="T47" s="3081"/>
      <c r="U47" s="3082"/>
      <c r="V47" s="3078"/>
      <c r="W47" s="3078"/>
      <c r="X47" s="3056">
        <f>IF(A47="","",IF(LEN(SUBSTITUTE(SUBSTITUTE(SUBSTITUTE(SUBSTITUTE(D47,".",""),"/",""),"-","")," ",""))&lt;&gt;14,"CNPJ INVALIDO","OK"))</f>
      </c>
      <c r="Y47" s="3056">
        <f>IF(A47="","",IF(R47="","REST PENDENTE","REST OK"))</f>
      </c>
      <c r="Z47" s="3056">
        <f>IF(A47="","",IF(AND(R47&lt;&gt;"",COUNTIFS($D$3:$D$164,D47,$R$3:$R$164,"&lt;&gt;")&gt;1),"DUPLICADO","OK"))</f>
      </c>
      <c r="AA47" s="3056">
        <f>IF(A47="","",IF(OR(LEN(Q47)&gt;180,LEN(R47)&gt;180,LEN(S47)&gt;180,LEN(T47)&gt;180),"CAMINHO LONGO","OK"))</f>
      </c>
      <c r="AB47" s="3056">
        <f>IF(A47="","",IF(U47="","",IFERROR(INT(U47-TODAY()),"")))</f>
      </c>
      <c r="AC47" s="3056">
        <f>IF(A47="","",IF(AND(T47="",U47=""),"",IF(T47="","SEM CAMINHO",IF(U47="","SEM DATA",IFERROR(IF(AB47&lt;15,"VERMELHO",IF(AB47&lt;=30,"AMARELO","VERDE")),"DATA INVALIDA")))))</f>
      </c>
      <c r="AD47" s="3056">
        <f>IF(OR(A47="",U47="",NOT(ISNUMBER(AB47))),"",RANK(AB47,$AB$3:$AB$164,1)+COUNTIFS($AB$3:AB47,AB47)-1)</f>
      </c>
      <c r="AE47" s="1736"/>
    </row>
    <row r="48" spans="1:19" ht="22.0" hidden="false" customHeight="true" x14ac:dyDescent="0.25">
      <c r="A48" s="3084" t="s">
        <v>119</v>
      </c>
      <c r="B48" s="3083" t="s">
        <v>115</v>
      </c>
      <c r="C48" s="3083" t="s">
        <v>116</v>
      </c>
      <c r="D48" s="3083" t="s">
        <v>120</v>
      </c>
      <c r="E48" s="3083"/>
      <c r="F48" s="3083" t="s">
        <v>118</v>
      </c>
      <c r="G48" s="3083" t="s">
        <v>13</v>
      </c>
      <c r="H48" s="3083" t="s">
        <v>14</v>
      </c>
      <c r="I48" s="3083"/>
      <c r="J48" s="3083"/>
      <c r="K48" s="3083"/>
      <c r="L48" s="3083"/>
      <c r="M48" s="3083" t="s">
        <v>376</v>
      </c>
      <c r="N48" s="3083"/>
      <c r="O48" s="3083" t="s">
        <v>347</v>
      </c>
      <c r="P48" s="3083"/>
      <c r="Q48" s="3086"/>
      <c r="R48" s="3086"/>
      <c r="S48" s="3086"/>
      <c r="T48" s="3086"/>
      <c r="U48" s="3087"/>
      <c r="V48" s="3083"/>
      <c r="W48" s="3083"/>
      <c r="X48" s="3056">
        <f>IF(A48="","",IF(LEN(SUBSTITUTE(SUBSTITUTE(SUBSTITUTE(SUBSTITUTE(D48,".",""),"/",""),"-","")," ",""))&lt;&gt;14,"CNPJ INVALIDO","OK"))</f>
      </c>
      <c r="Y48" s="3056">
        <f>IF(A48="","",IF(R48="","REST PENDENTE","REST OK"))</f>
      </c>
      <c r="Z48" s="3056">
        <f>IF(A48="","",IF(AND(R48&lt;&gt;"",COUNTIFS($D$3:$D$164,D48,$R$3:$R$164,"&lt;&gt;")&gt;1),"DUPLICADO","OK"))</f>
      </c>
      <c r="AA48" s="3056">
        <f>IF(A48="","",IF(OR(LEN(Q48)&gt;180,LEN(R48)&gt;180,LEN(S48)&gt;180,LEN(T48)&gt;180),"CAMINHO LONGO","OK"))</f>
      </c>
      <c r="AB48" s="3056">
        <f>IF(A48="","",IF(U48="","",IFERROR(INT(U48-TODAY()),"")))</f>
      </c>
      <c r="AC48" s="3056">
        <f>IF(A48="","",IF(AND(T48="",U48=""),"",IF(T48="","SEM CAMINHO",IF(U48="","SEM DATA",IFERROR(IF(AB48&lt;15,"VERMELHO",IF(AB48&lt;=30,"AMARELO","VERDE")),"DATA INVALIDA")))))</f>
      </c>
      <c r="AD48" s="3056">
        <f>IF(OR(A48="",U48="",NOT(ISNUMBER(AB48))),"",RANK(AB48,$AB$3:$AB$164,1)+COUNTIFS($AB$3:AB48,AB48)-1)</f>
      </c>
      <c r="AE48" s="1736"/>
    </row>
    <row r="49" spans="1:19" ht="22.0" hidden="false" customHeight="true" x14ac:dyDescent="0.25">
      <c r="A49" s="3079" t="s">
        <v>121</v>
      </c>
      <c r="B49" s="3078" t="s">
        <v>115</v>
      </c>
      <c r="C49" s="3078" t="s">
        <v>122</v>
      </c>
      <c r="D49" s="3078">
        <v>44742752000101</v>
      </c>
      <c r="E49" s="3078"/>
      <c r="F49" s="3078" t="s">
        <v>118</v>
      </c>
      <c r="G49" s="3078" t="s">
        <v>4</v>
      </c>
      <c r="H49" s="3078" t="s">
        <v>5</v>
      </c>
      <c r="I49" s="3078"/>
      <c r="J49" s="3078"/>
      <c r="K49" s="3078"/>
      <c r="L49" s="3078"/>
      <c r="M49" s="3078" t="s">
        <v>376</v>
      </c>
      <c r="N49" s="3078"/>
      <c r="O49" s="3078" t="s">
        <v>349</v>
      </c>
      <c r="P49" s="3078"/>
      <c r="Q49" s="3081"/>
      <c r="R49" s="3081"/>
      <c r="S49" s="3081"/>
      <c r="T49" s="3081"/>
      <c r="U49" s="3082"/>
      <c r="V49" s="3078"/>
      <c r="W49" s="3078"/>
      <c r="X49" s="3056">
        <f>IF(A49="","",IF(LEN(SUBSTITUTE(SUBSTITUTE(SUBSTITUTE(SUBSTITUTE(D49,".",""),"/",""),"-","")," ",""))&lt;&gt;14,"CNPJ INVALIDO","OK"))</f>
      </c>
      <c r="Y49" s="3056">
        <f>IF(A49="","",IF(R49="","REST PENDENTE","REST OK"))</f>
      </c>
      <c r="Z49" s="3056">
        <f>IF(A49="","",IF(AND(R49&lt;&gt;"",COUNTIFS($D$3:$D$164,D49,$R$3:$R$164,"&lt;&gt;")&gt;1),"DUPLICADO","OK"))</f>
      </c>
      <c r="AA49" s="3056">
        <f>IF(A49="","",IF(OR(LEN(Q49)&gt;180,LEN(R49)&gt;180,LEN(S49)&gt;180,LEN(T49)&gt;180),"CAMINHO LONGO","OK"))</f>
      </c>
      <c r="AB49" s="3056">
        <f>IF(A49="","",IF(U49="","",IFERROR(INT(U49-TODAY()),"")))</f>
      </c>
      <c r="AC49" s="3056">
        <f>IF(A49="","",IF(AND(T49="",U49=""),"",IF(T49="","SEM CAMINHO",IF(U49="","SEM DATA",IFERROR(IF(AB49&lt;15,"VERMELHO",IF(AB49&lt;=30,"AMARELO","VERDE")),"DATA INVALIDA")))))</f>
      </c>
      <c r="AD49" s="3056">
        <f>IF(OR(A49="",U49="",NOT(ISNUMBER(AB49))),"",RANK(AB49,$AB$3:$AB$164,1)+COUNTIFS($AB$3:AB49,AB49)-1)</f>
      </c>
      <c r="AE49" s="1736"/>
    </row>
    <row r="50" spans="1:19" ht="22.0" hidden="false" customHeight="true" x14ac:dyDescent="0.25">
      <c r="A50" s="3084" t="s">
        <v>123</v>
      </c>
      <c r="B50" s="3083" t="s">
        <v>115</v>
      </c>
      <c r="C50" s="3083" t="s">
        <v>116</v>
      </c>
      <c r="D50" s="3083" t="s">
        <v>124</v>
      </c>
      <c r="E50" s="3083"/>
      <c r="F50" s="3083" t="s">
        <v>125</v>
      </c>
      <c r="G50" s="3083" t="s">
        <v>13</v>
      </c>
      <c r="H50" s="3083" t="s">
        <v>14</v>
      </c>
      <c r="I50" s="3083"/>
      <c r="J50" s="3083"/>
      <c r="K50" s="3083"/>
      <c r="L50" s="3083"/>
      <c r="M50" s="3083" t="s">
        <v>379</v>
      </c>
      <c r="N50" s="3083"/>
      <c r="O50" s="3083" t="s">
        <v>349</v>
      </c>
      <c r="P50" s="3083"/>
      <c r="Q50" s="3086"/>
      <c r="R50" s="3086"/>
      <c r="S50" s="3086"/>
      <c r="T50" s="3086"/>
      <c r="U50" s="3087"/>
      <c r="V50" s="3083"/>
      <c r="W50" s="3083"/>
      <c r="X50" s="3056">
        <f>IF(A50="","",IF(LEN(SUBSTITUTE(SUBSTITUTE(SUBSTITUTE(SUBSTITUTE(D50,".",""),"/",""),"-","")," ",""))&lt;&gt;14,"CNPJ INVALIDO","OK"))</f>
      </c>
      <c r="Y50" s="3056">
        <f>IF(A50="","",IF(R50="","REST PENDENTE","REST OK"))</f>
      </c>
      <c r="Z50" s="3056">
        <f>IF(A50="","",IF(AND(R50&lt;&gt;"",COUNTIFS($D$3:$D$164,D50,$R$3:$R$164,"&lt;&gt;")&gt;1),"DUPLICADO","OK"))</f>
      </c>
      <c r="AA50" s="3056">
        <f>IF(A50="","",IF(OR(LEN(Q50)&gt;180,LEN(R50)&gt;180,LEN(S50)&gt;180,LEN(T50)&gt;180),"CAMINHO LONGO","OK"))</f>
      </c>
      <c r="AB50" s="3056">
        <f>IF(A50="","",IF(U50="","",IFERROR(INT(U50-TODAY()),"")))</f>
      </c>
      <c r="AC50" s="3056">
        <f>IF(A50="","",IF(AND(T50="",U50=""),"",IF(T50="","SEM CAMINHO",IF(U50="","SEM DATA",IFERROR(IF(AB50&lt;15,"VERMELHO",IF(AB50&lt;=30,"AMARELO","VERDE")),"DATA INVALIDA")))))</f>
      </c>
      <c r="AD50" s="3056">
        <f>IF(OR(A50="",U50="",NOT(ISNUMBER(AB50))),"",RANK(AB50,$AB$3:$AB$164,1)+COUNTIFS($AB$3:AB50,AB50)-1)</f>
      </c>
      <c r="AE50" s="1736"/>
    </row>
    <row r="51" spans="1:19" ht="22.0" hidden="false" customHeight="true" x14ac:dyDescent="0.25">
      <c r="A51" s="3079" t="s">
        <v>126</v>
      </c>
      <c r="B51" s="3078" t="s">
        <v>115</v>
      </c>
      <c r="C51" s="3078" t="s">
        <v>122</v>
      </c>
      <c r="D51" s="3078">
        <v>44777527000100</v>
      </c>
      <c r="E51" s="3078"/>
      <c r="F51" s="3078" t="s">
        <v>125</v>
      </c>
      <c r="G51" s="3078" t="s">
        <v>4</v>
      </c>
      <c r="H51" s="3078" t="s">
        <v>5</v>
      </c>
      <c r="I51" s="3078"/>
      <c r="J51" s="3078"/>
      <c r="K51" s="3078"/>
      <c r="L51" s="3078"/>
      <c r="M51" s="3078" t="s">
        <v>379</v>
      </c>
      <c r="N51" s="3078"/>
      <c r="O51" s="3078" t="s">
        <v>349</v>
      </c>
      <c r="P51" s="3078"/>
      <c r="Q51" s="3081"/>
      <c r="R51" s="3081"/>
      <c r="S51" s="3081"/>
      <c r="T51" s="3081"/>
      <c r="U51" s="3082"/>
      <c r="V51" s="3078"/>
      <c r="W51" s="3078"/>
      <c r="X51" s="3056">
        <f>IF(A51="","",IF(LEN(SUBSTITUTE(SUBSTITUTE(SUBSTITUTE(SUBSTITUTE(D51,".",""),"/",""),"-","")," ",""))&lt;&gt;14,"CNPJ INVALIDO","OK"))</f>
      </c>
      <c r="Y51" s="3056">
        <f>IF(A51="","",IF(R51="","REST PENDENTE","REST OK"))</f>
      </c>
      <c r="Z51" s="3056">
        <f>IF(A51="","",IF(AND(R51&lt;&gt;"",COUNTIFS($D$3:$D$164,D51,$R$3:$R$164,"&lt;&gt;")&gt;1),"DUPLICADO","OK"))</f>
      </c>
      <c r="AA51" s="3056">
        <f>IF(A51="","",IF(OR(LEN(Q51)&gt;180,LEN(R51)&gt;180,LEN(S51)&gt;180,LEN(T51)&gt;180),"CAMINHO LONGO","OK"))</f>
      </c>
      <c r="AB51" s="3056">
        <f>IF(A51="","",IF(U51="","",IFERROR(INT(U51-TODAY()),"")))</f>
      </c>
      <c r="AC51" s="3056">
        <f>IF(A51="","",IF(AND(T51="",U51=""),"",IF(T51="","SEM CAMINHO",IF(U51="","SEM DATA",IFERROR(IF(AB51&lt;15,"VERMELHO",IF(AB51&lt;=30,"AMARELO","VERDE")),"DATA INVALIDA")))))</f>
      </c>
      <c r="AD51" s="3056">
        <f>IF(OR(A51="",U51="",NOT(ISNUMBER(AB51))),"",RANK(AB51,$AB$3:$AB$164,1)+COUNTIFS($AB$3:AB51,AB51)-1)</f>
      </c>
      <c r="AE51" s="1736"/>
    </row>
    <row r="52" spans="1:19" ht="22.0" hidden="false" customHeight="true" x14ac:dyDescent="0.25">
      <c r="A52" s="3084" t="s">
        <v>127</v>
      </c>
      <c r="B52" s="3083" t="s">
        <v>115</v>
      </c>
      <c r="C52" s="3083" t="s">
        <v>122</v>
      </c>
      <c r="D52" s="3083">
        <v>44796284000140</v>
      </c>
      <c r="E52" s="3083"/>
      <c r="F52" s="3083" t="s">
        <v>125</v>
      </c>
      <c r="G52" s="3083" t="s">
        <v>4</v>
      </c>
      <c r="H52" s="3083" t="s">
        <v>5</v>
      </c>
      <c r="I52" s="3083"/>
      <c r="J52" s="3083"/>
      <c r="K52" s="3083"/>
      <c r="L52" s="3083"/>
      <c r="M52" s="3083" t="s">
        <v>379</v>
      </c>
      <c r="N52" s="3083"/>
      <c r="O52" s="3083" t="s">
        <v>349</v>
      </c>
      <c r="P52" s="3083"/>
      <c r="Q52" s="3086"/>
      <c r="R52" s="3086"/>
      <c r="S52" s="3086"/>
      <c r="T52" s="3086"/>
      <c r="U52" s="3087"/>
      <c r="V52" s="3083"/>
      <c r="W52" s="3083"/>
      <c r="X52" s="3056">
        <f>IF(A52="","",IF(LEN(SUBSTITUTE(SUBSTITUTE(SUBSTITUTE(SUBSTITUTE(D52,".",""),"/",""),"-","")," ",""))&lt;&gt;14,"CNPJ INVALIDO","OK"))</f>
      </c>
      <c r="Y52" s="3056">
        <f>IF(A52="","",IF(R52="","REST PENDENTE","REST OK"))</f>
      </c>
      <c r="Z52" s="3056">
        <f>IF(A52="","",IF(AND(R52&lt;&gt;"",COUNTIFS($D$3:$D$164,D52,$R$3:$R$164,"&lt;&gt;")&gt;1),"DUPLICADO","OK"))</f>
      </c>
      <c r="AA52" s="3056">
        <f>IF(A52="","",IF(OR(LEN(Q52)&gt;180,LEN(R52)&gt;180,LEN(S52)&gt;180,LEN(T52)&gt;180),"CAMINHO LONGO","OK"))</f>
      </c>
      <c r="AB52" s="3056">
        <f>IF(A52="","",IF(U52="","",IFERROR(INT(U52-TODAY()),"")))</f>
      </c>
      <c r="AC52" s="3056">
        <f>IF(A52="","",IF(AND(T52="",U52=""),"",IF(T52="","SEM CAMINHO",IF(U52="","SEM DATA",IFERROR(IF(AB52&lt;15,"VERMELHO",IF(AB52&lt;=30,"AMARELO","VERDE")),"DATA INVALIDA")))))</f>
      </c>
      <c r="AD52" s="3056">
        <f>IF(OR(A52="",U52="",NOT(ISNUMBER(AB52))),"",RANK(AB52,$AB$3:$AB$164,1)+COUNTIFS($AB$3:AB52,AB52)-1)</f>
      </c>
      <c r="AE52" s="1736"/>
    </row>
    <row r="53" spans="1:19" ht="22.0" customHeight="true" thickTop="1" x14ac:dyDescent="0.25" hidden="false">
      <c r="A53" s="3079" t="s">
        <v>128</v>
      </c>
      <c r="B53" s="3078" t="s">
        <v>129</v>
      </c>
      <c r="C53" s="3078" t="s">
        <v>16</v>
      </c>
      <c r="D53" s="3078" t="s">
        <v>130</v>
      </c>
      <c r="E53" s="3078"/>
      <c r="F53" s="3078" t="s">
        <v>109</v>
      </c>
      <c r="G53" s="3078" t="s">
        <v>13</v>
      </c>
      <c r="H53" s="3078" t="s">
        <v>14</v>
      </c>
      <c r="I53" s="3078"/>
      <c r="J53" s="3078"/>
      <c r="K53" s="3078"/>
      <c r="L53" s="3078"/>
      <c r="M53" s="3078" t="s">
        <v>384</v>
      </c>
      <c r="N53" s="3078"/>
      <c r="O53" s="3078"/>
      <c r="P53" s="3078"/>
      <c r="Q53" s="3081"/>
      <c r="R53" s="3081"/>
      <c r="S53" s="3081"/>
      <c r="T53" s="3081"/>
      <c r="U53" s="3082"/>
      <c r="V53" s="3078"/>
      <c r="W53" s="3078"/>
      <c r="X53" s="3056">
        <f>IF(A53="","",IF(LEN(SUBSTITUTE(SUBSTITUTE(SUBSTITUTE(SUBSTITUTE(D53,".",""),"/",""),"-","")," ",""))&lt;&gt;14,"CNPJ INVALIDO","OK"))</f>
      </c>
      <c r="Y53" s="3056">
        <f>IF(A53="","",IF(R53="","REST PENDENTE","REST OK"))</f>
      </c>
      <c r="Z53" s="3056">
        <f>IF(A53="","",IF(AND(R53&lt;&gt;"",COUNTIFS($D$3:$D$164,D53,$R$3:$R$164,"&lt;&gt;")&gt;1),"DUPLICADO","OK"))</f>
      </c>
      <c r="AA53" s="3056">
        <f>IF(A53="","",IF(OR(LEN(Q53)&gt;180,LEN(R53)&gt;180,LEN(S53)&gt;180,LEN(T53)&gt;180),"CAMINHO LONGO","OK"))</f>
      </c>
      <c r="AB53" s="3056">
        <f>IF(A53="","",IF(U53="","",IFERROR(INT(U53-TODAY()),"")))</f>
      </c>
      <c r="AC53" s="3056">
        <f>IF(A53="","",IF(AND(T53="",U53=""),"",IF(T53="","SEM CAMINHO",IF(U53="","SEM DATA",IFERROR(IF(AB53&lt;15,"VERMELHO",IF(AB53&lt;=30,"AMARELO","VERDE")),"DATA INVALIDA")))))</f>
      </c>
      <c r="AD53" s="3056">
        <f>IF(OR(A53="",U53="",NOT(ISNUMBER(AB53))),"",RANK(AB53,$AB$3:$AB$164,1)+COUNTIFS($AB$3:AB53,AB53)-1)</f>
      </c>
      <c r="AE53" s="1736"/>
    </row>
    <row r="54" spans="1:19" ht="22.0" hidden="false" customHeight="true" x14ac:dyDescent="0.25">
      <c r="A54" s="3084" t="s">
        <v>131</v>
      </c>
      <c r="B54" s="3083" t="s">
        <v>132</v>
      </c>
      <c r="C54" s="3083" t="s">
        <v>62</v>
      </c>
      <c r="D54" s="3083">
        <v>19318532000108</v>
      </c>
      <c r="E54" s="3083"/>
      <c r="F54" s="3083" t="s">
        <v>66</v>
      </c>
      <c r="G54" s="3083" t="s">
        <v>4</v>
      </c>
      <c r="H54" s="3083" t="s">
        <v>5</v>
      </c>
      <c r="I54" s="3083"/>
      <c r="J54" s="3083"/>
      <c r="K54" s="3083"/>
      <c r="L54" s="3083"/>
      <c r="M54" s="3083" t="s">
        <v>377</v>
      </c>
      <c r="N54" s="3083"/>
      <c r="O54" s="3083" t="s">
        <v>347</v>
      </c>
      <c r="P54" s="3083"/>
      <c r="Q54" s="3086"/>
      <c r="R54" s="3086"/>
      <c r="S54" s="3086"/>
      <c r="T54" s="3086"/>
      <c r="U54" s="3087"/>
      <c r="V54" s="3083"/>
      <c r="W54" s="3083"/>
      <c r="X54" s="3056">
        <f>IF(A54="","",IF(LEN(SUBSTITUTE(SUBSTITUTE(SUBSTITUTE(SUBSTITUTE(D54,".",""),"/",""),"-","")," ",""))&lt;&gt;14,"CNPJ INVALIDO","OK"))</f>
      </c>
      <c r="Y54" s="3056">
        <f>IF(A54="","",IF(R54="","REST PENDENTE","REST OK"))</f>
      </c>
      <c r="Z54" s="3056">
        <f>IF(A54="","",IF(AND(R54&lt;&gt;"",COUNTIFS($D$3:$D$164,D54,$R$3:$R$164,"&lt;&gt;")&gt;1),"DUPLICADO","OK"))</f>
      </c>
      <c r="AA54" s="3056">
        <f>IF(A54="","",IF(OR(LEN(Q54)&gt;180,LEN(R54)&gt;180,LEN(S54)&gt;180,LEN(T54)&gt;180),"CAMINHO LONGO","OK"))</f>
      </c>
      <c r="AB54" s="3056">
        <f>IF(A54="","",IF(U54="","",IFERROR(INT(U54-TODAY()),"")))</f>
      </c>
      <c r="AC54" s="3056">
        <f>IF(A54="","",IF(AND(T54="",U54=""),"",IF(T54="","SEM CAMINHO",IF(U54="","SEM DATA",IFERROR(IF(AB54&lt;15,"VERMELHO",IF(AB54&lt;=30,"AMARELO","VERDE")),"DATA INVALIDA")))))</f>
      </c>
      <c r="AD54" s="3056">
        <f>IF(OR(A54="",U54="",NOT(ISNUMBER(AB54))),"",RANK(AB54,$AB$3:$AB$164,1)+COUNTIFS($AB$3:AB54,AB54)-1)</f>
      </c>
      <c r="AE54" s="1736"/>
    </row>
    <row r="55" spans="1:19" ht="22.0" hidden="false" customHeight="true" x14ac:dyDescent="0.25">
      <c r="A55" s="3079" t="s">
        <v>133</v>
      </c>
      <c r="B55" s="3078" t="s">
        <v>134</v>
      </c>
      <c r="C55" s="3078" t="s">
        <v>116</v>
      </c>
      <c r="D55" s="3078" t="s">
        <v>135</v>
      </c>
      <c r="E55" s="3078"/>
      <c r="F55" s="3078" t="s">
        <v>136</v>
      </c>
      <c r="G55" s="3078" t="s">
        <v>41</v>
      </c>
      <c r="H55" s="3078" t="s">
        <v>5</v>
      </c>
      <c r="I55" s="3078"/>
      <c r="J55" s="3078"/>
      <c r="K55" s="3078"/>
      <c r="L55" s="3078"/>
      <c r="M55" s="3078" t="s">
        <v>379</v>
      </c>
      <c r="N55" s="3078"/>
      <c r="O55" s="3078" t="s">
        <v>351</v>
      </c>
      <c r="P55" s="3078"/>
      <c r="Q55" s="3081"/>
      <c r="R55" s="3081"/>
      <c r="S55" s="3081"/>
      <c r="T55" s="3081"/>
      <c r="U55" s="3082"/>
      <c r="V55" s="3078"/>
      <c r="W55" s="3078"/>
      <c r="X55" s="3056">
        <f>IF(A55="","",IF(LEN(SUBSTITUTE(SUBSTITUTE(SUBSTITUTE(SUBSTITUTE(D55,".",""),"/",""),"-","")," ",""))&lt;&gt;14,"CNPJ INVALIDO","OK"))</f>
      </c>
      <c r="Y55" s="3056">
        <f>IF(A55="","",IF(R55="","REST PENDENTE","REST OK"))</f>
      </c>
      <c r="Z55" s="3056">
        <f>IF(A55="","",IF(AND(R55&lt;&gt;"",COUNTIFS($D$3:$D$164,D55,$R$3:$R$164,"&lt;&gt;")&gt;1),"DUPLICADO","OK"))</f>
      </c>
      <c r="AA55" s="3056">
        <f>IF(A55="","",IF(OR(LEN(Q55)&gt;180,LEN(R55)&gt;180,LEN(S55)&gt;180,LEN(T55)&gt;180),"CAMINHO LONGO","OK"))</f>
      </c>
      <c r="AB55" s="3056">
        <f>IF(A55="","",IF(U55="","",IFERROR(INT(U55-TODAY()),"")))</f>
      </c>
      <c r="AC55" s="3056">
        <f>IF(A55="","",IF(AND(T55="",U55=""),"",IF(T55="","SEM CAMINHO",IF(U55="","SEM DATA",IFERROR(IF(AB55&lt;15,"VERMELHO",IF(AB55&lt;=30,"AMARELO","VERDE")),"DATA INVALIDA")))))</f>
      </c>
      <c r="AD55" s="3056">
        <f>IF(OR(A55="",U55="",NOT(ISNUMBER(AB55))),"",RANK(AB55,$AB$3:$AB$164,1)+COUNTIFS($AB$3:AB55,AB55)-1)</f>
      </c>
      <c r="AE55" s="1736"/>
    </row>
    <row r="56" spans="1:19" ht="22.0" hidden="false" customHeight="true" x14ac:dyDescent="0.25">
      <c r="A56" s="3084" t="s">
        <v>137</v>
      </c>
      <c r="B56" s="3083" t="s">
        <v>134</v>
      </c>
      <c r="C56" s="3083" t="s">
        <v>122</v>
      </c>
      <c r="D56" s="3083">
        <v>34046667000147</v>
      </c>
      <c r="E56" s="3083"/>
      <c r="F56" s="3083" t="s">
        <v>138</v>
      </c>
      <c r="G56" s="3083" t="s">
        <v>4</v>
      </c>
      <c r="H56" s="3083" t="s">
        <v>5</v>
      </c>
      <c r="I56" s="3083"/>
      <c r="J56" s="3083"/>
      <c r="K56" s="3083"/>
      <c r="L56" s="3083"/>
      <c r="M56" s="3083" t="s">
        <v>385</v>
      </c>
      <c r="N56" s="3083"/>
      <c r="O56" s="3083" t="s">
        <v>351</v>
      </c>
      <c r="P56" s="3083"/>
      <c r="Q56" s="3086"/>
      <c r="R56" s="3086"/>
      <c r="S56" s="3086"/>
      <c r="T56" s="3086"/>
      <c r="U56" s="3087"/>
      <c r="V56" s="3083"/>
      <c r="W56" s="3083"/>
      <c r="X56" s="3056">
        <f>IF(A56="","",IF(LEN(SUBSTITUTE(SUBSTITUTE(SUBSTITUTE(SUBSTITUTE(D56,".",""),"/",""),"-","")," ",""))&lt;&gt;14,"CNPJ INVALIDO","OK"))</f>
      </c>
      <c r="Y56" s="3056">
        <f>IF(A56="","",IF(R56="","REST PENDENTE","REST OK"))</f>
      </c>
      <c r="Z56" s="3056">
        <f>IF(A56="","",IF(AND(R56&lt;&gt;"",COUNTIFS($D$3:$D$164,D56,$R$3:$R$164,"&lt;&gt;")&gt;1),"DUPLICADO","OK"))</f>
      </c>
      <c r="AA56" s="3056">
        <f>IF(A56="","",IF(OR(LEN(Q56)&gt;180,LEN(R56)&gt;180,LEN(S56)&gt;180,LEN(T56)&gt;180),"CAMINHO LONGO","OK"))</f>
      </c>
      <c r="AB56" s="3056">
        <f>IF(A56="","",IF(U56="","",IFERROR(INT(U56-TODAY()),"")))</f>
      </c>
      <c r="AC56" s="3056">
        <f>IF(A56="","",IF(AND(T56="",U56=""),"",IF(T56="","SEM CAMINHO",IF(U56="","SEM DATA",IFERROR(IF(AB56&lt;15,"VERMELHO",IF(AB56&lt;=30,"AMARELO","VERDE")),"DATA INVALIDA")))))</f>
      </c>
      <c r="AD56" s="3056">
        <f>IF(OR(A56="",U56="",NOT(ISNUMBER(AB56))),"",RANK(AB56,$AB$3:$AB$164,1)+COUNTIFS($AB$3:AB56,AB56)-1)</f>
      </c>
      <c r="AE56" s="1736"/>
    </row>
    <row r="57" spans="1:19" ht="22.0" hidden="false" customHeight="true" x14ac:dyDescent="0.25">
      <c r="A57" s="3079" t="s">
        <v>139</v>
      </c>
      <c r="B57" s="3078" t="s">
        <v>134</v>
      </c>
      <c r="C57" s="3078" t="s">
        <v>122</v>
      </c>
      <c r="D57" s="3078">
        <v>40932575000167</v>
      </c>
      <c r="E57" s="3078"/>
      <c r="F57" s="3078" t="s">
        <v>140</v>
      </c>
      <c r="G57" s="3078" t="s">
        <v>4</v>
      </c>
      <c r="H57" s="3078" t="s">
        <v>5</v>
      </c>
      <c r="I57" s="3078"/>
      <c r="J57" s="3078"/>
      <c r="K57" s="3078"/>
      <c r="L57" s="3078"/>
      <c r="M57" s="3078" t="s">
        <v>379</v>
      </c>
      <c r="N57" s="3078"/>
      <c r="O57" s="3078" t="s">
        <v>351</v>
      </c>
      <c r="P57" s="3078"/>
      <c r="Q57" s="3081"/>
      <c r="R57" s="3081"/>
      <c r="S57" s="3081"/>
      <c r="T57" s="3081"/>
      <c r="U57" s="3082"/>
      <c r="V57" s="3078"/>
      <c r="W57" s="3078"/>
      <c r="X57" s="3056">
        <f>IF(A57="","",IF(LEN(SUBSTITUTE(SUBSTITUTE(SUBSTITUTE(SUBSTITUTE(D57,".",""),"/",""),"-","")," ",""))&lt;&gt;14,"CNPJ INVALIDO","OK"))</f>
      </c>
      <c r="Y57" s="3056">
        <f>IF(A57="","",IF(R57="","REST PENDENTE","REST OK"))</f>
      </c>
      <c r="Z57" s="3056">
        <f>IF(A57="","",IF(AND(R57&lt;&gt;"",COUNTIFS($D$3:$D$164,D57,$R$3:$R$164,"&lt;&gt;")&gt;1),"DUPLICADO","OK"))</f>
      </c>
      <c r="AA57" s="3056">
        <f>IF(A57="","",IF(OR(LEN(Q57)&gt;180,LEN(R57)&gt;180,LEN(S57)&gt;180,LEN(T57)&gt;180),"CAMINHO LONGO","OK"))</f>
      </c>
      <c r="AB57" s="3056">
        <f>IF(A57="","",IF(U57="","",IFERROR(INT(U57-TODAY()),"")))</f>
      </c>
      <c r="AC57" s="3056">
        <f>IF(A57="","",IF(AND(T57="",U57=""),"",IF(T57="","SEM CAMINHO",IF(U57="","SEM DATA",IFERROR(IF(AB57&lt;15,"VERMELHO",IF(AB57&lt;=30,"AMARELO","VERDE")),"DATA INVALIDA")))))</f>
      </c>
      <c r="AD57" s="3056">
        <f>IF(OR(A57="",U57="",NOT(ISNUMBER(AB57))),"",RANK(AB57,$AB$3:$AB$164,1)+COUNTIFS($AB$3:AB57,AB57)-1)</f>
      </c>
      <c r="AE57" s="1736"/>
    </row>
    <row r="58" spans="1:19" ht="22.0" hidden="false" customHeight="true" x14ac:dyDescent="0.25">
      <c r="A58" s="3084" t="s">
        <v>141</v>
      </c>
      <c r="B58" s="3083" t="s">
        <v>142</v>
      </c>
      <c r="C58" s="3083" t="s">
        <v>62</v>
      </c>
      <c r="D58" s="3083" t="s">
        <v>143</v>
      </c>
      <c r="E58" s="3083"/>
      <c r="F58" s="3083" t="s">
        <v>144</v>
      </c>
      <c r="G58" s="3083" t="s">
        <v>13</v>
      </c>
      <c r="H58" s="3083" t="s">
        <v>49</v>
      </c>
      <c r="I58" s="3083"/>
      <c r="J58" s="3083"/>
      <c r="K58" s="3083"/>
      <c r="L58" s="3083"/>
      <c r="M58" s="3083" t="s">
        <v>385</v>
      </c>
      <c r="N58" s="3083"/>
      <c r="O58" s="3083" t="s">
        <v>347</v>
      </c>
      <c r="P58" s="3083"/>
      <c r="Q58" s="3086"/>
      <c r="R58" s="3086"/>
      <c r="S58" s="3086"/>
      <c r="T58" s="3086"/>
      <c r="U58" s="3087"/>
      <c r="V58" s="3083"/>
      <c r="W58" s="3083"/>
      <c r="X58" s="3056">
        <f>IF(A58="","",IF(LEN(SUBSTITUTE(SUBSTITUTE(SUBSTITUTE(SUBSTITUTE(D58,".",""),"/",""),"-","")," ",""))&lt;&gt;14,"CNPJ INVALIDO","OK"))</f>
      </c>
      <c r="Y58" s="3056">
        <f>IF(A58="","",IF(R58="","REST PENDENTE","REST OK"))</f>
      </c>
      <c r="Z58" s="3056">
        <f>IF(A58="","",IF(AND(R58&lt;&gt;"",COUNTIFS($D$3:$D$164,D58,$R$3:$R$164,"&lt;&gt;")&gt;1),"DUPLICADO","OK"))</f>
      </c>
      <c r="AA58" s="3056">
        <f>IF(A58="","",IF(OR(LEN(Q58)&gt;180,LEN(R58)&gt;180,LEN(S58)&gt;180,LEN(T58)&gt;180),"CAMINHO LONGO","OK"))</f>
      </c>
      <c r="AB58" s="3056">
        <f>IF(A58="","",IF(U58="","",IFERROR(INT(U58-TODAY()),"")))</f>
      </c>
      <c r="AC58" s="3056">
        <f>IF(A58="","",IF(AND(T58="",U58=""),"",IF(T58="","SEM CAMINHO",IF(U58="","SEM DATA",IFERROR(IF(AB58&lt;15,"VERMELHO",IF(AB58&lt;=30,"AMARELO","VERDE")),"DATA INVALIDA")))))</f>
      </c>
      <c r="AD58" s="3056">
        <f>IF(OR(A58="",U58="",NOT(ISNUMBER(AB58))),"",RANK(AB58,$AB$3:$AB$164,1)+COUNTIFS($AB$3:AB58,AB58)-1)</f>
      </c>
      <c r="AE58" s="1736"/>
    </row>
    <row r="59" spans="1:19" ht="22.0" hidden="false" customHeight="true" x14ac:dyDescent="0.25">
      <c r="A59" s="3079" t="s">
        <v>145</v>
      </c>
      <c r="B59" s="3078" t="s">
        <v>142</v>
      </c>
      <c r="C59" s="3078" t="s">
        <v>62</v>
      </c>
      <c r="D59" s="3078">
        <v>60906391000130</v>
      </c>
      <c r="E59" s="3078"/>
      <c r="F59" s="3078" t="s">
        <v>144</v>
      </c>
      <c r="G59" s="3078" t="s">
        <v>4</v>
      </c>
      <c r="H59" s="3078" t="s">
        <v>49</v>
      </c>
      <c r="I59" s="3078"/>
      <c r="J59" s="3078"/>
      <c r="K59" s="3078"/>
      <c r="L59" s="3078"/>
      <c r="M59" s="3078" t="s">
        <v>385</v>
      </c>
      <c r="N59" s="3078"/>
      <c r="O59" s="3078" t="s">
        <v>351</v>
      </c>
      <c r="P59" s="3078"/>
      <c r="Q59" s="3081"/>
      <c r="R59" s="3081"/>
      <c r="S59" s="3081"/>
      <c r="T59" s="3081"/>
      <c r="U59" s="3082"/>
      <c r="V59" s="3078"/>
      <c r="W59" s="3078"/>
      <c r="X59" s="3056">
        <f>IF(A59="","",IF(LEN(SUBSTITUTE(SUBSTITUTE(SUBSTITUTE(SUBSTITUTE(D59,".",""),"/",""),"-","")," ",""))&lt;&gt;14,"CNPJ INVALIDO","OK"))</f>
      </c>
      <c r="Y59" s="3056">
        <f>IF(A59="","",IF(R59="","REST PENDENTE","REST OK"))</f>
      </c>
      <c r="Z59" s="3056">
        <f>IF(A59="","",IF(AND(R59&lt;&gt;"",COUNTIFS($D$3:$D$164,D59,$R$3:$R$164,"&lt;&gt;")&gt;1),"DUPLICADO","OK"))</f>
      </c>
      <c r="AA59" s="3056">
        <f>IF(A59="","",IF(OR(LEN(Q59)&gt;180,LEN(R59)&gt;180,LEN(S59)&gt;180,LEN(T59)&gt;180),"CAMINHO LONGO","OK"))</f>
      </c>
      <c r="AB59" s="3056">
        <f>IF(A59="","",IF(U59="","",IFERROR(INT(U59-TODAY()),"")))</f>
      </c>
      <c r="AC59" s="3056">
        <f>IF(A59="","",IF(AND(T59="",U59=""),"",IF(T59="","SEM CAMINHO",IF(U59="","SEM DATA",IFERROR(IF(AB59&lt;15,"VERMELHO",IF(AB59&lt;=30,"AMARELO","VERDE")),"DATA INVALIDA")))))</f>
      </c>
      <c r="AD59" s="3056">
        <f>IF(OR(A59="",U59="",NOT(ISNUMBER(AB59))),"",RANK(AB59,$AB$3:$AB$164,1)+COUNTIFS($AB$3:AB59,AB59)-1)</f>
      </c>
      <c r="AE59" s="1736"/>
    </row>
    <row r="60" spans="1:19" ht="22.0" hidden="false" customHeight="true" x14ac:dyDescent="0.25">
      <c r="A60" s="3084" t="s">
        <v>146</v>
      </c>
      <c r="B60" s="3083" t="s">
        <v>75</v>
      </c>
      <c r="C60" s="3083" t="s">
        <v>62</v>
      </c>
      <c r="D60" s="3083">
        <v>41762299000107</v>
      </c>
      <c r="E60" s="3083"/>
      <c r="F60" s="3083" t="s">
        <v>147</v>
      </c>
      <c r="G60" s="3083" t="s">
        <v>4</v>
      </c>
      <c r="H60" s="3083" t="s">
        <v>5</v>
      </c>
      <c r="I60" s="3083"/>
      <c r="J60" s="3083"/>
      <c r="K60" s="3083"/>
      <c r="L60" s="3083"/>
      <c r="M60" s="3083" t="s">
        <v>379</v>
      </c>
      <c r="N60" s="3083"/>
      <c r="O60" s="3083" t="s">
        <v>352</v>
      </c>
      <c r="P60" s="3083"/>
      <c r="Q60" s="3086"/>
      <c r="R60" s="3086"/>
      <c r="S60" s="3086"/>
      <c r="T60" s="3086"/>
      <c r="U60" s="3087"/>
      <c r="V60" s="3083"/>
      <c r="W60" s="3083"/>
      <c r="X60" s="3056">
        <f>IF(A60="","",IF(LEN(SUBSTITUTE(SUBSTITUTE(SUBSTITUTE(SUBSTITUTE(D60,".",""),"/",""),"-","")," ",""))&lt;&gt;14,"CNPJ INVALIDO","OK"))</f>
      </c>
      <c r="Y60" s="3056">
        <f>IF(A60="","",IF(R60="","REST PENDENTE","REST OK"))</f>
      </c>
      <c r="Z60" s="3056">
        <f>IF(A60="","",IF(AND(R60&lt;&gt;"",COUNTIFS($D$3:$D$164,D60,$R$3:$R$164,"&lt;&gt;")&gt;1),"DUPLICADO","OK"))</f>
      </c>
      <c r="AA60" s="3056">
        <f>IF(A60="","",IF(OR(LEN(Q60)&gt;180,LEN(R60)&gt;180,LEN(S60)&gt;180,LEN(T60)&gt;180),"CAMINHO LONGO","OK"))</f>
      </c>
      <c r="AB60" s="3056">
        <f>IF(A60="","",IF(U60="","",IFERROR(INT(U60-TODAY()),"")))</f>
      </c>
      <c r="AC60" s="3056">
        <f>IF(A60="","",IF(AND(T60="",U60=""),"",IF(T60="","SEM CAMINHO",IF(U60="","SEM DATA",IFERROR(IF(AB60&lt;15,"VERMELHO",IF(AB60&lt;=30,"AMARELO","VERDE")),"DATA INVALIDA")))))</f>
      </c>
      <c r="AD60" s="3056">
        <f>IF(OR(A60="",U60="",NOT(ISNUMBER(AB60))),"",RANK(AB60,$AB$3:$AB$164,1)+COUNTIFS($AB$3:AB60,AB60)-1)</f>
      </c>
      <c r="AE60" s="1736"/>
    </row>
    <row r="61" spans="1:19" ht="22.0" hidden="false" customHeight="true" x14ac:dyDescent="0.25">
      <c r="A61" s="3079" t="s">
        <v>148</v>
      </c>
      <c r="B61" s="3078" t="s">
        <v>149</v>
      </c>
      <c r="C61" s="3078" t="s">
        <v>59</v>
      </c>
      <c r="D61" s="3078">
        <v>52090662000101</v>
      </c>
      <c r="E61" s="3078"/>
      <c r="F61" s="3078" t="s">
        <v>150</v>
      </c>
      <c r="G61" s="3078" t="s">
        <v>4</v>
      </c>
      <c r="H61" s="3078" t="s">
        <v>5</v>
      </c>
      <c r="I61" s="3078"/>
      <c r="J61" s="3078"/>
      <c r="K61" s="3078"/>
      <c r="L61" s="3078"/>
      <c r="M61" s="3078" t="s">
        <v>379</v>
      </c>
      <c r="N61" s="3078"/>
      <c r="O61" s="3078" t="s">
        <v>351</v>
      </c>
      <c r="P61" s="3078"/>
      <c r="Q61" s="3081"/>
      <c r="R61" s="3081"/>
      <c r="S61" s="3081"/>
      <c r="T61" s="3081"/>
      <c r="U61" s="3082"/>
      <c r="V61" s="3078"/>
      <c r="W61" s="3078"/>
      <c r="X61" s="3056">
        <f>IF(A61="","",IF(LEN(SUBSTITUTE(SUBSTITUTE(SUBSTITUTE(SUBSTITUTE(D61,".",""),"/",""),"-","")," ",""))&lt;&gt;14,"CNPJ INVALIDO","OK"))</f>
      </c>
      <c r="Y61" s="3056">
        <f>IF(A61="","",IF(R61="","REST PENDENTE","REST OK"))</f>
      </c>
      <c r="Z61" s="3056">
        <f>IF(A61="","",IF(AND(R61&lt;&gt;"",COUNTIFS($D$3:$D$164,D61,$R$3:$R$164,"&lt;&gt;")&gt;1),"DUPLICADO","OK"))</f>
      </c>
      <c r="AA61" s="3056">
        <f>IF(A61="","",IF(OR(LEN(Q61)&gt;180,LEN(R61)&gt;180,LEN(S61)&gt;180,LEN(T61)&gt;180),"CAMINHO LONGO","OK"))</f>
      </c>
      <c r="AB61" s="3056">
        <f>IF(A61="","",IF(U61="","",IFERROR(INT(U61-TODAY()),"")))</f>
      </c>
      <c r="AC61" s="3056">
        <f>IF(A61="","",IF(AND(T61="",U61=""),"",IF(T61="","SEM CAMINHO",IF(U61="","SEM DATA",IFERROR(IF(AB61&lt;15,"VERMELHO",IF(AB61&lt;=30,"AMARELO","VERDE")),"DATA INVALIDA")))))</f>
      </c>
      <c r="AD61" s="3056">
        <f>IF(OR(A61="",U61="",NOT(ISNUMBER(AB61))),"",RANK(AB61,$AB$3:$AB$164,1)+COUNTIFS($AB$3:AB61,AB61)-1)</f>
      </c>
      <c r="AE61" s="1736"/>
    </row>
    <row r="62" spans="1:19" ht="22.0" hidden="false" customHeight="true" x14ac:dyDescent="0.25">
      <c r="A62" s="3084" t="s">
        <v>151</v>
      </c>
      <c r="B62" s="3083" t="s">
        <v>149</v>
      </c>
      <c r="C62" s="3083" t="s">
        <v>46</v>
      </c>
      <c r="D62" s="3083" t="s">
        <v>152</v>
      </c>
      <c r="E62" s="3083"/>
      <c r="F62" s="3083" t="s">
        <v>150</v>
      </c>
      <c r="G62" s="3083" t="s">
        <v>13</v>
      </c>
      <c r="H62" s="3083" t="s">
        <v>49</v>
      </c>
      <c r="I62" s="3083"/>
      <c r="J62" s="3083"/>
      <c r="K62" s="3083"/>
      <c r="L62" s="3083"/>
      <c r="M62" s="3083" t="s">
        <v>377</v>
      </c>
      <c r="N62" s="3083"/>
      <c r="O62" s="3083" t="s">
        <v>347</v>
      </c>
      <c r="P62" s="3083"/>
      <c r="Q62" s="3086"/>
      <c r="R62" s="3086"/>
      <c r="S62" s="3086"/>
      <c r="T62" s="3086"/>
      <c r="U62" s="3087"/>
      <c r="V62" s="3083"/>
      <c r="W62" s="3083"/>
      <c r="X62" s="3056">
        <f>IF(A62="","",IF(LEN(SUBSTITUTE(SUBSTITUTE(SUBSTITUTE(SUBSTITUTE(D62,".",""),"/",""),"-","")," ",""))&lt;&gt;14,"CNPJ INVALIDO","OK"))</f>
      </c>
      <c r="Y62" s="3056">
        <f>IF(A62="","",IF(R62="","REST PENDENTE","REST OK"))</f>
      </c>
      <c r="Z62" s="3056">
        <f>IF(A62="","",IF(AND(R62&lt;&gt;"",COUNTIFS($D$3:$D$164,D62,$R$3:$R$164,"&lt;&gt;")&gt;1),"DUPLICADO","OK"))</f>
      </c>
      <c r="AA62" s="3056">
        <f>IF(A62="","",IF(OR(LEN(Q62)&gt;180,LEN(R62)&gt;180,LEN(S62)&gt;180,LEN(T62)&gt;180),"CAMINHO LONGO","OK"))</f>
      </c>
      <c r="AB62" s="3056">
        <f>IF(A62="","",IF(U62="","",IFERROR(INT(U62-TODAY()),"")))</f>
      </c>
      <c r="AC62" s="3056">
        <f>IF(A62="","",IF(AND(T62="",U62=""),"",IF(T62="","SEM CAMINHO",IF(U62="","SEM DATA",IFERROR(IF(AB62&lt;15,"VERMELHO",IF(AB62&lt;=30,"AMARELO","VERDE")),"DATA INVALIDA")))))</f>
      </c>
      <c r="AD62" s="3056">
        <f>IF(OR(A62="",U62="",NOT(ISNUMBER(AB62))),"",RANK(AB62,$AB$3:$AB$164,1)+COUNTIFS($AB$3:AB62,AB62)-1)</f>
      </c>
      <c r="AE62" s="1736"/>
    </row>
    <row r="63" spans="1:19" ht="22.0" hidden="false" customHeight="true" x14ac:dyDescent="0.25">
      <c r="A63" s="3079" t="s">
        <v>153</v>
      </c>
      <c r="B63" s="3078" t="s">
        <v>149</v>
      </c>
      <c r="C63" s="3078" t="s">
        <v>46</v>
      </c>
      <c r="D63" s="3078" t="s">
        <v>154</v>
      </c>
      <c r="E63" s="3078"/>
      <c r="F63" s="3078" t="s">
        <v>150</v>
      </c>
      <c r="G63" s="3078" t="s">
        <v>13</v>
      </c>
      <c r="H63" s="3078" t="s">
        <v>49</v>
      </c>
      <c r="I63" s="3078"/>
      <c r="J63" s="3078"/>
      <c r="K63" s="3078"/>
      <c r="L63" s="3078"/>
      <c r="M63" s="3078" t="s">
        <v>377</v>
      </c>
      <c r="N63" s="3078"/>
      <c r="O63" s="3078" t="s">
        <v>347</v>
      </c>
      <c r="P63" s="3078"/>
      <c r="Q63" s="3081"/>
      <c r="R63" s="3081"/>
      <c r="S63" s="3081"/>
      <c r="T63" s="3081"/>
      <c r="U63" s="3082"/>
      <c r="V63" s="3078"/>
      <c r="W63" s="3078"/>
      <c r="X63" s="3056">
        <f>IF(A63="","",IF(LEN(SUBSTITUTE(SUBSTITUTE(SUBSTITUTE(SUBSTITUTE(D63,".",""),"/",""),"-","")," ",""))&lt;&gt;14,"CNPJ INVALIDO","OK"))</f>
      </c>
      <c r="Y63" s="3056">
        <f>IF(A63="","",IF(R63="","REST PENDENTE","REST OK"))</f>
      </c>
      <c r="Z63" s="3056">
        <f>IF(A63="","",IF(AND(R63&lt;&gt;"",COUNTIFS($D$3:$D$164,D63,$R$3:$R$164,"&lt;&gt;")&gt;1),"DUPLICADO","OK"))</f>
      </c>
      <c r="AA63" s="3056">
        <f>IF(A63="","",IF(OR(LEN(Q63)&gt;180,LEN(R63)&gt;180,LEN(S63)&gt;180,LEN(T63)&gt;180),"CAMINHO LONGO","OK"))</f>
      </c>
      <c r="AB63" s="3056">
        <f>IF(A63="","",IF(U63="","",IFERROR(INT(U63-TODAY()),"")))</f>
      </c>
      <c r="AC63" s="3056">
        <f>IF(A63="","",IF(AND(T63="",U63=""),"",IF(T63="","SEM CAMINHO",IF(U63="","SEM DATA",IFERROR(IF(AB63&lt;15,"VERMELHO",IF(AB63&lt;=30,"AMARELO","VERDE")),"DATA INVALIDA")))))</f>
      </c>
      <c r="AD63" s="3056">
        <f>IF(OR(A63="",U63="",NOT(ISNUMBER(AB63))),"",RANK(AB63,$AB$3:$AB$164,1)+COUNTIFS($AB$3:AB63,AB63)-1)</f>
      </c>
      <c r="AE63" s="1736"/>
    </row>
    <row r="64" spans="1:19" ht="22.0" hidden="false" customHeight="true" x14ac:dyDescent="0.25">
      <c r="A64" s="3084" t="s">
        <v>155</v>
      </c>
      <c r="B64" s="3083" t="s">
        <v>61</v>
      </c>
      <c r="C64" s="3083" t="s">
        <v>62</v>
      </c>
      <c r="D64" s="3083">
        <v>8587897000103</v>
      </c>
      <c r="E64" s="3083"/>
      <c r="F64" s="3083" t="s">
        <v>63</v>
      </c>
      <c r="G64" s="3083" t="s">
        <v>41</v>
      </c>
      <c r="H64" s="3083" t="s">
        <v>5</v>
      </c>
      <c r="I64" s="3083"/>
      <c r="J64" s="3083"/>
      <c r="K64" s="3083"/>
      <c r="L64" s="3083"/>
      <c r="M64" s="3083" t="s">
        <v>379</v>
      </c>
      <c r="N64" s="3083"/>
      <c r="O64" s="3083" t="s">
        <v>351</v>
      </c>
      <c r="P64" s="3083"/>
      <c r="Q64" s="3086"/>
      <c r="R64" s="3086"/>
      <c r="S64" s="3086"/>
      <c r="T64" s="3086"/>
      <c r="U64" s="3087"/>
      <c r="V64" s="3083"/>
      <c r="W64" s="3083"/>
      <c r="X64" s="3056">
        <f>IF(A64="","",IF(LEN(SUBSTITUTE(SUBSTITUTE(SUBSTITUTE(SUBSTITUTE(D64,".",""),"/",""),"-","")," ",""))&lt;&gt;14,"CNPJ INVALIDO","OK"))</f>
      </c>
      <c r="Y64" s="3056">
        <f>IF(A64="","",IF(R64="","REST PENDENTE","REST OK"))</f>
      </c>
      <c r="Z64" s="3056">
        <f>IF(A64="","",IF(AND(R64&lt;&gt;"",COUNTIFS($D$3:$D$164,D64,$R$3:$R$164,"&lt;&gt;")&gt;1),"DUPLICADO","OK"))</f>
      </c>
      <c r="AA64" s="3056">
        <f>IF(A64="","",IF(OR(LEN(Q64)&gt;180,LEN(R64)&gt;180,LEN(S64)&gt;180,LEN(T64)&gt;180),"CAMINHO LONGO","OK"))</f>
      </c>
      <c r="AB64" s="3056">
        <f>IF(A64="","",IF(U64="","",IFERROR(INT(U64-TODAY()),"")))</f>
      </c>
      <c r="AC64" s="3056">
        <f>IF(A64="","",IF(AND(T64="",U64=""),"",IF(T64="","SEM CAMINHO",IF(U64="","SEM DATA",IFERROR(IF(AB64&lt;15,"VERMELHO",IF(AB64&lt;=30,"AMARELO","VERDE")),"DATA INVALIDA")))))</f>
      </c>
      <c r="AD64" s="3056">
        <f>IF(OR(A64="",U64="",NOT(ISNUMBER(AB64))),"",RANK(AB64,$AB$3:$AB$164,1)+COUNTIFS($AB$3:AB64,AB64)-1)</f>
      </c>
      <c r="AE64" s="1736"/>
    </row>
    <row r="65" spans="1:19" ht="22.0" hidden="false" customHeight="true" x14ac:dyDescent="0.25">
      <c r="A65" s="3079" t="s">
        <v>156</v>
      </c>
      <c r="B65" s="3078" t="s">
        <v>61</v>
      </c>
      <c r="C65" s="3078" t="s">
        <v>62</v>
      </c>
      <c r="D65" s="3078">
        <v>17845713000159</v>
      </c>
      <c r="E65" s="3078"/>
      <c r="F65" s="3078" t="s">
        <v>63</v>
      </c>
      <c r="G65" s="3078" t="s">
        <v>41</v>
      </c>
      <c r="H65" s="3078" t="s">
        <v>5</v>
      </c>
      <c r="I65" s="3078"/>
      <c r="J65" s="3078"/>
      <c r="K65" s="3078"/>
      <c r="L65" s="3078"/>
      <c r="M65" s="3078" t="s">
        <v>379</v>
      </c>
      <c r="N65" s="3078"/>
      <c r="O65" s="3078" t="s">
        <v>351</v>
      </c>
      <c r="P65" s="3078"/>
      <c r="Q65" s="3081"/>
      <c r="R65" s="3081"/>
      <c r="S65" s="3081"/>
      <c r="T65" s="3081"/>
      <c r="U65" s="3082"/>
      <c r="V65" s="3078"/>
      <c r="W65" s="3078"/>
      <c r="X65" s="3056">
        <f>IF(A65="","",IF(LEN(SUBSTITUTE(SUBSTITUTE(SUBSTITUTE(SUBSTITUTE(D65,".",""),"/",""),"-","")," ",""))&lt;&gt;14,"CNPJ INVALIDO","OK"))</f>
      </c>
      <c r="Y65" s="3056">
        <f>IF(A65="","",IF(R65="","REST PENDENTE","REST OK"))</f>
      </c>
      <c r="Z65" s="3056">
        <f>IF(A65="","",IF(AND(R65&lt;&gt;"",COUNTIFS($D$3:$D$164,D65,$R$3:$R$164,"&lt;&gt;")&gt;1),"DUPLICADO","OK"))</f>
      </c>
      <c r="AA65" s="3056">
        <f>IF(A65="","",IF(OR(LEN(Q65)&gt;180,LEN(R65)&gt;180,LEN(S65)&gt;180,LEN(T65)&gt;180),"CAMINHO LONGO","OK"))</f>
      </c>
      <c r="AB65" s="3056">
        <f>IF(A65="","",IF(U65="","",IFERROR(INT(U65-TODAY()),"")))</f>
      </c>
      <c r="AC65" s="3056">
        <f>IF(A65="","",IF(AND(T65="",U65=""),"",IF(T65="","SEM CAMINHO",IF(U65="","SEM DATA",IFERROR(IF(AB65&lt;15,"VERMELHO",IF(AB65&lt;=30,"AMARELO","VERDE")),"DATA INVALIDA")))))</f>
      </c>
      <c r="AD65" s="3056">
        <f>IF(OR(A65="",U65="",NOT(ISNUMBER(AB65))),"",RANK(AB65,$AB$3:$AB$164,1)+COUNTIFS($AB$3:AB65,AB65)-1)</f>
      </c>
      <c r="AE65" s="1736"/>
    </row>
    <row r="66" spans="1:19" ht="22.0" hidden="false" customHeight="true" x14ac:dyDescent="0.25">
      <c r="A66" s="3084" t="s">
        <v>157</v>
      </c>
      <c r="B66" s="3083" t="s">
        <v>61</v>
      </c>
      <c r="C66" s="3083" t="s">
        <v>62</v>
      </c>
      <c r="D66" s="3083">
        <v>37646098000169</v>
      </c>
      <c r="E66" s="3083"/>
      <c r="F66" s="3083" t="s">
        <v>63</v>
      </c>
      <c r="G66" s="3083" t="s">
        <v>41</v>
      </c>
      <c r="H66" s="3083" t="s">
        <v>5</v>
      </c>
      <c r="I66" s="3083"/>
      <c r="J66" s="3083"/>
      <c r="K66" s="3083"/>
      <c r="L66" s="3083"/>
      <c r="M66" s="3083" t="s">
        <v>379</v>
      </c>
      <c r="N66" s="3083"/>
      <c r="O66" s="3083" t="s">
        <v>353</v>
      </c>
      <c r="P66" s="3083"/>
      <c r="Q66" s="3086"/>
      <c r="R66" s="3086"/>
      <c r="S66" s="3086"/>
      <c r="T66" s="3086"/>
      <c r="U66" s="3087"/>
      <c r="V66" s="3083"/>
      <c r="W66" s="3083"/>
      <c r="X66" s="3056">
        <f>IF(A66="","",IF(LEN(SUBSTITUTE(SUBSTITUTE(SUBSTITUTE(SUBSTITUTE(D66,".",""),"/",""),"-","")," ",""))&lt;&gt;14,"CNPJ INVALIDO","OK"))</f>
      </c>
      <c r="Y66" s="3056">
        <f>IF(A66="","",IF(R66="","REST PENDENTE","REST OK"))</f>
      </c>
      <c r="Z66" s="3056">
        <f>IF(A66="","",IF(AND(R66&lt;&gt;"",COUNTIFS($D$3:$D$164,D66,$R$3:$R$164,"&lt;&gt;")&gt;1),"DUPLICADO","OK"))</f>
      </c>
      <c r="AA66" s="3056">
        <f>IF(A66="","",IF(OR(LEN(Q66)&gt;180,LEN(R66)&gt;180,LEN(S66)&gt;180,LEN(T66)&gt;180),"CAMINHO LONGO","OK"))</f>
      </c>
      <c r="AB66" s="3056">
        <f>IF(A66="","",IF(U66="","",IFERROR(INT(U66-TODAY()),"")))</f>
      </c>
      <c r="AC66" s="3056">
        <f>IF(A66="","",IF(AND(T66="",U66=""),"",IF(T66="","SEM CAMINHO",IF(U66="","SEM DATA",IFERROR(IF(AB66&lt;15,"VERMELHO",IF(AB66&lt;=30,"AMARELO","VERDE")),"DATA INVALIDA")))))</f>
      </c>
      <c r="AD66" s="3056">
        <f>IF(OR(A66="",U66="",NOT(ISNUMBER(AB66))),"",RANK(AB66,$AB$3:$AB$164,1)+COUNTIFS($AB$3:AB66,AB66)-1)</f>
      </c>
      <c r="AE66" s="1736"/>
    </row>
    <row r="67" spans="1:19" ht="22.0" hidden="false" customHeight="true" x14ac:dyDescent="0.25">
      <c r="A67" s="3079" t="s">
        <v>158</v>
      </c>
      <c r="B67" s="3078" t="s">
        <v>159</v>
      </c>
      <c r="C67" s="3078" t="s">
        <v>62</v>
      </c>
      <c r="D67" s="3078">
        <v>44470328000147</v>
      </c>
      <c r="E67" s="3078"/>
      <c r="F67" s="3078" t="s">
        <v>160</v>
      </c>
      <c r="G67" s="3078" t="s">
        <v>4</v>
      </c>
      <c r="H67" s="3078" t="s">
        <v>5</v>
      </c>
      <c r="I67" s="3078"/>
      <c r="J67" s="3078"/>
      <c r="K67" s="3078"/>
      <c r="L67" s="3078"/>
      <c r="M67" s="3078" t="s">
        <v>377</v>
      </c>
      <c r="N67" s="3078"/>
      <c r="O67" s="3078" t="s">
        <v>347</v>
      </c>
      <c r="P67" s="3078"/>
      <c r="Q67" s="3081"/>
      <c r="R67" s="3081"/>
      <c r="S67" s="3081"/>
      <c r="T67" s="3081"/>
      <c r="U67" s="3082"/>
      <c r="V67" s="3078"/>
      <c r="W67" s="3078"/>
      <c r="X67" s="3056">
        <f>IF(A67="","",IF(LEN(SUBSTITUTE(SUBSTITUTE(SUBSTITUTE(SUBSTITUTE(D67,".",""),"/",""),"-","")," ",""))&lt;&gt;14,"CNPJ INVALIDO","OK"))</f>
      </c>
      <c r="Y67" s="3056">
        <f>IF(A67="","",IF(R67="","REST PENDENTE","REST OK"))</f>
      </c>
      <c r="Z67" s="3056">
        <f>IF(A67="","",IF(AND(R67&lt;&gt;"",COUNTIFS($D$3:$D$164,D67,$R$3:$R$164,"&lt;&gt;")&gt;1),"DUPLICADO","OK"))</f>
      </c>
      <c r="AA67" s="3056">
        <f>IF(A67="","",IF(OR(LEN(Q67)&gt;180,LEN(R67)&gt;180,LEN(S67)&gt;180,LEN(T67)&gt;180),"CAMINHO LONGO","OK"))</f>
      </c>
      <c r="AB67" s="3056">
        <f>IF(A67="","",IF(U67="","",IFERROR(INT(U67-TODAY()),"")))</f>
      </c>
      <c r="AC67" s="3056">
        <f>IF(A67="","",IF(AND(T67="",U67=""),"",IF(T67="","SEM CAMINHO",IF(U67="","SEM DATA",IFERROR(IF(AB67&lt;15,"VERMELHO",IF(AB67&lt;=30,"AMARELO","VERDE")),"DATA INVALIDA")))))</f>
      </c>
      <c r="AD67" s="3056">
        <f>IF(OR(A67="",U67="",NOT(ISNUMBER(AB67))),"",RANK(AB67,$AB$3:$AB$164,1)+COUNTIFS($AB$3:AB67,AB67)-1)</f>
      </c>
      <c r="AE67" s="1736"/>
    </row>
    <row r="68" spans="1:19" ht="22.0" hidden="false" customHeight="true" x14ac:dyDescent="0.25">
      <c r="A68" s="3084" t="s">
        <v>161</v>
      </c>
      <c r="B68" s="3083" t="s">
        <v>162</v>
      </c>
      <c r="C68" s="3083" t="s">
        <v>163</v>
      </c>
      <c r="D68" s="3083" t="s">
        <v>164</v>
      </c>
      <c r="E68" s="3083"/>
      <c r="F68" s="3083"/>
      <c r="G68" s="3083" t="s">
        <v>41</v>
      </c>
      <c r="H68" s="3083" t="s">
        <v>14</v>
      </c>
      <c r="I68" s="3083"/>
      <c r="J68" s="3083"/>
      <c r="K68" s="3083"/>
      <c r="L68" s="3083"/>
      <c r="M68" s="3083" t="s">
        <v>385</v>
      </c>
      <c r="N68" s="3083" t="s">
        <v>362</v>
      </c>
      <c r="O68" s="3083" t="s">
        <v>362</v>
      </c>
      <c r="P68" s="3083"/>
      <c r="Q68" s="3086"/>
      <c r="R68" s="3086"/>
      <c r="S68" s="3086"/>
      <c r="T68" s="3086"/>
      <c r="U68" s="3087"/>
      <c r="V68" s="3083"/>
      <c r="W68" s="3083"/>
      <c r="X68" s="3056">
        <f>IF(A68="","",IF(LEN(SUBSTITUTE(SUBSTITUTE(SUBSTITUTE(SUBSTITUTE(D68,".",""),"/",""),"-","")," ",""))&lt;&gt;14,"CNPJ INVALIDO","OK"))</f>
      </c>
      <c r="Y68" s="3056">
        <f>IF(A68="","",IF(R68="","REST PENDENTE","REST OK"))</f>
      </c>
      <c r="Z68" s="3056">
        <f>IF(A68="","",IF(AND(R68&lt;&gt;"",COUNTIFS($D$3:$D$164,D68,$R$3:$R$164,"&lt;&gt;")&gt;1),"DUPLICADO","OK"))</f>
      </c>
      <c r="AA68" s="3056">
        <f>IF(A68="","",IF(OR(LEN(Q68)&gt;180,LEN(R68)&gt;180,LEN(S68)&gt;180,LEN(T68)&gt;180),"CAMINHO LONGO","OK"))</f>
      </c>
      <c r="AB68" s="3056">
        <f>IF(A68="","",IF(U68="","",IFERROR(INT(U68-TODAY()),"")))</f>
      </c>
      <c r="AC68" s="3056">
        <f>IF(A68="","",IF(AND(T68="",U68=""),"",IF(T68="","SEM CAMINHO",IF(U68="","SEM DATA",IFERROR(IF(AB68&lt;15,"VERMELHO",IF(AB68&lt;=30,"AMARELO","VERDE")),"DATA INVALIDA")))))</f>
      </c>
      <c r="AD68" s="3056">
        <f>IF(OR(A68="",U68="",NOT(ISNUMBER(AB68))),"",RANK(AB68,$AB$3:$AB$164,1)+COUNTIFS($AB$3:AB68,AB68)-1)</f>
      </c>
      <c r="AE68" s="1736"/>
    </row>
    <row r="69" spans="1:19" ht="22.0" hidden="false" customHeight="true" x14ac:dyDescent="0.25">
      <c r="A69" s="3079" t="s">
        <v>165</v>
      </c>
      <c r="B69" s="3078" t="s">
        <v>162</v>
      </c>
      <c r="C69" s="3078" t="s">
        <v>163</v>
      </c>
      <c r="D69" s="3078" t="s">
        <v>166</v>
      </c>
      <c r="E69" s="3078"/>
      <c r="F69" s="3078" t="s">
        <v>167</v>
      </c>
      <c r="G69" s="3078" t="s">
        <v>13</v>
      </c>
      <c r="H69" s="3078" t="s">
        <v>14</v>
      </c>
      <c r="I69" s="3078"/>
      <c r="J69" s="3078"/>
      <c r="K69" s="3078"/>
      <c r="L69" s="3078"/>
      <c r="M69" s="3078" t="s">
        <v>385</v>
      </c>
      <c r="N69" s="3078" t="s">
        <v>362</v>
      </c>
      <c r="O69" s="3078" t="s">
        <v>362</v>
      </c>
      <c r="P69" s="3078"/>
      <c r="Q69" s="3081"/>
      <c r="R69" s="3081"/>
      <c r="S69" s="3081"/>
      <c r="T69" s="3081"/>
      <c r="U69" s="3082"/>
      <c r="V69" s="3078"/>
      <c r="W69" s="3078"/>
      <c r="X69" s="3056">
        <f>IF(A69="","",IF(LEN(SUBSTITUTE(SUBSTITUTE(SUBSTITUTE(SUBSTITUTE(D69,".",""),"/",""),"-","")," ",""))&lt;&gt;14,"CNPJ INVALIDO","OK"))</f>
      </c>
      <c r="Y69" s="3056">
        <f>IF(A69="","",IF(R69="","REST PENDENTE","REST OK"))</f>
      </c>
      <c r="Z69" s="3056">
        <f>IF(A69="","",IF(AND(R69&lt;&gt;"",COUNTIFS($D$3:$D$164,D69,$R$3:$R$164,"&lt;&gt;")&gt;1),"DUPLICADO","OK"))</f>
      </c>
      <c r="AA69" s="3056">
        <f>IF(A69="","",IF(OR(LEN(Q69)&gt;180,LEN(R69)&gt;180,LEN(S69)&gt;180,LEN(T69)&gt;180),"CAMINHO LONGO","OK"))</f>
      </c>
      <c r="AB69" s="3056">
        <f>IF(A69="","",IF(U69="","",IFERROR(INT(U69-TODAY()),"")))</f>
      </c>
      <c r="AC69" s="3056">
        <f>IF(A69="","",IF(AND(T69="",U69=""),"",IF(T69="","SEM CAMINHO",IF(U69="","SEM DATA",IFERROR(IF(AB69&lt;15,"VERMELHO",IF(AB69&lt;=30,"AMARELO","VERDE")),"DATA INVALIDA")))))</f>
      </c>
      <c r="AD69" s="3056">
        <f>IF(OR(A69="",U69="",NOT(ISNUMBER(AB69))),"",RANK(AB69,$AB$3:$AB$164,1)+COUNTIFS($AB$3:AB69,AB69)-1)</f>
      </c>
      <c r="AE69" s="1736"/>
    </row>
    <row r="70" spans="1:19" ht="22.0" hidden="false" customHeight="true" x14ac:dyDescent="0.25">
      <c r="A70" s="3084" t="s">
        <v>168</v>
      </c>
      <c r="B70" s="3083" t="s">
        <v>162</v>
      </c>
      <c r="C70" s="3083" t="s">
        <v>163</v>
      </c>
      <c r="D70" s="3083" t="s">
        <v>169</v>
      </c>
      <c r="E70" s="3083"/>
      <c r="F70" s="3083" t="s">
        <v>167</v>
      </c>
      <c r="G70" s="3083" t="s">
        <v>13</v>
      </c>
      <c r="H70" s="3083" t="s">
        <v>14</v>
      </c>
      <c r="I70" s="3083"/>
      <c r="J70" s="3083"/>
      <c r="K70" s="3083"/>
      <c r="L70" s="3083"/>
      <c r="M70" s="3083" t="s">
        <v>385</v>
      </c>
      <c r="N70" s="3083" t="s">
        <v>362</v>
      </c>
      <c r="O70" s="3083" t="s">
        <v>362</v>
      </c>
      <c r="P70" s="3083"/>
      <c r="Q70" s="3086"/>
      <c r="R70" s="3086"/>
      <c r="S70" s="3086"/>
      <c r="T70" s="3086"/>
      <c r="U70" s="3087"/>
      <c r="V70" s="3083"/>
      <c r="W70" s="3083"/>
      <c r="X70" s="3056">
        <f>IF(A70="","",IF(LEN(SUBSTITUTE(SUBSTITUTE(SUBSTITUTE(SUBSTITUTE(D70,".",""),"/",""),"-","")," ",""))&lt;&gt;14,"CNPJ INVALIDO","OK"))</f>
      </c>
      <c r="Y70" s="3056">
        <f>IF(A70="","",IF(R70="","REST PENDENTE","REST OK"))</f>
      </c>
      <c r="Z70" s="3056">
        <f>IF(A70="","",IF(AND(R70&lt;&gt;"",COUNTIFS($D$3:$D$164,D70,$R$3:$R$164,"&lt;&gt;")&gt;1),"DUPLICADO","OK"))</f>
      </c>
      <c r="AA70" s="3056">
        <f>IF(A70="","",IF(OR(LEN(Q70)&gt;180,LEN(R70)&gt;180,LEN(S70)&gt;180,LEN(T70)&gt;180),"CAMINHO LONGO","OK"))</f>
      </c>
      <c r="AB70" s="3056">
        <f>IF(A70="","",IF(U70="","",IFERROR(INT(U70-TODAY()),"")))</f>
      </c>
      <c r="AC70" s="3056">
        <f>IF(A70="","",IF(AND(T70="",U70=""),"",IF(T70="","SEM CAMINHO",IF(U70="","SEM DATA",IFERROR(IF(AB70&lt;15,"VERMELHO",IF(AB70&lt;=30,"AMARELO","VERDE")),"DATA INVALIDA")))))</f>
      </c>
      <c r="AD70" s="3056">
        <f>IF(OR(A70="",U70="",NOT(ISNUMBER(AB70))),"",RANK(AB70,$AB$3:$AB$164,1)+COUNTIFS($AB$3:AB70,AB70)-1)</f>
      </c>
      <c r="AE70" s="1736"/>
    </row>
    <row r="71" spans="1:19" ht="22.0" hidden="false" customHeight="true" x14ac:dyDescent="0.25">
      <c r="A71" s="3079" t="s">
        <v>170</v>
      </c>
      <c r="B71" s="3078" t="s">
        <v>162</v>
      </c>
      <c r="C71" s="3078" t="s">
        <v>163</v>
      </c>
      <c r="D71" s="3078" t="s">
        <v>171</v>
      </c>
      <c r="E71" s="3078"/>
      <c r="F71" s="3078" t="s">
        <v>167</v>
      </c>
      <c r="G71" s="3078" t="s">
        <v>13</v>
      </c>
      <c r="H71" s="3078" t="s">
        <v>14</v>
      </c>
      <c r="I71" s="3078"/>
      <c r="J71" s="3078"/>
      <c r="K71" s="3078"/>
      <c r="L71" s="3078"/>
      <c r="M71" s="3078" t="s">
        <v>385</v>
      </c>
      <c r="N71" s="3078" t="s">
        <v>362</v>
      </c>
      <c r="O71" s="3078" t="s">
        <v>362</v>
      </c>
      <c r="P71" s="3078"/>
      <c r="Q71" s="3081"/>
      <c r="R71" s="3081"/>
      <c r="S71" s="3081"/>
      <c r="T71" s="3081"/>
      <c r="U71" s="3082"/>
      <c r="V71" s="3078"/>
      <c r="W71" s="3078"/>
      <c r="X71" s="3056">
        <f>IF(A71="","",IF(LEN(SUBSTITUTE(SUBSTITUTE(SUBSTITUTE(SUBSTITUTE(D71,".",""),"/",""),"-","")," ",""))&lt;&gt;14,"CNPJ INVALIDO","OK"))</f>
      </c>
      <c r="Y71" s="3056">
        <f>IF(A71="","",IF(R71="","REST PENDENTE","REST OK"))</f>
      </c>
      <c r="Z71" s="3056">
        <f>IF(A71="","",IF(AND(R71&lt;&gt;"",COUNTIFS($D$3:$D$164,D71,$R$3:$R$164,"&lt;&gt;")&gt;1),"DUPLICADO","OK"))</f>
      </c>
      <c r="AA71" s="3056">
        <f>IF(A71="","",IF(OR(LEN(Q71)&gt;180,LEN(R71)&gt;180,LEN(S71)&gt;180,LEN(T71)&gt;180),"CAMINHO LONGO","OK"))</f>
      </c>
      <c r="AB71" s="3056">
        <f>IF(A71="","",IF(U71="","",IFERROR(INT(U71-TODAY()),"")))</f>
      </c>
      <c r="AC71" s="3056">
        <f>IF(A71="","",IF(AND(T71="",U71=""),"",IF(T71="","SEM CAMINHO",IF(U71="","SEM DATA",IFERROR(IF(AB71&lt;15,"VERMELHO",IF(AB71&lt;=30,"AMARELO","VERDE")),"DATA INVALIDA")))))</f>
      </c>
      <c r="AD71" s="3056">
        <f>IF(OR(A71="",U71="",NOT(ISNUMBER(AB71))),"",RANK(AB71,$AB$3:$AB$164,1)+COUNTIFS($AB$3:AB71,AB71)-1)</f>
      </c>
      <c r="AE71" s="1736"/>
    </row>
    <row r="72" spans="1:19" ht="22.0" hidden="false" customHeight="true" x14ac:dyDescent="0.25">
      <c r="A72" s="3084" t="s">
        <v>172</v>
      </c>
      <c r="B72" s="3083" t="s">
        <v>162</v>
      </c>
      <c r="C72" s="3083" t="s">
        <v>163</v>
      </c>
      <c r="D72" s="3083" t="s">
        <v>173</v>
      </c>
      <c r="E72" s="3083"/>
      <c r="F72" s="3083" t="s">
        <v>167</v>
      </c>
      <c r="G72" s="3083" t="s">
        <v>13</v>
      </c>
      <c r="H72" s="3083" t="s">
        <v>14</v>
      </c>
      <c r="I72" s="3083"/>
      <c r="J72" s="3083"/>
      <c r="K72" s="3083"/>
      <c r="L72" s="3083"/>
      <c r="M72" s="3083" t="s">
        <v>385</v>
      </c>
      <c r="N72" s="3083" t="s">
        <v>362</v>
      </c>
      <c r="O72" s="3083" t="s">
        <v>362</v>
      </c>
      <c r="P72" s="3083"/>
      <c r="Q72" s="3086"/>
      <c r="R72" s="3086"/>
      <c r="S72" s="3086"/>
      <c r="T72" s="3086"/>
      <c r="U72" s="3087"/>
      <c r="V72" s="3083"/>
      <c r="W72" s="3083"/>
      <c r="X72" s="3056">
        <f>IF(A72="","",IF(LEN(SUBSTITUTE(SUBSTITUTE(SUBSTITUTE(SUBSTITUTE(D72,".",""),"/",""),"-","")," ",""))&lt;&gt;14,"CNPJ INVALIDO","OK"))</f>
      </c>
      <c r="Y72" s="3056">
        <f>IF(A72="","",IF(R72="","REST PENDENTE","REST OK"))</f>
      </c>
      <c r="Z72" s="3056">
        <f>IF(A72="","",IF(AND(R72&lt;&gt;"",COUNTIFS($D$3:$D$164,D72,$R$3:$R$164,"&lt;&gt;")&gt;1),"DUPLICADO","OK"))</f>
      </c>
      <c r="AA72" s="3056">
        <f>IF(A72="","",IF(OR(LEN(Q72)&gt;180,LEN(R72)&gt;180,LEN(S72)&gt;180,LEN(T72)&gt;180),"CAMINHO LONGO","OK"))</f>
      </c>
      <c r="AB72" s="3056">
        <f>IF(A72="","",IF(U72="","",IFERROR(INT(U72-TODAY()),"")))</f>
      </c>
      <c r="AC72" s="3056">
        <f>IF(A72="","",IF(AND(T72="",U72=""),"",IF(T72="","SEM CAMINHO",IF(U72="","SEM DATA",IFERROR(IF(AB72&lt;15,"VERMELHO",IF(AB72&lt;=30,"AMARELO","VERDE")),"DATA INVALIDA")))))</f>
      </c>
      <c r="AD72" s="3056">
        <f>IF(OR(A72="",U72="",NOT(ISNUMBER(AB72))),"",RANK(AB72,$AB$3:$AB$164,1)+COUNTIFS($AB$3:AB72,AB72)-1)</f>
      </c>
      <c r="AE72" s="1736"/>
    </row>
    <row r="73" spans="1:19" ht="22.0" hidden="false" customHeight="true" x14ac:dyDescent="0.25">
      <c r="A73" s="3079" t="s">
        <v>174</v>
      </c>
      <c r="B73" s="3078" t="s">
        <v>162</v>
      </c>
      <c r="C73" s="3078" t="s">
        <v>163</v>
      </c>
      <c r="D73" s="3078" t="s">
        <v>175</v>
      </c>
      <c r="E73" s="3078"/>
      <c r="F73" s="3078" t="s">
        <v>167</v>
      </c>
      <c r="G73" s="3078" t="s">
        <v>13</v>
      </c>
      <c r="H73" s="3078" t="s">
        <v>14</v>
      </c>
      <c r="I73" s="3078"/>
      <c r="J73" s="3078"/>
      <c r="K73" s="3078"/>
      <c r="L73" s="3078"/>
      <c r="M73" s="3078" t="s">
        <v>385</v>
      </c>
      <c r="N73" s="3078" t="s">
        <v>362</v>
      </c>
      <c r="O73" s="3078" t="s">
        <v>362</v>
      </c>
      <c r="P73" s="3078"/>
      <c r="Q73" s="3081"/>
      <c r="R73" s="3081"/>
      <c r="S73" s="3081"/>
      <c r="T73" s="3081"/>
      <c r="U73" s="3082"/>
      <c r="V73" s="3078"/>
      <c r="W73" s="3078"/>
      <c r="X73" s="3056">
        <f>IF(A73="","",IF(LEN(SUBSTITUTE(SUBSTITUTE(SUBSTITUTE(SUBSTITUTE(D73,".",""),"/",""),"-","")," ",""))&lt;&gt;14,"CNPJ INVALIDO","OK"))</f>
      </c>
      <c r="Y73" s="3056">
        <f>IF(A73="","",IF(R73="","REST PENDENTE","REST OK"))</f>
      </c>
      <c r="Z73" s="3056">
        <f>IF(A73="","",IF(AND(R73&lt;&gt;"",COUNTIFS($D$3:$D$164,D73,$R$3:$R$164,"&lt;&gt;")&gt;1),"DUPLICADO","OK"))</f>
      </c>
      <c r="AA73" s="3056">
        <f>IF(A73="","",IF(OR(LEN(Q73)&gt;180,LEN(R73)&gt;180,LEN(S73)&gt;180,LEN(T73)&gt;180),"CAMINHO LONGO","OK"))</f>
      </c>
      <c r="AB73" s="3056">
        <f>IF(A73="","",IF(U73="","",IFERROR(INT(U73-TODAY()),"")))</f>
      </c>
      <c r="AC73" s="3056">
        <f>IF(A73="","",IF(AND(T73="",U73=""),"",IF(T73="","SEM CAMINHO",IF(U73="","SEM DATA",IFERROR(IF(AB73&lt;15,"VERMELHO",IF(AB73&lt;=30,"AMARELO","VERDE")),"DATA INVALIDA")))))</f>
      </c>
      <c r="AD73" s="3056">
        <f>IF(OR(A73="",U73="",NOT(ISNUMBER(AB73))),"",RANK(AB73,$AB$3:$AB$164,1)+COUNTIFS($AB$3:AB73,AB73)-1)</f>
      </c>
      <c r="AE73" s="1736"/>
    </row>
    <row r="74" spans="1:19" ht="22.0" hidden="false" customHeight="true" x14ac:dyDescent="0.25">
      <c r="A74" s="3084" t="s">
        <v>176</v>
      </c>
      <c r="B74" s="3083" t="s">
        <v>162</v>
      </c>
      <c r="C74" s="3083" t="s">
        <v>163</v>
      </c>
      <c r="D74" s="3083" t="s">
        <v>177</v>
      </c>
      <c r="E74" s="3083"/>
      <c r="F74" s="3083"/>
      <c r="G74" s="3083" t="s">
        <v>4</v>
      </c>
      <c r="H74" s="3083" t="s">
        <v>14</v>
      </c>
      <c r="I74" s="3083"/>
      <c r="J74" s="3083"/>
      <c r="K74" s="3083"/>
      <c r="L74" s="3083"/>
      <c r="M74" s="3083" t="s">
        <v>385</v>
      </c>
      <c r="N74" s="3083" t="s">
        <v>362</v>
      </c>
      <c r="O74" s="3083" t="s">
        <v>350</v>
      </c>
      <c r="P74" s="3083"/>
      <c r="Q74" s="3086"/>
      <c r="R74" s="3086"/>
      <c r="S74" s="3086"/>
      <c r="T74" s="3086"/>
      <c r="U74" s="3087"/>
      <c r="V74" s="3083"/>
      <c r="W74" s="3083"/>
      <c r="X74" s="3056">
        <f>IF(A74="","",IF(LEN(SUBSTITUTE(SUBSTITUTE(SUBSTITUTE(SUBSTITUTE(D74,".",""),"/",""),"-","")," ",""))&lt;&gt;14,"CNPJ INVALIDO","OK"))</f>
      </c>
      <c r="Y74" s="3056">
        <f>IF(A74="","",IF(R74="","REST PENDENTE","REST OK"))</f>
      </c>
      <c r="Z74" s="3056">
        <f>IF(A74="","",IF(AND(R74&lt;&gt;"",COUNTIFS($D$3:$D$164,D74,$R$3:$R$164,"&lt;&gt;")&gt;1),"DUPLICADO","OK"))</f>
      </c>
      <c r="AA74" s="3056">
        <f>IF(A74="","",IF(OR(LEN(Q74)&gt;180,LEN(R74)&gt;180,LEN(S74)&gt;180,LEN(T74)&gt;180),"CAMINHO LONGO","OK"))</f>
      </c>
      <c r="AB74" s="3056">
        <f>IF(A74="","",IF(U74="","",IFERROR(INT(U74-TODAY()),"")))</f>
      </c>
      <c r="AC74" s="3056">
        <f>IF(A74="","",IF(AND(T74="",U74=""),"",IF(T74="","SEM CAMINHO",IF(U74="","SEM DATA",IFERROR(IF(AB74&lt;15,"VERMELHO",IF(AB74&lt;=30,"AMARELO","VERDE")),"DATA INVALIDA")))))</f>
      </c>
      <c r="AD74" s="3056">
        <f>IF(OR(A74="",U74="",NOT(ISNUMBER(AB74))),"",RANK(AB74,$AB$3:$AB$164,1)+COUNTIFS($AB$3:AB74,AB74)-1)</f>
      </c>
      <c r="AE74" s="1736"/>
    </row>
    <row r="75" spans="1:19" ht="22.0" hidden="false" customHeight="true" x14ac:dyDescent="0.25">
      <c r="A75" s="3079" t="s">
        <v>178</v>
      </c>
      <c r="B75" s="3078" t="s">
        <v>162</v>
      </c>
      <c r="C75" s="3078" t="s">
        <v>163</v>
      </c>
      <c r="D75" s="3078" t="s">
        <v>179</v>
      </c>
      <c r="E75" s="3078"/>
      <c r="F75" s="3078"/>
      <c r="G75" s="3078" t="s">
        <v>4</v>
      </c>
      <c r="H75" s="3078" t="s">
        <v>14</v>
      </c>
      <c r="I75" s="3078"/>
      <c r="J75" s="3078"/>
      <c r="K75" s="3078"/>
      <c r="L75" s="3078"/>
      <c r="M75" s="3078" t="s">
        <v>385</v>
      </c>
      <c r="N75" s="3078" t="s">
        <v>362</v>
      </c>
      <c r="O75" s="3078" t="s">
        <v>350</v>
      </c>
      <c r="P75" s="3078"/>
      <c r="Q75" s="3081"/>
      <c r="R75" s="3081"/>
      <c r="S75" s="3081"/>
      <c r="T75" s="3081"/>
      <c r="U75" s="3082"/>
      <c r="V75" s="3078"/>
      <c r="W75" s="3078"/>
      <c r="X75" s="3056">
        <f>IF(A75="","",IF(LEN(SUBSTITUTE(SUBSTITUTE(SUBSTITUTE(SUBSTITUTE(D75,".",""),"/",""),"-","")," ",""))&lt;&gt;14,"CNPJ INVALIDO","OK"))</f>
      </c>
      <c r="Y75" s="3056">
        <f>IF(A75="","",IF(R75="","REST PENDENTE","REST OK"))</f>
      </c>
      <c r="Z75" s="3056">
        <f>IF(A75="","",IF(AND(R75&lt;&gt;"",COUNTIFS($D$3:$D$164,D75,$R$3:$R$164,"&lt;&gt;")&gt;1),"DUPLICADO","OK"))</f>
      </c>
      <c r="AA75" s="3056">
        <f>IF(A75="","",IF(OR(LEN(Q75)&gt;180,LEN(R75)&gt;180,LEN(S75)&gt;180,LEN(T75)&gt;180),"CAMINHO LONGO","OK"))</f>
      </c>
      <c r="AB75" s="3056">
        <f>IF(A75="","",IF(U75="","",IFERROR(INT(U75-TODAY()),"")))</f>
      </c>
      <c r="AC75" s="3056">
        <f>IF(A75="","",IF(AND(T75="",U75=""),"",IF(T75="","SEM CAMINHO",IF(U75="","SEM DATA",IFERROR(IF(AB75&lt;15,"VERMELHO",IF(AB75&lt;=30,"AMARELO","VERDE")),"DATA INVALIDA")))))</f>
      </c>
      <c r="AD75" s="3056">
        <f>IF(OR(A75="",U75="",NOT(ISNUMBER(AB75))),"",RANK(AB75,$AB$3:$AB$164,1)+COUNTIFS($AB$3:AB75,AB75)-1)</f>
      </c>
      <c r="AE75" s="1736"/>
    </row>
    <row r="76" spans="1:19" ht="22.0" hidden="false" customHeight="true" x14ac:dyDescent="0.25">
      <c r="A76" s="3084" t="s">
        <v>180</v>
      </c>
      <c r="B76" s="3083" t="s">
        <v>9</v>
      </c>
      <c r="C76" s="3083" t="s">
        <v>24</v>
      </c>
      <c r="D76" s="3083">
        <v>10977876000146</v>
      </c>
      <c r="E76" s="3083"/>
      <c r="F76" s="3083" t="s">
        <v>12</v>
      </c>
      <c r="G76" s="3083" t="s">
        <v>4</v>
      </c>
      <c r="H76" s="3083" t="s">
        <v>5</v>
      </c>
      <c r="I76" s="3083"/>
      <c r="J76" s="3083"/>
      <c r="K76" s="3083"/>
      <c r="L76" s="3083"/>
      <c r="M76" s="3083" t="s">
        <v>385</v>
      </c>
      <c r="N76" s="3083"/>
      <c r="O76" s="3083" t="s">
        <v>351</v>
      </c>
      <c r="P76" s="3083"/>
      <c r="Q76" s="3086"/>
      <c r="R76" s="3086"/>
      <c r="S76" s="3086"/>
      <c r="T76" s="3086"/>
      <c r="U76" s="3087"/>
      <c r="V76" s="3083"/>
      <c r="W76" s="3083"/>
      <c r="X76" s="3056">
        <f>IF(A76="","",IF(LEN(SUBSTITUTE(SUBSTITUTE(SUBSTITUTE(SUBSTITUTE(D76,".",""),"/",""),"-","")," ",""))&lt;&gt;14,"CNPJ INVALIDO","OK"))</f>
      </c>
      <c r="Y76" s="3056">
        <f>IF(A76="","",IF(R76="","REST PENDENTE","REST OK"))</f>
      </c>
      <c r="Z76" s="3056">
        <f>IF(A76="","",IF(AND(R76&lt;&gt;"",COUNTIFS($D$3:$D$164,D76,$R$3:$R$164,"&lt;&gt;")&gt;1),"DUPLICADO","OK"))</f>
      </c>
      <c r="AA76" s="3056">
        <f>IF(A76="","",IF(OR(LEN(Q76)&gt;180,LEN(R76)&gt;180,LEN(S76)&gt;180,LEN(T76)&gt;180),"CAMINHO LONGO","OK"))</f>
      </c>
      <c r="AB76" s="3056">
        <f>IF(A76="","",IF(U76="","",IFERROR(INT(U76-TODAY()),"")))</f>
      </c>
      <c r="AC76" s="3056">
        <f>IF(A76="","",IF(AND(T76="",U76=""),"",IF(T76="","SEM CAMINHO",IF(U76="","SEM DATA",IFERROR(IF(AB76&lt;15,"VERMELHO",IF(AB76&lt;=30,"AMARELO","VERDE")),"DATA INVALIDA")))))</f>
      </c>
      <c r="AD76" s="3056">
        <f>IF(OR(A76="",U76="",NOT(ISNUMBER(AB76))),"",RANK(AB76,$AB$3:$AB$164,1)+COUNTIFS($AB$3:AB76,AB76)-1)</f>
      </c>
      <c r="AE76" s="1736"/>
    </row>
    <row r="77" spans="1:19" ht="22.0" hidden="false" customHeight="true" x14ac:dyDescent="0.25">
      <c r="A77" s="3079" t="s">
        <v>181</v>
      </c>
      <c r="B77" s="3078" t="s">
        <v>182</v>
      </c>
      <c r="C77" s="3078" t="s">
        <v>79</v>
      </c>
      <c r="D77" s="3078" t="s">
        <v>183</v>
      </c>
      <c r="E77" s="3078"/>
      <c r="F77" s="3078" t="s">
        <v>184</v>
      </c>
      <c r="G77" s="3078" t="s">
        <v>13</v>
      </c>
      <c r="H77" s="3078" t="s">
        <v>5</v>
      </c>
      <c r="I77" s="3078"/>
      <c r="J77" s="3078"/>
      <c r="K77" s="3078"/>
      <c r="L77" s="3078"/>
      <c r="M77" s="3078" t="s">
        <v>375</v>
      </c>
      <c r="N77" s="3078"/>
      <c r="O77" s="3078" t="s">
        <v>351</v>
      </c>
      <c r="P77" s="3078"/>
      <c r="Q77" s="3081"/>
      <c r="R77" s="3081"/>
      <c r="S77" s="3081"/>
      <c r="T77" s="3081"/>
      <c r="U77" s="3082"/>
      <c r="V77" s="3078"/>
      <c r="W77" s="3078"/>
      <c r="X77" s="3056">
        <f>IF(A77="","",IF(LEN(SUBSTITUTE(SUBSTITUTE(SUBSTITUTE(SUBSTITUTE(D77,".",""),"/",""),"-","")," ",""))&lt;&gt;14,"CNPJ INVALIDO","OK"))</f>
      </c>
      <c r="Y77" s="3056">
        <f>IF(A77="","",IF(R77="","REST PENDENTE","REST OK"))</f>
      </c>
      <c r="Z77" s="3056">
        <f>IF(A77="","",IF(AND(R77&lt;&gt;"",COUNTIFS($D$3:$D$164,D77,$R$3:$R$164,"&lt;&gt;")&gt;1),"DUPLICADO","OK"))</f>
      </c>
      <c r="AA77" s="3056">
        <f>IF(A77="","",IF(OR(LEN(Q77)&gt;180,LEN(R77)&gt;180,LEN(S77)&gt;180,LEN(T77)&gt;180),"CAMINHO LONGO","OK"))</f>
      </c>
      <c r="AB77" s="3056">
        <f>IF(A77="","",IF(U77="","",IFERROR(INT(U77-TODAY()),"")))</f>
      </c>
      <c r="AC77" s="3056">
        <f>IF(A77="","",IF(AND(T77="",U77=""),"",IF(T77="","SEM CAMINHO",IF(U77="","SEM DATA",IFERROR(IF(AB77&lt;15,"VERMELHO",IF(AB77&lt;=30,"AMARELO","VERDE")),"DATA INVALIDA")))))</f>
      </c>
      <c r="AD77" s="3056">
        <f>IF(OR(A77="",U77="",NOT(ISNUMBER(AB77))),"",RANK(AB77,$AB$3:$AB$164,1)+COUNTIFS($AB$3:AB77,AB77)-1)</f>
      </c>
      <c r="AE77" s="1736"/>
    </row>
    <row r="78" spans="1:19" ht="22.0" hidden="false" customHeight="true" x14ac:dyDescent="0.25">
      <c r="A78" s="3084" t="s">
        <v>185</v>
      </c>
      <c r="B78" s="3083" t="s">
        <v>182</v>
      </c>
      <c r="C78" s="3083" t="s">
        <v>79</v>
      </c>
      <c r="D78" s="3083" t="s">
        <v>186</v>
      </c>
      <c r="E78" s="3083"/>
      <c r="F78" s="3083" t="s">
        <v>184</v>
      </c>
      <c r="G78" s="3083" t="s">
        <v>13</v>
      </c>
      <c r="H78" s="3083" t="s">
        <v>14</v>
      </c>
      <c r="I78" s="3083"/>
      <c r="J78" s="3083"/>
      <c r="K78" s="3083"/>
      <c r="L78" s="3083"/>
      <c r="M78" s="3083" t="s">
        <v>355</v>
      </c>
      <c r="N78" s="3083"/>
      <c r="O78" s="3083" t="s">
        <v>354</v>
      </c>
      <c r="P78" s="3083"/>
      <c r="Q78" s="3086"/>
      <c r="R78" s="3086"/>
      <c r="S78" s="3086"/>
      <c r="T78" s="3086"/>
      <c r="U78" s="3087"/>
      <c r="V78" s="3083"/>
      <c r="W78" s="3083"/>
      <c r="X78" s="3056">
        <f>IF(A78="","",IF(LEN(SUBSTITUTE(SUBSTITUTE(SUBSTITUTE(SUBSTITUTE(D78,".",""),"/",""),"-","")," ",""))&lt;&gt;14,"CNPJ INVALIDO","OK"))</f>
      </c>
      <c r="Y78" s="3056">
        <f>IF(A78="","",IF(R78="","REST PENDENTE","REST OK"))</f>
      </c>
      <c r="Z78" s="3056">
        <f>IF(A78="","",IF(AND(R78&lt;&gt;"",COUNTIFS($D$3:$D$164,D78,$R$3:$R$164,"&lt;&gt;")&gt;1),"DUPLICADO","OK"))</f>
      </c>
      <c r="AA78" s="3056">
        <f>IF(A78="","",IF(OR(LEN(Q78)&gt;180,LEN(R78)&gt;180,LEN(S78)&gt;180,LEN(T78)&gt;180),"CAMINHO LONGO","OK"))</f>
      </c>
      <c r="AB78" s="3056">
        <f>IF(A78="","",IF(U78="","",IFERROR(INT(U78-TODAY()),"")))</f>
      </c>
      <c r="AC78" s="3056">
        <f>IF(A78="","",IF(AND(T78="",U78=""),"",IF(T78="","SEM CAMINHO",IF(U78="","SEM DATA",IFERROR(IF(AB78&lt;15,"VERMELHO",IF(AB78&lt;=30,"AMARELO","VERDE")),"DATA INVALIDA")))))</f>
      </c>
      <c r="AD78" s="3056">
        <f>IF(OR(A78="",U78="",NOT(ISNUMBER(AB78))),"",RANK(AB78,$AB$3:$AB$164,1)+COUNTIFS($AB$3:AB78,AB78)-1)</f>
      </c>
      <c r="AE78" s="1736"/>
    </row>
    <row r="79" spans="1:19" ht="22.0" hidden="false" customHeight="true" x14ac:dyDescent="0.25">
      <c r="A79" s="3079" t="s">
        <v>187</v>
      </c>
      <c r="B79" s="3078" t="s">
        <v>188</v>
      </c>
      <c r="C79" s="3078" t="s">
        <v>62</v>
      </c>
      <c r="D79" s="3078">
        <v>40920539000183</v>
      </c>
      <c r="E79" s="3078"/>
      <c r="F79" s="3078" t="s">
        <v>189</v>
      </c>
      <c r="G79" s="3078" t="s">
        <v>4</v>
      </c>
      <c r="H79" s="3078" t="s">
        <v>5</v>
      </c>
      <c r="I79" s="3078"/>
      <c r="J79" s="3078"/>
      <c r="K79" s="3078"/>
      <c r="L79" s="3078"/>
      <c r="M79" s="3078" t="s">
        <v>385</v>
      </c>
      <c r="N79" s="3078"/>
      <c r="O79" s="3078"/>
      <c r="P79" s="3078"/>
      <c r="Q79" s="3081"/>
      <c r="R79" s="3081"/>
      <c r="S79" s="3081"/>
      <c r="T79" s="3081"/>
      <c r="U79" s="3082"/>
      <c r="V79" s="3078"/>
      <c r="W79" s="3078"/>
      <c r="X79" s="3056">
        <f>IF(A79="","",IF(LEN(SUBSTITUTE(SUBSTITUTE(SUBSTITUTE(SUBSTITUTE(D79,".",""),"/",""),"-","")," ",""))&lt;&gt;14,"CNPJ INVALIDO","OK"))</f>
      </c>
      <c r="Y79" s="3056">
        <f>IF(A79="","",IF(R79="","REST PENDENTE","REST OK"))</f>
      </c>
      <c r="Z79" s="3056">
        <f>IF(A79="","",IF(AND(R79&lt;&gt;"",COUNTIFS($D$3:$D$164,D79,$R$3:$R$164,"&lt;&gt;")&gt;1),"DUPLICADO","OK"))</f>
      </c>
      <c r="AA79" s="3056">
        <f>IF(A79="","",IF(OR(LEN(Q79)&gt;180,LEN(R79)&gt;180,LEN(S79)&gt;180,LEN(T79)&gt;180),"CAMINHO LONGO","OK"))</f>
      </c>
      <c r="AB79" s="3056">
        <f>IF(A79="","",IF(U79="","",IFERROR(INT(U79-TODAY()),"")))</f>
      </c>
      <c r="AC79" s="3056">
        <f>IF(A79="","",IF(AND(T79="",U79=""),"",IF(T79="","SEM CAMINHO",IF(U79="","SEM DATA",IFERROR(IF(AB79&lt;15,"VERMELHO",IF(AB79&lt;=30,"AMARELO","VERDE")),"DATA INVALIDA")))))</f>
      </c>
      <c r="AD79" s="3056">
        <f>IF(OR(A79="",U79="",NOT(ISNUMBER(AB79))),"",RANK(AB79,$AB$3:$AB$164,1)+COUNTIFS($AB$3:AB79,AB79)-1)</f>
      </c>
      <c r="AE79" s="1736"/>
    </row>
    <row r="80" spans="1:19" ht="22.0" hidden="false" customHeight="true" x14ac:dyDescent="0.25">
      <c r="A80" s="3084" t="s">
        <v>190</v>
      </c>
      <c r="B80" s="3083" t="s">
        <v>188</v>
      </c>
      <c r="C80" s="3083" t="s">
        <v>69</v>
      </c>
      <c r="D80" s="3083" t="s">
        <v>191</v>
      </c>
      <c r="E80" s="3083"/>
      <c r="F80" s="3083" t="s">
        <v>189</v>
      </c>
      <c r="G80" s="3083" t="s">
        <v>41</v>
      </c>
      <c r="H80" s="3083" t="s">
        <v>5</v>
      </c>
      <c r="I80" s="3083"/>
      <c r="J80" s="3083"/>
      <c r="K80" s="3083"/>
      <c r="L80" s="3083"/>
      <c r="M80" s="3083" t="s">
        <v>379</v>
      </c>
      <c r="N80" s="3083"/>
      <c r="O80" s="3083" t="s">
        <v>350</v>
      </c>
      <c r="P80" s="3083"/>
      <c r="Q80" s="3086"/>
      <c r="R80" s="3086"/>
      <c r="S80" s="3086"/>
      <c r="T80" s="3086"/>
      <c r="U80" s="3087"/>
      <c r="V80" s="3083"/>
      <c r="W80" s="3083"/>
      <c r="X80" s="3056">
        <f>IF(A80="","",IF(LEN(SUBSTITUTE(SUBSTITUTE(SUBSTITUTE(SUBSTITUTE(D80,".",""),"/",""),"-","")," ",""))&lt;&gt;14,"CNPJ INVALIDO","OK"))</f>
      </c>
      <c r="Y80" s="3056">
        <f>IF(A80="","",IF(R80="","REST PENDENTE","REST OK"))</f>
      </c>
      <c r="Z80" s="3056">
        <f>IF(A80="","",IF(AND(R80&lt;&gt;"",COUNTIFS($D$3:$D$164,D80,$R$3:$R$164,"&lt;&gt;")&gt;1),"DUPLICADO","OK"))</f>
      </c>
      <c r="AA80" s="3056">
        <f>IF(A80="","",IF(OR(LEN(Q80)&gt;180,LEN(R80)&gt;180,LEN(S80)&gt;180,LEN(T80)&gt;180),"CAMINHO LONGO","OK"))</f>
      </c>
      <c r="AB80" s="3056">
        <f>IF(A80="","",IF(U80="","",IFERROR(INT(U80-TODAY()),"")))</f>
      </c>
      <c r="AC80" s="3056">
        <f>IF(A80="","",IF(AND(T80="",U80=""),"",IF(T80="","SEM CAMINHO",IF(U80="","SEM DATA",IFERROR(IF(AB80&lt;15,"VERMELHO",IF(AB80&lt;=30,"AMARELO","VERDE")),"DATA INVALIDA")))))</f>
      </c>
      <c r="AD80" s="3056">
        <f>IF(OR(A80="",U80="",NOT(ISNUMBER(AB80))),"",RANK(AB80,$AB$3:$AB$164,1)+COUNTIFS($AB$3:AB80,AB80)-1)</f>
      </c>
      <c r="AE80" s="1736"/>
    </row>
    <row r="81" spans="1:19" ht="22.0" hidden="false" customHeight="true" x14ac:dyDescent="0.25">
      <c r="A81" s="3079" t="s">
        <v>192</v>
      </c>
      <c r="B81" s="3078" t="s">
        <v>188</v>
      </c>
      <c r="C81" s="3078" t="s">
        <v>69</v>
      </c>
      <c r="D81" s="3078" t="s">
        <v>193</v>
      </c>
      <c r="E81" s="3078"/>
      <c r="F81" s="3078" t="s">
        <v>189</v>
      </c>
      <c r="G81" s="3078" t="s">
        <v>13</v>
      </c>
      <c r="H81" s="3078" t="s">
        <v>14</v>
      </c>
      <c r="I81" s="3078"/>
      <c r="J81" s="3078"/>
      <c r="K81" s="3078"/>
      <c r="L81" s="3078"/>
      <c r="M81" s="3078" t="s">
        <v>386</v>
      </c>
      <c r="N81" s="3078"/>
      <c r="O81" s="3078" t="s">
        <v>347</v>
      </c>
      <c r="P81" s="3078"/>
      <c r="Q81" s="3081"/>
      <c r="R81" s="3081"/>
      <c r="S81" s="3081"/>
      <c r="T81" s="3081"/>
      <c r="U81" s="3082"/>
      <c r="V81" s="3078"/>
      <c r="W81" s="3078"/>
      <c r="X81" s="3056">
        <f>IF(A81="","",IF(LEN(SUBSTITUTE(SUBSTITUTE(SUBSTITUTE(SUBSTITUTE(D81,".",""),"/",""),"-","")," ",""))&lt;&gt;14,"CNPJ INVALIDO","OK"))</f>
      </c>
      <c r="Y81" s="3056">
        <f>IF(A81="","",IF(R81="","REST PENDENTE","REST OK"))</f>
      </c>
      <c r="Z81" s="3056">
        <f>IF(A81="","",IF(AND(R81&lt;&gt;"",COUNTIFS($D$3:$D$164,D81,$R$3:$R$164,"&lt;&gt;")&gt;1),"DUPLICADO","OK"))</f>
      </c>
      <c r="AA81" s="3056">
        <f>IF(A81="","",IF(OR(LEN(Q81)&gt;180,LEN(R81)&gt;180,LEN(S81)&gt;180,LEN(T81)&gt;180),"CAMINHO LONGO","OK"))</f>
      </c>
      <c r="AB81" s="3056">
        <f>IF(A81="","",IF(U81="","",IFERROR(INT(U81-TODAY()),"")))</f>
      </c>
      <c r="AC81" s="3056">
        <f>IF(A81="","",IF(AND(T81="",U81=""),"",IF(T81="","SEM CAMINHO",IF(U81="","SEM DATA",IFERROR(IF(AB81&lt;15,"VERMELHO",IF(AB81&lt;=30,"AMARELO","VERDE")),"DATA INVALIDA")))))</f>
      </c>
      <c r="AD81" s="3056">
        <f>IF(OR(A81="",U81="",NOT(ISNUMBER(AB81))),"",RANK(AB81,$AB$3:$AB$164,1)+COUNTIFS($AB$3:AB81,AB81)-1)</f>
      </c>
      <c r="AE81" s="1736"/>
    </row>
    <row r="82" spans="1:19" ht="22.0" hidden="false" customHeight="true" x14ac:dyDescent="0.25">
      <c r="A82" s="3084" t="s">
        <v>194</v>
      </c>
      <c r="B82" s="3083" t="s">
        <v>1</v>
      </c>
      <c r="C82" s="3083" t="s">
        <v>195</v>
      </c>
      <c r="D82" s="3083" t="s">
        <v>196</v>
      </c>
      <c r="E82" s="3083"/>
      <c r="F82" s="3083" t="s">
        <v>3</v>
      </c>
      <c r="G82" s="3083" t="s">
        <v>197</v>
      </c>
      <c r="H82" s="3083" t="s">
        <v>49</v>
      </c>
      <c r="I82" s="3083"/>
      <c r="J82" s="3083"/>
      <c r="K82" s="3083"/>
      <c r="L82" s="3083"/>
      <c r="M82" s="3083" t="s">
        <v>376</v>
      </c>
      <c r="N82" s="3083" t="s">
        <v>361</v>
      </c>
      <c r="O82" s="3083" t="s">
        <v>351</v>
      </c>
      <c r="P82" s="3083"/>
      <c r="Q82" s="3086"/>
      <c r="R82" s="3086"/>
      <c r="S82" s="3086"/>
      <c r="T82" s="3086"/>
      <c r="U82" s="3087"/>
      <c r="V82" s="3083"/>
      <c r="W82" s="3083"/>
      <c r="X82" s="3056">
        <f>IF(A82="","",IF(LEN(SUBSTITUTE(SUBSTITUTE(SUBSTITUTE(SUBSTITUTE(D82,".",""),"/",""),"-","")," ",""))&lt;&gt;14,"CNPJ INVALIDO","OK"))</f>
      </c>
      <c r="Y82" s="3056">
        <f>IF(A82="","",IF(R82="","REST PENDENTE","REST OK"))</f>
      </c>
      <c r="Z82" s="3056">
        <f>IF(A82="","",IF(AND(R82&lt;&gt;"",COUNTIFS($D$3:$D$164,D82,$R$3:$R$164,"&lt;&gt;")&gt;1),"DUPLICADO","OK"))</f>
      </c>
      <c r="AA82" s="3056">
        <f>IF(A82="","",IF(OR(LEN(Q82)&gt;180,LEN(R82)&gt;180,LEN(S82)&gt;180,LEN(T82)&gt;180),"CAMINHO LONGO","OK"))</f>
      </c>
      <c r="AB82" s="3056">
        <f>IF(A82="","",IF(U82="","",IFERROR(INT(U82-TODAY()),"")))</f>
      </c>
      <c r="AC82" s="3056">
        <f>IF(A82="","",IF(AND(T82="",U82=""),"",IF(T82="","SEM CAMINHO",IF(U82="","SEM DATA",IFERROR(IF(AB82&lt;15,"VERMELHO",IF(AB82&lt;=30,"AMARELO","VERDE")),"DATA INVALIDA")))))</f>
      </c>
      <c r="AD82" s="3056">
        <f>IF(OR(A82="",U82="",NOT(ISNUMBER(AB82))),"",RANK(AB82,$AB$3:$AB$164,1)+COUNTIFS($AB$3:AB82,AB82)-1)</f>
      </c>
      <c r="AE82" s="1736"/>
    </row>
    <row r="83" spans="1:19" ht="22.0" hidden="false" customHeight="true" x14ac:dyDescent="0.25">
      <c r="A83" s="3079" t="s">
        <v>198</v>
      </c>
      <c r="B83" s="3078" t="s">
        <v>1</v>
      </c>
      <c r="C83" s="3078" t="s">
        <v>195</v>
      </c>
      <c r="D83" s="3078" t="s">
        <v>199</v>
      </c>
      <c r="E83" s="3078"/>
      <c r="F83" s="3078" t="s">
        <v>3</v>
      </c>
      <c r="G83" s="3078" t="s">
        <v>4</v>
      </c>
      <c r="H83" s="3078" t="s">
        <v>49</v>
      </c>
      <c r="I83" s="3078"/>
      <c r="J83" s="3078"/>
      <c r="K83" s="3078"/>
      <c r="L83" s="3078"/>
      <c r="M83" s="3078" t="s">
        <v>376</v>
      </c>
      <c r="N83" s="3078" t="s">
        <v>361</v>
      </c>
      <c r="O83" s="3078" t="s">
        <v>351</v>
      </c>
      <c r="P83" s="3078"/>
      <c r="Q83" s="3081"/>
      <c r="R83" s="3081"/>
      <c r="S83" s="3081"/>
      <c r="T83" s="3081"/>
      <c r="U83" s="3082"/>
      <c r="V83" s="3078"/>
      <c r="W83" s="3078"/>
      <c r="X83" s="3056">
        <f>IF(A83="","",IF(LEN(SUBSTITUTE(SUBSTITUTE(SUBSTITUTE(SUBSTITUTE(D83,".",""),"/",""),"-","")," ",""))&lt;&gt;14,"CNPJ INVALIDO","OK"))</f>
      </c>
      <c r="Y83" s="3056">
        <f>IF(A83="","",IF(R83="","REST PENDENTE","REST OK"))</f>
      </c>
      <c r="Z83" s="3056">
        <f>IF(A83="","",IF(AND(R83&lt;&gt;"",COUNTIFS($D$3:$D$164,D83,$R$3:$R$164,"&lt;&gt;")&gt;1),"DUPLICADO","OK"))</f>
      </c>
      <c r="AA83" s="3056">
        <f>IF(A83="","",IF(OR(LEN(Q83)&gt;180,LEN(R83)&gt;180,LEN(S83)&gt;180,LEN(T83)&gt;180),"CAMINHO LONGO","OK"))</f>
      </c>
      <c r="AB83" s="3056">
        <f>IF(A83="","",IF(U83="","",IFERROR(INT(U83-TODAY()),"")))</f>
      </c>
      <c r="AC83" s="3056">
        <f>IF(A83="","",IF(AND(T83="",U83=""),"",IF(T83="","SEM CAMINHO",IF(U83="","SEM DATA",IFERROR(IF(AB83&lt;15,"VERMELHO",IF(AB83&lt;=30,"AMARELO","VERDE")),"DATA INVALIDA")))))</f>
      </c>
      <c r="AD83" s="3056">
        <f>IF(OR(A83="",U83="",NOT(ISNUMBER(AB83))),"",RANK(AB83,$AB$3:$AB$164,1)+COUNTIFS($AB$3:AB83,AB83)-1)</f>
      </c>
      <c r="AE83" s="1736"/>
    </row>
    <row r="84" spans="1:19" ht="22.0" hidden="false" customHeight="true" x14ac:dyDescent="0.25">
      <c r="A84" s="3084" t="s">
        <v>200</v>
      </c>
      <c r="B84" s="3083" t="s">
        <v>1</v>
      </c>
      <c r="C84" s="3083" t="s">
        <v>195</v>
      </c>
      <c r="D84" s="3083" t="s">
        <v>201</v>
      </c>
      <c r="E84" s="3083"/>
      <c r="F84" s="3083" t="s">
        <v>3</v>
      </c>
      <c r="G84" s="3083" t="s">
        <v>4</v>
      </c>
      <c r="H84" s="3083" t="s">
        <v>49</v>
      </c>
      <c r="I84" s="3083"/>
      <c r="J84" s="3083"/>
      <c r="K84" s="3083"/>
      <c r="L84" s="3083"/>
      <c r="M84" s="3083" t="s">
        <v>376</v>
      </c>
      <c r="N84" s="3083" t="s">
        <v>361</v>
      </c>
      <c r="O84" s="3083" t="s">
        <v>351</v>
      </c>
      <c r="P84" s="3083"/>
      <c r="Q84" s="3086"/>
      <c r="R84" s="3086"/>
      <c r="S84" s="3086"/>
      <c r="T84" s="3086"/>
      <c r="U84" s="3087"/>
      <c r="V84" s="3083"/>
      <c r="W84" s="3083"/>
      <c r="X84" s="3056">
        <f>IF(A84="","",IF(LEN(SUBSTITUTE(SUBSTITUTE(SUBSTITUTE(SUBSTITUTE(D84,".",""),"/",""),"-","")," ",""))&lt;&gt;14,"CNPJ INVALIDO","OK"))</f>
      </c>
      <c r="Y84" s="3056">
        <f>IF(A84="","",IF(R84="","REST PENDENTE","REST OK"))</f>
      </c>
      <c r="Z84" s="3056">
        <f>IF(A84="","",IF(AND(R84&lt;&gt;"",COUNTIFS($D$3:$D$164,D84,$R$3:$R$164,"&lt;&gt;")&gt;1),"DUPLICADO","OK"))</f>
      </c>
      <c r="AA84" s="3056">
        <f>IF(A84="","",IF(OR(LEN(Q84)&gt;180,LEN(R84)&gt;180,LEN(S84)&gt;180,LEN(T84)&gt;180),"CAMINHO LONGO","OK"))</f>
      </c>
      <c r="AB84" s="3056">
        <f>IF(A84="","",IF(U84="","",IFERROR(INT(U84-TODAY()),"")))</f>
      </c>
      <c r="AC84" s="3056">
        <f>IF(A84="","",IF(AND(T84="",U84=""),"",IF(T84="","SEM CAMINHO",IF(U84="","SEM DATA",IFERROR(IF(AB84&lt;15,"VERMELHO",IF(AB84&lt;=30,"AMARELO","VERDE")),"DATA INVALIDA")))))</f>
      </c>
      <c r="AD84" s="3056">
        <f>IF(OR(A84="",U84="",NOT(ISNUMBER(AB84))),"",RANK(AB84,$AB$3:$AB$164,1)+COUNTIFS($AB$3:AB84,AB84)-1)</f>
      </c>
      <c r="AE84" s="1736"/>
    </row>
    <row r="85" spans="1:19" ht="22.0" hidden="false" customHeight="true" x14ac:dyDescent="0.25">
      <c r="A85" s="3079" t="s">
        <v>202</v>
      </c>
      <c r="B85" s="3078" t="s">
        <v>203</v>
      </c>
      <c r="C85" s="3078" t="s">
        <v>204</v>
      </c>
      <c r="D85" s="3078">
        <v>48579725000102</v>
      </c>
      <c r="E85" s="3078"/>
      <c r="F85" s="3078" t="s">
        <v>205</v>
      </c>
      <c r="G85" s="3078" t="s">
        <v>13</v>
      </c>
      <c r="H85" s="3078" t="s">
        <v>5</v>
      </c>
      <c r="I85" s="3078"/>
      <c r="J85" s="3078"/>
      <c r="K85" s="3078"/>
      <c r="L85" s="3078"/>
      <c r="M85" s="3078" t="s">
        <v>379</v>
      </c>
      <c r="N85" s="3078"/>
      <c r="O85" s="3078" t="s">
        <v>356</v>
      </c>
      <c r="P85" s="3078"/>
      <c r="Q85" s="3081"/>
      <c r="R85" s="3081"/>
      <c r="S85" s="3081"/>
      <c r="T85" s="3081"/>
      <c r="U85" s="3082"/>
      <c r="V85" s="3078"/>
      <c r="W85" s="3078"/>
      <c r="X85" s="3056">
        <f>IF(A85="","",IF(LEN(SUBSTITUTE(SUBSTITUTE(SUBSTITUTE(SUBSTITUTE(D85,".",""),"/",""),"-","")," ",""))&lt;&gt;14,"CNPJ INVALIDO","OK"))</f>
      </c>
      <c r="Y85" s="3056">
        <f>IF(A85="","",IF(R85="","REST PENDENTE","REST OK"))</f>
      </c>
      <c r="Z85" s="3056">
        <f>IF(A85="","",IF(AND(R85&lt;&gt;"",COUNTIFS($D$3:$D$164,D85,$R$3:$R$164,"&lt;&gt;")&gt;1),"DUPLICADO","OK"))</f>
      </c>
      <c r="AA85" s="3056">
        <f>IF(A85="","",IF(OR(LEN(Q85)&gt;180,LEN(R85)&gt;180,LEN(S85)&gt;180,LEN(T85)&gt;180),"CAMINHO LONGO","OK"))</f>
      </c>
      <c r="AB85" s="3056">
        <f>IF(A85="","",IF(U85="","",IFERROR(INT(U85-TODAY()),"")))</f>
      </c>
      <c r="AC85" s="3056">
        <f>IF(A85="","",IF(AND(T85="",U85=""),"",IF(T85="","SEM CAMINHO",IF(U85="","SEM DATA",IFERROR(IF(AB85&lt;15,"VERMELHO",IF(AB85&lt;=30,"AMARELO","VERDE")),"DATA INVALIDA")))))</f>
      </c>
      <c r="AD85" s="3056">
        <f>IF(OR(A85="",U85="",NOT(ISNUMBER(AB85))),"",RANK(AB85,$AB$3:$AB$164,1)+COUNTIFS($AB$3:AB85,AB85)-1)</f>
      </c>
      <c r="AE85" s="1736"/>
    </row>
    <row r="86" spans="1:19" ht="22.0" hidden="false" customHeight="true" x14ac:dyDescent="0.25">
      <c r="A86" s="3084" t="s">
        <v>206</v>
      </c>
      <c r="B86" s="3083" t="s">
        <v>207</v>
      </c>
      <c r="C86" s="3083" t="s">
        <v>62</v>
      </c>
      <c r="D86" s="3083">
        <v>21879417000146</v>
      </c>
      <c r="E86" s="3083"/>
      <c r="F86" s="3083" t="s">
        <v>208</v>
      </c>
      <c r="G86" s="3083" t="s">
        <v>41</v>
      </c>
      <c r="H86" s="3083" t="s">
        <v>5</v>
      </c>
      <c r="I86" s="3083"/>
      <c r="J86" s="3083"/>
      <c r="K86" s="3083"/>
      <c r="L86" s="3083"/>
      <c r="M86" s="3083" t="s">
        <v>379</v>
      </c>
      <c r="N86" s="3083"/>
      <c r="O86" s="3083" t="s">
        <v>349</v>
      </c>
      <c r="P86" s="3083"/>
      <c r="Q86" s="3086"/>
      <c r="R86" s="3086"/>
      <c r="S86" s="3086"/>
      <c r="T86" s="3086"/>
      <c r="U86" s="3087"/>
      <c r="V86" s="3083"/>
      <c r="W86" s="3083"/>
      <c r="X86" s="3056">
        <f>IF(A86="","",IF(LEN(SUBSTITUTE(SUBSTITUTE(SUBSTITUTE(SUBSTITUTE(D86,".",""),"/",""),"-","")," ",""))&lt;&gt;14,"CNPJ INVALIDO","OK"))</f>
      </c>
      <c r="Y86" s="3056">
        <f>IF(A86="","",IF(R86="","REST PENDENTE","REST OK"))</f>
      </c>
      <c r="Z86" s="3056">
        <f>IF(A86="","",IF(AND(R86&lt;&gt;"",COUNTIFS($D$3:$D$164,D86,$R$3:$R$164,"&lt;&gt;")&gt;1),"DUPLICADO","OK"))</f>
      </c>
      <c r="AA86" s="3056">
        <f>IF(A86="","",IF(OR(LEN(Q86)&gt;180,LEN(R86)&gt;180,LEN(S86)&gt;180,LEN(T86)&gt;180),"CAMINHO LONGO","OK"))</f>
      </c>
      <c r="AB86" s="3056">
        <f>IF(A86="","",IF(U86="","",IFERROR(INT(U86-TODAY()),"")))</f>
      </c>
      <c r="AC86" s="3056">
        <f>IF(A86="","",IF(AND(T86="",U86=""),"",IF(T86="","SEM CAMINHO",IF(U86="","SEM DATA",IFERROR(IF(AB86&lt;15,"VERMELHO",IF(AB86&lt;=30,"AMARELO","VERDE")),"DATA INVALIDA")))))</f>
      </c>
      <c r="AD86" s="3056">
        <f>IF(OR(A86="",U86="",NOT(ISNUMBER(AB86))),"",RANK(AB86,$AB$3:$AB$164,1)+COUNTIFS($AB$3:AB86,AB86)-1)</f>
      </c>
      <c r="AE86" s="1736"/>
    </row>
    <row r="87" spans="1:19" ht="22.0" hidden="false" customHeight="true" x14ac:dyDescent="0.25">
      <c r="A87" s="3079" t="s">
        <v>209</v>
      </c>
      <c r="B87" s="3078" t="s">
        <v>207</v>
      </c>
      <c r="C87" s="3078" t="s">
        <v>62</v>
      </c>
      <c r="D87" s="3078" t="s">
        <v>388</v>
      </c>
      <c r="E87" s="3078"/>
      <c r="F87" s="3078" t="s">
        <v>208</v>
      </c>
      <c r="G87" s="3078" t="s">
        <v>4</v>
      </c>
      <c r="H87" s="3078" t="s">
        <v>5</v>
      </c>
      <c r="I87" s="3078"/>
      <c r="J87" s="3078"/>
      <c r="K87" s="3078"/>
      <c r="L87" s="3078"/>
      <c r="M87" s="3078" t="s">
        <v>379</v>
      </c>
      <c r="N87" s="3078"/>
      <c r="O87" s="3078" t="s">
        <v>349</v>
      </c>
      <c r="P87" s="3078"/>
      <c r="Q87" s="3081"/>
      <c r="R87" s="3081"/>
      <c r="S87" s="3081"/>
      <c r="T87" s="3081"/>
      <c r="U87" s="3082"/>
      <c r="V87" s="3078"/>
      <c r="W87" s="3078"/>
      <c r="X87" s="3056">
        <f>IF(A87="","",IF(LEN(SUBSTITUTE(SUBSTITUTE(SUBSTITUTE(SUBSTITUTE(D87,".",""),"/",""),"-","")," ",""))&lt;&gt;14,"CNPJ INVALIDO","OK"))</f>
      </c>
      <c r="Y87" s="3056">
        <f>IF(A87="","",IF(R87="","REST PENDENTE","REST OK"))</f>
      </c>
      <c r="Z87" s="3056">
        <f>IF(A87="","",IF(AND(R87&lt;&gt;"",COUNTIFS($D$3:$D$164,D87,$R$3:$R$164,"&lt;&gt;")&gt;1),"DUPLICADO","OK"))</f>
      </c>
      <c r="AA87" s="3056">
        <f>IF(A87="","",IF(OR(LEN(Q87)&gt;180,LEN(R87)&gt;180,LEN(S87)&gt;180,LEN(T87)&gt;180),"CAMINHO LONGO","OK"))</f>
      </c>
      <c r="AB87" s="3056">
        <f>IF(A87="","",IF(U87="","",IFERROR(INT(U87-TODAY()),"")))</f>
      </c>
      <c r="AC87" s="3056">
        <f>IF(A87="","",IF(AND(T87="",U87=""),"",IF(T87="","SEM CAMINHO",IF(U87="","SEM DATA",IFERROR(IF(AB87&lt;15,"VERMELHO",IF(AB87&lt;=30,"AMARELO","VERDE")),"DATA INVALIDA")))))</f>
      </c>
      <c r="AD87" s="3056">
        <f>IF(OR(A87="",U87="",NOT(ISNUMBER(AB87))),"",RANK(AB87,$AB$3:$AB$164,1)+COUNTIFS($AB$3:AB87,AB87)-1)</f>
      </c>
      <c r="AE87" s="1736"/>
    </row>
    <row r="88" spans="1:19" ht="22.0" hidden="false" customHeight="true" x14ac:dyDescent="0.25">
      <c r="A88" s="3084" t="s">
        <v>210</v>
      </c>
      <c r="B88" s="3083" t="s">
        <v>211</v>
      </c>
      <c r="C88" s="3083" t="s">
        <v>69</v>
      </c>
      <c r="D88" s="3083" t="s">
        <v>387</v>
      </c>
      <c r="E88" s="3083"/>
      <c r="F88" s="3083"/>
      <c r="G88" s="3083" t="s">
        <v>4</v>
      </c>
      <c r="H88" s="3083" t="s">
        <v>49</v>
      </c>
      <c r="I88" s="3083"/>
      <c r="J88" s="3083"/>
      <c r="K88" s="3083"/>
      <c r="L88" s="3083"/>
      <c r="M88" s="3083" t="s">
        <v>379</v>
      </c>
      <c r="N88" s="3083"/>
      <c r="O88" s="3083" t="s">
        <v>349</v>
      </c>
      <c r="P88" s="3083"/>
      <c r="Q88" s="3086"/>
      <c r="R88" s="3086"/>
      <c r="S88" s="3086"/>
      <c r="T88" s="3086"/>
      <c r="U88" s="3087"/>
      <c r="V88" s="3083"/>
      <c r="W88" s="3083"/>
      <c r="X88" s="3056">
        <f>IF(A88="","",IF(LEN(SUBSTITUTE(SUBSTITUTE(SUBSTITUTE(SUBSTITUTE(D88,".",""),"/",""),"-","")," ",""))&lt;&gt;14,"CNPJ INVALIDO","OK"))</f>
      </c>
      <c r="Y88" s="3056">
        <f>IF(A88="","",IF(R88="","REST PENDENTE","REST OK"))</f>
      </c>
      <c r="Z88" s="3056">
        <f>IF(A88="","",IF(AND(R88&lt;&gt;"",COUNTIFS($D$3:$D$164,D88,$R$3:$R$164,"&lt;&gt;")&gt;1),"DUPLICADO","OK"))</f>
      </c>
      <c r="AA88" s="3056">
        <f>IF(A88="","",IF(OR(LEN(Q88)&gt;180,LEN(R88)&gt;180,LEN(S88)&gt;180,LEN(T88)&gt;180),"CAMINHO LONGO","OK"))</f>
      </c>
      <c r="AB88" s="3056">
        <f>IF(A88="","",IF(U88="","",IFERROR(INT(U88-TODAY()),"")))</f>
      </c>
      <c r="AC88" s="3056">
        <f>IF(A88="","",IF(AND(T88="",U88=""),"",IF(T88="","SEM CAMINHO",IF(U88="","SEM DATA",IFERROR(IF(AB88&lt;15,"VERMELHO",IF(AB88&lt;=30,"AMARELO","VERDE")),"DATA INVALIDA")))))</f>
      </c>
      <c r="AD88" s="3056">
        <f>IF(OR(A88="",U88="",NOT(ISNUMBER(AB88))),"",RANK(AB88,$AB$3:$AB$164,1)+COUNTIFS($AB$3:AB88,AB88)-1)</f>
      </c>
      <c r="AE88" s="1736"/>
    </row>
    <row r="89" spans="1:19" ht="22.0" hidden="false" customHeight="true" x14ac:dyDescent="0.25">
      <c r="A89" s="3079" t="s">
        <v>212</v>
      </c>
      <c r="B89" s="3078" t="s">
        <v>211</v>
      </c>
      <c r="C89" s="3078" t="s">
        <v>69</v>
      </c>
      <c r="D89" s="3078"/>
      <c r="E89" s="3078"/>
      <c r="F89" s="3078"/>
      <c r="G89" s="3078" t="s">
        <v>4</v>
      </c>
      <c r="H89" s="3078" t="s">
        <v>49</v>
      </c>
      <c r="I89" s="3078"/>
      <c r="J89" s="3078"/>
      <c r="K89" s="3078"/>
      <c r="L89" s="3078"/>
      <c r="M89" s="3078" t="s">
        <v>379</v>
      </c>
      <c r="N89" s="3078"/>
      <c r="O89" s="3078" t="s">
        <v>349</v>
      </c>
      <c r="P89" s="3078"/>
      <c r="Q89" s="3081"/>
      <c r="R89" s="3081"/>
      <c r="S89" s="3081"/>
      <c r="T89" s="3081"/>
      <c r="U89" s="3082"/>
      <c r="V89" s="3078"/>
      <c r="W89" s="3078"/>
      <c r="X89" s="3056">
        <f>IF(A89="","",IF(LEN(SUBSTITUTE(SUBSTITUTE(SUBSTITUTE(SUBSTITUTE(D89,".",""),"/",""),"-","")," ",""))&lt;&gt;14,"CNPJ INVALIDO","OK"))</f>
      </c>
      <c r="Y89" s="3056">
        <f>IF(A89="","",IF(R89="","REST PENDENTE","REST OK"))</f>
      </c>
      <c r="Z89" s="3056">
        <f>IF(A89="","",IF(AND(R89&lt;&gt;"",COUNTIFS($D$3:$D$164,D89,$R$3:$R$164,"&lt;&gt;")&gt;1),"DUPLICADO","OK"))</f>
      </c>
      <c r="AA89" s="3056">
        <f>IF(A89="","",IF(OR(LEN(Q89)&gt;180,LEN(R89)&gt;180,LEN(S89)&gt;180,LEN(T89)&gt;180),"CAMINHO LONGO","OK"))</f>
      </c>
      <c r="AB89" s="3056">
        <f>IF(A89="","",IF(U89="","",IFERROR(INT(U89-TODAY()),"")))</f>
      </c>
      <c r="AC89" s="3056">
        <f>IF(A89="","",IF(AND(T89="",U89=""),"",IF(T89="","SEM CAMINHO",IF(U89="","SEM DATA",IFERROR(IF(AB89&lt;15,"VERMELHO",IF(AB89&lt;=30,"AMARELO","VERDE")),"DATA INVALIDA")))))</f>
      </c>
      <c r="AD89" s="3056">
        <f>IF(OR(A89="",U89="",NOT(ISNUMBER(AB89))),"",RANK(AB89,$AB$3:$AB$164,1)+COUNTIFS($AB$3:AB89,AB89)-1)</f>
      </c>
      <c r="AE89" s="1736"/>
    </row>
    <row r="90" spans="1:19" ht="22.0" hidden="false" customHeight="true" x14ac:dyDescent="0.25">
      <c r="A90" s="3084" t="s">
        <v>213</v>
      </c>
      <c r="B90" s="3083" t="s">
        <v>214</v>
      </c>
      <c r="C90" s="3083" t="s">
        <v>62</v>
      </c>
      <c r="D90" s="3083">
        <v>44868733000118</v>
      </c>
      <c r="E90" s="3083"/>
      <c r="F90" s="3083" t="s">
        <v>215</v>
      </c>
      <c r="G90" s="3083" t="s">
        <v>4</v>
      </c>
      <c r="H90" s="3083" t="s">
        <v>5</v>
      </c>
      <c r="I90" s="3083"/>
      <c r="J90" s="3083"/>
      <c r="K90" s="3083"/>
      <c r="L90" s="3083"/>
      <c r="M90" s="3083" t="s">
        <v>379</v>
      </c>
      <c r="N90" s="3083"/>
      <c r="O90" s="3083" t="s">
        <v>350</v>
      </c>
      <c r="P90" s="3083"/>
      <c r="Q90" s="3086"/>
      <c r="R90" s="3086"/>
      <c r="S90" s="3086"/>
      <c r="T90" s="3086"/>
      <c r="U90" s="3087"/>
      <c r="V90" s="3083"/>
      <c r="W90" s="3083"/>
      <c r="X90" s="3056">
        <f>IF(A90="","",IF(LEN(SUBSTITUTE(SUBSTITUTE(SUBSTITUTE(SUBSTITUTE(D90,".",""),"/",""),"-","")," ",""))&lt;&gt;14,"CNPJ INVALIDO","OK"))</f>
      </c>
      <c r="Y90" s="3056">
        <f>IF(A90="","",IF(R90="","REST PENDENTE","REST OK"))</f>
      </c>
      <c r="Z90" s="3056">
        <f>IF(A90="","",IF(AND(R90&lt;&gt;"",COUNTIFS($D$3:$D$164,D90,$R$3:$R$164,"&lt;&gt;")&gt;1),"DUPLICADO","OK"))</f>
      </c>
      <c r="AA90" s="3056">
        <f>IF(A90="","",IF(OR(LEN(Q90)&gt;180,LEN(R90)&gt;180,LEN(S90)&gt;180,LEN(T90)&gt;180),"CAMINHO LONGO","OK"))</f>
      </c>
      <c r="AB90" s="3056">
        <f>IF(A90="","",IF(U90="","",IFERROR(INT(U90-TODAY()),"")))</f>
      </c>
      <c r="AC90" s="3056">
        <f>IF(A90="","",IF(AND(T90="",U90=""),"",IF(T90="","SEM CAMINHO",IF(U90="","SEM DATA",IFERROR(IF(AB90&lt;15,"VERMELHO",IF(AB90&lt;=30,"AMARELO","VERDE")),"DATA INVALIDA")))))</f>
      </c>
      <c r="AD90" s="3056">
        <f>IF(OR(A90="",U90="",NOT(ISNUMBER(AB90))),"",RANK(AB90,$AB$3:$AB$164,1)+COUNTIFS($AB$3:AB90,AB90)-1)</f>
      </c>
      <c r="AE90" s="1736"/>
    </row>
    <row r="91" spans="1:19" ht="22.0" hidden="false" customHeight="true" x14ac:dyDescent="0.25">
      <c r="A91" s="3079" t="s">
        <v>216</v>
      </c>
      <c r="B91" s="3078" t="s">
        <v>9</v>
      </c>
      <c r="C91" s="3078" t="s">
        <v>69</v>
      </c>
      <c r="D91" s="3078" t="s">
        <v>217</v>
      </c>
      <c r="E91" s="3078"/>
      <c r="F91" s="3078" t="s">
        <v>12</v>
      </c>
      <c r="G91" s="3078" t="s">
        <v>13</v>
      </c>
      <c r="H91" s="3078" t="s">
        <v>49</v>
      </c>
      <c r="I91" s="3078"/>
      <c r="J91" s="3078"/>
      <c r="K91" s="3078"/>
      <c r="L91" s="3078"/>
      <c r="M91" s="3078" t="s">
        <v>379</v>
      </c>
      <c r="N91" s="3078"/>
      <c r="O91" s="3078" t="s">
        <v>349</v>
      </c>
      <c r="P91" s="3078"/>
      <c r="Q91" s="3081"/>
      <c r="R91" s="3081"/>
      <c r="S91" s="3081"/>
      <c r="T91" s="3081"/>
      <c r="U91" s="3082"/>
      <c r="V91" s="3078"/>
      <c r="W91" s="3078"/>
      <c r="X91" s="3056">
        <f>IF(A91="","",IF(LEN(SUBSTITUTE(SUBSTITUTE(SUBSTITUTE(SUBSTITUTE(D91,".",""),"/",""),"-","")," ",""))&lt;&gt;14,"CNPJ INVALIDO","OK"))</f>
      </c>
      <c r="Y91" s="3056">
        <f>IF(A91="","",IF(R91="","REST PENDENTE","REST OK"))</f>
      </c>
      <c r="Z91" s="3056">
        <f>IF(A91="","",IF(AND(R91&lt;&gt;"",COUNTIFS($D$3:$D$164,D91,$R$3:$R$164,"&lt;&gt;")&gt;1),"DUPLICADO","OK"))</f>
      </c>
      <c r="AA91" s="3056">
        <f>IF(A91="","",IF(OR(LEN(Q91)&gt;180,LEN(R91)&gt;180,LEN(S91)&gt;180,LEN(T91)&gt;180),"CAMINHO LONGO","OK"))</f>
      </c>
      <c r="AB91" s="3056">
        <f>IF(A91="","",IF(U91="","",IFERROR(INT(U91-TODAY()),"")))</f>
      </c>
      <c r="AC91" s="3056">
        <f>IF(A91="","",IF(AND(T91="",U91=""),"",IF(T91="","SEM CAMINHO",IF(U91="","SEM DATA",IFERROR(IF(AB91&lt;15,"VERMELHO",IF(AB91&lt;=30,"AMARELO","VERDE")),"DATA INVALIDA")))))</f>
      </c>
      <c r="AD91" s="3056">
        <f>IF(OR(A91="",U91="",NOT(ISNUMBER(AB91))),"",RANK(AB91,$AB$3:$AB$164,1)+COUNTIFS($AB$3:AB91,AB91)-1)</f>
      </c>
      <c r="AE91" s="1736"/>
    </row>
    <row r="92" spans="1:19" ht="22.0" hidden="false" customHeight="true" x14ac:dyDescent="0.25">
      <c r="A92" s="3084" t="s">
        <v>218</v>
      </c>
      <c r="B92" s="3083" t="s">
        <v>219</v>
      </c>
      <c r="C92" s="3083" t="s">
        <v>62</v>
      </c>
      <c r="D92" s="3083">
        <v>51987426000111</v>
      </c>
      <c r="E92" s="3083"/>
      <c r="F92" s="3083" t="s">
        <v>220</v>
      </c>
      <c r="G92" s="3083" t="s">
        <v>4</v>
      </c>
      <c r="H92" s="3083" t="s">
        <v>5</v>
      </c>
      <c r="I92" s="3083"/>
      <c r="J92" s="3083"/>
      <c r="K92" s="3083"/>
      <c r="L92" s="3083"/>
      <c r="M92" s="3083" t="s">
        <v>389</v>
      </c>
      <c r="N92" s="3083"/>
      <c r="O92" s="3083" t="s">
        <v>350</v>
      </c>
      <c r="P92" s="3083"/>
      <c r="Q92" s="3086"/>
      <c r="R92" s="3086"/>
      <c r="S92" s="3086"/>
      <c r="T92" s="3086"/>
      <c r="U92" s="3087"/>
      <c r="V92" s="3083"/>
      <c r="W92" s="3083"/>
      <c r="X92" s="3056">
        <f>IF(A92="","",IF(LEN(SUBSTITUTE(SUBSTITUTE(SUBSTITUTE(SUBSTITUTE(D92,".",""),"/",""),"-","")," ",""))&lt;&gt;14,"CNPJ INVALIDO","OK"))</f>
      </c>
      <c r="Y92" s="3056">
        <f>IF(A92="","",IF(R92="","REST PENDENTE","REST OK"))</f>
      </c>
      <c r="Z92" s="3056">
        <f>IF(A92="","",IF(AND(R92&lt;&gt;"",COUNTIFS($D$3:$D$164,D92,$R$3:$R$164,"&lt;&gt;")&gt;1),"DUPLICADO","OK"))</f>
      </c>
      <c r="AA92" s="3056">
        <f>IF(A92="","",IF(OR(LEN(Q92)&gt;180,LEN(R92)&gt;180,LEN(S92)&gt;180,LEN(T92)&gt;180),"CAMINHO LONGO","OK"))</f>
      </c>
      <c r="AB92" s="3056">
        <f>IF(A92="","",IF(U92="","",IFERROR(INT(U92-TODAY()),"")))</f>
      </c>
      <c r="AC92" s="3056">
        <f>IF(A92="","",IF(AND(T92="",U92=""),"",IF(T92="","SEM CAMINHO",IF(U92="","SEM DATA",IFERROR(IF(AB92&lt;15,"VERMELHO",IF(AB92&lt;=30,"AMARELO","VERDE")),"DATA INVALIDA")))))</f>
      </c>
      <c r="AD92" s="3056">
        <f>IF(OR(A92="",U92="",NOT(ISNUMBER(AB92))),"",RANK(AB92,$AB$3:$AB$164,1)+COUNTIFS($AB$3:AB92,AB92)-1)</f>
      </c>
      <c r="AE92" s="1736"/>
    </row>
    <row r="93" spans="1:19" ht="22.0" hidden="false" customHeight="true" x14ac:dyDescent="0.25">
      <c r="A93" s="3079" t="s">
        <v>221</v>
      </c>
      <c r="B93" s="3078" t="s">
        <v>222</v>
      </c>
      <c r="C93" s="3078" t="s">
        <v>62</v>
      </c>
      <c r="D93" s="3078" t="s">
        <v>390</v>
      </c>
      <c r="E93" s="3078"/>
      <c r="F93" s="3078" t="s">
        <v>223</v>
      </c>
      <c r="G93" s="3078" t="s">
        <v>13</v>
      </c>
      <c r="H93" s="3078" t="s">
        <v>49</v>
      </c>
      <c r="I93" s="3078"/>
      <c r="J93" s="3078"/>
      <c r="K93" s="3078"/>
      <c r="L93" s="3078"/>
      <c r="M93" s="3078" t="s">
        <v>389</v>
      </c>
      <c r="N93" s="3078"/>
      <c r="O93" s="3078" t="s">
        <v>350</v>
      </c>
      <c r="P93" s="3078"/>
      <c r="Q93" s="3081"/>
      <c r="R93" s="3081"/>
      <c r="S93" s="3081"/>
      <c r="T93" s="3081"/>
      <c r="U93" s="3082"/>
      <c r="V93" s="3078"/>
      <c r="W93" s="3078"/>
      <c r="X93" s="3056">
        <f>IF(A93="","",IF(LEN(SUBSTITUTE(SUBSTITUTE(SUBSTITUTE(SUBSTITUTE(D93,".",""),"/",""),"-","")," ",""))&lt;&gt;14,"CNPJ INVALIDO","OK"))</f>
      </c>
      <c r="Y93" s="3056">
        <f>IF(A93="","",IF(R93="","REST PENDENTE","REST OK"))</f>
      </c>
      <c r="Z93" s="3056">
        <f>IF(A93="","",IF(AND(R93&lt;&gt;"",COUNTIFS($D$3:$D$164,D93,$R$3:$R$164,"&lt;&gt;")&gt;1),"DUPLICADO","OK"))</f>
      </c>
      <c r="AA93" s="3056">
        <f>IF(A93="","",IF(OR(LEN(Q93)&gt;180,LEN(R93)&gt;180,LEN(S93)&gt;180,LEN(T93)&gt;180),"CAMINHO LONGO","OK"))</f>
      </c>
      <c r="AB93" s="3056">
        <f>IF(A93="","",IF(U93="","",IFERROR(INT(U93-TODAY()),"")))</f>
      </c>
      <c r="AC93" s="3056">
        <f>IF(A93="","",IF(AND(T93="",U93=""),"",IF(T93="","SEM CAMINHO",IF(U93="","SEM DATA",IFERROR(IF(AB93&lt;15,"VERMELHO",IF(AB93&lt;=30,"AMARELO","VERDE")),"DATA INVALIDA")))))</f>
      </c>
      <c r="AD93" s="3056">
        <f>IF(OR(A93="",U93="",NOT(ISNUMBER(AB93))),"",RANK(AB93,$AB$3:$AB$164,1)+COUNTIFS($AB$3:AB93,AB93)-1)</f>
      </c>
      <c r="AE93" s="1736"/>
    </row>
    <row r="94" spans="1:19" ht="22.0" hidden="false" customHeight="true" x14ac:dyDescent="0.25">
      <c r="A94" s="3084" t="s">
        <v>224</v>
      </c>
      <c r="B94" s="3083" t="s">
        <v>182</v>
      </c>
      <c r="C94" s="3083" t="s">
        <v>83</v>
      </c>
      <c r="D94" s="3083">
        <v>21371431000134</v>
      </c>
      <c r="E94" s="3083"/>
      <c r="F94" s="3083" t="s">
        <v>225</v>
      </c>
      <c r="G94" s="3083" t="s">
        <v>4</v>
      </c>
      <c r="H94" s="3083" t="s">
        <v>5</v>
      </c>
      <c r="I94" s="3083"/>
      <c r="J94" s="3083"/>
      <c r="K94" s="3083"/>
      <c r="L94" s="3083"/>
      <c r="M94" s="3083" t="s">
        <v>375</v>
      </c>
      <c r="N94" s="3083"/>
      <c r="O94" s="3083" t="s">
        <v>357</v>
      </c>
      <c r="P94" s="3083"/>
      <c r="Q94" s="3086"/>
      <c r="R94" s="3086"/>
      <c r="S94" s="3086"/>
      <c r="T94" s="3086"/>
      <c r="U94" s="3087"/>
      <c r="V94" s="3083"/>
      <c r="W94" s="3083"/>
      <c r="X94" s="3056">
        <f>IF(A94="","",IF(LEN(SUBSTITUTE(SUBSTITUTE(SUBSTITUTE(SUBSTITUTE(D94,".",""),"/",""),"-","")," ",""))&lt;&gt;14,"CNPJ INVALIDO","OK"))</f>
      </c>
      <c r="Y94" s="3056">
        <f>IF(A94="","",IF(R94="","REST PENDENTE","REST OK"))</f>
      </c>
      <c r="Z94" s="3056">
        <f>IF(A94="","",IF(AND(R94&lt;&gt;"",COUNTIFS($D$3:$D$164,D94,$R$3:$R$164,"&lt;&gt;")&gt;1),"DUPLICADO","OK"))</f>
      </c>
      <c r="AA94" s="3056">
        <f>IF(A94="","",IF(OR(LEN(Q94)&gt;180,LEN(R94)&gt;180,LEN(S94)&gt;180,LEN(T94)&gt;180),"CAMINHO LONGO","OK"))</f>
      </c>
      <c r="AB94" s="3056">
        <f>IF(A94="","",IF(U94="","",IFERROR(INT(U94-TODAY()),"")))</f>
      </c>
      <c r="AC94" s="3056">
        <f>IF(A94="","",IF(AND(T94="",U94=""),"",IF(T94="","SEM CAMINHO",IF(U94="","SEM DATA",IFERROR(IF(AB94&lt;15,"VERMELHO",IF(AB94&lt;=30,"AMARELO","VERDE")),"DATA INVALIDA")))))</f>
      </c>
      <c r="AD94" s="3056">
        <f>IF(OR(A94="",U94="",NOT(ISNUMBER(AB94))),"",RANK(AB94,$AB$3:$AB$164,1)+COUNTIFS($AB$3:AB94,AB94)-1)</f>
      </c>
      <c r="AE94" s="1736"/>
    </row>
    <row r="95" spans="1:19" ht="22.0" hidden="false" customHeight="true" x14ac:dyDescent="0.25">
      <c r="A95" s="3079" t="s">
        <v>226</v>
      </c>
      <c r="B95" s="3078" t="s">
        <v>227</v>
      </c>
      <c r="C95" s="3078" t="s">
        <v>122</v>
      </c>
      <c r="D95" s="3078">
        <v>9421791000106</v>
      </c>
      <c r="E95" s="3078"/>
      <c r="F95" s="3078" t="s">
        <v>228</v>
      </c>
      <c r="G95" s="3078" t="s">
        <v>4</v>
      </c>
      <c r="H95" s="3078" t="s">
        <v>5</v>
      </c>
      <c r="I95" s="3078"/>
      <c r="J95" s="3078"/>
      <c r="K95" s="3078"/>
      <c r="L95" s="3078"/>
      <c r="M95" s="3078" t="s">
        <v>379</v>
      </c>
      <c r="N95" s="3078"/>
      <c r="O95" s="3078" t="s">
        <v>349</v>
      </c>
      <c r="P95" s="3078"/>
      <c r="Q95" s="3081"/>
      <c r="R95" s="3081"/>
      <c r="S95" s="3081"/>
      <c r="T95" s="3081"/>
      <c r="U95" s="3082"/>
      <c r="V95" s="3078"/>
      <c r="W95" s="3078"/>
      <c r="X95" s="3056">
        <f>IF(A95="","",IF(LEN(SUBSTITUTE(SUBSTITUTE(SUBSTITUTE(SUBSTITUTE(D95,".",""),"/",""),"-","")," ",""))&lt;&gt;14,"CNPJ INVALIDO","OK"))</f>
      </c>
      <c r="Y95" s="3056">
        <f>IF(A95="","",IF(R95="","REST PENDENTE","REST OK"))</f>
      </c>
      <c r="Z95" s="3056">
        <f>IF(A95="","",IF(AND(R95&lt;&gt;"",COUNTIFS($D$3:$D$164,D95,$R$3:$R$164,"&lt;&gt;")&gt;1),"DUPLICADO","OK"))</f>
      </c>
      <c r="AA95" s="3056">
        <f>IF(A95="","",IF(OR(LEN(Q95)&gt;180,LEN(R95)&gt;180,LEN(S95)&gt;180,LEN(T95)&gt;180),"CAMINHO LONGO","OK"))</f>
      </c>
      <c r="AB95" s="3056">
        <f>IF(A95="","",IF(U95="","",IFERROR(INT(U95-TODAY()),"")))</f>
      </c>
      <c r="AC95" s="3056">
        <f>IF(A95="","",IF(AND(T95="",U95=""),"",IF(T95="","SEM CAMINHO",IF(U95="","SEM DATA",IFERROR(IF(AB95&lt;15,"VERMELHO",IF(AB95&lt;=30,"AMARELO","VERDE")),"DATA INVALIDA")))))</f>
      </c>
      <c r="AD95" s="3056">
        <f>IF(OR(A95="",U95="",NOT(ISNUMBER(AB95))),"",RANK(AB95,$AB$3:$AB$164,1)+COUNTIFS($AB$3:AB95,AB95)-1)</f>
      </c>
      <c r="AE95" s="1736"/>
    </row>
    <row r="96" spans="1:19" ht="22.0" hidden="false" customHeight="true" x14ac:dyDescent="0.25">
      <c r="A96" s="3084" t="s">
        <v>229</v>
      </c>
      <c r="B96" s="3083" t="s">
        <v>96</v>
      </c>
      <c r="C96" s="3083" t="s">
        <v>230</v>
      </c>
      <c r="D96" s="3083" t="s">
        <v>391</v>
      </c>
      <c r="E96" s="3083"/>
      <c r="F96" s="3083" t="s">
        <v>99</v>
      </c>
      <c r="G96" s="3083" t="s">
        <v>4</v>
      </c>
      <c r="H96" s="3083" t="s">
        <v>14</v>
      </c>
      <c r="I96" s="3083"/>
      <c r="J96" s="3083"/>
      <c r="K96" s="3083"/>
      <c r="L96" s="3083"/>
      <c r="M96" s="3083" t="s">
        <v>376</v>
      </c>
      <c r="N96" s="3083"/>
      <c r="O96" s="3083" t="s">
        <v>349</v>
      </c>
      <c r="P96" s="3083"/>
      <c r="Q96" s="3086"/>
      <c r="R96" s="3086"/>
      <c r="S96" s="3086"/>
      <c r="T96" s="3086"/>
      <c r="U96" s="3087"/>
      <c r="V96" s="3083"/>
      <c r="W96" s="3083"/>
      <c r="X96" s="3056">
        <f>IF(A96="","",IF(LEN(SUBSTITUTE(SUBSTITUTE(SUBSTITUTE(SUBSTITUTE(D96,".",""),"/",""),"-","")," ",""))&lt;&gt;14,"CNPJ INVALIDO","OK"))</f>
      </c>
      <c r="Y96" s="3056">
        <f>IF(A96="","",IF(R96="","REST PENDENTE","REST OK"))</f>
      </c>
      <c r="Z96" s="3056">
        <f>IF(A96="","",IF(AND(R96&lt;&gt;"",COUNTIFS($D$3:$D$164,D96,$R$3:$R$164,"&lt;&gt;")&gt;1),"DUPLICADO","OK"))</f>
      </c>
      <c r="AA96" s="3056">
        <f>IF(A96="","",IF(OR(LEN(Q96)&gt;180,LEN(R96)&gt;180,LEN(S96)&gt;180,LEN(T96)&gt;180),"CAMINHO LONGO","OK"))</f>
      </c>
      <c r="AB96" s="3056">
        <f>IF(A96="","",IF(U96="","",IFERROR(INT(U96-TODAY()),"")))</f>
      </c>
      <c r="AC96" s="3056">
        <f>IF(A96="","",IF(AND(T96="",U96=""),"",IF(T96="","SEM CAMINHO",IF(U96="","SEM DATA",IFERROR(IF(AB96&lt;15,"VERMELHO",IF(AB96&lt;=30,"AMARELO","VERDE")),"DATA INVALIDA")))))</f>
      </c>
      <c r="AD96" s="3056">
        <f>IF(OR(A96="",U96="",NOT(ISNUMBER(AB96))),"",RANK(AB96,$AB$3:$AB$164,1)+COUNTIFS($AB$3:AB96,AB96)-1)</f>
      </c>
      <c r="AE96" s="1736"/>
    </row>
    <row r="97" spans="1:19" ht="22.0" hidden="false" customHeight="true" x14ac:dyDescent="0.25">
      <c r="A97" s="3079" t="s">
        <v>231</v>
      </c>
      <c r="B97" s="3078" t="s">
        <v>211</v>
      </c>
      <c r="C97" s="3078" t="s">
        <v>69</v>
      </c>
      <c r="D97" s="3078" t="s">
        <v>232</v>
      </c>
      <c r="E97" s="3078"/>
      <c r="F97" s="3078"/>
      <c r="G97" s="3078" t="s">
        <v>4</v>
      </c>
      <c r="H97" s="3078" t="s">
        <v>49</v>
      </c>
      <c r="I97" s="3078"/>
      <c r="J97" s="3078"/>
      <c r="K97" s="3078"/>
      <c r="L97" s="3078"/>
      <c r="M97" s="3078" t="s">
        <v>379</v>
      </c>
      <c r="N97" s="3078"/>
      <c r="O97" s="3078" t="s">
        <v>349</v>
      </c>
      <c r="P97" s="3078"/>
      <c r="Q97" s="3081"/>
      <c r="R97" s="3081"/>
      <c r="S97" s="3081"/>
      <c r="T97" s="3081"/>
      <c r="U97" s="3082"/>
      <c r="V97" s="3078"/>
      <c r="W97" s="3078"/>
      <c r="X97" s="3056">
        <f>IF(A97="","",IF(LEN(SUBSTITUTE(SUBSTITUTE(SUBSTITUTE(SUBSTITUTE(D97,".",""),"/",""),"-","")," ",""))&lt;&gt;14,"CNPJ INVALIDO","OK"))</f>
      </c>
      <c r="Y97" s="3056">
        <f>IF(A97="","",IF(R97="","REST PENDENTE","REST OK"))</f>
      </c>
      <c r="Z97" s="3056">
        <f>IF(A97="","",IF(AND(R97&lt;&gt;"",COUNTIFS($D$3:$D$164,D97,$R$3:$R$164,"&lt;&gt;")&gt;1),"DUPLICADO","OK"))</f>
      </c>
      <c r="AA97" s="3056">
        <f>IF(A97="","",IF(OR(LEN(Q97)&gt;180,LEN(R97)&gt;180,LEN(S97)&gt;180,LEN(T97)&gt;180),"CAMINHO LONGO","OK"))</f>
      </c>
      <c r="AB97" s="3056">
        <f>IF(A97="","",IF(U97="","",IFERROR(INT(U97-TODAY()),"")))</f>
      </c>
      <c r="AC97" s="3056">
        <f>IF(A97="","",IF(AND(T97="",U97=""),"",IF(T97="","SEM CAMINHO",IF(U97="","SEM DATA",IFERROR(IF(AB97&lt;15,"VERMELHO",IF(AB97&lt;=30,"AMARELO","VERDE")),"DATA INVALIDA")))))</f>
      </c>
      <c r="AD97" s="3056">
        <f>IF(OR(A97="",U97="",NOT(ISNUMBER(AB97))),"",RANK(AB97,$AB$3:$AB$164,1)+COUNTIFS($AB$3:AB97,AB97)-1)</f>
      </c>
      <c r="AE97" s="1736"/>
    </row>
    <row r="98" spans="1:19" ht="22.0" hidden="false" customHeight="true" x14ac:dyDescent="0.25">
      <c r="A98" s="3084" t="s">
        <v>233</v>
      </c>
      <c r="B98" s="3083" t="s">
        <v>134</v>
      </c>
      <c r="C98" s="3083" t="s">
        <v>116</v>
      </c>
      <c r="D98" s="3083" t="s">
        <v>234</v>
      </c>
      <c r="E98" s="3083"/>
      <c r="F98" s="3083" t="s">
        <v>138</v>
      </c>
      <c r="G98" s="3083" t="s">
        <v>13</v>
      </c>
      <c r="H98" s="3083" t="s">
        <v>14</v>
      </c>
      <c r="I98" s="3083"/>
      <c r="J98" s="3083"/>
      <c r="K98" s="3083"/>
      <c r="L98" s="3083"/>
      <c r="M98" s="3083" t="s">
        <v>359</v>
      </c>
      <c r="N98" s="3083"/>
      <c r="O98" s="3083" t="s">
        <v>358</v>
      </c>
      <c r="P98" s="3083"/>
      <c r="Q98" s="3086"/>
      <c r="R98" s="3086"/>
      <c r="S98" s="3086"/>
      <c r="T98" s="3086"/>
      <c r="U98" s="3087"/>
      <c r="V98" s="3083"/>
      <c r="W98" s="3083"/>
      <c r="X98" s="3056">
        <f>IF(A98="","",IF(LEN(SUBSTITUTE(SUBSTITUTE(SUBSTITUTE(SUBSTITUTE(D98,".",""),"/",""),"-","")," ",""))&lt;&gt;14,"CNPJ INVALIDO","OK"))</f>
      </c>
      <c r="Y98" s="3056">
        <f>IF(A98="","",IF(R98="","REST PENDENTE","REST OK"))</f>
      </c>
      <c r="Z98" s="3056">
        <f>IF(A98="","",IF(AND(R98&lt;&gt;"",COUNTIFS($D$3:$D$164,D98,$R$3:$R$164,"&lt;&gt;")&gt;1),"DUPLICADO","OK"))</f>
      </c>
      <c r="AA98" s="3056">
        <f>IF(A98="","",IF(OR(LEN(Q98)&gt;180,LEN(R98)&gt;180,LEN(S98)&gt;180,LEN(T98)&gt;180),"CAMINHO LONGO","OK"))</f>
      </c>
      <c r="AB98" s="3056">
        <f>IF(A98="","",IF(U98="","",IFERROR(INT(U98-TODAY()),"")))</f>
      </c>
      <c r="AC98" s="3056">
        <f>IF(A98="","",IF(AND(T98="",U98=""),"",IF(T98="","SEM CAMINHO",IF(U98="","SEM DATA",IFERROR(IF(AB98&lt;15,"VERMELHO",IF(AB98&lt;=30,"AMARELO","VERDE")),"DATA INVALIDA")))))</f>
      </c>
      <c r="AD98" s="3056">
        <f>IF(OR(A98="",U98="",NOT(ISNUMBER(AB98))),"",RANK(AB98,$AB$3:$AB$164,1)+COUNTIFS($AB$3:AB98,AB98)-1)</f>
      </c>
      <c r="AE98" s="1736"/>
    </row>
    <row r="99" spans="1:19" ht="22.0" hidden="false" customHeight="true" x14ac:dyDescent="0.25">
      <c r="A99" s="3079" t="s">
        <v>235</v>
      </c>
      <c r="B99" s="3078" t="s">
        <v>134</v>
      </c>
      <c r="C99" s="3078" t="s">
        <v>116</v>
      </c>
      <c r="D99" s="3078" t="s">
        <v>236</v>
      </c>
      <c r="E99" s="3078"/>
      <c r="F99" s="3078" t="s">
        <v>138</v>
      </c>
      <c r="G99" s="3078" t="s">
        <v>13</v>
      </c>
      <c r="H99" s="3078" t="s">
        <v>14</v>
      </c>
      <c r="I99" s="3078"/>
      <c r="J99" s="3078"/>
      <c r="K99" s="3078"/>
      <c r="L99" s="3078"/>
      <c r="M99" s="3078" t="s">
        <v>359</v>
      </c>
      <c r="N99" s="3078"/>
      <c r="O99" s="3078" t="s">
        <v>358</v>
      </c>
      <c r="P99" s="3078"/>
      <c r="Q99" s="3081"/>
      <c r="R99" s="3081"/>
      <c r="S99" s="3081"/>
      <c r="T99" s="3081"/>
      <c r="U99" s="3082"/>
      <c r="V99" s="3078"/>
      <c r="W99" s="3078"/>
      <c r="X99" s="3056">
        <f>IF(A99="","",IF(LEN(SUBSTITUTE(SUBSTITUTE(SUBSTITUTE(SUBSTITUTE(D99,".",""),"/",""),"-","")," ",""))&lt;&gt;14,"CNPJ INVALIDO","OK"))</f>
      </c>
      <c r="Y99" s="3056">
        <f>IF(A99="","",IF(R99="","REST PENDENTE","REST OK"))</f>
      </c>
      <c r="Z99" s="3056">
        <f>IF(A99="","",IF(AND(R99&lt;&gt;"",COUNTIFS($D$3:$D$164,D99,$R$3:$R$164,"&lt;&gt;")&gt;1),"DUPLICADO","OK"))</f>
      </c>
      <c r="AA99" s="3056">
        <f>IF(A99="","",IF(OR(LEN(Q99)&gt;180,LEN(R99)&gt;180,LEN(S99)&gt;180,LEN(T99)&gt;180),"CAMINHO LONGO","OK"))</f>
      </c>
      <c r="AB99" s="3056">
        <f>IF(A99="","",IF(U99="","",IFERROR(INT(U99-TODAY()),"")))</f>
      </c>
      <c r="AC99" s="3056">
        <f>IF(A99="","",IF(AND(T99="",U99=""),"",IF(T99="","SEM CAMINHO",IF(U99="","SEM DATA",IFERROR(IF(AB99&lt;15,"VERMELHO",IF(AB99&lt;=30,"AMARELO","VERDE")),"DATA INVALIDA")))))</f>
      </c>
      <c r="AD99" s="3056">
        <f>IF(OR(A99="",U99="",NOT(ISNUMBER(AB99))),"",RANK(AB99,$AB$3:$AB$164,1)+COUNTIFS($AB$3:AB99,AB99)-1)</f>
      </c>
      <c r="AE99" s="1736"/>
    </row>
    <row r="100" spans="1:19" ht="22.0" hidden="false" customHeight="true" x14ac:dyDescent="0.25">
      <c r="A100" s="3084" t="s">
        <v>237</v>
      </c>
      <c r="B100" s="3083" t="s">
        <v>134</v>
      </c>
      <c r="C100" s="3083" t="s">
        <v>116</v>
      </c>
      <c r="D100" s="3083" t="s">
        <v>238</v>
      </c>
      <c r="E100" s="3083"/>
      <c r="F100" s="3083" t="s">
        <v>138</v>
      </c>
      <c r="G100" s="3083" t="s">
        <v>13</v>
      </c>
      <c r="H100" s="3083" t="s">
        <v>14</v>
      </c>
      <c r="I100" s="3083"/>
      <c r="J100" s="3083"/>
      <c r="K100" s="3083"/>
      <c r="L100" s="3083"/>
      <c r="M100" s="3083" t="s">
        <v>359</v>
      </c>
      <c r="N100" s="3083"/>
      <c r="O100" s="3083" t="s">
        <v>358</v>
      </c>
      <c r="P100" s="3083"/>
      <c r="Q100" s="3086"/>
      <c r="R100" s="3086"/>
      <c r="S100" s="3086"/>
      <c r="T100" s="3086"/>
      <c r="U100" s="3087"/>
      <c r="V100" s="3083"/>
      <c r="W100" s="3083"/>
      <c r="X100" s="3056">
        <f>IF(A100="","",IF(LEN(SUBSTITUTE(SUBSTITUTE(SUBSTITUTE(SUBSTITUTE(D100,".",""),"/",""),"-","")," ",""))&lt;&gt;14,"CNPJ INVALIDO","OK"))</f>
      </c>
      <c r="Y100" s="3056">
        <f>IF(A100="","",IF(R100="","REST PENDENTE","REST OK"))</f>
      </c>
      <c r="Z100" s="3056">
        <f>IF(A100="","",IF(AND(R100&lt;&gt;"",COUNTIFS($D$3:$D$164,D100,$R$3:$R$164,"&lt;&gt;")&gt;1),"DUPLICADO","OK"))</f>
      </c>
      <c r="AA100" s="3056">
        <f>IF(A100="","",IF(OR(LEN(Q100)&gt;180,LEN(R100)&gt;180,LEN(S100)&gt;180,LEN(T100)&gt;180),"CAMINHO LONGO","OK"))</f>
      </c>
      <c r="AB100" s="3056">
        <f>IF(A100="","",IF(U100="","",IFERROR(INT(U100-TODAY()),"")))</f>
      </c>
      <c r="AC100" s="3056">
        <f>IF(A100="","",IF(AND(T100="",U100=""),"",IF(T100="","SEM CAMINHO",IF(U100="","SEM DATA",IFERROR(IF(AB100&lt;15,"VERMELHO",IF(AB100&lt;=30,"AMARELO","VERDE")),"DATA INVALIDA")))))</f>
      </c>
      <c r="AD100" s="3056">
        <f>IF(OR(A100="",U100="",NOT(ISNUMBER(AB100))),"",RANK(AB100,$AB$3:$AB$164,1)+COUNTIFS($AB$3:AB100,AB100)-1)</f>
      </c>
      <c r="AE100" s="1736"/>
    </row>
    <row r="101" spans="1:19" ht="22.0" hidden="false" customHeight="true" x14ac:dyDescent="0.25">
      <c r="A101" s="3079" t="s">
        <v>239</v>
      </c>
      <c r="B101" s="3078" t="s">
        <v>55</v>
      </c>
      <c r="C101" s="3078" t="s">
        <v>56</v>
      </c>
      <c r="D101" s="3078" t="s">
        <v>240</v>
      </c>
      <c r="E101" s="3078"/>
      <c r="F101" s="3078" t="s">
        <v>57</v>
      </c>
      <c r="G101" s="3078" t="s">
        <v>13</v>
      </c>
      <c r="H101" s="3078" t="s">
        <v>5</v>
      </c>
      <c r="I101" s="3078"/>
      <c r="J101" s="3078"/>
      <c r="K101" s="3078"/>
      <c r="L101" s="3078"/>
      <c r="M101" s="3078" t="s">
        <v>376</v>
      </c>
      <c r="N101" s="3078" t="s">
        <v>361</v>
      </c>
      <c r="O101" s="3078" t="s">
        <v>349</v>
      </c>
      <c r="P101" s="3078"/>
      <c r="Q101" s="3081"/>
      <c r="R101" s="3081"/>
      <c r="S101" s="3081"/>
      <c r="T101" s="3081"/>
      <c r="U101" s="3082"/>
      <c r="V101" s="3078"/>
      <c r="W101" s="3078"/>
      <c r="X101" s="3056">
        <f>IF(A101="","",IF(LEN(SUBSTITUTE(SUBSTITUTE(SUBSTITUTE(SUBSTITUTE(D101,".",""),"/",""),"-","")," ",""))&lt;&gt;14,"CNPJ INVALIDO","OK"))</f>
      </c>
      <c r="Y101" s="3056">
        <f>IF(A101="","",IF(R101="","REST PENDENTE","REST OK"))</f>
      </c>
      <c r="Z101" s="3056">
        <f>IF(A101="","",IF(AND(R101&lt;&gt;"",COUNTIFS($D$3:$D$164,D101,$R$3:$R$164,"&lt;&gt;")&gt;1),"DUPLICADO","OK"))</f>
      </c>
      <c r="AA101" s="3056">
        <f>IF(A101="","",IF(OR(LEN(Q101)&gt;180,LEN(R101)&gt;180,LEN(S101)&gt;180,LEN(T101)&gt;180),"CAMINHO LONGO","OK"))</f>
      </c>
      <c r="AB101" s="3056">
        <f>IF(A101="","",IF(U101="","",IFERROR(INT(U101-TODAY()),"")))</f>
      </c>
      <c r="AC101" s="3056">
        <f>IF(A101="","",IF(AND(T101="",U101=""),"",IF(T101="","SEM CAMINHO",IF(U101="","SEM DATA",IFERROR(IF(AB101&lt;15,"VERMELHO",IF(AB101&lt;=30,"AMARELO","VERDE")),"DATA INVALIDA")))))</f>
      </c>
      <c r="AD101" s="3056">
        <f>IF(OR(A101="",U101="",NOT(ISNUMBER(AB101))),"",RANK(AB101,$AB$3:$AB$164,1)+COUNTIFS($AB$3:AB101,AB101)-1)</f>
      </c>
      <c r="AE101" s="1736"/>
    </row>
    <row r="102" spans="1:19" ht="22.0" hidden="false" customHeight="true" x14ac:dyDescent="0.25">
      <c r="A102" s="3084" t="s">
        <v>241</v>
      </c>
      <c r="B102" s="3083" t="s">
        <v>55</v>
      </c>
      <c r="C102" s="3083" t="s">
        <v>242</v>
      </c>
      <c r="D102" s="3083" t="s">
        <v>243</v>
      </c>
      <c r="E102" s="3083"/>
      <c r="F102" s="3083" t="s">
        <v>57</v>
      </c>
      <c r="G102" s="3083" t="s">
        <v>13</v>
      </c>
      <c r="H102" s="3083" t="s">
        <v>5</v>
      </c>
      <c r="I102" s="3083"/>
      <c r="J102" s="3083"/>
      <c r="K102" s="3083"/>
      <c r="L102" s="3083"/>
      <c r="M102" s="3083" t="s">
        <v>376</v>
      </c>
      <c r="N102" s="3083" t="s">
        <v>372</v>
      </c>
      <c r="O102" s="3083" t="s">
        <v>349</v>
      </c>
      <c r="P102" s="3083"/>
      <c r="Q102" s="3086"/>
      <c r="R102" s="3086"/>
      <c r="S102" s="3086"/>
      <c r="T102" s="3086"/>
      <c r="U102" s="3087"/>
      <c r="V102" s="3083"/>
      <c r="W102" s="3083"/>
      <c r="X102" s="3056">
        <f>IF(A102="","",IF(LEN(SUBSTITUTE(SUBSTITUTE(SUBSTITUTE(SUBSTITUTE(D102,".",""),"/",""),"-","")," ",""))&lt;&gt;14,"CNPJ INVALIDO","OK"))</f>
      </c>
      <c r="Y102" s="3056">
        <f>IF(A102="","",IF(R102="","REST PENDENTE","REST OK"))</f>
      </c>
      <c r="Z102" s="3056">
        <f>IF(A102="","",IF(AND(R102&lt;&gt;"",COUNTIFS($D$3:$D$164,D102,$R$3:$R$164,"&lt;&gt;")&gt;1),"DUPLICADO","OK"))</f>
      </c>
      <c r="AA102" s="3056">
        <f>IF(A102="","",IF(OR(LEN(Q102)&gt;180,LEN(R102)&gt;180,LEN(S102)&gt;180,LEN(T102)&gt;180),"CAMINHO LONGO","OK"))</f>
      </c>
      <c r="AB102" s="3056">
        <f>IF(A102="","",IF(U102="","",IFERROR(INT(U102-TODAY()),"")))</f>
      </c>
      <c r="AC102" s="3056">
        <f>IF(A102="","",IF(AND(T102="",U102=""),"",IF(T102="","SEM CAMINHO",IF(U102="","SEM DATA",IFERROR(IF(AB102&lt;15,"VERMELHO",IF(AB102&lt;=30,"AMARELO","VERDE")),"DATA INVALIDA")))))</f>
      </c>
      <c r="AD102" s="3056">
        <f>IF(OR(A102="",U102="",NOT(ISNUMBER(AB102))),"",RANK(AB102,$AB$3:$AB$164,1)+COUNTIFS($AB$3:AB102,AB102)-1)</f>
      </c>
      <c r="AE102" s="1736"/>
    </row>
    <row r="103" spans="1:19" ht="22.0" hidden="false" customHeight="true" x14ac:dyDescent="0.25">
      <c r="A103" s="3079" t="s">
        <v>244</v>
      </c>
      <c r="B103" s="3078" t="s">
        <v>55</v>
      </c>
      <c r="C103" s="3078" t="s">
        <v>245</v>
      </c>
      <c r="D103" s="3078" t="s">
        <v>246</v>
      </c>
      <c r="E103" s="3078"/>
      <c r="F103" s="3078" t="s">
        <v>57</v>
      </c>
      <c r="G103" s="3078" t="s">
        <v>13</v>
      </c>
      <c r="H103" s="3078" t="s">
        <v>5</v>
      </c>
      <c r="I103" s="3078"/>
      <c r="J103" s="3078"/>
      <c r="K103" s="3078"/>
      <c r="L103" s="3078"/>
      <c r="M103" s="3078" t="s">
        <v>376</v>
      </c>
      <c r="N103" s="3078" t="s">
        <v>361</v>
      </c>
      <c r="O103" s="3078" t="s">
        <v>349</v>
      </c>
      <c r="P103" s="3078"/>
      <c r="Q103" s="3081"/>
      <c r="R103" s="3081"/>
      <c r="S103" s="3081"/>
      <c r="T103" s="3081"/>
      <c r="U103" s="3082"/>
      <c r="V103" s="3078"/>
      <c r="W103" s="3078"/>
      <c r="X103" s="3056">
        <f>IF(A103="","",IF(LEN(SUBSTITUTE(SUBSTITUTE(SUBSTITUTE(SUBSTITUTE(D103,".",""),"/",""),"-","")," ",""))&lt;&gt;14,"CNPJ INVALIDO","OK"))</f>
      </c>
      <c r="Y103" s="3056">
        <f>IF(A103="","",IF(R103="","REST PENDENTE","REST OK"))</f>
      </c>
      <c r="Z103" s="3056">
        <f>IF(A103="","",IF(AND(R103&lt;&gt;"",COUNTIFS($D$3:$D$164,D103,$R$3:$R$164,"&lt;&gt;")&gt;1),"DUPLICADO","OK"))</f>
      </c>
      <c r="AA103" s="3056">
        <f>IF(A103="","",IF(OR(LEN(Q103)&gt;180,LEN(R103)&gt;180,LEN(S103)&gt;180,LEN(T103)&gt;180),"CAMINHO LONGO","OK"))</f>
      </c>
      <c r="AB103" s="3056">
        <f>IF(A103="","",IF(U103="","",IFERROR(INT(U103-TODAY()),"")))</f>
      </c>
      <c r="AC103" s="3056">
        <f>IF(A103="","",IF(AND(T103="",U103=""),"",IF(T103="","SEM CAMINHO",IF(U103="","SEM DATA",IFERROR(IF(AB103&lt;15,"VERMELHO",IF(AB103&lt;=30,"AMARELO","VERDE")),"DATA INVALIDA")))))</f>
      </c>
      <c r="AD103" s="3056">
        <f>IF(OR(A103="",U103="",NOT(ISNUMBER(AB103))),"",RANK(AB103,$AB$3:$AB$164,1)+COUNTIFS($AB$3:AB103,AB103)-1)</f>
      </c>
      <c r="AE103" s="1736"/>
    </row>
    <row r="104" spans="1:19" ht="22.0" hidden="false" customHeight="true" x14ac:dyDescent="0.25">
      <c r="A104" s="3084" t="s">
        <v>247</v>
      </c>
      <c r="B104" s="3083" t="s">
        <v>55</v>
      </c>
      <c r="C104" s="3083" t="s">
        <v>248</v>
      </c>
      <c r="D104" s="3083" t="s">
        <v>249</v>
      </c>
      <c r="E104" s="3083"/>
      <c r="F104" s="3083" t="s">
        <v>57</v>
      </c>
      <c r="G104" s="3083" t="s">
        <v>13</v>
      </c>
      <c r="H104" s="3083" t="s">
        <v>49</v>
      </c>
      <c r="I104" s="3083"/>
      <c r="J104" s="3083"/>
      <c r="K104" s="3083"/>
      <c r="L104" s="3083"/>
      <c r="M104" s="3083" t="s">
        <v>376</v>
      </c>
      <c r="N104" s="3083" t="s">
        <v>373</v>
      </c>
      <c r="O104" s="3083" t="s">
        <v>349</v>
      </c>
      <c r="P104" s="3083"/>
      <c r="Q104" s="3086"/>
      <c r="R104" s="3086"/>
      <c r="S104" s="3086"/>
      <c r="T104" s="3086"/>
      <c r="U104" s="3087"/>
      <c r="V104" s="3083"/>
      <c r="W104" s="3083"/>
      <c r="X104" s="3056">
        <f>IF(A104="","",IF(LEN(SUBSTITUTE(SUBSTITUTE(SUBSTITUTE(SUBSTITUTE(D104,".",""),"/",""),"-","")," ",""))&lt;&gt;14,"CNPJ INVALIDO","OK"))</f>
      </c>
      <c r="Y104" s="3056">
        <f>IF(A104="","",IF(R104="","REST PENDENTE","REST OK"))</f>
      </c>
      <c r="Z104" s="3056">
        <f>IF(A104="","",IF(AND(R104&lt;&gt;"",COUNTIFS($D$3:$D$164,D104,$R$3:$R$164,"&lt;&gt;")&gt;1),"DUPLICADO","OK"))</f>
      </c>
      <c r="AA104" s="3056">
        <f>IF(A104="","",IF(OR(LEN(Q104)&gt;180,LEN(R104)&gt;180,LEN(S104)&gt;180,LEN(T104)&gt;180),"CAMINHO LONGO","OK"))</f>
      </c>
      <c r="AB104" s="3056">
        <f>IF(A104="","",IF(U104="","",IFERROR(INT(U104-TODAY()),"")))</f>
      </c>
      <c r="AC104" s="3056">
        <f>IF(A104="","",IF(AND(T104="",U104=""),"",IF(T104="","SEM CAMINHO",IF(U104="","SEM DATA",IFERROR(IF(AB104&lt;15,"VERMELHO",IF(AB104&lt;=30,"AMARELO","VERDE")),"DATA INVALIDA")))))</f>
      </c>
      <c r="AD104" s="3056">
        <f>IF(OR(A104="",U104="",NOT(ISNUMBER(AB104))),"",RANK(AB104,$AB$3:$AB$164,1)+COUNTIFS($AB$3:AB104,AB104)-1)</f>
      </c>
      <c r="AE104" s="1736"/>
    </row>
    <row r="105" spans="1:19" ht="22.0" hidden="false" customHeight="true" x14ac:dyDescent="0.25">
      <c r="A105" s="3079" t="s">
        <v>250</v>
      </c>
      <c r="B105" s="3078" t="s">
        <v>1</v>
      </c>
      <c r="C105" s="3078" t="s">
        <v>2</v>
      </c>
      <c r="D105" s="3078" t="s">
        <v>251</v>
      </c>
      <c r="E105" s="3078"/>
      <c r="F105" s="3078" t="s">
        <v>252</v>
      </c>
      <c r="G105" s="3078" t="s">
        <v>4</v>
      </c>
      <c r="H105" s="3078" t="s">
        <v>49</v>
      </c>
      <c r="I105" s="3078"/>
      <c r="J105" s="3078"/>
      <c r="K105" s="3078"/>
      <c r="L105" s="3078"/>
      <c r="M105" s="3078" t="s">
        <v>371</v>
      </c>
      <c r="N105" s="3078" t="s">
        <v>361</v>
      </c>
      <c r="O105" s="3078" t="s">
        <v>349</v>
      </c>
      <c r="P105" s="3078"/>
      <c r="Q105" s="3081"/>
      <c r="R105" s="3081"/>
      <c r="S105" s="3081"/>
      <c r="T105" s="3081"/>
      <c r="U105" s="3082"/>
      <c r="V105" s="3078"/>
      <c r="W105" s="3078"/>
      <c r="X105" s="3056">
        <f>IF(A105="","",IF(LEN(SUBSTITUTE(SUBSTITUTE(SUBSTITUTE(SUBSTITUTE(D105,".",""),"/",""),"-","")," ",""))&lt;&gt;14,"CNPJ INVALIDO","OK"))</f>
      </c>
      <c r="Y105" s="3056">
        <f>IF(A105="","",IF(R105="","REST PENDENTE","REST OK"))</f>
      </c>
      <c r="Z105" s="3056">
        <f>IF(A105="","",IF(AND(R105&lt;&gt;"",COUNTIFS($D$3:$D$164,D105,$R$3:$R$164,"&lt;&gt;")&gt;1),"DUPLICADO","OK"))</f>
      </c>
      <c r="AA105" s="3056">
        <f>IF(A105="","",IF(OR(LEN(Q105)&gt;180,LEN(R105)&gt;180,LEN(S105)&gt;180,LEN(T105)&gt;180),"CAMINHO LONGO","OK"))</f>
      </c>
      <c r="AB105" s="3056">
        <f>IF(A105="","",IF(U105="","",IFERROR(INT(U105-TODAY()),"")))</f>
      </c>
      <c r="AC105" s="3056">
        <f>IF(A105="","",IF(AND(T105="",U105=""),"",IF(T105="","SEM CAMINHO",IF(U105="","SEM DATA",IFERROR(IF(AB105&lt;15,"VERMELHO",IF(AB105&lt;=30,"AMARELO","VERDE")),"DATA INVALIDA")))))</f>
      </c>
      <c r="AD105" s="3056">
        <f>IF(OR(A105="",U105="",NOT(ISNUMBER(AB105))),"",RANK(AB105,$AB$3:$AB$164,1)+COUNTIFS($AB$3:AB105,AB105)-1)</f>
      </c>
      <c r="AE105" s="1736"/>
    </row>
    <row r="106" spans="1:19" ht="22.0" hidden="false" customHeight="true" x14ac:dyDescent="0.25">
      <c r="A106" s="3084" t="s">
        <v>253</v>
      </c>
      <c r="B106" s="3083" t="s">
        <v>214</v>
      </c>
      <c r="C106" s="3083" t="s">
        <v>62</v>
      </c>
      <c r="D106" s="3083" t="s">
        <v>392</v>
      </c>
      <c r="E106" s="3083"/>
      <c r="F106" s="3083" t="s">
        <v>254</v>
      </c>
      <c r="G106" s="3083" t="s">
        <v>13</v>
      </c>
      <c r="H106" s="3083" t="s">
        <v>5</v>
      </c>
      <c r="I106" s="3083"/>
      <c r="J106" s="3083"/>
      <c r="K106" s="3083"/>
      <c r="L106" s="3083"/>
      <c r="M106" s="3083" t="s">
        <v>376</v>
      </c>
      <c r="N106" s="3083"/>
      <c r="O106" s="3083" t="s">
        <v>349</v>
      </c>
      <c r="P106" s="3083"/>
      <c r="Q106" s="3086"/>
      <c r="R106" s="3086"/>
      <c r="S106" s="3086"/>
      <c r="T106" s="3086"/>
      <c r="U106" s="3087"/>
      <c r="V106" s="3083"/>
      <c r="W106" s="3083"/>
      <c r="X106" s="3056">
        <f>IF(A106="","",IF(LEN(SUBSTITUTE(SUBSTITUTE(SUBSTITUTE(SUBSTITUTE(D106,".",""),"/",""),"-","")," ",""))&lt;&gt;14,"CNPJ INVALIDO","OK"))</f>
      </c>
      <c r="Y106" s="3056">
        <f>IF(A106="","",IF(R106="","REST PENDENTE","REST OK"))</f>
      </c>
      <c r="Z106" s="3056">
        <f>IF(A106="","",IF(AND(R106&lt;&gt;"",COUNTIFS($D$3:$D$164,D106,$R$3:$R$164,"&lt;&gt;")&gt;1),"DUPLICADO","OK"))</f>
      </c>
      <c r="AA106" s="3056">
        <f>IF(A106="","",IF(OR(LEN(Q106)&gt;180,LEN(R106)&gt;180,LEN(S106)&gt;180,LEN(T106)&gt;180),"CAMINHO LONGO","OK"))</f>
      </c>
      <c r="AB106" s="3056">
        <f>IF(A106="","",IF(U106="","",IFERROR(INT(U106-TODAY()),"")))</f>
      </c>
      <c r="AC106" s="3056">
        <f>IF(A106="","",IF(AND(T106="",U106=""),"",IF(T106="","SEM CAMINHO",IF(U106="","SEM DATA",IFERROR(IF(AB106&lt;15,"VERMELHO",IF(AB106&lt;=30,"AMARELO","VERDE")),"DATA INVALIDA")))))</f>
      </c>
      <c r="AD106" s="3056">
        <f>IF(OR(A106="",U106="",NOT(ISNUMBER(AB106))),"",RANK(AB106,$AB$3:$AB$164,1)+COUNTIFS($AB$3:AB106,AB106)-1)</f>
      </c>
      <c r="AE106" s="1736"/>
    </row>
    <row r="107" spans="1:19" ht="22.0" hidden="false" customHeight="true" x14ac:dyDescent="0.25">
      <c r="A107" s="3079" t="s">
        <v>255</v>
      </c>
      <c r="B107" s="3078" t="s">
        <v>214</v>
      </c>
      <c r="C107" s="3078" t="s">
        <v>62</v>
      </c>
      <c r="D107" s="3078" t="s">
        <v>393</v>
      </c>
      <c r="E107" s="3078"/>
      <c r="F107" s="3078" t="s">
        <v>254</v>
      </c>
      <c r="G107" s="3078" t="s">
        <v>13</v>
      </c>
      <c r="H107" s="3078" t="s">
        <v>49</v>
      </c>
      <c r="I107" s="3078"/>
      <c r="J107" s="3078"/>
      <c r="K107" s="3078"/>
      <c r="L107" s="3078"/>
      <c r="M107" s="3078" t="s">
        <v>389</v>
      </c>
      <c r="N107" s="3078"/>
      <c r="O107" s="3078" t="s">
        <v>349</v>
      </c>
      <c r="P107" s="3078"/>
      <c r="Q107" s="3081"/>
      <c r="R107" s="3081"/>
      <c r="S107" s="3081"/>
      <c r="T107" s="3081"/>
      <c r="U107" s="3082"/>
      <c r="V107" s="3078"/>
      <c r="W107" s="3078"/>
      <c r="X107" s="3056">
        <f>IF(A107="","",IF(LEN(SUBSTITUTE(SUBSTITUTE(SUBSTITUTE(SUBSTITUTE(D107,".",""),"/",""),"-","")," ",""))&lt;&gt;14,"CNPJ INVALIDO","OK"))</f>
      </c>
      <c r="Y107" s="3056">
        <f>IF(A107="","",IF(R107="","REST PENDENTE","REST OK"))</f>
      </c>
      <c r="Z107" s="3056">
        <f>IF(A107="","",IF(AND(R107&lt;&gt;"",COUNTIFS($D$3:$D$164,D107,$R$3:$R$164,"&lt;&gt;")&gt;1),"DUPLICADO","OK"))</f>
      </c>
      <c r="AA107" s="3056">
        <f>IF(A107="","",IF(OR(LEN(Q107)&gt;180,LEN(R107)&gt;180,LEN(S107)&gt;180,LEN(T107)&gt;180),"CAMINHO LONGO","OK"))</f>
      </c>
      <c r="AB107" s="3056">
        <f>IF(A107="","",IF(U107="","",IFERROR(INT(U107-TODAY()),"")))</f>
      </c>
      <c r="AC107" s="3056">
        <f>IF(A107="","",IF(AND(T107="",U107=""),"",IF(T107="","SEM CAMINHO",IF(U107="","SEM DATA",IFERROR(IF(AB107&lt;15,"VERMELHO",IF(AB107&lt;=30,"AMARELO","VERDE")),"DATA INVALIDA")))))</f>
      </c>
      <c r="AD107" s="3056">
        <f>IF(OR(A107="",U107="",NOT(ISNUMBER(AB107))),"",RANK(AB107,$AB$3:$AB$164,1)+COUNTIFS($AB$3:AB107,AB107)-1)</f>
      </c>
      <c r="AE107" s="1736"/>
    </row>
    <row r="108" spans="1:19" ht="22.0" hidden="false" customHeight="true" x14ac:dyDescent="0.25">
      <c r="A108" s="3084" t="s">
        <v>256</v>
      </c>
      <c r="B108" s="3083" t="s">
        <v>214</v>
      </c>
      <c r="C108" s="3083" t="s">
        <v>62</v>
      </c>
      <c r="D108" s="3083" t="s">
        <v>394</v>
      </c>
      <c r="E108" s="3083"/>
      <c r="F108" s="3083" t="s">
        <v>257</v>
      </c>
      <c r="G108" s="3083" t="s">
        <v>4</v>
      </c>
      <c r="H108" s="3083" t="s">
        <v>5</v>
      </c>
      <c r="I108" s="3083"/>
      <c r="J108" s="3083"/>
      <c r="K108" s="3083"/>
      <c r="L108" s="3083"/>
      <c r="M108" s="3083" t="s">
        <v>379</v>
      </c>
      <c r="N108" s="3083"/>
      <c r="O108" s="3083" t="s">
        <v>349</v>
      </c>
      <c r="P108" s="3083"/>
      <c r="Q108" s="3086"/>
      <c r="R108" s="3086"/>
      <c r="S108" s="3086"/>
      <c r="T108" s="3086"/>
      <c r="U108" s="3087"/>
      <c r="V108" s="3083"/>
      <c r="W108" s="3083"/>
      <c r="X108" s="3056">
        <f>IF(A108="","",IF(LEN(SUBSTITUTE(SUBSTITUTE(SUBSTITUTE(SUBSTITUTE(D108,".",""),"/",""),"-","")," ",""))&lt;&gt;14,"CNPJ INVALIDO","OK"))</f>
      </c>
      <c r="Y108" s="3056">
        <f>IF(A108="","",IF(R108="","REST PENDENTE","REST OK"))</f>
      </c>
      <c r="Z108" s="3056">
        <f>IF(A108="","",IF(AND(R108&lt;&gt;"",COUNTIFS($D$3:$D$164,D108,$R$3:$R$164,"&lt;&gt;")&gt;1),"DUPLICADO","OK"))</f>
      </c>
      <c r="AA108" s="3056">
        <f>IF(A108="","",IF(OR(LEN(Q108)&gt;180,LEN(R108)&gt;180,LEN(S108)&gt;180,LEN(T108)&gt;180),"CAMINHO LONGO","OK"))</f>
      </c>
      <c r="AB108" s="3056">
        <f>IF(A108="","",IF(U108="","",IFERROR(INT(U108-TODAY()),"")))</f>
      </c>
      <c r="AC108" s="3056">
        <f>IF(A108="","",IF(AND(T108="",U108=""),"",IF(T108="","SEM CAMINHO",IF(U108="","SEM DATA",IFERROR(IF(AB108&lt;15,"VERMELHO",IF(AB108&lt;=30,"AMARELO","VERDE")),"DATA INVALIDA")))))</f>
      </c>
      <c r="AD108" s="3056">
        <f>IF(OR(A108="",U108="",NOT(ISNUMBER(AB108))),"",RANK(AB108,$AB$3:$AB$164,1)+COUNTIFS($AB$3:AB108,AB108)-1)</f>
      </c>
      <c r="AE108" s="1736"/>
    </row>
    <row r="109" spans="1:19" ht="22.0" hidden="false" customHeight="true" x14ac:dyDescent="0.25">
      <c r="A109" s="3079" t="s">
        <v>258</v>
      </c>
      <c r="B109" s="3078" t="s">
        <v>259</v>
      </c>
      <c r="C109" s="3078" t="s">
        <v>69</v>
      </c>
      <c r="D109" s="3078" t="s">
        <v>260</v>
      </c>
      <c r="E109" s="3078"/>
      <c r="F109" s="3078" t="s">
        <v>261</v>
      </c>
      <c r="G109" s="3078" t="s">
        <v>4</v>
      </c>
      <c r="H109" s="3078" t="s">
        <v>5</v>
      </c>
      <c r="I109" s="3078"/>
      <c r="J109" s="3078"/>
      <c r="K109" s="3078"/>
      <c r="L109" s="3078"/>
      <c r="M109" s="3078" t="s">
        <v>371</v>
      </c>
      <c r="N109" s="3078"/>
      <c r="O109" s="3078"/>
      <c r="P109" s="3078"/>
      <c r="Q109" s="3081"/>
      <c r="R109" s="3081"/>
      <c r="S109" s="3081"/>
      <c r="T109" s="3081"/>
      <c r="U109" s="3082"/>
      <c r="V109" s="3078"/>
      <c r="W109" s="3078"/>
      <c r="X109" s="3056">
        <f>IF(A109="","",IF(LEN(SUBSTITUTE(SUBSTITUTE(SUBSTITUTE(SUBSTITUTE(D109,".",""),"/",""),"-","")," ",""))&lt;&gt;14,"CNPJ INVALIDO","OK"))</f>
      </c>
      <c r="Y109" s="3056">
        <f>IF(A109="","",IF(R109="","REST PENDENTE","REST OK"))</f>
      </c>
      <c r="Z109" s="3056">
        <f>IF(A109="","",IF(AND(R109&lt;&gt;"",COUNTIFS($D$3:$D$164,D109,$R$3:$R$164,"&lt;&gt;")&gt;1),"DUPLICADO","OK"))</f>
      </c>
      <c r="AA109" s="3056">
        <f>IF(A109="","",IF(OR(LEN(Q109)&gt;180,LEN(R109)&gt;180,LEN(S109)&gt;180,LEN(T109)&gt;180),"CAMINHO LONGO","OK"))</f>
      </c>
      <c r="AB109" s="3056">
        <f>IF(A109="","",IF(U109="","",IFERROR(INT(U109-TODAY()),"")))</f>
      </c>
      <c r="AC109" s="3056">
        <f>IF(A109="","",IF(AND(T109="",U109=""),"",IF(T109="","SEM CAMINHO",IF(U109="","SEM DATA",IFERROR(IF(AB109&lt;15,"VERMELHO",IF(AB109&lt;=30,"AMARELO","VERDE")),"DATA INVALIDA")))))</f>
      </c>
      <c r="AD109" s="3056">
        <f>IF(OR(A109="",U109="",NOT(ISNUMBER(AB109))),"",RANK(AB109,$AB$3:$AB$164,1)+COUNTIFS($AB$3:AB109,AB109)-1)</f>
      </c>
      <c r="AE109" s="1736"/>
    </row>
    <row r="110" spans="1:19" ht="22.0" hidden="false" customHeight="true" x14ac:dyDescent="0.25">
      <c r="A110" s="3084" t="s">
        <v>262</v>
      </c>
      <c r="B110" s="3083" t="s">
        <v>259</v>
      </c>
      <c r="C110" s="3083" t="s">
        <v>69</v>
      </c>
      <c r="D110" s="3083" t="s">
        <v>263</v>
      </c>
      <c r="E110" s="3083"/>
      <c r="F110" s="3083" t="s">
        <v>261</v>
      </c>
      <c r="G110" s="3083" t="s">
        <v>13</v>
      </c>
      <c r="H110" s="3083" t="s">
        <v>5</v>
      </c>
      <c r="I110" s="3083"/>
      <c r="J110" s="3083"/>
      <c r="K110" s="3083"/>
      <c r="L110" s="3083"/>
      <c r="M110" s="3083" t="s">
        <v>371</v>
      </c>
      <c r="N110" s="3083"/>
      <c r="O110" s="3083"/>
      <c r="P110" s="3083"/>
      <c r="Q110" s="3086"/>
      <c r="R110" s="3086"/>
      <c r="S110" s="3086"/>
      <c r="T110" s="3086"/>
      <c r="U110" s="3087"/>
      <c r="V110" s="3083"/>
      <c r="W110" s="3083"/>
      <c r="X110" s="3056">
        <f>IF(A110="","",IF(LEN(SUBSTITUTE(SUBSTITUTE(SUBSTITUTE(SUBSTITUTE(D110,".",""),"/",""),"-","")," ",""))&lt;&gt;14,"CNPJ INVALIDO","OK"))</f>
      </c>
      <c r="Y110" s="3056">
        <f>IF(A110="","",IF(R110="","REST PENDENTE","REST OK"))</f>
      </c>
      <c r="Z110" s="3056">
        <f>IF(A110="","",IF(AND(R110&lt;&gt;"",COUNTIFS($D$3:$D$164,D110,$R$3:$R$164,"&lt;&gt;")&gt;1),"DUPLICADO","OK"))</f>
      </c>
      <c r="AA110" s="3056">
        <f>IF(A110="","",IF(OR(LEN(Q110)&gt;180,LEN(R110)&gt;180,LEN(S110)&gt;180,LEN(T110)&gt;180),"CAMINHO LONGO","OK"))</f>
      </c>
      <c r="AB110" s="3056">
        <f>IF(A110="","",IF(U110="","",IFERROR(INT(U110-TODAY()),"")))</f>
      </c>
      <c r="AC110" s="3056">
        <f>IF(A110="","",IF(AND(T110="",U110=""),"",IF(T110="","SEM CAMINHO",IF(U110="","SEM DATA",IFERROR(IF(AB110&lt;15,"VERMELHO",IF(AB110&lt;=30,"AMARELO","VERDE")),"DATA INVALIDA")))))</f>
      </c>
      <c r="AD110" s="3056">
        <f>IF(OR(A110="",U110="",NOT(ISNUMBER(AB110))),"",RANK(AB110,$AB$3:$AB$164,1)+COUNTIFS($AB$3:AB110,AB110)-1)</f>
      </c>
      <c r="AE110" s="1736"/>
    </row>
    <row r="111" spans="1:19" ht="22.0" hidden="false" customHeight="true" x14ac:dyDescent="0.25">
      <c r="A111" s="3079" t="s">
        <v>264</v>
      </c>
      <c r="B111" s="3078" t="s">
        <v>159</v>
      </c>
      <c r="C111" s="3078" t="s">
        <v>69</v>
      </c>
      <c r="D111" s="3078" t="s">
        <v>265</v>
      </c>
      <c r="E111" s="3078"/>
      <c r="F111" s="3078" t="s">
        <v>266</v>
      </c>
      <c r="G111" s="3078" t="s">
        <v>13</v>
      </c>
      <c r="H111" s="3078" t="s">
        <v>5</v>
      </c>
      <c r="I111" s="3078"/>
      <c r="J111" s="3078"/>
      <c r="K111" s="3078"/>
      <c r="L111" s="3078"/>
      <c r="M111" s="3078" t="s">
        <v>389</v>
      </c>
      <c r="N111" s="3078"/>
      <c r="O111" s="3078" t="s">
        <v>363</v>
      </c>
      <c r="P111" s="3078"/>
      <c r="Q111" s="3081"/>
      <c r="R111" s="3081"/>
      <c r="S111" s="3081"/>
      <c r="T111" s="3081"/>
      <c r="U111" s="3082"/>
      <c r="V111" s="3078"/>
      <c r="W111" s="3078"/>
      <c r="X111" s="3056">
        <f>IF(A111="","",IF(LEN(SUBSTITUTE(SUBSTITUTE(SUBSTITUTE(SUBSTITUTE(D111,".",""),"/",""),"-","")," ",""))&lt;&gt;14,"CNPJ INVALIDO","OK"))</f>
      </c>
      <c r="Y111" s="3056">
        <f>IF(A111="","",IF(R111="","REST PENDENTE","REST OK"))</f>
      </c>
      <c r="Z111" s="3056">
        <f>IF(A111="","",IF(AND(R111&lt;&gt;"",COUNTIFS($D$3:$D$164,D111,$R$3:$R$164,"&lt;&gt;")&gt;1),"DUPLICADO","OK"))</f>
      </c>
      <c r="AA111" s="3056">
        <f>IF(A111="","",IF(OR(LEN(Q111)&gt;180,LEN(R111)&gt;180,LEN(S111)&gt;180,LEN(T111)&gt;180),"CAMINHO LONGO","OK"))</f>
      </c>
      <c r="AB111" s="3056">
        <f>IF(A111="","",IF(U111="","",IFERROR(INT(U111-TODAY()),"")))</f>
      </c>
      <c r="AC111" s="3056">
        <f>IF(A111="","",IF(AND(T111="",U111=""),"",IF(T111="","SEM CAMINHO",IF(U111="","SEM DATA",IFERROR(IF(AB111&lt;15,"VERMELHO",IF(AB111&lt;=30,"AMARELO","VERDE")),"DATA INVALIDA")))))</f>
      </c>
      <c r="AD111" s="3056">
        <f>IF(OR(A111="",U111="",NOT(ISNUMBER(AB111))),"",RANK(AB111,$AB$3:$AB$164,1)+COUNTIFS($AB$3:AB111,AB111)-1)</f>
      </c>
      <c r="AE111" s="1736"/>
    </row>
    <row r="112" spans="1:19" ht="22.0" hidden="false" customHeight="true" x14ac:dyDescent="0.25">
      <c r="A112" s="3084" t="s">
        <v>267</v>
      </c>
      <c r="B112" s="3083" t="s">
        <v>159</v>
      </c>
      <c r="C112" s="3083" t="s">
        <v>268</v>
      </c>
      <c r="D112" s="3083" t="s">
        <v>269</v>
      </c>
      <c r="E112" s="3083"/>
      <c r="F112" s="3083" t="s">
        <v>266</v>
      </c>
      <c r="G112" s="3083" t="s">
        <v>13</v>
      </c>
      <c r="H112" s="3083" t="s">
        <v>14</v>
      </c>
      <c r="I112" s="3083"/>
      <c r="J112" s="3083"/>
      <c r="K112" s="3083"/>
      <c r="L112" s="3083"/>
      <c r="M112" s="3083" t="s">
        <v>376</v>
      </c>
      <c r="N112" s="3083"/>
      <c r="O112" s="3083" t="s">
        <v>349</v>
      </c>
      <c r="P112" s="3083"/>
      <c r="Q112" s="3086"/>
      <c r="R112" s="3086"/>
      <c r="S112" s="3086"/>
      <c r="T112" s="3086"/>
      <c r="U112" s="3087"/>
      <c r="V112" s="3083"/>
      <c r="W112" s="3083"/>
      <c r="X112" s="3056">
        <f>IF(A112="","",IF(LEN(SUBSTITUTE(SUBSTITUTE(SUBSTITUTE(SUBSTITUTE(D112,".",""),"/",""),"-","")," ",""))&lt;&gt;14,"CNPJ INVALIDO","OK"))</f>
      </c>
      <c r="Y112" s="3056">
        <f>IF(A112="","",IF(R112="","REST PENDENTE","REST OK"))</f>
      </c>
      <c r="Z112" s="3056">
        <f>IF(A112="","",IF(AND(R112&lt;&gt;"",COUNTIFS($D$3:$D$164,D112,$R$3:$R$164,"&lt;&gt;")&gt;1),"DUPLICADO","OK"))</f>
      </c>
      <c r="AA112" s="3056">
        <f>IF(A112="","",IF(OR(LEN(Q112)&gt;180,LEN(R112)&gt;180,LEN(S112)&gt;180,LEN(T112)&gt;180),"CAMINHO LONGO","OK"))</f>
      </c>
      <c r="AB112" s="3056">
        <f>IF(A112="","",IF(U112="","",IFERROR(INT(U112-TODAY()),"")))</f>
      </c>
      <c r="AC112" s="3056">
        <f>IF(A112="","",IF(AND(T112="",U112=""),"",IF(T112="","SEM CAMINHO",IF(U112="","SEM DATA",IFERROR(IF(AB112&lt;15,"VERMELHO",IF(AB112&lt;=30,"AMARELO","VERDE")),"DATA INVALIDA")))))</f>
      </c>
      <c r="AD112" s="3056">
        <f>IF(OR(A112="",U112="",NOT(ISNUMBER(AB112))),"",RANK(AB112,$AB$3:$AB$164,1)+COUNTIFS($AB$3:AB112,AB112)-1)</f>
      </c>
      <c r="AE112" s="1736"/>
    </row>
    <row r="113" spans="1:19" ht="22.0" hidden="false" customHeight="true" x14ac:dyDescent="0.25">
      <c r="A113" s="3079" t="s">
        <v>270</v>
      </c>
      <c r="B113" s="3078" t="s">
        <v>271</v>
      </c>
      <c r="C113" s="3078"/>
      <c r="D113" s="3078" t="s">
        <v>272</v>
      </c>
      <c r="E113" s="3078"/>
      <c r="F113" s="3078" t="s">
        <v>273</v>
      </c>
      <c r="G113" s="3078" t="s">
        <v>41</v>
      </c>
      <c r="H113" s="3078" t="s">
        <v>49</v>
      </c>
      <c r="I113" s="3078"/>
      <c r="J113" s="3078"/>
      <c r="K113" s="3078"/>
      <c r="L113" s="3078"/>
      <c r="M113" s="3078" t="s">
        <v>379</v>
      </c>
      <c r="N113" s="3078"/>
      <c r="O113" s="3078" t="s">
        <v>364</v>
      </c>
      <c r="P113" s="3078"/>
      <c r="Q113" s="3081"/>
      <c r="R113" s="3081"/>
      <c r="S113" s="3081"/>
      <c r="T113" s="3081"/>
      <c r="U113" s="3082"/>
      <c r="V113" s="3078"/>
      <c r="W113" s="3078"/>
      <c r="X113" s="3056">
        <f>IF(A113="","",IF(LEN(SUBSTITUTE(SUBSTITUTE(SUBSTITUTE(SUBSTITUTE(D113,".",""),"/",""),"-","")," ",""))&lt;&gt;14,"CNPJ INVALIDO","OK"))</f>
      </c>
      <c r="Y113" s="3056">
        <f>IF(A113="","",IF(R113="","REST PENDENTE","REST OK"))</f>
      </c>
      <c r="Z113" s="3056">
        <f>IF(A113="","",IF(AND(R113&lt;&gt;"",COUNTIFS($D$3:$D$164,D113,$R$3:$R$164,"&lt;&gt;")&gt;1),"DUPLICADO","OK"))</f>
      </c>
      <c r="AA113" s="3056">
        <f>IF(A113="","",IF(OR(LEN(Q113)&gt;180,LEN(R113)&gt;180,LEN(S113)&gt;180,LEN(T113)&gt;180),"CAMINHO LONGO","OK"))</f>
      </c>
      <c r="AB113" s="3056">
        <f>IF(A113="","",IF(U113="","",IFERROR(INT(U113-TODAY()),"")))</f>
      </c>
      <c r="AC113" s="3056">
        <f>IF(A113="","",IF(AND(T113="",U113=""),"",IF(T113="","SEM CAMINHO",IF(U113="","SEM DATA",IFERROR(IF(AB113&lt;15,"VERMELHO",IF(AB113&lt;=30,"AMARELO","VERDE")),"DATA INVALIDA")))))</f>
      </c>
      <c r="AD113" s="3056">
        <f>IF(OR(A113="",U113="",NOT(ISNUMBER(AB113))),"",RANK(AB113,$AB$3:$AB$164,1)+COUNTIFS($AB$3:AB113,AB113)-1)</f>
      </c>
      <c r="AE113" s="1736"/>
    </row>
    <row r="114" spans="1:19" ht="22.0" hidden="false" customHeight="true" x14ac:dyDescent="0.25">
      <c r="A114" s="3084" t="s">
        <v>274</v>
      </c>
      <c r="B114" s="3083" t="s">
        <v>134</v>
      </c>
      <c r="C114" s="3083" t="s">
        <v>122</v>
      </c>
      <c r="D114" s="3083" t="s">
        <v>395</v>
      </c>
      <c r="E114" s="3083"/>
      <c r="F114" s="3083" t="s">
        <v>275</v>
      </c>
      <c r="G114" s="3083" t="s">
        <v>4</v>
      </c>
      <c r="H114" s="3083" t="s">
        <v>5</v>
      </c>
      <c r="I114" s="3083"/>
      <c r="J114" s="3083"/>
      <c r="K114" s="3083"/>
      <c r="L114" s="3083"/>
      <c r="M114" s="3083" t="s">
        <v>379</v>
      </c>
      <c r="N114" s="3083"/>
      <c r="O114" s="3083" t="s">
        <v>365</v>
      </c>
      <c r="P114" s="3083"/>
      <c r="Q114" s="3086"/>
      <c r="R114" s="3086"/>
      <c r="S114" s="3086"/>
      <c r="T114" s="3086"/>
      <c r="U114" s="3087"/>
      <c r="V114" s="3083"/>
      <c r="W114" s="3083"/>
      <c r="X114" s="3056">
        <f>IF(A114="","",IF(LEN(SUBSTITUTE(SUBSTITUTE(SUBSTITUTE(SUBSTITUTE(D114,".",""),"/",""),"-","")," ",""))&lt;&gt;14,"CNPJ INVALIDO","OK"))</f>
      </c>
      <c r="Y114" s="3056">
        <f>IF(A114="","",IF(R114="","REST PENDENTE","REST OK"))</f>
      </c>
      <c r="Z114" s="3056">
        <f>IF(A114="","",IF(AND(R114&lt;&gt;"",COUNTIFS($D$3:$D$164,D114,$R$3:$R$164,"&lt;&gt;")&gt;1),"DUPLICADO","OK"))</f>
      </c>
      <c r="AA114" s="3056">
        <f>IF(A114="","",IF(OR(LEN(Q114)&gt;180,LEN(R114)&gt;180,LEN(S114)&gt;180,LEN(T114)&gt;180),"CAMINHO LONGO","OK"))</f>
      </c>
      <c r="AB114" s="3056">
        <f>IF(A114="","",IF(U114="","",IFERROR(INT(U114-TODAY()),"")))</f>
      </c>
      <c r="AC114" s="3056">
        <f>IF(A114="","",IF(AND(T114="",U114=""),"",IF(T114="","SEM CAMINHO",IF(U114="","SEM DATA",IFERROR(IF(AB114&lt;15,"VERMELHO",IF(AB114&lt;=30,"AMARELO","VERDE")),"DATA INVALIDA")))))</f>
      </c>
      <c r="AD114" s="3056">
        <f>IF(OR(A114="",U114="",NOT(ISNUMBER(AB114))),"",RANK(AB114,$AB$3:$AB$164,1)+COUNTIFS($AB$3:AB114,AB114)-1)</f>
      </c>
      <c r="AE114" s="1736"/>
    </row>
    <row r="115" spans="1:19" ht="22.0" hidden="false" customHeight="true" x14ac:dyDescent="0.25">
      <c r="A115" s="3079" t="s">
        <v>276</v>
      </c>
      <c r="B115" s="3078" t="s">
        <v>182</v>
      </c>
      <c r="C115" s="3078" t="s">
        <v>83</v>
      </c>
      <c r="D115" s="3078" t="s">
        <v>396</v>
      </c>
      <c r="E115" s="3078"/>
      <c r="F115" s="3078" t="s">
        <v>225</v>
      </c>
      <c r="G115" s="3078" t="s">
        <v>4</v>
      </c>
      <c r="H115" s="3078" t="s">
        <v>5</v>
      </c>
      <c r="I115" s="3078"/>
      <c r="J115" s="3078"/>
      <c r="K115" s="3078"/>
      <c r="L115" s="3078"/>
      <c r="M115" s="3078" t="s">
        <v>376</v>
      </c>
      <c r="N115" s="3078"/>
      <c r="O115" s="3078" t="s">
        <v>365</v>
      </c>
      <c r="P115" s="3078"/>
      <c r="Q115" s="3081"/>
      <c r="R115" s="3081"/>
      <c r="S115" s="3081"/>
      <c r="T115" s="3081"/>
      <c r="U115" s="3082"/>
      <c r="V115" s="3078"/>
      <c r="W115" s="3078"/>
      <c r="X115" s="3056">
        <f>IF(A115="","",IF(LEN(SUBSTITUTE(SUBSTITUTE(SUBSTITUTE(SUBSTITUTE(D115,".",""),"/",""),"-","")," ",""))&lt;&gt;14,"CNPJ INVALIDO","OK"))</f>
      </c>
      <c r="Y115" s="3056">
        <f>IF(A115="","",IF(R115="","REST PENDENTE","REST OK"))</f>
      </c>
      <c r="Z115" s="3056">
        <f>IF(A115="","",IF(AND(R115&lt;&gt;"",COUNTIFS($D$3:$D$164,D115,$R$3:$R$164,"&lt;&gt;")&gt;1),"DUPLICADO","OK"))</f>
      </c>
      <c r="AA115" s="3056">
        <f>IF(A115="","",IF(OR(LEN(Q115)&gt;180,LEN(R115)&gt;180,LEN(S115)&gt;180,LEN(T115)&gt;180),"CAMINHO LONGO","OK"))</f>
      </c>
      <c r="AB115" s="3056">
        <f>IF(A115="","",IF(U115="","",IFERROR(INT(U115-TODAY()),"")))</f>
      </c>
      <c r="AC115" s="3056">
        <f>IF(A115="","",IF(AND(T115="",U115=""),"",IF(T115="","SEM CAMINHO",IF(U115="","SEM DATA",IFERROR(IF(AB115&lt;15,"VERMELHO",IF(AB115&lt;=30,"AMARELO","VERDE")),"DATA INVALIDA")))))</f>
      </c>
      <c r="AD115" s="3056">
        <f>IF(OR(A115="",U115="",NOT(ISNUMBER(AB115))),"",RANK(AB115,$AB$3:$AB$164,1)+COUNTIFS($AB$3:AB115,AB115)-1)</f>
      </c>
      <c r="AE115" s="1736"/>
    </row>
    <row r="116" spans="1:19" ht="22.0" hidden="false" customHeight="true" x14ac:dyDescent="0.25">
      <c r="A116" s="3084" t="s">
        <v>277</v>
      </c>
      <c r="B116" s="3083" t="s">
        <v>211</v>
      </c>
      <c r="C116" s="3083" t="s">
        <v>69</v>
      </c>
      <c r="D116" s="3083" t="s">
        <v>278</v>
      </c>
      <c r="E116" s="3083"/>
      <c r="F116" s="3083" t="s">
        <v>279</v>
      </c>
      <c r="G116" s="3083" t="s">
        <v>13</v>
      </c>
      <c r="H116" s="3083" t="s">
        <v>49</v>
      </c>
      <c r="I116" s="3083">
        <v>46147</v>
      </c>
      <c r="J116" s="3083"/>
      <c r="K116" s="3083"/>
      <c r="L116" s="3083"/>
      <c r="M116" s="3083" t="s">
        <v>366</v>
      </c>
      <c r="N116" s="3083"/>
      <c r="O116" s="3083" t="s">
        <v>363</v>
      </c>
      <c r="P116" s="3083"/>
      <c r="Q116" s="3086"/>
      <c r="R116" s="3086"/>
      <c r="S116" s="3086"/>
      <c r="T116" s="3086"/>
      <c r="U116" s="3087"/>
      <c r="V116" s="3083"/>
      <c r="W116" s="3083"/>
      <c r="X116" s="3056">
        <f>IF(A116="","",IF(LEN(SUBSTITUTE(SUBSTITUTE(SUBSTITUTE(SUBSTITUTE(D116,".",""),"/",""),"-","")," ",""))&lt;&gt;14,"CNPJ INVALIDO","OK"))</f>
      </c>
      <c r="Y116" s="3056">
        <f>IF(A116="","",IF(R116="","REST PENDENTE","REST OK"))</f>
      </c>
      <c r="Z116" s="3056">
        <f>IF(A116="","",IF(AND(R116&lt;&gt;"",COUNTIFS($D$3:$D$164,D116,$R$3:$R$164,"&lt;&gt;")&gt;1),"DUPLICADO","OK"))</f>
      </c>
      <c r="AA116" s="3056">
        <f>IF(A116="","",IF(OR(LEN(Q116)&gt;180,LEN(R116)&gt;180,LEN(S116)&gt;180,LEN(T116)&gt;180),"CAMINHO LONGO","OK"))</f>
      </c>
      <c r="AB116" s="3056">
        <f>IF(A116="","",IF(U116="","",IFERROR(INT(U116-TODAY()),"")))</f>
      </c>
      <c r="AC116" s="3056">
        <f>IF(A116="","",IF(AND(T116="",U116=""),"",IF(T116="","SEM CAMINHO",IF(U116="","SEM DATA",IFERROR(IF(AB116&lt;15,"VERMELHO",IF(AB116&lt;=30,"AMARELO","VERDE")),"DATA INVALIDA")))))</f>
      </c>
      <c r="AD116" s="3056">
        <f>IF(OR(A116="",U116="",NOT(ISNUMBER(AB116))),"",RANK(AB116,$AB$3:$AB$164,1)+COUNTIFS($AB$3:AB116,AB116)-1)</f>
      </c>
      <c r="AE116" s="1736"/>
    </row>
    <row r="117" spans="1:19" ht="22.0" hidden="false" customHeight="true" x14ac:dyDescent="0.25">
      <c r="A117" s="3079" t="s">
        <v>280</v>
      </c>
      <c r="B117" s="3078" t="s">
        <v>162</v>
      </c>
      <c r="C117" s="3078" t="s">
        <v>281</v>
      </c>
      <c r="D117" s="3078" t="s">
        <v>282</v>
      </c>
      <c r="E117" s="3078"/>
      <c r="F117" s="3078"/>
      <c r="G117" s="3078" t="s">
        <v>4</v>
      </c>
      <c r="H117" s="3078" t="s">
        <v>49</v>
      </c>
      <c r="I117" s="3078"/>
      <c r="J117" s="3078"/>
      <c r="K117" s="3078"/>
      <c r="L117" s="3078"/>
      <c r="M117" s="3078" t="s">
        <v>376</v>
      </c>
      <c r="N117" s="3078" t="s">
        <v>362</v>
      </c>
      <c r="O117" s="3078" t="s">
        <v>365</v>
      </c>
      <c r="P117" s="3078"/>
      <c r="Q117" s="3081"/>
      <c r="R117" s="3081"/>
      <c r="S117" s="3081"/>
      <c r="T117" s="3081"/>
      <c r="U117" s="3082"/>
      <c r="V117" s="3078"/>
      <c r="W117" s="3078"/>
      <c r="X117" s="3056">
        <f>IF(A117="","",IF(LEN(SUBSTITUTE(SUBSTITUTE(SUBSTITUTE(SUBSTITUTE(D117,".",""),"/",""),"-","")," ",""))&lt;&gt;14,"CNPJ INVALIDO","OK"))</f>
      </c>
      <c r="Y117" s="3056">
        <f>IF(A117="","",IF(R117="","REST PENDENTE","REST OK"))</f>
      </c>
      <c r="Z117" s="3056">
        <f>IF(A117="","",IF(AND(R117&lt;&gt;"",COUNTIFS($D$3:$D$164,D117,$R$3:$R$164,"&lt;&gt;")&gt;1),"DUPLICADO","OK"))</f>
      </c>
      <c r="AA117" s="3056">
        <f>IF(A117="","",IF(OR(LEN(Q117)&gt;180,LEN(R117)&gt;180,LEN(S117)&gt;180,LEN(T117)&gt;180),"CAMINHO LONGO","OK"))</f>
      </c>
      <c r="AB117" s="3056">
        <f>IF(A117="","",IF(U117="","",IFERROR(INT(U117-TODAY()),"")))</f>
      </c>
      <c r="AC117" s="3056">
        <f>IF(A117="","",IF(AND(T117="",U117=""),"",IF(T117="","SEM CAMINHO",IF(U117="","SEM DATA",IFERROR(IF(AB117&lt;15,"VERMELHO",IF(AB117&lt;=30,"AMARELO","VERDE")),"DATA INVALIDA")))))</f>
      </c>
      <c r="AD117" s="3056">
        <f>IF(OR(A117="",U117="",NOT(ISNUMBER(AB117))),"",RANK(AB117,$AB$3:$AB$164,1)+COUNTIFS($AB$3:AB117,AB117)-1)</f>
      </c>
      <c r="AE117" s="1736"/>
    </row>
    <row r="118" spans="1:19" ht="22.0" hidden="false" customHeight="true" x14ac:dyDescent="0.25">
      <c r="A118" s="3084" t="s">
        <v>283</v>
      </c>
      <c r="B118" s="3083" t="s">
        <v>75</v>
      </c>
      <c r="C118" s="3083" t="s">
        <v>62</v>
      </c>
      <c r="D118" s="3083" t="s">
        <v>397</v>
      </c>
      <c r="E118" s="3083"/>
      <c r="F118" s="3083" t="s">
        <v>284</v>
      </c>
      <c r="G118" s="3083" t="s">
        <v>4</v>
      </c>
      <c r="H118" s="3083" t="s">
        <v>14</v>
      </c>
      <c r="I118" s="3083"/>
      <c r="J118" s="3083"/>
      <c r="K118" s="3083"/>
      <c r="L118" s="3083"/>
      <c r="M118" s="3083" t="s">
        <v>389</v>
      </c>
      <c r="N118" s="3083"/>
      <c r="O118" s="3083" t="s">
        <v>365</v>
      </c>
      <c r="P118" s="3083"/>
      <c r="Q118" s="3086"/>
      <c r="R118" s="3086"/>
      <c r="S118" s="3086"/>
      <c r="T118" s="3086"/>
      <c r="U118" s="3087"/>
      <c r="V118" s="3083"/>
      <c r="W118" s="3083"/>
      <c r="X118" s="3056">
        <f>IF(A118="","",IF(LEN(SUBSTITUTE(SUBSTITUTE(SUBSTITUTE(SUBSTITUTE(D118,".",""),"/",""),"-","")," ",""))&lt;&gt;14,"CNPJ INVALIDO","OK"))</f>
      </c>
      <c r="Y118" s="3056">
        <f>IF(A118="","",IF(R118="","REST PENDENTE","REST OK"))</f>
      </c>
      <c r="Z118" s="3056">
        <f>IF(A118="","",IF(AND(R118&lt;&gt;"",COUNTIFS($D$3:$D$164,D118,$R$3:$R$164,"&lt;&gt;")&gt;1),"DUPLICADO","OK"))</f>
      </c>
      <c r="AA118" s="3056">
        <f>IF(A118="","",IF(OR(LEN(Q118)&gt;180,LEN(R118)&gt;180,LEN(S118)&gt;180,LEN(T118)&gt;180),"CAMINHO LONGO","OK"))</f>
      </c>
      <c r="AB118" s="3056">
        <f>IF(A118="","",IF(U118="","",IFERROR(INT(U118-TODAY()),"")))</f>
      </c>
      <c r="AC118" s="3056">
        <f>IF(A118="","",IF(AND(T118="",U118=""),"",IF(T118="","SEM CAMINHO",IF(U118="","SEM DATA",IFERROR(IF(AB118&lt;15,"VERMELHO",IF(AB118&lt;=30,"AMARELO","VERDE")),"DATA INVALIDA")))))</f>
      </c>
      <c r="AD118" s="3056">
        <f>IF(OR(A118="",U118="",NOT(ISNUMBER(AB118))),"",RANK(AB118,$AB$3:$AB$164,1)+COUNTIFS($AB$3:AB118,AB118)-1)</f>
      </c>
      <c r="AE118" s="1736"/>
    </row>
    <row r="119" spans="1:19" ht="22.0" hidden="false" customHeight="true" x14ac:dyDescent="0.25">
      <c r="A119" s="3079" t="s">
        <v>285</v>
      </c>
      <c r="B119" s="3078" t="s">
        <v>286</v>
      </c>
      <c r="C119" s="3078"/>
      <c r="D119" s="3078" t="s">
        <v>398</v>
      </c>
      <c r="E119" s="3078"/>
      <c r="F119" s="3078" t="s">
        <v>287</v>
      </c>
      <c r="G119" s="3078" t="s">
        <v>4</v>
      </c>
      <c r="H119" s="3078" t="s">
        <v>49</v>
      </c>
      <c r="I119" s="3078"/>
      <c r="J119" s="3078"/>
      <c r="K119" s="3078"/>
      <c r="L119" s="3078"/>
      <c r="M119" s="3078" t="s">
        <v>379</v>
      </c>
      <c r="N119" s="3078"/>
      <c r="O119" s="3078" t="s">
        <v>365</v>
      </c>
      <c r="P119" s="3078"/>
      <c r="Q119" s="3081"/>
      <c r="R119" s="3081"/>
      <c r="S119" s="3081"/>
      <c r="T119" s="3081"/>
      <c r="U119" s="3082"/>
      <c r="V119" s="3078"/>
      <c r="W119" s="3078"/>
      <c r="X119" s="3056">
        <f>IF(A119="","",IF(LEN(SUBSTITUTE(SUBSTITUTE(SUBSTITUTE(SUBSTITUTE(D119,".",""),"/",""),"-","")," ",""))&lt;&gt;14,"CNPJ INVALIDO","OK"))</f>
      </c>
      <c r="Y119" s="3056">
        <f>IF(A119="","",IF(R119="","REST PENDENTE","REST OK"))</f>
      </c>
      <c r="Z119" s="3056">
        <f>IF(A119="","",IF(AND(R119&lt;&gt;"",COUNTIFS($D$3:$D$164,D119,$R$3:$R$164,"&lt;&gt;")&gt;1),"DUPLICADO","OK"))</f>
      </c>
      <c r="AA119" s="3056">
        <f>IF(A119="","",IF(OR(LEN(Q119)&gt;180,LEN(R119)&gt;180,LEN(S119)&gt;180,LEN(T119)&gt;180),"CAMINHO LONGO","OK"))</f>
      </c>
      <c r="AB119" s="3056">
        <f>IF(A119="","",IF(U119="","",IFERROR(INT(U119-TODAY()),"")))</f>
      </c>
      <c r="AC119" s="3056">
        <f>IF(A119="","",IF(AND(T119="",U119=""),"",IF(T119="","SEM CAMINHO",IF(U119="","SEM DATA",IFERROR(IF(AB119&lt;15,"VERMELHO",IF(AB119&lt;=30,"AMARELO","VERDE")),"DATA INVALIDA")))))</f>
      </c>
      <c r="AD119" s="3056">
        <f>IF(OR(A119="",U119="",NOT(ISNUMBER(AB119))),"",RANK(AB119,$AB$3:$AB$164,1)+COUNTIFS($AB$3:AB119,AB119)-1)</f>
      </c>
      <c r="AE119" s="1736"/>
    </row>
    <row r="120" spans="1:19" ht="22.0" hidden="false" customHeight="true" x14ac:dyDescent="0.25">
      <c r="A120" s="3084" t="s">
        <v>288</v>
      </c>
      <c r="B120" s="3083" t="s">
        <v>286</v>
      </c>
      <c r="C120" s="3083" t="s">
        <v>69</v>
      </c>
      <c r="D120" s="3083" t="s">
        <v>289</v>
      </c>
      <c r="E120" s="3083"/>
      <c r="F120" s="3083" t="s">
        <v>290</v>
      </c>
      <c r="G120" s="3083" t="s">
        <v>13</v>
      </c>
      <c r="H120" s="3083" t="s">
        <v>49</v>
      </c>
      <c r="I120" s="3083"/>
      <c r="J120" s="3083"/>
      <c r="K120" s="3083"/>
      <c r="L120" s="3083"/>
      <c r="M120" s="3083" t="s">
        <v>376</v>
      </c>
      <c r="N120" s="3083"/>
      <c r="O120" s="3083" t="s">
        <v>365</v>
      </c>
      <c r="P120" s="3083"/>
      <c r="Q120" s="3086"/>
      <c r="R120" s="3086"/>
      <c r="S120" s="3086"/>
      <c r="T120" s="3086"/>
      <c r="U120" s="3087"/>
      <c r="V120" s="3083"/>
      <c r="W120" s="3083"/>
      <c r="X120" s="3056">
        <f>IF(A120="","",IF(LEN(SUBSTITUTE(SUBSTITUTE(SUBSTITUTE(SUBSTITUTE(D120,".",""),"/",""),"-","")," ",""))&lt;&gt;14,"CNPJ INVALIDO","OK"))</f>
      </c>
      <c r="Y120" s="3056">
        <f>IF(A120="","",IF(R120="","REST PENDENTE","REST OK"))</f>
      </c>
      <c r="Z120" s="3056">
        <f>IF(A120="","",IF(AND(R120&lt;&gt;"",COUNTIFS($D$3:$D$164,D120,$R$3:$R$164,"&lt;&gt;")&gt;1),"DUPLICADO","OK"))</f>
      </c>
      <c r="AA120" s="3056">
        <f>IF(A120="","",IF(OR(LEN(Q120)&gt;180,LEN(R120)&gt;180,LEN(S120)&gt;180,LEN(T120)&gt;180),"CAMINHO LONGO","OK"))</f>
      </c>
      <c r="AB120" s="3056">
        <f>IF(A120="","",IF(U120="","",IFERROR(INT(U120-TODAY()),"")))</f>
      </c>
      <c r="AC120" s="3056">
        <f>IF(A120="","",IF(AND(T120="",U120=""),"",IF(T120="","SEM CAMINHO",IF(U120="","SEM DATA",IFERROR(IF(AB120&lt;15,"VERMELHO",IF(AB120&lt;=30,"AMARELO","VERDE")),"DATA INVALIDA")))))</f>
      </c>
      <c r="AD120" s="3056">
        <f>IF(OR(A120="",U120="",NOT(ISNUMBER(AB120))),"",RANK(AB120,$AB$3:$AB$164,1)+COUNTIFS($AB$3:AB120,AB120)-1)</f>
      </c>
      <c r="AE120" s="1736"/>
    </row>
    <row r="121" spans="1:19" ht="22.0" hidden="false" customHeight="true" x14ac:dyDescent="0.25">
      <c r="A121" s="3079" t="s">
        <v>291</v>
      </c>
      <c r="B121" s="3078" t="s">
        <v>75</v>
      </c>
      <c r="C121" s="3078" t="s">
        <v>69</v>
      </c>
      <c r="D121" s="3078" t="s">
        <v>292</v>
      </c>
      <c r="E121" s="3078"/>
      <c r="F121" s="3078"/>
      <c r="G121" s="3078"/>
      <c r="H121" s="3078"/>
      <c r="I121" s="3078"/>
      <c r="J121" s="3078"/>
      <c r="K121" s="3078"/>
      <c r="L121" s="3078"/>
      <c r="M121" s="3078" t="s">
        <v>371</v>
      </c>
      <c r="N121" s="3078"/>
      <c r="O121" s="3078"/>
      <c r="P121" s="3078"/>
      <c r="Q121" s="3081"/>
      <c r="R121" s="3081"/>
      <c r="S121" s="3081"/>
      <c r="T121" s="3081"/>
      <c r="U121" s="3082"/>
      <c r="V121" s="3078"/>
      <c r="W121" s="3078"/>
      <c r="X121" s="3056">
        <f>IF(A121="","",IF(LEN(SUBSTITUTE(SUBSTITUTE(SUBSTITUTE(SUBSTITUTE(D121,".",""),"/",""),"-","")," ",""))&lt;&gt;14,"CNPJ INVALIDO","OK"))</f>
      </c>
      <c r="Y121" s="3056">
        <f>IF(A121="","",IF(R121="","REST PENDENTE","REST OK"))</f>
      </c>
      <c r="Z121" s="3056">
        <f>IF(A121="","",IF(AND(R121&lt;&gt;"",COUNTIFS($D$3:$D$164,D121,$R$3:$R$164,"&lt;&gt;")&gt;1),"DUPLICADO","OK"))</f>
      </c>
      <c r="AA121" s="3056">
        <f>IF(A121="","",IF(OR(LEN(Q121)&gt;180,LEN(R121)&gt;180,LEN(S121)&gt;180,LEN(T121)&gt;180),"CAMINHO LONGO","OK"))</f>
      </c>
      <c r="AB121" s="3056">
        <f>IF(A121="","",IF(U121="","",IFERROR(INT(U121-TODAY()),"")))</f>
      </c>
      <c r="AC121" s="3056">
        <f>IF(A121="","",IF(AND(T121="",U121=""),"",IF(T121="","SEM CAMINHO",IF(U121="","SEM DATA",IFERROR(IF(AB121&lt;15,"VERMELHO",IF(AB121&lt;=30,"AMARELO","VERDE")),"DATA INVALIDA")))))</f>
      </c>
      <c r="AD121" s="3056">
        <f>IF(OR(A121="",U121="",NOT(ISNUMBER(AB121))),"",RANK(AB121,$AB$3:$AB$164,1)+COUNTIFS($AB$3:AB121,AB121)-1)</f>
      </c>
      <c r="AE121" s="1736"/>
    </row>
    <row r="122" spans="1:19" ht="22.0" hidden="false" customHeight="true" x14ac:dyDescent="0.25">
      <c r="A122" s="3084" t="s">
        <v>293</v>
      </c>
      <c r="B122" s="3083" t="s">
        <v>227</v>
      </c>
      <c r="C122" s="3083" t="s">
        <v>116</v>
      </c>
      <c r="D122" s="3083" t="s">
        <v>294</v>
      </c>
      <c r="E122" s="3083"/>
      <c r="F122" s="3083" t="s">
        <v>228</v>
      </c>
      <c r="G122" s="3083" t="s">
        <v>13</v>
      </c>
      <c r="H122" s="3083" t="s">
        <v>14</v>
      </c>
      <c r="I122" s="3083"/>
      <c r="J122" s="3083"/>
      <c r="K122" s="3083"/>
      <c r="L122" s="3083"/>
      <c r="M122" s="3083" t="s">
        <v>368</v>
      </c>
      <c r="N122" s="3083"/>
      <c r="O122" s="3083" t="s">
        <v>369</v>
      </c>
      <c r="P122" s="3083"/>
      <c r="Q122" s="3086"/>
      <c r="R122" s="3086"/>
      <c r="S122" s="3086"/>
      <c r="T122" s="3086"/>
      <c r="U122" s="3087"/>
      <c r="V122" s="3083"/>
      <c r="W122" s="3083"/>
      <c r="X122" s="3056">
        <f>IF(A122="","",IF(LEN(SUBSTITUTE(SUBSTITUTE(SUBSTITUTE(SUBSTITUTE(D122,".",""),"/",""),"-","")," ",""))&lt;&gt;14,"CNPJ INVALIDO","OK"))</f>
      </c>
      <c r="Y122" s="3056">
        <f>IF(A122="","",IF(R122="","REST PENDENTE","REST OK"))</f>
      </c>
      <c r="Z122" s="3056">
        <f>IF(A122="","",IF(AND(R122&lt;&gt;"",COUNTIFS($D$3:$D$164,D122,$R$3:$R$164,"&lt;&gt;")&gt;1),"DUPLICADO","OK"))</f>
      </c>
      <c r="AA122" s="3056">
        <f>IF(A122="","",IF(OR(LEN(Q122)&gt;180,LEN(R122)&gt;180,LEN(S122)&gt;180,LEN(T122)&gt;180),"CAMINHO LONGO","OK"))</f>
      </c>
      <c r="AB122" s="3056">
        <f>IF(A122="","",IF(U122="","",IFERROR(INT(U122-TODAY()),"")))</f>
      </c>
      <c r="AC122" s="3056">
        <f>IF(A122="","",IF(AND(T122="",U122=""),"",IF(T122="","SEM CAMINHO",IF(U122="","SEM DATA",IFERROR(IF(AB122&lt;15,"VERMELHO",IF(AB122&lt;=30,"AMARELO","VERDE")),"DATA INVALIDA")))))</f>
      </c>
      <c r="AD122" s="3056">
        <f>IF(OR(A122="",U122="",NOT(ISNUMBER(AB122))),"",RANK(AB122,$AB$3:$AB$164,1)+COUNTIFS($AB$3:AB122,AB122)-1)</f>
      </c>
      <c r="AE122" s="1736"/>
    </row>
    <row r="123" spans="1:19" ht="22.0" hidden="false" customHeight="true" x14ac:dyDescent="0.25">
      <c r="A123" s="3079" t="s">
        <v>295</v>
      </c>
      <c r="B123" s="3078" t="s">
        <v>45</v>
      </c>
      <c r="C123" s="3078" t="s">
        <v>296</v>
      </c>
      <c r="D123" s="3078" t="s">
        <v>297</v>
      </c>
      <c r="E123" s="3078"/>
      <c r="F123" s="3078" t="s">
        <v>48</v>
      </c>
      <c r="G123" s="3078" t="s">
        <v>13</v>
      </c>
      <c r="H123" s="3078" t="s">
        <v>14</v>
      </c>
      <c r="I123" s="3078"/>
      <c r="J123" s="3078"/>
      <c r="K123" s="3078"/>
      <c r="L123" s="3078"/>
      <c r="M123" s="3078" t="s">
        <v>371</v>
      </c>
      <c r="N123" s="3078"/>
      <c r="O123" s="3078" t="s">
        <v>367</v>
      </c>
      <c r="P123" s="3078"/>
      <c r="Q123" s="3081"/>
      <c r="R123" s="3081"/>
      <c r="S123" s="3081"/>
      <c r="T123" s="3081"/>
      <c r="U123" s="3082"/>
      <c r="V123" s="3078"/>
      <c r="W123" s="3078"/>
      <c r="X123" s="3056">
        <f>IF(A123="","",IF(LEN(SUBSTITUTE(SUBSTITUTE(SUBSTITUTE(SUBSTITUTE(D123,".",""),"/",""),"-","")," ",""))&lt;&gt;14,"CNPJ INVALIDO","OK"))</f>
      </c>
      <c r="Y123" s="3056">
        <f>IF(A123="","",IF(R123="","REST PENDENTE","REST OK"))</f>
      </c>
      <c r="Z123" s="3056">
        <f>IF(A123="","",IF(AND(R123&lt;&gt;"",COUNTIFS($D$3:$D$164,D123,$R$3:$R$164,"&lt;&gt;")&gt;1),"DUPLICADO","OK"))</f>
      </c>
      <c r="AA123" s="3056">
        <f>IF(A123="","",IF(OR(LEN(Q123)&gt;180,LEN(R123)&gt;180,LEN(S123)&gt;180,LEN(T123)&gt;180),"CAMINHO LONGO","OK"))</f>
      </c>
      <c r="AB123" s="3056">
        <f>IF(A123="","",IF(U123="","",IFERROR(INT(U123-TODAY()),"")))</f>
      </c>
      <c r="AC123" s="3056">
        <f>IF(A123="","",IF(AND(T123="",U123=""),"",IF(T123="","SEM CAMINHO",IF(U123="","SEM DATA",IFERROR(IF(AB123&lt;15,"VERMELHO",IF(AB123&lt;=30,"AMARELO","VERDE")),"DATA INVALIDA")))))</f>
      </c>
      <c r="AD123" s="3056">
        <f>IF(OR(A123="",U123="",NOT(ISNUMBER(AB123))),"",RANK(AB123,$AB$3:$AB$164,1)+COUNTIFS($AB$3:AB123,AB123)-1)</f>
      </c>
      <c r="AE123" s="1736"/>
    </row>
    <row r="124" spans="1:19" ht="22.0" hidden="false" customHeight="true" x14ac:dyDescent="0.25">
      <c r="A124" s="3084" t="s">
        <v>298</v>
      </c>
      <c r="B124" s="3083" t="s">
        <v>299</v>
      </c>
      <c r="C124" s="3083" t="s">
        <v>16</v>
      </c>
      <c r="D124" s="3083" t="s">
        <v>300</v>
      </c>
      <c r="E124" s="3083"/>
      <c r="F124" s="3083" t="s">
        <v>109</v>
      </c>
      <c r="G124" s="3083" t="s">
        <v>4</v>
      </c>
      <c r="H124" s="3083" t="s">
        <v>49</v>
      </c>
      <c r="I124" s="3083"/>
      <c r="J124" s="3083"/>
      <c r="K124" s="3083"/>
      <c r="L124" s="3083"/>
      <c r="M124" s="3083" t="s">
        <v>379</v>
      </c>
      <c r="N124" s="3083"/>
      <c r="O124" s="3083" t="s">
        <v>365</v>
      </c>
      <c r="P124" s="3083"/>
      <c r="Q124" s="3086"/>
      <c r="R124" s="3086"/>
      <c r="S124" s="3086"/>
      <c r="T124" s="3086"/>
      <c r="U124" s="3087"/>
      <c r="V124" s="3083"/>
      <c r="W124" s="3083"/>
      <c r="X124" s="3056">
        <f>IF(A124="","",IF(LEN(SUBSTITUTE(SUBSTITUTE(SUBSTITUTE(SUBSTITUTE(D124,".",""),"/",""),"-","")," ",""))&lt;&gt;14,"CNPJ INVALIDO","OK"))</f>
      </c>
      <c r="Y124" s="3056">
        <f>IF(A124="","",IF(R124="","REST PENDENTE","REST OK"))</f>
      </c>
      <c r="Z124" s="3056">
        <f>IF(A124="","",IF(AND(R124&lt;&gt;"",COUNTIFS($D$3:$D$164,D124,$R$3:$R$164,"&lt;&gt;")&gt;1),"DUPLICADO","OK"))</f>
      </c>
      <c r="AA124" s="3056">
        <f>IF(A124="","",IF(OR(LEN(Q124)&gt;180,LEN(R124)&gt;180,LEN(S124)&gt;180,LEN(T124)&gt;180),"CAMINHO LONGO","OK"))</f>
      </c>
      <c r="AB124" s="3056">
        <f>IF(A124="","",IF(U124="","",IFERROR(INT(U124-TODAY()),"")))</f>
      </c>
      <c r="AC124" s="3056">
        <f>IF(A124="","",IF(AND(T124="",U124=""),"",IF(T124="","SEM CAMINHO",IF(U124="","SEM DATA",IFERROR(IF(AB124&lt;15,"VERMELHO",IF(AB124&lt;=30,"AMARELO","VERDE")),"DATA INVALIDA")))))</f>
      </c>
      <c r="AD124" s="3056">
        <f>IF(OR(A124="",U124="",NOT(ISNUMBER(AB124))),"",RANK(AB124,$AB$3:$AB$164,1)+COUNTIFS($AB$3:AB124,AB124)-1)</f>
      </c>
      <c r="AE124" s="1736"/>
    </row>
    <row r="125" spans="1:19" ht="22.0" hidden="false" customHeight="true" x14ac:dyDescent="0.25">
      <c r="A125" s="3079" t="s">
        <v>301</v>
      </c>
      <c r="B125" s="3078" t="s">
        <v>302</v>
      </c>
      <c r="C125" s="3078" t="s">
        <v>69</v>
      </c>
      <c r="D125" s="3078" t="s">
        <v>303</v>
      </c>
      <c r="E125" s="3078"/>
      <c r="F125" s="3078"/>
      <c r="G125" s="3078" t="s">
        <v>4</v>
      </c>
      <c r="H125" s="3078" t="s">
        <v>49</v>
      </c>
      <c r="I125" s="3078"/>
      <c r="J125" s="3078"/>
      <c r="K125" s="3078"/>
      <c r="L125" s="3078"/>
      <c r="M125" s="3078" t="s">
        <v>379</v>
      </c>
      <c r="N125" s="3078"/>
      <c r="O125" s="3078" t="s">
        <v>365</v>
      </c>
      <c r="P125" s="3078"/>
      <c r="Q125" s="3081"/>
      <c r="R125" s="3081"/>
      <c r="S125" s="3081"/>
      <c r="T125" s="3081"/>
      <c r="U125" s="3082"/>
      <c r="V125" s="3078"/>
      <c r="W125" s="3078"/>
      <c r="X125" s="3056">
        <f>IF(A125="","",IF(LEN(SUBSTITUTE(SUBSTITUTE(SUBSTITUTE(SUBSTITUTE(D125,".",""),"/",""),"-","")," ",""))&lt;&gt;14,"CNPJ INVALIDO","OK"))</f>
      </c>
      <c r="Y125" s="3056">
        <f>IF(A125="","",IF(R125="","REST PENDENTE","REST OK"))</f>
      </c>
      <c r="Z125" s="3056">
        <f>IF(A125="","",IF(AND(R125&lt;&gt;"",COUNTIFS($D$3:$D$164,D125,$R$3:$R$164,"&lt;&gt;")&gt;1),"DUPLICADO","OK"))</f>
      </c>
      <c r="AA125" s="3056">
        <f>IF(A125="","",IF(OR(LEN(Q125)&gt;180,LEN(R125)&gt;180,LEN(S125)&gt;180,LEN(T125)&gt;180),"CAMINHO LONGO","OK"))</f>
      </c>
      <c r="AB125" s="3056">
        <f>IF(A125="","",IF(U125="","",IFERROR(INT(U125-TODAY()),"")))</f>
      </c>
      <c r="AC125" s="3056">
        <f>IF(A125="","",IF(AND(T125="",U125=""),"",IF(T125="","SEM CAMINHO",IF(U125="","SEM DATA",IFERROR(IF(AB125&lt;15,"VERMELHO",IF(AB125&lt;=30,"AMARELO","VERDE")),"DATA INVALIDA")))))</f>
      </c>
      <c r="AD125" s="3056">
        <f>IF(OR(A125="",U125="",NOT(ISNUMBER(AB125))),"",RANK(AB125,$AB$3:$AB$164,1)+COUNTIFS($AB$3:AB125,AB125)-1)</f>
      </c>
      <c r="AE125" s="1736"/>
    </row>
    <row r="126" spans="1:19" ht="22.0" hidden="false" customHeight="true" x14ac:dyDescent="0.25">
      <c r="A126" s="3084" t="s">
        <v>304</v>
      </c>
      <c r="B126" s="3083" t="s">
        <v>305</v>
      </c>
      <c r="C126" s="3083"/>
      <c r="D126" s="3083"/>
      <c r="E126" s="3083"/>
      <c r="F126" s="3083" t="s">
        <v>306</v>
      </c>
      <c r="G126" s="3083" t="s">
        <v>13</v>
      </c>
      <c r="H126" s="3083"/>
      <c r="I126" s="3083"/>
      <c r="J126" s="3083"/>
      <c r="K126" s="3083"/>
      <c r="L126" s="3083"/>
      <c r="M126" s="3083" t="s">
        <v>371</v>
      </c>
      <c r="N126" s="3083"/>
      <c r="O126" s="3083" t="s">
        <v>363</v>
      </c>
      <c r="P126" s="3083"/>
      <c r="Q126" s="3086"/>
      <c r="R126" s="3086"/>
      <c r="S126" s="3086"/>
      <c r="T126" s="3086"/>
      <c r="U126" s="3087"/>
      <c r="V126" s="3083"/>
      <c r="W126" s="3083"/>
      <c r="X126" s="3056">
        <f>IF(A126="","",IF(LEN(SUBSTITUTE(SUBSTITUTE(SUBSTITUTE(SUBSTITUTE(D126,".",""),"/",""),"-","")," ",""))&lt;&gt;14,"CNPJ INVALIDO","OK"))</f>
      </c>
      <c r="Y126" s="3056">
        <f>IF(A126="","",IF(R126="","REST PENDENTE","REST OK"))</f>
      </c>
      <c r="Z126" s="3056">
        <f>IF(A126="","",IF(AND(R126&lt;&gt;"",COUNTIFS($D$3:$D$164,D126,$R$3:$R$164,"&lt;&gt;")&gt;1),"DUPLICADO","OK"))</f>
      </c>
      <c r="AA126" s="3056">
        <f>IF(A126="","",IF(OR(LEN(Q126)&gt;180,LEN(R126)&gt;180,LEN(S126)&gt;180,LEN(T126)&gt;180),"CAMINHO LONGO","OK"))</f>
      </c>
      <c r="AB126" s="3056">
        <f>IF(A126="","",IF(U126="","",IFERROR(INT(U126-TODAY()),"")))</f>
      </c>
      <c r="AC126" s="3056">
        <f>IF(A126="","",IF(AND(T126="",U126=""),"",IF(T126="","SEM CAMINHO",IF(U126="","SEM DATA",IFERROR(IF(AB126&lt;15,"VERMELHO",IF(AB126&lt;=30,"AMARELO","VERDE")),"DATA INVALIDA")))))</f>
      </c>
      <c r="AD126" s="3056">
        <f>IF(OR(A126="",U126="",NOT(ISNUMBER(AB126))),"",RANK(AB126,$AB$3:$AB$164,1)+COUNTIFS($AB$3:AB126,AB126)-1)</f>
      </c>
      <c r="AE126" s="1736"/>
    </row>
    <row r="127" spans="1:19" ht="22.0" hidden="false" customHeight="true" x14ac:dyDescent="0.25">
      <c r="A127" s="3079" t="s">
        <v>307</v>
      </c>
      <c r="B127" s="3078" t="s">
        <v>305</v>
      </c>
      <c r="C127" s="3078"/>
      <c r="D127" s="3078"/>
      <c r="E127" s="3078"/>
      <c r="F127" s="3078" t="s">
        <v>306</v>
      </c>
      <c r="G127" s="3078" t="s">
        <v>308</v>
      </c>
      <c r="H127" s="3078"/>
      <c r="I127" s="3078"/>
      <c r="J127" s="3078"/>
      <c r="K127" s="3078"/>
      <c r="L127" s="3078"/>
      <c r="M127" s="3078" t="s">
        <v>371</v>
      </c>
      <c r="N127" s="3078"/>
      <c r="O127" s="3078" t="s">
        <v>363</v>
      </c>
      <c r="P127" s="3078"/>
      <c r="Q127" s="3081"/>
      <c r="R127" s="3081"/>
      <c r="S127" s="3081"/>
      <c r="T127" s="3081"/>
      <c r="U127" s="3082"/>
      <c r="V127" s="3078"/>
      <c r="W127" s="3078"/>
      <c r="X127" s="3056">
        <f>IF(A127="","",IF(LEN(SUBSTITUTE(SUBSTITUTE(SUBSTITUTE(SUBSTITUTE(D127,".",""),"/",""),"-","")," ",""))&lt;&gt;14,"CNPJ INVALIDO","OK"))</f>
      </c>
      <c r="Y127" s="3056">
        <f>IF(A127="","",IF(R127="","REST PENDENTE","REST OK"))</f>
      </c>
      <c r="Z127" s="3056">
        <f>IF(A127="","",IF(AND(R127&lt;&gt;"",COUNTIFS($D$3:$D$164,D127,$R$3:$R$164,"&lt;&gt;")&gt;1),"DUPLICADO","OK"))</f>
      </c>
      <c r="AA127" s="3056">
        <f>IF(A127="","",IF(OR(LEN(Q127)&gt;180,LEN(R127)&gt;180,LEN(S127)&gt;180,LEN(T127)&gt;180),"CAMINHO LONGO","OK"))</f>
      </c>
      <c r="AB127" s="3056">
        <f>IF(A127="","",IF(U127="","",IFERROR(INT(U127-TODAY()),"")))</f>
      </c>
      <c r="AC127" s="3056">
        <f>IF(A127="","",IF(AND(T127="",U127=""),"",IF(T127="","SEM CAMINHO",IF(U127="","SEM DATA",IFERROR(IF(AB127&lt;15,"VERMELHO",IF(AB127&lt;=30,"AMARELO","VERDE")),"DATA INVALIDA")))))</f>
      </c>
      <c r="AD127" s="3056">
        <f>IF(OR(A127="",U127="",NOT(ISNUMBER(AB127))),"",RANK(AB127,$AB$3:$AB$164,1)+COUNTIFS($AB$3:AB127,AB127)-1)</f>
      </c>
      <c r="AE127" s="1736"/>
    </row>
    <row r="128" spans="1:19" ht="22.0" hidden="false" customHeight="true" x14ac:dyDescent="0.25">
      <c r="A128" s="3084" t="s">
        <v>309</v>
      </c>
      <c r="B128" s="3083" t="s">
        <v>9</v>
      </c>
      <c r="C128" s="3083" t="s">
        <v>69</v>
      </c>
      <c r="D128" s="3083" t="s">
        <v>310</v>
      </c>
      <c r="E128" s="3083"/>
      <c r="F128" s="3083" t="s">
        <v>311</v>
      </c>
      <c r="G128" s="3083" t="s">
        <v>13</v>
      </c>
      <c r="H128" s="3083" t="s">
        <v>49</v>
      </c>
      <c r="I128" s="3083"/>
      <c r="J128" s="3083"/>
      <c r="K128" s="3083"/>
      <c r="L128" s="3083"/>
      <c r="M128" s="3083" t="s">
        <v>376</v>
      </c>
      <c r="N128" s="3083"/>
      <c r="O128" s="3083" t="s">
        <v>365</v>
      </c>
      <c r="P128" s="3083"/>
      <c r="Q128" s="3086"/>
      <c r="R128" s="3086"/>
      <c r="S128" s="3086"/>
      <c r="T128" s="3086"/>
      <c r="U128" s="3087"/>
      <c r="V128" s="3083"/>
      <c r="W128" s="3083"/>
      <c r="X128" s="3056">
        <f>IF(A128="","",IF(LEN(SUBSTITUTE(SUBSTITUTE(SUBSTITUTE(SUBSTITUTE(D128,".",""),"/",""),"-","")," ",""))&lt;&gt;14,"CNPJ INVALIDO","OK"))</f>
      </c>
      <c r="Y128" s="3056">
        <f>IF(A128="","",IF(R128="","REST PENDENTE","REST OK"))</f>
      </c>
      <c r="Z128" s="3056">
        <f>IF(A128="","",IF(AND(R128&lt;&gt;"",COUNTIFS($D$3:$D$164,D128,$R$3:$R$164,"&lt;&gt;")&gt;1),"DUPLICADO","OK"))</f>
      </c>
      <c r="AA128" s="3056">
        <f>IF(A128="","",IF(OR(LEN(Q128)&gt;180,LEN(R128)&gt;180,LEN(S128)&gt;180,LEN(T128)&gt;180),"CAMINHO LONGO","OK"))</f>
      </c>
      <c r="AB128" s="3056">
        <f>IF(A128="","",IF(U128="","",IFERROR(INT(U128-TODAY()),"")))</f>
      </c>
      <c r="AC128" s="3056">
        <f>IF(A128="","",IF(AND(T128="",U128=""),"",IF(T128="","SEM CAMINHO",IF(U128="","SEM DATA",IFERROR(IF(AB128&lt;15,"VERMELHO",IF(AB128&lt;=30,"AMARELO","VERDE")),"DATA INVALIDA")))))</f>
      </c>
      <c r="AD128" s="3056">
        <f>IF(OR(A128="",U128="",NOT(ISNUMBER(AB128))),"",RANK(AB128,$AB$3:$AB$164,1)+COUNTIFS($AB$3:AB128,AB128)-1)</f>
      </c>
      <c r="AE128" s="1736"/>
    </row>
    <row r="129" spans="1:19" ht="22.0" hidden="false" customHeight="true" x14ac:dyDescent="0.25">
      <c r="A129" s="3079" t="s">
        <v>312</v>
      </c>
      <c r="B129" s="3078" t="s">
        <v>75</v>
      </c>
      <c r="C129" s="3078" t="s">
        <v>69</v>
      </c>
      <c r="D129" s="3078" t="s">
        <v>313</v>
      </c>
      <c r="E129" s="3078"/>
      <c r="F129" s="3078" t="s">
        <v>314</v>
      </c>
      <c r="G129" s="3078" t="s">
        <v>4</v>
      </c>
      <c r="H129" s="3078" t="s">
        <v>49</v>
      </c>
      <c r="I129" s="3078"/>
      <c r="J129" s="3078"/>
      <c r="K129" s="3078"/>
      <c r="L129" s="3078"/>
      <c r="M129" s="3078" t="s">
        <v>379</v>
      </c>
      <c r="N129" s="3078"/>
      <c r="O129" s="3078" t="s">
        <v>370</v>
      </c>
      <c r="P129" s="3078"/>
      <c r="Q129" s="3081"/>
      <c r="R129" s="3081"/>
      <c r="S129" s="3081"/>
      <c r="T129" s="3081"/>
      <c r="U129" s="3082"/>
      <c r="V129" s="3078"/>
      <c r="W129" s="3078"/>
      <c r="X129" s="3056">
        <f>IF(A129="","",IF(LEN(SUBSTITUTE(SUBSTITUTE(SUBSTITUTE(SUBSTITUTE(D129,".",""),"/",""),"-","")," ",""))&lt;&gt;14,"CNPJ INVALIDO","OK"))</f>
      </c>
      <c r="Y129" s="3056">
        <f>IF(A129="","",IF(R129="","REST PENDENTE","REST OK"))</f>
      </c>
      <c r="Z129" s="3056">
        <f>IF(A129="","",IF(AND(R129&lt;&gt;"",COUNTIFS($D$3:$D$164,D129,$R$3:$R$164,"&lt;&gt;")&gt;1),"DUPLICADO","OK"))</f>
      </c>
      <c r="AA129" s="3056">
        <f>IF(A129="","",IF(OR(LEN(Q129)&gt;180,LEN(R129)&gt;180,LEN(S129)&gt;180,LEN(T129)&gt;180),"CAMINHO LONGO","OK"))</f>
      </c>
      <c r="AB129" s="3056">
        <f>IF(A129="","",IF(U129="","",IFERROR(INT(U129-TODAY()),"")))</f>
      </c>
      <c r="AC129" s="3056">
        <f>IF(A129="","",IF(AND(T129="",U129=""),"",IF(T129="","SEM CAMINHO",IF(U129="","SEM DATA",IFERROR(IF(AB129&lt;15,"VERMELHO",IF(AB129&lt;=30,"AMARELO","VERDE")),"DATA INVALIDA")))))</f>
      </c>
      <c r="AD129" s="3056">
        <f>IF(OR(A129="",U129="",NOT(ISNUMBER(AB129))),"",RANK(AB129,$AB$3:$AB$164,1)+COUNTIFS($AB$3:AB129,AB129)-1)</f>
      </c>
      <c r="AE129" s="1736"/>
    </row>
    <row r="130" spans="1:19" ht="22.0" hidden="false" customHeight="true" x14ac:dyDescent="0.25">
      <c r="A130" s="3084" t="s">
        <v>315</v>
      </c>
      <c r="B130" s="3083" t="s">
        <v>45</v>
      </c>
      <c r="C130" s="3083" t="s">
        <v>316</v>
      </c>
      <c r="D130" s="3083" t="s">
        <v>317</v>
      </c>
      <c r="E130" s="3083"/>
      <c r="F130" s="3083"/>
      <c r="G130" s="3083" t="s">
        <v>13</v>
      </c>
      <c r="H130" s="3083"/>
      <c r="I130" s="3083"/>
      <c r="J130" s="3083"/>
      <c r="K130" s="3083"/>
      <c r="L130" s="3083"/>
      <c r="M130" s="3083" t="s">
        <v>399</v>
      </c>
      <c r="N130" s="3083" t="s">
        <v>374</v>
      </c>
      <c r="O130" s="3083" t="s">
        <v>367</v>
      </c>
      <c r="P130" s="3083"/>
      <c r="Q130" s="3086"/>
      <c r="R130" s="3086"/>
      <c r="S130" s="3086"/>
      <c r="T130" s="3086"/>
      <c r="U130" s="3087"/>
      <c r="V130" s="3083"/>
      <c r="W130" s="3083"/>
      <c r="X130" s="3056">
        <f>IF(A130="","",IF(LEN(SUBSTITUTE(SUBSTITUTE(SUBSTITUTE(SUBSTITUTE(D130,".",""),"/",""),"-","")," ",""))&lt;&gt;14,"CNPJ INVALIDO","OK"))</f>
      </c>
      <c r="Y130" s="3056">
        <f>IF(A130="","",IF(R130="","REST PENDENTE","REST OK"))</f>
      </c>
      <c r="Z130" s="3056">
        <f>IF(A130="","",IF(AND(R130&lt;&gt;"",COUNTIFS($D$3:$D$164,D130,$R$3:$R$164,"&lt;&gt;")&gt;1),"DUPLICADO","OK"))</f>
      </c>
      <c r="AA130" s="3056">
        <f>IF(A130="","",IF(OR(LEN(Q130)&gt;180,LEN(R130)&gt;180,LEN(S130)&gt;180,LEN(T130)&gt;180),"CAMINHO LONGO","OK"))</f>
      </c>
      <c r="AB130" s="3056">
        <f>IF(A130="","",IF(U130="","",IFERROR(INT(U130-TODAY()),"")))</f>
      </c>
      <c r="AC130" s="3056">
        <f>IF(A130="","",IF(AND(T130="",U130=""),"",IF(T130="","SEM CAMINHO",IF(U130="","SEM DATA",IFERROR(IF(AB130&lt;15,"VERMELHO",IF(AB130&lt;=30,"AMARELO","VERDE")),"DATA INVALIDA")))))</f>
      </c>
      <c r="AD130" s="3056">
        <f>IF(OR(A130="",U130="",NOT(ISNUMBER(AB130))),"",RANK(AB130,$AB$3:$AB$164,1)+COUNTIFS($AB$3:AB130,AB130)-1)</f>
      </c>
      <c r="AE130" s="1736"/>
    </row>
    <row r="131" spans="1:19" ht="22.0" hidden="false" customHeight="true" x14ac:dyDescent="0.25">
      <c r="A131" s="3079" t="s">
        <v>318</v>
      </c>
      <c r="B131" s="3078" t="s">
        <v>45</v>
      </c>
      <c r="C131" s="3078" t="s">
        <v>316</v>
      </c>
      <c r="D131" s="3078" t="s">
        <v>319</v>
      </c>
      <c r="E131" s="3078"/>
      <c r="F131" s="3078" t="s">
        <v>48</v>
      </c>
      <c r="G131" s="3078" t="s">
        <v>320</v>
      </c>
      <c r="H131" s="3078"/>
      <c r="I131" s="3078"/>
      <c r="J131" s="3078"/>
      <c r="K131" s="3078"/>
      <c r="L131" s="3078"/>
      <c r="M131" s="3078" t="s">
        <v>399</v>
      </c>
      <c r="N131" s="3078" t="s">
        <v>374</v>
      </c>
      <c r="O131" s="3078" t="s">
        <v>371</v>
      </c>
      <c r="P131" s="3078"/>
      <c r="Q131" s="3081"/>
      <c r="R131" s="3081"/>
      <c r="S131" s="3081"/>
      <c r="T131" s="3081"/>
      <c r="U131" s="3082"/>
      <c r="V131" s="3078"/>
      <c r="W131" s="3078"/>
      <c r="X131" s="3056">
        <f>IF(A131="","",IF(LEN(SUBSTITUTE(SUBSTITUTE(SUBSTITUTE(SUBSTITUTE(D131,".",""),"/",""),"-","")," ",""))&lt;&gt;14,"CNPJ INVALIDO","OK"))</f>
      </c>
      <c r="Y131" s="3056">
        <f>IF(A131="","",IF(R131="","REST PENDENTE","REST OK"))</f>
      </c>
      <c r="Z131" s="3056">
        <f>IF(A131="","",IF(AND(R131&lt;&gt;"",COUNTIFS($D$3:$D$164,D131,$R$3:$R$164,"&lt;&gt;")&gt;1),"DUPLICADO","OK"))</f>
      </c>
      <c r="AA131" s="3056">
        <f>IF(A131="","",IF(OR(LEN(Q131)&gt;180,LEN(R131)&gt;180,LEN(S131)&gt;180,LEN(T131)&gt;180),"CAMINHO LONGO","OK"))</f>
      </c>
      <c r="AB131" s="3056">
        <f>IF(A131="","",IF(U131="","",IFERROR(INT(U131-TODAY()),"")))</f>
      </c>
      <c r="AC131" s="3056">
        <f>IF(A131="","",IF(AND(T131="",U131=""),"",IF(T131="","SEM CAMINHO",IF(U131="","SEM DATA",IFERROR(IF(AB131&lt;15,"VERMELHO",IF(AB131&lt;=30,"AMARELO","VERDE")),"DATA INVALIDA")))))</f>
      </c>
      <c r="AD131" s="3056">
        <f>IF(OR(A131="",U131="",NOT(ISNUMBER(AB131))),"",RANK(AB131,$AB$3:$AB$164,1)+COUNTIFS($AB$3:AB131,AB131)-1)</f>
      </c>
      <c r="AE131" s="1736"/>
    </row>
    <row r="132" spans="1:19" ht="22.0" hidden="false" customHeight="true" x14ac:dyDescent="0.25">
      <c r="A132" s="3084" t="s">
        <v>321</v>
      </c>
      <c r="B132" s="3083" t="s">
        <v>45</v>
      </c>
      <c r="C132" s="3083" t="s">
        <v>316</v>
      </c>
      <c r="D132" s="3083" t="s">
        <v>322</v>
      </c>
      <c r="E132" s="3083"/>
      <c r="F132" s="3083" t="s">
        <v>48</v>
      </c>
      <c r="G132" s="3083" t="s">
        <v>320</v>
      </c>
      <c r="H132" s="3083"/>
      <c r="I132" s="3083"/>
      <c r="J132" s="3083"/>
      <c r="K132" s="3083"/>
      <c r="L132" s="3083"/>
      <c r="M132" s="3083" t="s">
        <v>379</v>
      </c>
      <c r="N132" s="3083" t="s">
        <v>374</v>
      </c>
      <c r="O132" s="3083" t="s">
        <v>370</v>
      </c>
      <c r="P132" s="3083"/>
      <c r="Q132" s="3086"/>
      <c r="R132" s="3086"/>
      <c r="S132" s="3086"/>
      <c r="T132" s="3086"/>
      <c r="U132" s="3087"/>
      <c r="V132" s="3083"/>
      <c r="W132" s="3083"/>
      <c r="X132" s="3056">
        <f>IF(A132="","",IF(LEN(SUBSTITUTE(SUBSTITUTE(SUBSTITUTE(SUBSTITUTE(D132,".",""),"/",""),"-","")," ",""))&lt;&gt;14,"CNPJ INVALIDO","OK"))</f>
      </c>
      <c r="Y132" s="3056">
        <f>IF(A132="","",IF(R132="","REST PENDENTE","REST OK"))</f>
      </c>
      <c r="Z132" s="3056">
        <f>IF(A132="","",IF(AND(R132&lt;&gt;"",COUNTIFS($D$3:$D$164,D132,$R$3:$R$164,"&lt;&gt;")&gt;1),"DUPLICADO","OK"))</f>
      </c>
      <c r="AA132" s="3056">
        <f>IF(A132="","",IF(OR(LEN(Q132)&gt;180,LEN(R132)&gt;180,LEN(S132)&gt;180,LEN(T132)&gt;180),"CAMINHO LONGO","OK"))</f>
      </c>
      <c r="AB132" s="3056">
        <f>IF(A132="","",IF(U132="","",IFERROR(INT(U132-TODAY()),"")))</f>
      </c>
      <c r="AC132" s="3056">
        <f>IF(A132="","",IF(AND(T132="",U132=""),"",IF(T132="","SEM CAMINHO",IF(U132="","SEM DATA",IFERROR(IF(AB132&lt;15,"VERMELHO",IF(AB132&lt;=30,"AMARELO","VERDE")),"DATA INVALIDA")))))</f>
      </c>
      <c r="AD132" s="3056">
        <f>IF(OR(A132="",U132="",NOT(ISNUMBER(AB132))),"",RANK(AB132,$AB$3:$AB$164,1)+COUNTIFS($AB$3:AB132,AB132)-1)</f>
      </c>
      <c r="AE132" s="1736"/>
    </row>
    <row r="133" spans="1:19" ht="22.0" hidden="false" customHeight="true" x14ac:dyDescent="0.25">
      <c r="A133" s="3079" t="s">
        <v>323</v>
      </c>
      <c r="B133" s="3078" t="s">
        <v>305</v>
      </c>
      <c r="C133" s="3078"/>
      <c r="D133" s="3078"/>
      <c r="E133" s="3078"/>
      <c r="F133" s="3078" t="s">
        <v>306</v>
      </c>
      <c r="G133" s="3078" t="s">
        <v>4</v>
      </c>
      <c r="H133" s="3078"/>
      <c r="I133" s="3078"/>
      <c r="J133" s="3078"/>
      <c r="K133" s="3078"/>
      <c r="L133" s="3078"/>
      <c r="M133" s="3078" t="s">
        <v>371</v>
      </c>
      <c r="N133" s="3078"/>
      <c r="O133" s="3078" t="s">
        <v>365</v>
      </c>
      <c r="P133" s="3078"/>
      <c r="Q133" s="3081"/>
      <c r="R133" s="3081"/>
      <c r="S133" s="3081"/>
      <c r="T133" s="3081"/>
      <c r="U133" s="3082"/>
      <c r="V133" s="3078"/>
      <c r="W133" s="3078"/>
      <c r="X133" s="3056">
        <f>IF(A133="","",IF(LEN(SUBSTITUTE(SUBSTITUTE(SUBSTITUTE(SUBSTITUTE(D133,".",""),"/",""),"-","")," ",""))&lt;&gt;14,"CNPJ INVALIDO","OK"))</f>
      </c>
      <c r="Y133" s="3056">
        <f>IF(A133="","",IF(R133="","REST PENDENTE","REST OK"))</f>
      </c>
      <c r="Z133" s="3056">
        <f>IF(A133="","",IF(AND(R133&lt;&gt;"",COUNTIFS($D$3:$D$164,D133,$R$3:$R$164,"&lt;&gt;")&gt;1),"DUPLICADO","OK"))</f>
      </c>
      <c r="AA133" s="3056">
        <f>IF(A133="","",IF(OR(LEN(Q133)&gt;180,LEN(R133)&gt;180,LEN(S133)&gt;180,LEN(T133)&gt;180),"CAMINHO LONGO","OK"))</f>
      </c>
      <c r="AB133" s="3056">
        <f>IF(A133="","",IF(U133="","",IFERROR(INT(U133-TODAY()),"")))</f>
      </c>
      <c r="AC133" s="3056">
        <f>IF(A133="","",IF(AND(T133="",U133=""),"",IF(T133="","SEM CAMINHO",IF(U133="","SEM DATA",IFERROR(IF(AB133&lt;15,"VERMELHO",IF(AB133&lt;=30,"AMARELO","VERDE")),"DATA INVALIDA")))))</f>
      </c>
      <c r="AD133" s="3056">
        <f>IF(OR(A133="",U133="",NOT(ISNUMBER(AB133))),"",RANK(AB133,$AB$3:$AB$164,1)+COUNTIFS($AB$3:AB133,AB133)-1)</f>
      </c>
      <c r="AE133" s="1736"/>
    </row>
    <row r="134" spans="1:19" ht="22.0" hidden="false" customHeight="true" x14ac:dyDescent="0.25">
      <c r="A134" s="3084" t="s">
        <v>324</v>
      </c>
      <c r="B134" s="3083" t="s">
        <v>75</v>
      </c>
      <c r="C134" s="3083"/>
      <c r="D134" s="3083"/>
      <c r="E134" s="3083"/>
      <c r="F134" s="3083"/>
      <c r="G134" s="3083"/>
      <c r="H134" s="3083"/>
      <c r="I134" s="3083"/>
      <c r="J134" s="3083"/>
      <c r="K134" s="3083"/>
      <c r="L134" s="3083"/>
      <c r="M134" s="3083" t="s">
        <v>371</v>
      </c>
      <c r="N134" s="3083"/>
      <c r="O134" s="3083" t="s">
        <v>371</v>
      </c>
      <c r="P134" s="3083"/>
      <c r="Q134" s="3086"/>
      <c r="R134" s="3086"/>
      <c r="S134" s="3086"/>
      <c r="T134" s="3086"/>
      <c r="U134" s="3087"/>
      <c r="V134" s="3083"/>
      <c r="W134" s="3083"/>
      <c r="X134" s="3056">
        <f>IF(A134="","",IF(LEN(SUBSTITUTE(SUBSTITUTE(SUBSTITUTE(SUBSTITUTE(D134,".",""),"/",""),"-","")," ",""))&lt;&gt;14,"CNPJ INVALIDO","OK"))</f>
      </c>
      <c r="Y134" s="3056">
        <f>IF(A134="","",IF(R134="","REST PENDENTE","REST OK"))</f>
      </c>
      <c r="Z134" s="3056">
        <f>IF(A134="","",IF(AND(R134&lt;&gt;"",COUNTIFS($D$3:$D$164,D134,$R$3:$R$164,"&lt;&gt;")&gt;1),"DUPLICADO","OK"))</f>
      </c>
      <c r="AA134" s="3056">
        <f>IF(A134="","",IF(OR(LEN(Q134)&gt;180,LEN(R134)&gt;180,LEN(S134)&gt;180,LEN(T134)&gt;180),"CAMINHO LONGO","OK"))</f>
      </c>
      <c r="AB134" s="3056">
        <f>IF(A134="","",IF(U134="","",IFERROR(INT(U134-TODAY()),"")))</f>
      </c>
      <c r="AC134" s="3056">
        <f>IF(A134="","",IF(AND(T134="",U134=""),"",IF(T134="","SEM CAMINHO",IF(U134="","SEM DATA",IFERROR(IF(AB134&lt;15,"VERMELHO",IF(AB134&lt;=30,"AMARELO","VERDE")),"DATA INVALIDA")))))</f>
      </c>
      <c r="AD134" s="3056">
        <f>IF(OR(A134="",U134="",NOT(ISNUMBER(AB134))),"",RANK(AB134,$AB$3:$AB$164,1)+COUNTIFS($AB$3:AB134,AB134)-1)</f>
      </c>
      <c r="AE134" s="1736"/>
    </row>
    <row r="135" ht="22.0" customHeight="true" hidden="false">
      <c r="A135" s="3079"/>
      <c r="B135" s="3078"/>
      <c r="C135" s="3078"/>
      <c r="D135" s="3078"/>
      <c r="E135" s="3078"/>
      <c r="F135" s="3078"/>
      <c r="G135" s="3078"/>
      <c r="H135" s="3078"/>
      <c r="I135" s="3078"/>
      <c r="J135" s="3078"/>
      <c r="K135" s="3078"/>
      <c r="L135" s="3078"/>
      <c r="M135" s="3078"/>
      <c r="N135" s="3078"/>
      <c r="O135" s="3078"/>
      <c r="P135" s="3078"/>
      <c r="Q135" s="3081"/>
      <c r="R135" s="3081"/>
      <c r="S135" s="3081"/>
      <c r="T135" s="3081"/>
      <c r="U135" s="3082"/>
      <c r="V135" s="3078"/>
      <c r="W135" s="3078"/>
      <c r="X135" s="3056">
        <f>IF(A135="","",IF(LEN(SUBSTITUTE(SUBSTITUTE(SUBSTITUTE(SUBSTITUTE(D135,".",""),"/",""),"-","")," ",""))&lt;&gt;14,"CNPJ INVALIDO","OK"))</f>
      </c>
      <c r="Y135" s="3056">
        <f>IF(A135="","",IF(R135="","REST PENDENTE","REST OK"))</f>
      </c>
      <c r="Z135" s="3056">
        <f>IF(A135="","",IF(AND(R135&lt;&gt;"",COUNTIFS($D$3:$D$164,D135,$R$3:$R$164,"&lt;&gt;")&gt;1),"DUPLICADO","OK"))</f>
      </c>
      <c r="AA135" s="3056">
        <f>IF(A135="","",IF(OR(LEN(Q135)&gt;180,LEN(R135)&gt;180,LEN(S135)&gt;180,LEN(T135)&gt;180),"CAMINHO LONGO","OK"))</f>
      </c>
      <c r="AB135" s="3056">
        <f>IF(A135="","",IF(U135="","",IFERROR(INT(U135-TODAY()),"")))</f>
      </c>
      <c r="AC135" s="3056">
        <f>IF(A135="","",IF(AND(T135="",U135=""),"",IF(T135="","SEM CAMINHO",IF(U135="","SEM DATA",IFERROR(IF(AB135&lt;15,"VERMELHO",IF(AB135&lt;=30,"AMARELO","VERDE")),"DATA INVALIDA")))))</f>
      </c>
      <c r="AD135" s="3056">
        <f>IF(OR(A135="",U135="",NOT(ISNUMBER(AB135))),"",RANK(AB135,$AB$3:$AB$164,1)+COUNTIFS($AB$3:AB135,AB135)-1)</f>
      </c>
      <c r="AE135" s="1736"/>
    </row>
    <row r="136" ht="22.0" customHeight="true" hidden="false">
      <c r="A136" s="3084"/>
      <c r="B136" s="3083"/>
      <c r="C136" s="3083"/>
      <c r="D136" s="3083"/>
      <c r="E136" s="3083"/>
      <c r="F136" s="3083"/>
      <c r="G136" s="3083"/>
      <c r="H136" s="3083"/>
      <c r="I136" s="3083"/>
      <c r="J136" s="3083"/>
      <c r="K136" s="3083"/>
      <c r="L136" s="3083"/>
      <c r="M136" s="3083"/>
      <c r="N136" s="3083"/>
      <c r="O136" s="3083"/>
      <c r="P136" s="3083"/>
      <c r="Q136" s="3086"/>
      <c r="R136" s="3086"/>
      <c r="S136" s="3086"/>
      <c r="T136" s="3086"/>
      <c r="U136" s="3087"/>
      <c r="V136" s="3083"/>
      <c r="W136" s="3083"/>
      <c r="X136" s="3056">
        <f>IF(A136="","",IF(LEN(SUBSTITUTE(SUBSTITUTE(SUBSTITUTE(SUBSTITUTE(D136,".",""),"/",""),"-","")," ",""))&lt;&gt;14,"CNPJ INVALIDO","OK"))</f>
      </c>
      <c r="Y136" s="3056">
        <f>IF(A136="","",IF(R136="","REST PENDENTE","REST OK"))</f>
      </c>
      <c r="Z136" s="3056">
        <f>IF(A136="","",IF(AND(R136&lt;&gt;"",COUNTIFS($D$3:$D$164,D136,$R$3:$R$164,"&lt;&gt;")&gt;1),"DUPLICADO","OK"))</f>
      </c>
      <c r="AA136" s="3056">
        <f>IF(A136="","",IF(OR(LEN(Q136)&gt;180,LEN(R136)&gt;180,LEN(S136)&gt;180,LEN(T136)&gt;180),"CAMINHO LONGO","OK"))</f>
      </c>
      <c r="AB136" s="3056">
        <f>IF(A136="","",IF(U136="","",IFERROR(INT(U136-TODAY()),"")))</f>
      </c>
      <c r="AC136" s="3056">
        <f>IF(A136="","",IF(AND(T136="",U136=""),"",IF(T136="","SEM CAMINHO",IF(U136="","SEM DATA",IFERROR(IF(AB136&lt;15,"VERMELHO",IF(AB136&lt;=30,"AMARELO","VERDE")),"DATA INVALIDA")))))</f>
      </c>
      <c r="AD136" s="3056">
        <f>IF(OR(A136="",U136="",NOT(ISNUMBER(AB136))),"",RANK(AB136,$AB$3:$AB$164,1)+COUNTIFS($AB$3:AB136,AB136)-1)</f>
      </c>
      <c r="AE136" s="1736"/>
    </row>
    <row r="137" ht="22.0" customHeight="true" hidden="false">
      <c r="A137" s="3079"/>
      <c r="B137" s="3078"/>
      <c r="C137" s="3078"/>
      <c r="D137" s="3078"/>
      <c r="E137" s="3078"/>
      <c r="F137" s="3078"/>
      <c r="G137" s="3078"/>
      <c r="H137" s="3078"/>
      <c r="I137" s="3078"/>
      <c r="J137" s="3078"/>
      <c r="K137" s="3078"/>
      <c r="L137" s="3078"/>
      <c r="M137" s="3078"/>
      <c r="N137" s="3078"/>
      <c r="O137" s="3078"/>
      <c r="P137" s="3078"/>
      <c r="Q137" s="3081"/>
      <c r="R137" s="3081"/>
      <c r="S137" s="3081"/>
      <c r="T137" s="3081"/>
      <c r="U137" s="3082"/>
      <c r="V137" s="3078"/>
      <c r="W137" s="3078"/>
      <c r="X137" s="3056">
        <f>IF(A137="","",IF(LEN(SUBSTITUTE(SUBSTITUTE(SUBSTITUTE(SUBSTITUTE(D137,".",""),"/",""),"-","")," ",""))&lt;&gt;14,"CNPJ INVALIDO","OK"))</f>
      </c>
      <c r="Y137" s="3056">
        <f>IF(A137="","",IF(R137="","REST PENDENTE","REST OK"))</f>
      </c>
      <c r="Z137" s="3056">
        <f>IF(A137="","",IF(AND(R137&lt;&gt;"",COUNTIFS($D$3:$D$164,D137,$R$3:$R$164,"&lt;&gt;")&gt;1),"DUPLICADO","OK"))</f>
      </c>
      <c r="AA137" s="3056">
        <f>IF(A137="","",IF(OR(LEN(Q137)&gt;180,LEN(R137)&gt;180,LEN(S137)&gt;180,LEN(T137)&gt;180),"CAMINHO LONGO","OK"))</f>
      </c>
      <c r="AB137" s="3056">
        <f>IF(A137="","",IF(U137="","",IFERROR(INT(U137-TODAY()),"")))</f>
      </c>
      <c r="AC137" s="3056">
        <f>IF(A137="","",IF(AND(T137="",U137=""),"",IF(T137="","SEM CAMINHO",IF(U137="","SEM DATA",IFERROR(IF(AB137&lt;15,"VERMELHO",IF(AB137&lt;=30,"AMARELO","VERDE")),"DATA INVALIDA")))))</f>
      </c>
      <c r="AD137" s="3056">
        <f>IF(OR(A137="",U137="",NOT(ISNUMBER(AB137))),"",RANK(AB137,$AB$3:$AB$164,1)+COUNTIFS($AB$3:AB137,AB137)-1)</f>
      </c>
      <c r="AE137" s="1736"/>
    </row>
    <row r="138" ht="22.0" customHeight="true" hidden="false">
      <c r="A138" s="3084"/>
      <c r="B138" s="3083"/>
      <c r="C138" s="3083"/>
      <c r="D138" s="3083"/>
      <c r="E138" s="3083"/>
      <c r="F138" s="3083"/>
      <c r="G138" s="3083"/>
      <c r="H138" s="3083"/>
      <c r="I138" s="3083"/>
      <c r="J138" s="3083"/>
      <c r="K138" s="3083"/>
      <c r="L138" s="3083"/>
      <c r="M138" s="3083"/>
      <c r="N138" s="3083"/>
      <c r="O138" s="3083"/>
      <c r="P138" s="3083"/>
      <c r="Q138" s="3086"/>
      <c r="R138" s="3086"/>
      <c r="S138" s="3086"/>
      <c r="T138" s="3086"/>
      <c r="U138" s="3087"/>
      <c r="V138" s="3083"/>
      <c r="W138" s="3083"/>
      <c r="X138" s="3056">
        <f>IF(A138="","",IF(LEN(SUBSTITUTE(SUBSTITUTE(SUBSTITUTE(SUBSTITUTE(D138,".",""),"/",""),"-","")," ",""))&lt;&gt;14,"CNPJ INVALIDO","OK"))</f>
      </c>
      <c r="Y138" s="3056">
        <f>IF(A138="","",IF(R138="","REST PENDENTE","REST OK"))</f>
      </c>
      <c r="Z138" s="3056">
        <f>IF(A138="","",IF(AND(R138&lt;&gt;"",COUNTIFS($D$3:$D$164,D138,$R$3:$R$164,"&lt;&gt;")&gt;1),"DUPLICADO","OK"))</f>
      </c>
      <c r="AA138" s="3056">
        <f>IF(A138="","",IF(OR(LEN(Q138)&gt;180,LEN(R138)&gt;180,LEN(S138)&gt;180,LEN(T138)&gt;180),"CAMINHO LONGO","OK"))</f>
      </c>
      <c r="AB138" s="3056">
        <f>IF(A138="","",IF(U138="","",IFERROR(INT(U138-TODAY()),"")))</f>
      </c>
      <c r="AC138" s="3056">
        <f>IF(A138="","",IF(AND(T138="",U138=""),"",IF(T138="","SEM CAMINHO",IF(U138="","SEM DATA",IFERROR(IF(AB138&lt;15,"VERMELHO",IF(AB138&lt;=30,"AMARELO","VERDE")),"DATA INVALIDA")))))</f>
      </c>
      <c r="AD138" s="3056">
        <f>IF(OR(A138="",U138="",NOT(ISNUMBER(AB138))),"",RANK(AB138,$AB$3:$AB$164,1)+COUNTIFS($AB$3:AB138,AB138)-1)</f>
      </c>
      <c r="AE138" s="1736"/>
    </row>
    <row r="139" ht="22.0" customHeight="true" hidden="false">
      <c r="A139" s="3079"/>
      <c r="B139" s="3078"/>
      <c r="C139" s="3078"/>
      <c r="D139" s="3078"/>
      <c r="E139" s="3078"/>
      <c r="F139" s="3078"/>
      <c r="G139" s="3078"/>
      <c r="H139" s="3078"/>
      <c r="I139" s="3078"/>
      <c r="J139" s="3078"/>
      <c r="K139" s="3078"/>
      <c r="L139" s="3078"/>
      <c r="M139" s="3078"/>
      <c r="N139" s="3078"/>
      <c r="O139" s="3078"/>
      <c r="P139" s="3078"/>
      <c r="Q139" s="3081"/>
      <c r="R139" s="3081"/>
      <c r="S139" s="3081"/>
      <c r="T139" s="3081"/>
      <c r="U139" s="3082"/>
      <c r="V139" s="3078"/>
      <c r="W139" s="3078"/>
      <c r="X139" s="3056">
        <f>IF(A139="","",IF(LEN(SUBSTITUTE(SUBSTITUTE(SUBSTITUTE(SUBSTITUTE(D139,".",""),"/",""),"-","")," ",""))&lt;&gt;14,"CNPJ INVALIDO","OK"))</f>
      </c>
      <c r="Y139" s="3056">
        <f>IF(A139="","",IF(R139="","REST PENDENTE","REST OK"))</f>
      </c>
      <c r="Z139" s="3056">
        <f>IF(A139="","",IF(AND(R139&lt;&gt;"",COUNTIFS($D$3:$D$164,D139,$R$3:$R$164,"&lt;&gt;")&gt;1),"DUPLICADO","OK"))</f>
      </c>
      <c r="AA139" s="3056">
        <f>IF(A139="","",IF(OR(LEN(Q139)&gt;180,LEN(R139)&gt;180,LEN(S139)&gt;180,LEN(T139)&gt;180),"CAMINHO LONGO","OK"))</f>
      </c>
      <c r="AB139" s="3056">
        <f>IF(A139="","",IF(U139="","",IFERROR(INT(U139-TODAY()),"")))</f>
      </c>
      <c r="AC139" s="3056">
        <f>IF(A139="","",IF(AND(T139="",U139=""),"",IF(T139="","SEM CAMINHO",IF(U139="","SEM DATA",IFERROR(IF(AB139&lt;15,"VERMELHO",IF(AB139&lt;=30,"AMARELO","VERDE")),"DATA INVALIDA")))))</f>
      </c>
      <c r="AD139" s="3056">
        <f>IF(OR(A139="",U139="",NOT(ISNUMBER(AB139))),"",RANK(AB139,$AB$3:$AB$164,1)+COUNTIFS($AB$3:AB139,AB139)-1)</f>
      </c>
      <c r="AE139" s="1736"/>
    </row>
    <row r="140" ht="22.0" customHeight="true" hidden="false">
      <c r="A140" s="3084"/>
      <c r="B140" s="3083"/>
      <c r="C140" s="3083"/>
      <c r="D140" s="3083"/>
      <c r="E140" s="3083"/>
      <c r="F140" s="3083"/>
      <c r="G140" s="3083"/>
      <c r="H140" s="3083"/>
      <c r="I140" s="3083"/>
      <c r="J140" s="3083"/>
      <c r="K140" s="3083"/>
      <c r="L140" s="3083"/>
      <c r="M140" s="3083"/>
      <c r="N140" s="3083"/>
      <c r="O140" s="3083"/>
      <c r="P140" s="3083"/>
      <c r="Q140" s="3086"/>
      <c r="R140" s="3086"/>
      <c r="S140" s="3086"/>
      <c r="T140" s="3086"/>
      <c r="U140" s="3087"/>
      <c r="V140" s="3083"/>
      <c r="W140" s="3083"/>
      <c r="X140" s="3056">
        <f>IF(A140="","",IF(LEN(SUBSTITUTE(SUBSTITUTE(SUBSTITUTE(SUBSTITUTE(D140,".",""),"/",""),"-","")," ",""))&lt;&gt;14,"CNPJ INVALIDO","OK"))</f>
      </c>
      <c r="Y140" s="3056">
        <f>IF(A140="","",IF(R140="","REST PENDENTE","REST OK"))</f>
      </c>
      <c r="Z140" s="3056">
        <f>IF(A140="","",IF(AND(R140&lt;&gt;"",COUNTIFS($D$3:$D$164,D140,$R$3:$R$164,"&lt;&gt;")&gt;1),"DUPLICADO","OK"))</f>
      </c>
      <c r="AA140" s="3056">
        <f>IF(A140="","",IF(OR(LEN(Q140)&gt;180,LEN(R140)&gt;180,LEN(S140)&gt;180,LEN(T140)&gt;180),"CAMINHO LONGO","OK"))</f>
      </c>
      <c r="AB140" s="3056">
        <f>IF(A140="","",IF(U140="","",IFERROR(INT(U140-TODAY()),"")))</f>
      </c>
      <c r="AC140" s="3056">
        <f>IF(A140="","",IF(AND(T140="",U140=""),"",IF(T140="","SEM CAMINHO",IF(U140="","SEM DATA",IFERROR(IF(AB140&lt;15,"VERMELHO",IF(AB140&lt;=30,"AMARELO","VERDE")),"DATA INVALIDA")))))</f>
      </c>
      <c r="AD140" s="3056">
        <f>IF(OR(A140="",U140="",NOT(ISNUMBER(AB140))),"",RANK(AB140,$AB$3:$AB$164,1)+COUNTIFS($AB$3:AB140,AB140)-1)</f>
      </c>
      <c r="AE140" s="1736"/>
    </row>
    <row r="141" ht="22.0" customHeight="true" hidden="false">
      <c r="A141" s="3079"/>
      <c r="B141" s="3078"/>
      <c r="C141" s="3078"/>
      <c r="D141" s="3078"/>
      <c r="E141" s="3078"/>
      <c r="F141" s="3078"/>
      <c r="G141" s="3078"/>
      <c r="H141" s="3078"/>
      <c r="I141" s="3078"/>
      <c r="J141" s="3078"/>
      <c r="K141" s="3078"/>
      <c r="L141" s="3078"/>
      <c r="M141" s="3078"/>
      <c r="N141" s="3078"/>
      <c r="O141" s="3078"/>
      <c r="P141" s="3078"/>
      <c r="Q141" s="3081"/>
      <c r="R141" s="3081"/>
      <c r="S141" s="3081"/>
      <c r="T141" s="3081"/>
      <c r="U141" s="3082"/>
      <c r="V141" s="3078"/>
      <c r="W141" s="3078"/>
      <c r="X141" s="3056">
        <f>IF(A141="","",IF(LEN(SUBSTITUTE(SUBSTITUTE(SUBSTITUTE(SUBSTITUTE(D141,".",""),"/",""),"-","")," ",""))&lt;&gt;14,"CNPJ INVALIDO","OK"))</f>
      </c>
      <c r="Y141" s="3056">
        <f>IF(A141="","",IF(R141="","REST PENDENTE","REST OK"))</f>
      </c>
      <c r="Z141" s="3056">
        <f>IF(A141="","",IF(AND(R141&lt;&gt;"",COUNTIFS($D$3:$D$164,D141,$R$3:$R$164,"&lt;&gt;")&gt;1),"DUPLICADO","OK"))</f>
      </c>
      <c r="AA141" s="3056">
        <f>IF(A141="","",IF(OR(LEN(Q141)&gt;180,LEN(R141)&gt;180,LEN(S141)&gt;180,LEN(T141)&gt;180),"CAMINHO LONGO","OK"))</f>
      </c>
      <c r="AB141" s="3056">
        <f>IF(A141="","",IF(U141="","",IFERROR(INT(U141-TODAY()),"")))</f>
      </c>
      <c r="AC141" s="3056">
        <f>IF(A141="","",IF(AND(T141="",U141=""),"",IF(T141="","SEM CAMINHO",IF(U141="","SEM DATA",IFERROR(IF(AB141&lt;15,"VERMELHO",IF(AB141&lt;=30,"AMARELO","VERDE")),"DATA INVALIDA")))))</f>
      </c>
      <c r="AD141" s="3056">
        <f>IF(OR(A141="",U141="",NOT(ISNUMBER(AB141))),"",RANK(AB141,$AB$3:$AB$164,1)+COUNTIFS($AB$3:AB141,AB141)-1)</f>
      </c>
      <c r="AE141" s="1736"/>
    </row>
    <row r="142" ht="22.0" customHeight="true" hidden="false">
      <c r="A142" s="3084"/>
      <c r="B142" s="3083"/>
      <c r="C142" s="3083"/>
      <c r="D142" s="3083"/>
      <c r="E142" s="3083"/>
      <c r="F142" s="3083"/>
      <c r="G142" s="3083"/>
      <c r="H142" s="3083"/>
      <c r="I142" s="3083"/>
      <c r="J142" s="3083"/>
      <c r="K142" s="3083"/>
      <c r="L142" s="3083"/>
      <c r="M142" s="3083"/>
      <c r="N142" s="3083"/>
      <c r="O142" s="3083"/>
      <c r="P142" s="3083"/>
      <c r="Q142" s="3086"/>
      <c r="R142" s="3086"/>
      <c r="S142" s="3086"/>
      <c r="T142" s="3086"/>
      <c r="U142" s="3087"/>
      <c r="V142" s="3083"/>
      <c r="W142" s="3083"/>
      <c r="X142" s="3056">
        <f>IF(A142="","",IF(LEN(SUBSTITUTE(SUBSTITUTE(SUBSTITUTE(SUBSTITUTE(D142,".",""),"/",""),"-","")," ",""))&lt;&gt;14,"CNPJ INVALIDO","OK"))</f>
      </c>
      <c r="Y142" s="3056">
        <f>IF(A142="","",IF(R142="","REST PENDENTE","REST OK"))</f>
      </c>
      <c r="Z142" s="3056">
        <f>IF(A142="","",IF(AND(R142&lt;&gt;"",COUNTIFS($D$3:$D$164,D142,$R$3:$R$164,"&lt;&gt;")&gt;1),"DUPLICADO","OK"))</f>
      </c>
      <c r="AA142" s="3056">
        <f>IF(A142="","",IF(OR(LEN(Q142)&gt;180,LEN(R142)&gt;180,LEN(S142)&gt;180,LEN(T142)&gt;180),"CAMINHO LONGO","OK"))</f>
      </c>
      <c r="AB142" s="3056">
        <f>IF(A142="","",IF(U142="","",IFERROR(INT(U142-TODAY()),"")))</f>
      </c>
      <c r="AC142" s="3056">
        <f>IF(A142="","",IF(AND(T142="",U142=""),"",IF(T142="","SEM CAMINHO",IF(U142="","SEM DATA",IFERROR(IF(AB142&lt;15,"VERMELHO",IF(AB142&lt;=30,"AMARELO","VERDE")),"DATA INVALIDA")))))</f>
      </c>
      <c r="AD142" s="3056">
        <f>IF(OR(A142="",U142="",NOT(ISNUMBER(AB142))),"",RANK(AB142,$AB$3:$AB$164,1)+COUNTIFS($AB$3:AB142,AB142)-1)</f>
      </c>
      <c r="AE142" s="1736"/>
    </row>
    <row r="143" ht="22.0" customHeight="true" hidden="false">
      <c r="A143" s="3079"/>
      <c r="B143" s="3078"/>
      <c r="C143" s="3078"/>
      <c r="D143" s="3078"/>
      <c r="E143" s="3078"/>
      <c r="F143" s="3078"/>
      <c r="G143" s="3078"/>
      <c r="H143" s="3078"/>
      <c r="I143" s="3078"/>
      <c r="J143" s="3078"/>
      <c r="K143" s="3078"/>
      <c r="L143" s="3078"/>
      <c r="M143" s="3078"/>
      <c r="N143" s="3078"/>
      <c r="O143" s="3078"/>
      <c r="P143" s="3078"/>
      <c r="Q143" s="3081"/>
      <c r="R143" s="3081"/>
      <c r="S143" s="3081"/>
      <c r="T143" s="3081"/>
      <c r="U143" s="3082"/>
      <c r="V143" s="3078"/>
      <c r="W143" s="3078"/>
      <c r="X143" s="3056">
        <f>IF(A143="","",IF(LEN(SUBSTITUTE(SUBSTITUTE(SUBSTITUTE(SUBSTITUTE(D143,".",""),"/",""),"-","")," ",""))&lt;&gt;14,"CNPJ INVALIDO","OK"))</f>
      </c>
      <c r="Y143" s="3056">
        <f>IF(A143="","",IF(R143="","REST PENDENTE","REST OK"))</f>
      </c>
      <c r="Z143" s="3056">
        <f>IF(A143="","",IF(AND(R143&lt;&gt;"",COUNTIFS($D$3:$D$164,D143,$R$3:$R$164,"&lt;&gt;")&gt;1),"DUPLICADO","OK"))</f>
      </c>
      <c r="AA143" s="3056">
        <f>IF(A143="","",IF(OR(LEN(Q143)&gt;180,LEN(R143)&gt;180,LEN(S143)&gt;180,LEN(T143)&gt;180),"CAMINHO LONGO","OK"))</f>
      </c>
      <c r="AB143" s="3056">
        <f>IF(A143="","",IF(U143="","",IFERROR(INT(U143-TODAY()),"")))</f>
      </c>
      <c r="AC143" s="3056">
        <f>IF(A143="","",IF(AND(T143="",U143=""),"",IF(T143="","SEM CAMINHO",IF(U143="","SEM DATA",IFERROR(IF(AB143&lt;15,"VERMELHO",IF(AB143&lt;=30,"AMARELO","VERDE")),"DATA INVALIDA")))))</f>
      </c>
      <c r="AD143" s="3056">
        <f>IF(OR(A143="",U143="",NOT(ISNUMBER(AB143))),"",RANK(AB143,$AB$3:$AB$164,1)+COUNTIFS($AB$3:AB143,AB143)-1)</f>
      </c>
      <c r="AE143" s="1736"/>
    </row>
    <row r="144" ht="22.0" customHeight="true" hidden="false">
      <c r="A144" s="3084"/>
      <c r="B144" s="3083"/>
      <c r="C144" s="3083"/>
      <c r="D144" s="3083"/>
      <c r="E144" s="3083"/>
      <c r="F144" s="3083"/>
      <c r="G144" s="3083"/>
      <c r="H144" s="3083"/>
      <c r="I144" s="3083"/>
      <c r="J144" s="3083"/>
      <c r="K144" s="3083"/>
      <c r="L144" s="3083"/>
      <c r="M144" s="3083"/>
      <c r="N144" s="3083"/>
      <c r="O144" s="3083"/>
      <c r="P144" s="3083"/>
      <c r="Q144" s="3086"/>
      <c r="R144" s="3086"/>
      <c r="S144" s="3086"/>
      <c r="T144" s="3086"/>
      <c r="U144" s="3087"/>
      <c r="V144" s="3083"/>
      <c r="W144" s="3083"/>
      <c r="X144" s="3056">
        <f>IF(A144="","",IF(LEN(SUBSTITUTE(SUBSTITUTE(SUBSTITUTE(SUBSTITUTE(D144,".",""),"/",""),"-","")," ",""))&lt;&gt;14,"CNPJ INVALIDO","OK"))</f>
      </c>
      <c r="Y144" s="3056">
        <f>IF(A144="","",IF(R144="","REST PENDENTE","REST OK"))</f>
      </c>
      <c r="Z144" s="3056">
        <f>IF(A144="","",IF(AND(R144&lt;&gt;"",COUNTIFS($D$3:$D$164,D144,$R$3:$R$164,"&lt;&gt;")&gt;1),"DUPLICADO","OK"))</f>
      </c>
      <c r="AA144" s="3056">
        <f>IF(A144="","",IF(OR(LEN(Q144)&gt;180,LEN(R144)&gt;180,LEN(S144)&gt;180,LEN(T144)&gt;180),"CAMINHO LONGO","OK"))</f>
      </c>
      <c r="AB144" s="3056">
        <f>IF(A144="","",IF(U144="","",IFERROR(INT(U144-TODAY()),"")))</f>
      </c>
      <c r="AC144" s="3056">
        <f>IF(A144="","",IF(AND(T144="",U144=""),"",IF(T144="","SEM CAMINHO",IF(U144="","SEM DATA",IFERROR(IF(AB144&lt;15,"VERMELHO",IF(AB144&lt;=30,"AMARELO","VERDE")),"DATA INVALIDA")))))</f>
      </c>
      <c r="AD144" s="3056">
        <f>IF(OR(A144="",U144="",NOT(ISNUMBER(AB144))),"",RANK(AB144,$AB$3:$AB$164,1)+COUNTIFS($AB$3:AB144,AB144)-1)</f>
      </c>
      <c r="AE144" s="1736"/>
    </row>
    <row r="145" ht="22.0" customHeight="true" hidden="false">
      <c r="A145" s="3079"/>
      <c r="B145" s="3078"/>
      <c r="C145" s="3078"/>
      <c r="D145" s="3078"/>
      <c r="E145" s="3078"/>
      <c r="F145" s="3078"/>
      <c r="G145" s="3078"/>
      <c r="H145" s="3078"/>
      <c r="I145" s="3078"/>
      <c r="J145" s="3078"/>
      <c r="K145" s="3078"/>
      <c r="L145" s="3078"/>
      <c r="M145" s="3078"/>
      <c r="N145" s="3078"/>
      <c r="O145" s="3078"/>
      <c r="P145" s="3078"/>
      <c r="Q145" s="3081"/>
      <c r="R145" s="3081"/>
      <c r="S145" s="3081"/>
      <c r="T145" s="3081"/>
      <c r="U145" s="3082"/>
      <c r="V145" s="3078"/>
      <c r="W145" s="3078"/>
      <c r="X145" s="3056">
        <f>IF(A145="","",IF(LEN(SUBSTITUTE(SUBSTITUTE(SUBSTITUTE(SUBSTITUTE(D145,".",""),"/",""),"-","")," ",""))&lt;&gt;14,"CNPJ INVALIDO","OK"))</f>
      </c>
      <c r="Y145" s="3056">
        <f>IF(A145="","",IF(R145="","REST PENDENTE","REST OK"))</f>
      </c>
      <c r="Z145" s="3056">
        <f>IF(A145="","",IF(AND(R145&lt;&gt;"",COUNTIFS($D$3:$D$164,D145,$R$3:$R$164,"&lt;&gt;")&gt;1),"DUPLICADO","OK"))</f>
      </c>
      <c r="AA145" s="3056">
        <f>IF(A145="","",IF(OR(LEN(Q145)&gt;180,LEN(R145)&gt;180,LEN(S145)&gt;180,LEN(T145)&gt;180),"CAMINHO LONGO","OK"))</f>
      </c>
      <c r="AB145" s="3056">
        <f>IF(A145="","",IF(U145="","",IFERROR(INT(U145-TODAY()),"")))</f>
      </c>
      <c r="AC145" s="3056">
        <f>IF(A145="","",IF(AND(T145="",U145=""),"",IF(T145="","SEM CAMINHO",IF(U145="","SEM DATA",IFERROR(IF(AB145&lt;15,"VERMELHO",IF(AB145&lt;=30,"AMARELO","VERDE")),"DATA INVALIDA")))))</f>
      </c>
      <c r="AD145" s="3056">
        <f>IF(OR(A145="",U145="",NOT(ISNUMBER(AB145))),"",RANK(AB145,$AB$3:$AB$164,1)+COUNTIFS($AB$3:AB145,AB145)-1)</f>
      </c>
      <c r="AE145" s="1736"/>
    </row>
    <row r="146" ht="22.0" customHeight="true" hidden="false">
      <c r="A146" s="3084"/>
      <c r="B146" s="3083"/>
      <c r="C146" s="3083"/>
      <c r="D146" s="3083"/>
      <c r="E146" s="3083"/>
      <c r="F146" s="3083"/>
      <c r="G146" s="3083"/>
      <c r="H146" s="3083"/>
      <c r="I146" s="3083"/>
      <c r="J146" s="3083"/>
      <c r="K146" s="3083"/>
      <c r="L146" s="3083"/>
      <c r="M146" s="3083"/>
      <c r="N146" s="3083"/>
      <c r="O146" s="3083"/>
      <c r="P146" s="3083"/>
      <c r="Q146" s="3086"/>
      <c r="R146" s="3086"/>
      <c r="S146" s="3086"/>
      <c r="T146" s="3086"/>
      <c r="U146" s="3087"/>
      <c r="V146" s="3083"/>
      <c r="W146" s="3083"/>
      <c r="X146" s="3056">
        <f>IF(A146="","",IF(LEN(SUBSTITUTE(SUBSTITUTE(SUBSTITUTE(SUBSTITUTE(D146,".",""),"/",""),"-","")," ",""))&lt;&gt;14,"CNPJ INVALIDO","OK"))</f>
      </c>
      <c r="Y146" s="3056">
        <f>IF(A146="","",IF(R146="","REST PENDENTE","REST OK"))</f>
      </c>
      <c r="Z146" s="3056">
        <f>IF(A146="","",IF(AND(R146&lt;&gt;"",COUNTIFS($D$3:$D$164,D146,$R$3:$R$164,"&lt;&gt;")&gt;1),"DUPLICADO","OK"))</f>
      </c>
      <c r="AA146" s="3056">
        <f>IF(A146="","",IF(OR(LEN(Q146)&gt;180,LEN(R146)&gt;180,LEN(S146)&gt;180,LEN(T146)&gt;180),"CAMINHO LONGO","OK"))</f>
      </c>
      <c r="AB146" s="3056">
        <f>IF(A146="","",IF(U146="","",IFERROR(INT(U146-TODAY()),"")))</f>
      </c>
      <c r="AC146" s="3056">
        <f>IF(A146="","",IF(AND(T146="",U146=""),"",IF(T146="","SEM CAMINHO",IF(U146="","SEM DATA",IFERROR(IF(AB146&lt;15,"VERMELHO",IF(AB146&lt;=30,"AMARELO","VERDE")),"DATA INVALIDA")))))</f>
      </c>
      <c r="AD146" s="3056">
        <f>IF(OR(A146="",U146="",NOT(ISNUMBER(AB146))),"",RANK(AB146,$AB$3:$AB$164,1)+COUNTIFS($AB$3:AB146,AB146)-1)</f>
      </c>
      <c r="AE146" s="1736"/>
    </row>
    <row r="147" ht="22.0" customHeight="true" hidden="false">
      <c r="A147" s="3079"/>
      <c r="B147" s="3078"/>
      <c r="C147" s="3078"/>
      <c r="D147" s="3078"/>
      <c r="E147" s="3078"/>
      <c r="F147" s="3078"/>
      <c r="G147" s="3078"/>
      <c r="H147" s="3078"/>
      <c r="I147" s="3078"/>
      <c r="J147" s="3078"/>
      <c r="K147" s="3078"/>
      <c r="L147" s="3078"/>
      <c r="M147" s="3078"/>
      <c r="N147" s="3078"/>
      <c r="O147" s="3078"/>
      <c r="P147" s="3078"/>
      <c r="Q147" s="3081"/>
      <c r="R147" s="3081"/>
      <c r="S147" s="3081"/>
      <c r="T147" s="3081"/>
      <c r="U147" s="3082"/>
      <c r="V147" s="3078"/>
      <c r="W147" s="3078"/>
      <c r="X147" s="3056">
        <f>IF(A147="","",IF(LEN(SUBSTITUTE(SUBSTITUTE(SUBSTITUTE(SUBSTITUTE(D147,".",""),"/",""),"-","")," ",""))&lt;&gt;14,"CNPJ INVALIDO","OK"))</f>
      </c>
      <c r="Y147" s="3056">
        <f>IF(A147="","",IF(R147="","REST PENDENTE","REST OK"))</f>
      </c>
      <c r="Z147" s="3056">
        <f>IF(A147="","",IF(AND(R147&lt;&gt;"",COUNTIFS($D$3:$D$164,D147,$R$3:$R$164,"&lt;&gt;")&gt;1),"DUPLICADO","OK"))</f>
      </c>
      <c r="AA147" s="3056">
        <f>IF(A147="","",IF(OR(LEN(Q147)&gt;180,LEN(R147)&gt;180,LEN(S147)&gt;180,LEN(T147)&gt;180),"CAMINHO LONGO","OK"))</f>
      </c>
      <c r="AB147" s="3056">
        <f>IF(A147="","",IF(U147="","",IFERROR(INT(U147-TODAY()),"")))</f>
      </c>
      <c r="AC147" s="3056">
        <f>IF(A147="","",IF(AND(T147="",U147=""),"",IF(T147="","SEM CAMINHO",IF(U147="","SEM DATA",IFERROR(IF(AB147&lt;15,"VERMELHO",IF(AB147&lt;=30,"AMARELO","VERDE")),"DATA INVALIDA")))))</f>
      </c>
      <c r="AD147" s="3056">
        <f>IF(OR(A147="",U147="",NOT(ISNUMBER(AB147))),"",RANK(AB147,$AB$3:$AB$164,1)+COUNTIFS($AB$3:AB147,AB147)-1)</f>
      </c>
      <c r="AE147" s="1736"/>
    </row>
    <row r="148" ht="22.0" customHeight="true" hidden="false">
      <c r="A148" s="3084"/>
      <c r="B148" s="3083"/>
      <c r="C148" s="3083"/>
      <c r="D148" s="3083"/>
      <c r="E148" s="3083"/>
      <c r="F148" s="3083"/>
      <c r="G148" s="3083"/>
      <c r="H148" s="3083"/>
      <c r="I148" s="3083"/>
      <c r="J148" s="3083"/>
      <c r="K148" s="3083"/>
      <c r="L148" s="3083"/>
      <c r="M148" s="3083"/>
      <c r="N148" s="3083"/>
      <c r="O148" s="3083"/>
      <c r="P148" s="3083"/>
      <c r="Q148" s="3086"/>
      <c r="R148" s="3086"/>
      <c r="S148" s="3086"/>
      <c r="T148" s="3086"/>
      <c r="U148" s="3087"/>
      <c r="V148" s="3083"/>
      <c r="W148" s="3083"/>
      <c r="X148" s="3056">
        <f>IF(A148="","",IF(LEN(SUBSTITUTE(SUBSTITUTE(SUBSTITUTE(SUBSTITUTE(D148,".",""),"/",""),"-","")," ",""))&lt;&gt;14,"CNPJ INVALIDO","OK"))</f>
      </c>
      <c r="Y148" s="3056">
        <f>IF(A148="","",IF(R148="","REST PENDENTE","REST OK"))</f>
      </c>
      <c r="Z148" s="3056">
        <f>IF(A148="","",IF(AND(R148&lt;&gt;"",COUNTIFS($D$3:$D$164,D148,$R$3:$R$164,"&lt;&gt;")&gt;1),"DUPLICADO","OK"))</f>
      </c>
      <c r="AA148" s="3056">
        <f>IF(A148="","",IF(OR(LEN(Q148)&gt;180,LEN(R148)&gt;180,LEN(S148)&gt;180,LEN(T148)&gt;180),"CAMINHO LONGO","OK"))</f>
      </c>
      <c r="AB148" s="3056">
        <f>IF(A148="","",IF(U148="","",IFERROR(INT(U148-TODAY()),"")))</f>
      </c>
      <c r="AC148" s="3056">
        <f>IF(A148="","",IF(AND(T148="",U148=""),"",IF(T148="","SEM CAMINHO",IF(U148="","SEM DATA",IFERROR(IF(AB148&lt;15,"VERMELHO",IF(AB148&lt;=30,"AMARELO","VERDE")),"DATA INVALIDA")))))</f>
      </c>
      <c r="AD148" s="3056">
        <f>IF(OR(A148="",U148="",NOT(ISNUMBER(AB148))),"",RANK(AB148,$AB$3:$AB$164,1)+COUNTIFS($AB$3:AB148,AB148)-1)</f>
      </c>
      <c r="AE148" s="1736"/>
    </row>
    <row r="149" ht="22.0" customHeight="true" hidden="false">
      <c r="A149" s="3079"/>
      <c r="B149" s="3078"/>
      <c r="C149" s="3078"/>
      <c r="D149" s="3078"/>
      <c r="E149" s="3078"/>
      <c r="F149" s="3078"/>
      <c r="G149" s="3078"/>
      <c r="H149" s="3078"/>
      <c r="I149" s="3078"/>
      <c r="J149" s="3078"/>
      <c r="K149" s="3078"/>
      <c r="L149" s="3078"/>
      <c r="M149" s="3078"/>
      <c r="N149" s="3078"/>
      <c r="O149" s="3078"/>
      <c r="P149" s="3078"/>
      <c r="Q149" s="3081"/>
      <c r="R149" s="3081"/>
      <c r="S149" s="3081"/>
      <c r="T149" s="3081"/>
      <c r="U149" s="3082"/>
      <c r="V149" s="3078"/>
      <c r="W149" s="3078"/>
      <c r="X149" s="3056">
        <f>IF(A149="","",IF(LEN(SUBSTITUTE(SUBSTITUTE(SUBSTITUTE(SUBSTITUTE(D149,".",""),"/",""),"-","")," ",""))&lt;&gt;14,"CNPJ INVALIDO","OK"))</f>
      </c>
      <c r="Y149" s="3056">
        <f>IF(A149="","",IF(R149="","REST PENDENTE","REST OK"))</f>
      </c>
      <c r="Z149" s="3056">
        <f>IF(A149="","",IF(AND(R149&lt;&gt;"",COUNTIFS($D$3:$D$164,D149,$R$3:$R$164,"&lt;&gt;")&gt;1),"DUPLICADO","OK"))</f>
      </c>
      <c r="AA149" s="3056">
        <f>IF(A149="","",IF(OR(LEN(Q149)&gt;180,LEN(R149)&gt;180,LEN(S149)&gt;180,LEN(T149)&gt;180),"CAMINHO LONGO","OK"))</f>
      </c>
      <c r="AB149" s="3056">
        <f>IF(A149="","",IF(U149="","",IFERROR(INT(U149-TODAY()),"")))</f>
      </c>
      <c r="AC149" s="3056">
        <f>IF(A149="","",IF(AND(T149="",U149=""),"",IF(T149="","SEM CAMINHO",IF(U149="","SEM DATA",IFERROR(IF(AB149&lt;15,"VERMELHO",IF(AB149&lt;=30,"AMARELO","VERDE")),"DATA INVALIDA")))))</f>
      </c>
      <c r="AD149" s="3056">
        <f>IF(OR(A149="",U149="",NOT(ISNUMBER(AB149))),"",RANK(AB149,$AB$3:$AB$164,1)+COUNTIFS($AB$3:AB149,AB149)-1)</f>
      </c>
      <c r="AE149" s="1736"/>
    </row>
    <row r="150" ht="22.0" customHeight="true" hidden="false">
      <c r="A150" s="3084"/>
      <c r="B150" s="3083"/>
      <c r="C150" s="3083"/>
      <c r="D150" s="3083"/>
      <c r="E150" s="3083"/>
      <c r="F150" s="3083"/>
      <c r="G150" s="3083"/>
      <c r="H150" s="3083"/>
      <c r="I150" s="3083"/>
      <c r="J150" s="3083"/>
      <c r="K150" s="3083"/>
      <c r="L150" s="3083"/>
      <c r="M150" s="3083"/>
      <c r="N150" s="3083"/>
      <c r="O150" s="3083"/>
      <c r="P150" s="3083"/>
      <c r="Q150" s="3086"/>
      <c r="R150" s="3086"/>
      <c r="S150" s="3086"/>
      <c r="T150" s="3086"/>
      <c r="U150" s="3087"/>
      <c r="V150" s="3083"/>
      <c r="W150" s="3083"/>
      <c r="X150" s="3056">
        <f>IF(A150="","",IF(LEN(SUBSTITUTE(SUBSTITUTE(SUBSTITUTE(SUBSTITUTE(D150,".",""),"/",""),"-","")," ",""))&lt;&gt;14,"CNPJ INVALIDO","OK"))</f>
      </c>
      <c r="Y150" s="3056">
        <f>IF(A150="","",IF(R150="","REST PENDENTE","REST OK"))</f>
      </c>
      <c r="Z150" s="3056">
        <f>IF(A150="","",IF(AND(R150&lt;&gt;"",COUNTIFS($D$3:$D$164,D150,$R$3:$R$164,"&lt;&gt;")&gt;1),"DUPLICADO","OK"))</f>
      </c>
      <c r="AA150" s="3056">
        <f>IF(A150="","",IF(OR(LEN(Q150)&gt;180,LEN(R150)&gt;180,LEN(S150)&gt;180,LEN(T150)&gt;180),"CAMINHO LONGO","OK"))</f>
      </c>
      <c r="AB150" s="3056">
        <f>IF(A150="","",IF(U150="","",IFERROR(INT(U150-TODAY()),"")))</f>
      </c>
      <c r="AC150" s="3056">
        <f>IF(A150="","",IF(AND(T150="",U150=""),"",IF(T150="","SEM CAMINHO",IF(U150="","SEM DATA",IFERROR(IF(AB150&lt;15,"VERMELHO",IF(AB150&lt;=30,"AMARELO","VERDE")),"DATA INVALIDA")))))</f>
      </c>
      <c r="AD150" s="3056">
        <f>IF(OR(A150="",U150="",NOT(ISNUMBER(AB150))),"",RANK(AB150,$AB$3:$AB$164,1)+COUNTIFS($AB$3:AB150,AB150)-1)</f>
      </c>
      <c r="AE150" s="1736"/>
    </row>
    <row r="151" ht="22.0" customHeight="true" hidden="false">
      <c r="A151" s="3079"/>
      <c r="B151" s="3078"/>
      <c r="C151" s="3078"/>
      <c r="D151" s="3078"/>
      <c r="E151" s="3078"/>
      <c r="F151" s="3078"/>
      <c r="G151" s="3078"/>
      <c r="H151" s="3078"/>
      <c r="I151" s="3078"/>
      <c r="J151" s="3078"/>
      <c r="K151" s="3078"/>
      <c r="L151" s="3078"/>
      <c r="M151" s="3078"/>
      <c r="N151" s="3078"/>
      <c r="O151" s="3078"/>
      <c r="P151" s="3078"/>
      <c r="Q151" s="3081"/>
      <c r="R151" s="3081"/>
      <c r="S151" s="3081"/>
      <c r="T151" s="3081"/>
      <c r="U151" s="3082"/>
      <c r="V151" s="3078"/>
      <c r="W151" s="3078"/>
      <c r="X151" s="3056">
        <f>IF(A151="","",IF(LEN(SUBSTITUTE(SUBSTITUTE(SUBSTITUTE(SUBSTITUTE(D151,".",""),"/",""),"-","")," ",""))&lt;&gt;14,"CNPJ INVALIDO","OK"))</f>
      </c>
      <c r="Y151" s="3056">
        <f>IF(A151="","",IF(R151="","REST PENDENTE","REST OK"))</f>
      </c>
      <c r="Z151" s="3056">
        <f>IF(A151="","",IF(AND(R151&lt;&gt;"",COUNTIFS($D$3:$D$164,D151,$R$3:$R$164,"&lt;&gt;")&gt;1),"DUPLICADO","OK"))</f>
      </c>
      <c r="AA151" s="3056">
        <f>IF(A151="","",IF(OR(LEN(Q151)&gt;180,LEN(R151)&gt;180,LEN(S151)&gt;180,LEN(T151)&gt;180),"CAMINHO LONGO","OK"))</f>
      </c>
      <c r="AB151" s="3056">
        <f>IF(A151="","",IF(U151="","",IFERROR(INT(U151-TODAY()),"")))</f>
      </c>
      <c r="AC151" s="3056">
        <f>IF(A151="","",IF(AND(T151="",U151=""),"",IF(T151="","SEM CAMINHO",IF(U151="","SEM DATA",IFERROR(IF(AB151&lt;15,"VERMELHO",IF(AB151&lt;=30,"AMARELO","VERDE")),"DATA INVALIDA")))))</f>
      </c>
      <c r="AD151" s="3056">
        <f>IF(OR(A151="",U151="",NOT(ISNUMBER(AB151))),"",RANK(AB151,$AB$3:$AB$164,1)+COUNTIFS($AB$3:AB151,AB151)-1)</f>
      </c>
      <c r="AE151" s="1736"/>
    </row>
    <row r="152" ht="22.0" customHeight="true" hidden="false">
      <c r="A152" s="3084"/>
      <c r="B152" s="3083"/>
      <c r="C152" s="3083"/>
      <c r="D152" s="3083"/>
      <c r="E152" s="3083"/>
      <c r="F152" s="3083"/>
      <c r="G152" s="3083"/>
      <c r="H152" s="3083"/>
      <c r="I152" s="3083"/>
      <c r="J152" s="3083"/>
      <c r="K152" s="3083"/>
      <c r="L152" s="3083"/>
      <c r="M152" s="3083"/>
      <c r="N152" s="3083"/>
      <c r="O152" s="3083"/>
      <c r="P152" s="3083"/>
      <c r="Q152" s="3086"/>
      <c r="R152" s="3086"/>
      <c r="S152" s="3086"/>
      <c r="T152" s="3086"/>
      <c r="U152" s="3087"/>
      <c r="V152" s="3083"/>
      <c r="W152" s="3083"/>
      <c r="X152" s="3056">
        <f>IF(A152="","",IF(LEN(SUBSTITUTE(SUBSTITUTE(SUBSTITUTE(SUBSTITUTE(D152,".",""),"/",""),"-","")," ",""))&lt;&gt;14,"CNPJ INVALIDO","OK"))</f>
      </c>
      <c r="Y152" s="3056">
        <f>IF(A152="","",IF(R152="","REST PENDENTE","REST OK"))</f>
      </c>
      <c r="Z152" s="3056">
        <f>IF(A152="","",IF(AND(R152&lt;&gt;"",COUNTIFS($D$3:$D$164,D152,$R$3:$R$164,"&lt;&gt;")&gt;1),"DUPLICADO","OK"))</f>
      </c>
      <c r="AA152" s="3056">
        <f>IF(A152="","",IF(OR(LEN(Q152)&gt;180,LEN(R152)&gt;180,LEN(S152)&gt;180,LEN(T152)&gt;180),"CAMINHO LONGO","OK"))</f>
      </c>
      <c r="AB152" s="3056">
        <f>IF(A152="","",IF(U152="","",IFERROR(INT(U152-TODAY()),"")))</f>
      </c>
      <c r="AC152" s="3056">
        <f>IF(A152="","",IF(AND(T152="",U152=""),"",IF(T152="","SEM CAMINHO",IF(U152="","SEM DATA",IFERROR(IF(AB152&lt;15,"VERMELHO",IF(AB152&lt;=30,"AMARELO","VERDE")),"DATA INVALIDA")))))</f>
      </c>
      <c r="AD152" s="3056">
        <f>IF(OR(A152="",U152="",NOT(ISNUMBER(AB152))),"",RANK(AB152,$AB$3:$AB$164,1)+COUNTIFS($AB$3:AB152,AB152)-1)</f>
      </c>
      <c r="AE152" s="1736"/>
    </row>
    <row r="153" ht="22.0" customHeight="true" hidden="false">
      <c r="A153" s="3079"/>
      <c r="B153" s="3078"/>
      <c r="C153" s="3078"/>
      <c r="D153" s="3078"/>
      <c r="E153" s="3078"/>
      <c r="F153" s="3078"/>
      <c r="G153" s="3078"/>
      <c r="H153" s="3078"/>
      <c r="I153" s="3078"/>
      <c r="J153" s="3078"/>
      <c r="K153" s="3078"/>
      <c r="L153" s="3078"/>
      <c r="M153" s="3078"/>
      <c r="N153" s="3078"/>
      <c r="O153" s="3078"/>
      <c r="P153" s="3078"/>
      <c r="Q153" s="3081"/>
      <c r="R153" s="3081"/>
      <c r="S153" s="3081"/>
      <c r="T153" s="3081"/>
      <c r="U153" s="3082"/>
      <c r="V153" s="3078"/>
      <c r="W153" s="3078"/>
      <c r="X153" s="3056">
        <f>IF(A153="","",IF(LEN(SUBSTITUTE(SUBSTITUTE(SUBSTITUTE(SUBSTITUTE(D153,".",""),"/",""),"-","")," ",""))&lt;&gt;14,"CNPJ INVALIDO","OK"))</f>
      </c>
      <c r="Y153" s="3056">
        <f>IF(A153="","",IF(R153="","REST PENDENTE","REST OK"))</f>
      </c>
      <c r="Z153" s="3056">
        <f>IF(A153="","",IF(AND(R153&lt;&gt;"",COUNTIFS($D$3:$D$164,D153,$R$3:$R$164,"&lt;&gt;")&gt;1),"DUPLICADO","OK"))</f>
      </c>
      <c r="AA153" s="3056">
        <f>IF(A153="","",IF(OR(LEN(Q153)&gt;180,LEN(R153)&gt;180,LEN(S153)&gt;180,LEN(T153)&gt;180),"CAMINHO LONGO","OK"))</f>
      </c>
      <c r="AB153" s="3056">
        <f>IF(A153="","",IF(U153="","",IFERROR(INT(U153-TODAY()),"")))</f>
      </c>
      <c r="AC153" s="3056">
        <f>IF(A153="","",IF(AND(T153="",U153=""),"",IF(T153="","SEM CAMINHO",IF(U153="","SEM DATA",IFERROR(IF(AB153&lt;15,"VERMELHO",IF(AB153&lt;=30,"AMARELO","VERDE")),"DATA INVALIDA")))))</f>
      </c>
      <c r="AD153" s="3056">
        <f>IF(OR(A153="",U153="",NOT(ISNUMBER(AB153))),"",RANK(AB153,$AB$3:$AB$164,1)+COUNTIFS($AB$3:AB153,AB153)-1)</f>
      </c>
      <c r="AE153" s="1736"/>
    </row>
    <row r="154" ht="22.0" customHeight="true" hidden="false">
      <c r="A154" s="3084"/>
      <c r="B154" s="3083"/>
      <c r="C154" s="3083"/>
      <c r="D154" s="3083"/>
      <c r="E154" s="3083"/>
      <c r="F154" s="3083"/>
      <c r="G154" s="3083"/>
      <c r="H154" s="3083"/>
      <c r="I154" s="3083"/>
      <c r="J154" s="3083"/>
      <c r="K154" s="3083"/>
      <c r="L154" s="3083"/>
      <c r="M154" s="3083"/>
      <c r="N154" s="3083"/>
      <c r="O154" s="3083"/>
      <c r="P154" s="3083"/>
      <c r="Q154" s="3086"/>
      <c r="R154" s="3086"/>
      <c r="S154" s="3086"/>
      <c r="T154" s="3086"/>
      <c r="U154" s="3087"/>
      <c r="V154" s="3083"/>
      <c r="W154" s="3083"/>
      <c r="X154" s="3056">
        <f>IF(A154="","",IF(LEN(SUBSTITUTE(SUBSTITUTE(SUBSTITUTE(SUBSTITUTE(D154,".",""),"/",""),"-","")," ",""))&lt;&gt;14,"CNPJ INVALIDO","OK"))</f>
      </c>
      <c r="Y154" s="3056">
        <f>IF(A154="","",IF(R154="","REST PENDENTE","REST OK"))</f>
      </c>
      <c r="Z154" s="3056">
        <f>IF(A154="","",IF(AND(R154&lt;&gt;"",COUNTIFS($D$3:$D$164,D154,$R$3:$R$164,"&lt;&gt;")&gt;1),"DUPLICADO","OK"))</f>
      </c>
      <c r="AA154" s="3056">
        <f>IF(A154="","",IF(OR(LEN(Q154)&gt;180,LEN(R154)&gt;180,LEN(S154)&gt;180,LEN(T154)&gt;180),"CAMINHO LONGO","OK"))</f>
      </c>
      <c r="AB154" s="3056">
        <f>IF(A154="","",IF(U154="","",IFERROR(INT(U154-TODAY()),"")))</f>
      </c>
      <c r="AC154" s="3056">
        <f>IF(A154="","",IF(AND(T154="",U154=""),"",IF(T154="","SEM CAMINHO",IF(U154="","SEM DATA",IFERROR(IF(AB154&lt;15,"VERMELHO",IF(AB154&lt;=30,"AMARELO","VERDE")),"DATA INVALIDA")))))</f>
      </c>
      <c r="AD154" s="3056">
        <f>IF(OR(A154="",U154="",NOT(ISNUMBER(AB154))),"",RANK(AB154,$AB$3:$AB$164,1)+COUNTIFS($AB$3:AB154,AB154)-1)</f>
      </c>
      <c r="AE154" s="1736"/>
    </row>
    <row r="155" ht="22.0" customHeight="true" hidden="false">
      <c r="A155" s="3079"/>
      <c r="B155" s="3078"/>
      <c r="C155" s="3078"/>
      <c r="D155" s="3078"/>
      <c r="E155" s="3078"/>
      <c r="F155" s="3078"/>
      <c r="G155" s="3078"/>
      <c r="H155" s="3078"/>
      <c r="I155" s="3078"/>
      <c r="J155" s="3078"/>
      <c r="K155" s="3078"/>
      <c r="L155" s="3078"/>
      <c r="M155" s="3078"/>
      <c r="N155" s="3078"/>
      <c r="O155" s="3078"/>
      <c r="P155" s="3078"/>
      <c r="Q155" s="3081"/>
      <c r="R155" s="3081"/>
      <c r="S155" s="3081"/>
      <c r="T155" s="3081"/>
      <c r="U155" s="3082"/>
      <c r="V155" s="3078"/>
      <c r="W155" s="3078"/>
      <c r="X155" s="3056">
        <f>IF(A155="","",IF(LEN(SUBSTITUTE(SUBSTITUTE(SUBSTITUTE(SUBSTITUTE(D155,".",""),"/",""),"-","")," ",""))&lt;&gt;14,"CNPJ INVALIDO","OK"))</f>
      </c>
      <c r="Y155" s="3056">
        <f>IF(A155="","",IF(R155="","REST PENDENTE","REST OK"))</f>
      </c>
      <c r="Z155" s="3056">
        <f>IF(A155="","",IF(AND(R155&lt;&gt;"",COUNTIFS($D$3:$D$164,D155,$R$3:$R$164,"&lt;&gt;")&gt;1),"DUPLICADO","OK"))</f>
      </c>
      <c r="AA155" s="3056">
        <f>IF(A155="","",IF(OR(LEN(Q155)&gt;180,LEN(R155)&gt;180,LEN(S155)&gt;180,LEN(T155)&gt;180),"CAMINHO LONGO","OK"))</f>
      </c>
      <c r="AB155" s="3056">
        <f>IF(A155="","",IF(U155="","",IFERROR(INT(U155-TODAY()),"")))</f>
      </c>
      <c r="AC155" s="3056">
        <f>IF(A155="","",IF(AND(T155="",U155=""),"",IF(T155="","SEM CAMINHO",IF(U155="","SEM DATA",IFERROR(IF(AB155&lt;15,"VERMELHO",IF(AB155&lt;=30,"AMARELO","VERDE")),"DATA INVALIDA")))))</f>
      </c>
      <c r="AD155" s="3056">
        <f>IF(OR(A155="",U155="",NOT(ISNUMBER(AB155))),"",RANK(AB155,$AB$3:$AB$164,1)+COUNTIFS($AB$3:AB155,AB155)-1)</f>
      </c>
      <c r="AE155" s="1736"/>
    </row>
    <row r="156" ht="22.0" customHeight="true" hidden="false">
      <c r="A156" s="3084"/>
      <c r="B156" s="3083"/>
      <c r="C156" s="3083"/>
      <c r="D156" s="3083"/>
      <c r="E156" s="3083"/>
      <c r="F156" s="3083"/>
      <c r="G156" s="3083"/>
      <c r="H156" s="3083"/>
      <c r="I156" s="3083"/>
      <c r="J156" s="3083"/>
      <c r="K156" s="3083"/>
      <c r="L156" s="3083"/>
      <c r="M156" s="3083"/>
      <c r="N156" s="3083"/>
      <c r="O156" s="3083"/>
      <c r="P156" s="3083"/>
      <c r="Q156" s="3086"/>
      <c r="R156" s="3086"/>
      <c r="S156" s="3086"/>
      <c r="T156" s="3086"/>
      <c r="U156" s="3087"/>
      <c r="V156" s="3083"/>
      <c r="W156" s="3083"/>
      <c r="X156" s="3056">
        <f>IF(A156="","",IF(LEN(SUBSTITUTE(SUBSTITUTE(SUBSTITUTE(SUBSTITUTE(D156,".",""),"/",""),"-","")," ",""))&lt;&gt;14,"CNPJ INVALIDO","OK"))</f>
      </c>
      <c r="Y156" s="3056">
        <f>IF(A156="","",IF(R156="","REST PENDENTE","REST OK"))</f>
      </c>
      <c r="Z156" s="3056">
        <f>IF(A156="","",IF(AND(R156&lt;&gt;"",COUNTIFS($D$3:$D$164,D156,$R$3:$R$164,"&lt;&gt;")&gt;1),"DUPLICADO","OK"))</f>
      </c>
      <c r="AA156" s="3056">
        <f>IF(A156="","",IF(OR(LEN(Q156)&gt;180,LEN(R156)&gt;180,LEN(S156)&gt;180,LEN(T156)&gt;180),"CAMINHO LONGO","OK"))</f>
      </c>
      <c r="AB156" s="3056">
        <f>IF(A156="","",IF(U156="","",IFERROR(INT(U156-TODAY()),"")))</f>
      </c>
      <c r="AC156" s="3056">
        <f>IF(A156="","",IF(AND(T156="",U156=""),"",IF(T156="","SEM CAMINHO",IF(U156="","SEM DATA",IFERROR(IF(AB156&lt;15,"VERMELHO",IF(AB156&lt;=30,"AMARELO","VERDE")),"DATA INVALIDA")))))</f>
      </c>
      <c r="AD156" s="3056">
        <f>IF(OR(A156="",U156="",NOT(ISNUMBER(AB156))),"",RANK(AB156,$AB$3:$AB$164,1)+COUNTIFS($AB$3:AB156,AB156)-1)</f>
      </c>
      <c r="AE156" s="1736"/>
    </row>
    <row r="157" ht="22.0" customHeight="true" hidden="false">
      <c r="A157" s="3079"/>
      <c r="B157" s="3078"/>
      <c r="C157" s="3078"/>
      <c r="D157" s="3078"/>
      <c r="E157" s="3078"/>
      <c r="F157" s="3078"/>
      <c r="G157" s="3078"/>
      <c r="H157" s="3078"/>
      <c r="I157" s="3078"/>
      <c r="J157" s="3078"/>
      <c r="K157" s="3078"/>
      <c r="L157" s="3078"/>
      <c r="M157" s="3078"/>
      <c r="N157" s="3078"/>
      <c r="O157" s="3078"/>
      <c r="P157" s="3078"/>
      <c r="Q157" s="3081"/>
      <c r="R157" s="3081"/>
      <c r="S157" s="3081"/>
      <c r="T157" s="3081"/>
      <c r="U157" s="3082"/>
      <c r="V157" s="3078"/>
      <c r="W157" s="3078"/>
      <c r="X157" s="3056">
        <f>IF(A157="","",IF(LEN(SUBSTITUTE(SUBSTITUTE(SUBSTITUTE(SUBSTITUTE(D157,".",""),"/",""),"-","")," ",""))&lt;&gt;14,"CNPJ INVALIDO","OK"))</f>
      </c>
      <c r="Y157" s="3056">
        <f>IF(A157="","",IF(R157="","REST PENDENTE","REST OK"))</f>
      </c>
      <c r="Z157" s="3056">
        <f>IF(A157="","",IF(AND(R157&lt;&gt;"",COUNTIFS($D$3:$D$164,D157,$R$3:$R$164,"&lt;&gt;")&gt;1),"DUPLICADO","OK"))</f>
      </c>
      <c r="AA157" s="3056">
        <f>IF(A157="","",IF(OR(LEN(Q157)&gt;180,LEN(R157)&gt;180,LEN(S157)&gt;180,LEN(T157)&gt;180),"CAMINHO LONGO","OK"))</f>
      </c>
      <c r="AB157" s="3056">
        <f>IF(A157="","",IF(U157="","",IFERROR(INT(U157-TODAY()),"")))</f>
      </c>
      <c r="AC157" s="3056">
        <f>IF(A157="","",IF(AND(T157="",U157=""),"",IF(T157="","SEM CAMINHO",IF(U157="","SEM DATA",IFERROR(IF(AB157&lt;15,"VERMELHO",IF(AB157&lt;=30,"AMARELO","VERDE")),"DATA INVALIDA")))))</f>
      </c>
      <c r="AD157" s="3056">
        <f>IF(OR(A157="",U157="",NOT(ISNUMBER(AB157))),"",RANK(AB157,$AB$3:$AB$164,1)+COUNTIFS($AB$3:AB157,AB157)-1)</f>
      </c>
      <c r="AE157" s="1736"/>
    </row>
    <row r="158" ht="22.0" customHeight="true" hidden="false">
      <c r="A158" s="3084"/>
      <c r="B158" s="3083"/>
      <c r="C158" s="3083"/>
      <c r="D158" s="3083"/>
      <c r="E158" s="3083"/>
      <c r="F158" s="3083"/>
      <c r="G158" s="3083"/>
      <c r="H158" s="3083"/>
      <c r="I158" s="3083"/>
      <c r="J158" s="3083"/>
      <c r="K158" s="3083"/>
      <c r="L158" s="3083"/>
      <c r="M158" s="3083"/>
      <c r="N158" s="3083"/>
      <c r="O158" s="3083"/>
      <c r="P158" s="3083"/>
      <c r="Q158" s="3086"/>
      <c r="R158" s="3086"/>
      <c r="S158" s="3086"/>
      <c r="T158" s="3086"/>
      <c r="U158" s="3087"/>
      <c r="V158" s="3083"/>
      <c r="W158" s="3083"/>
      <c r="X158" s="3056">
        <f>IF(A158="","",IF(LEN(SUBSTITUTE(SUBSTITUTE(SUBSTITUTE(SUBSTITUTE(D158,".",""),"/",""),"-","")," ",""))&lt;&gt;14,"CNPJ INVALIDO","OK"))</f>
      </c>
      <c r="Y158" s="3056">
        <f>IF(A158="","",IF(R158="","REST PENDENTE","REST OK"))</f>
      </c>
      <c r="Z158" s="3056">
        <f>IF(A158="","",IF(AND(R158&lt;&gt;"",COUNTIFS($D$3:$D$164,D158,$R$3:$R$164,"&lt;&gt;")&gt;1),"DUPLICADO","OK"))</f>
      </c>
      <c r="AA158" s="3056">
        <f>IF(A158="","",IF(OR(LEN(Q158)&gt;180,LEN(R158)&gt;180,LEN(S158)&gt;180,LEN(T158)&gt;180),"CAMINHO LONGO","OK"))</f>
      </c>
      <c r="AB158" s="3056">
        <f>IF(A158="","",IF(U158="","",IFERROR(INT(U158-TODAY()),"")))</f>
      </c>
      <c r="AC158" s="3056">
        <f>IF(A158="","",IF(AND(T158="",U158=""),"",IF(T158="","SEM CAMINHO",IF(U158="","SEM DATA",IFERROR(IF(AB158&lt;15,"VERMELHO",IF(AB158&lt;=30,"AMARELO","VERDE")),"DATA INVALIDA")))))</f>
      </c>
      <c r="AD158" s="3056">
        <f>IF(OR(A158="",U158="",NOT(ISNUMBER(AB158))),"",RANK(AB158,$AB$3:$AB$164,1)+COUNTIFS($AB$3:AB158,AB158)-1)</f>
      </c>
      <c r="AE158" s="1736"/>
    </row>
    <row r="159" ht="22.0" customHeight="true" hidden="false">
      <c r="A159" s="3079"/>
      <c r="B159" s="3078"/>
      <c r="C159" s="3078"/>
      <c r="D159" s="3078"/>
      <c r="E159" s="3078"/>
      <c r="F159" s="3078"/>
      <c r="G159" s="3078"/>
      <c r="H159" s="3078"/>
      <c r="I159" s="3078"/>
      <c r="J159" s="3078"/>
      <c r="K159" s="3078"/>
      <c r="L159" s="3078"/>
      <c r="M159" s="3078"/>
      <c r="N159" s="3078"/>
      <c r="O159" s="3078"/>
      <c r="P159" s="3078"/>
      <c r="Q159" s="3081"/>
      <c r="R159" s="3081"/>
      <c r="S159" s="3081"/>
      <c r="T159" s="3081"/>
      <c r="U159" s="3082"/>
      <c r="V159" s="3078"/>
      <c r="W159" s="3078"/>
      <c r="X159" s="3056">
        <f>IF(A159="","",IF(LEN(SUBSTITUTE(SUBSTITUTE(SUBSTITUTE(SUBSTITUTE(D159,".",""),"/",""),"-","")," ",""))&lt;&gt;14,"CNPJ INVALIDO","OK"))</f>
      </c>
      <c r="Y159" s="3056">
        <f>IF(A159="","",IF(R159="","REST PENDENTE","REST OK"))</f>
      </c>
      <c r="Z159" s="3056">
        <f>IF(A159="","",IF(AND(R159&lt;&gt;"",COUNTIFS($D$3:$D$164,D159,$R$3:$R$164,"&lt;&gt;")&gt;1),"DUPLICADO","OK"))</f>
      </c>
      <c r="AA159" s="3056">
        <f>IF(A159="","",IF(OR(LEN(Q159)&gt;180,LEN(R159)&gt;180,LEN(S159)&gt;180,LEN(T159)&gt;180),"CAMINHO LONGO","OK"))</f>
      </c>
      <c r="AB159" s="3056">
        <f>IF(A159="","",IF(U159="","",IFERROR(INT(U159-TODAY()),"")))</f>
      </c>
      <c r="AC159" s="3056">
        <f>IF(A159="","",IF(AND(T159="",U159=""),"",IF(T159="","SEM CAMINHO",IF(U159="","SEM DATA",IFERROR(IF(AB159&lt;15,"VERMELHO",IF(AB159&lt;=30,"AMARELO","VERDE")),"DATA INVALIDA")))))</f>
      </c>
      <c r="AD159" s="3056">
        <f>IF(OR(A159="",U159="",NOT(ISNUMBER(AB159))),"",RANK(AB159,$AB$3:$AB$164,1)+COUNTIFS($AB$3:AB159,AB159)-1)</f>
      </c>
      <c r="AE159" s="1736"/>
    </row>
    <row r="160" ht="22.0" customHeight="true" hidden="false">
      <c r="A160" s="3084"/>
      <c r="B160" s="3083"/>
      <c r="C160" s="3083"/>
      <c r="D160" s="3083"/>
      <c r="E160" s="3083"/>
      <c r="F160" s="3083"/>
      <c r="G160" s="3083"/>
      <c r="H160" s="3083"/>
      <c r="I160" s="3083"/>
      <c r="J160" s="3083"/>
      <c r="K160" s="3083"/>
      <c r="L160" s="3083"/>
      <c r="M160" s="3083"/>
      <c r="N160" s="3083"/>
      <c r="O160" s="3083"/>
      <c r="P160" s="3083"/>
      <c r="Q160" s="3086"/>
      <c r="R160" s="3086"/>
      <c r="S160" s="3086"/>
      <c r="T160" s="3086"/>
      <c r="U160" s="3087"/>
      <c r="V160" s="3083"/>
      <c r="W160" s="3083"/>
      <c r="X160" s="3056">
        <f>IF(A160="","",IF(LEN(SUBSTITUTE(SUBSTITUTE(SUBSTITUTE(SUBSTITUTE(D160,".",""),"/",""),"-","")," ",""))&lt;&gt;14,"CNPJ INVALIDO","OK"))</f>
      </c>
      <c r="Y160" s="3056">
        <f>IF(A160="","",IF(R160="","REST PENDENTE","REST OK"))</f>
      </c>
      <c r="Z160" s="3056">
        <f>IF(A160="","",IF(AND(R160&lt;&gt;"",COUNTIFS($D$3:$D$164,D160,$R$3:$R$164,"&lt;&gt;")&gt;1),"DUPLICADO","OK"))</f>
      </c>
      <c r="AA160" s="3056">
        <f>IF(A160="","",IF(OR(LEN(Q160)&gt;180,LEN(R160)&gt;180,LEN(S160)&gt;180,LEN(T160)&gt;180),"CAMINHO LONGO","OK"))</f>
      </c>
      <c r="AB160" s="3056">
        <f>IF(A160="","",IF(U160="","",IFERROR(INT(U160-TODAY()),"")))</f>
      </c>
      <c r="AC160" s="3056">
        <f>IF(A160="","",IF(AND(T160="",U160=""),"",IF(T160="","SEM CAMINHO",IF(U160="","SEM DATA",IFERROR(IF(AB160&lt;15,"VERMELHO",IF(AB160&lt;=30,"AMARELO","VERDE")),"DATA INVALIDA")))))</f>
      </c>
      <c r="AD160" s="3056">
        <f>IF(OR(A160="",U160="",NOT(ISNUMBER(AB160))),"",RANK(AB160,$AB$3:$AB$164,1)+COUNTIFS($AB$3:AB160,AB160)-1)</f>
      </c>
      <c r="AE160" s="1736"/>
    </row>
    <row r="161" ht="22.0" customHeight="true" hidden="false">
      <c r="A161" s="3079"/>
      <c r="B161" s="3078"/>
      <c r="C161" s="3078"/>
      <c r="D161" s="3078"/>
      <c r="E161" s="3078"/>
      <c r="F161" s="3078"/>
      <c r="G161" s="3078"/>
      <c r="H161" s="3078"/>
      <c r="I161" s="3078"/>
      <c r="J161" s="3078"/>
      <c r="K161" s="3078"/>
      <c r="L161" s="3078"/>
      <c r="M161" s="3078"/>
      <c r="N161" s="3078"/>
      <c r="O161" s="3078"/>
      <c r="P161" s="3078"/>
      <c r="Q161" s="3081"/>
      <c r="R161" s="3081"/>
      <c r="S161" s="3081"/>
      <c r="T161" s="3081"/>
      <c r="U161" s="3082"/>
      <c r="V161" s="3078"/>
      <c r="W161" s="3078"/>
      <c r="X161" s="3056">
        <f>IF(A161="","",IF(LEN(SUBSTITUTE(SUBSTITUTE(SUBSTITUTE(SUBSTITUTE(D161,".",""),"/",""),"-","")," ",""))&lt;&gt;14,"CNPJ INVALIDO","OK"))</f>
      </c>
      <c r="Y161" s="3056">
        <f>IF(A161="","",IF(R161="","REST PENDENTE","REST OK"))</f>
      </c>
      <c r="Z161" s="3056">
        <f>IF(A161="","",IF(AND(R161&lt;&gt;"",COUNTIFS($D$3:$D$164,D161,$R$3:$R$164,"&lt;&gt;")&gt;1),"DUPLICADO","OK"))</f>
      </c>
      <c r="AA161" s="3056">
        <f>IF(A161="","",IF(OR(LEN(Q161)&gt;180,LEN(R161)&gt;180,LEN(S161)&gt;180,LEN(T161)&gt;180),"CAMINHO LONGO","OK"))</f>
      </c>
      <c r="AB161" s="3056">
        <f>IF(A161="","",IF(U161="","",IFERROR(INT(U161-TODAY()),"")))</f>
      </c>
      <c r="AC161" s="3056">
        <f>IF(A161="","",IF(AND(T161="",U161=""),"",IF(T161="","SEM CAMINHO",IF(U161="","SEM DATA",IFERROR(IF(AB161&lt;15,"VERMELHO",IF(AB161&lt;=30,"AMARELO","VERDE")),"DATA INVALIDA")))))</f>
      </c>
      <c r="AD161" s="3056">
        <f>IF(OR(A161="",U161="",NOT(ISNUMBER(AB161))),"",RANK(AB161,$AB$3:$AB$164,1)+COUNTIFS($AB$3:AB161,AB161)-1)</f>
      </c>
      <c r="AE161" s="1736"/>
    </row>
    <row r="162" ht="22.0" customHeight="true" hidden="false">
      <c r="A162" s="3084"/>
      <c r="B162" s="3083"/>
      <c r="C162" s="3083"/>
      <c r="D162" s="3083"/>
      <c r="E162" s="3083"/>
      <c r="F162" s="3083"/>
      <c r="G162" s="3083"/>
      <c r="H162" s="3083"/>
      <c r="I162" s="3083"/>
      <c r="J162" s="3083"/>
      <c r="K162" s="3083"/>
      <c r="L162" s="3083"/>
      <c r="M162" s="3083"/>
      <c r="N162" s="3083"/>
      <c r="O162" s="3083"/>
      <c r="P162" s="3083"/>
      <c r="Q162" s="3086"/>
      <c r="R162" s="3086"/>
      <c r="S162" s="3086"/>
      <c r="T162" s="3086"/>
      <c r="U162" s="3087"/>
      <c r="V162" s="3083"/>
      <c r="W162" s="3083"/>
      <c r="X162" s="3056">
        <f>IF(A162="","",IF(LEN(SUBSTITUTE(SUBSTITUTE(SUBSTITUTE(SUBSTITUTE(D162,".",""),"/",""),"-","")," ",""))&lt;&gt;14,"CNPJ INVALIDO","OK"))</f>
      </c>
      <c r="Y162" s="3056">
        <f>IF(A162="","",IF(R162="","REST PENDENTE","REST OK"))</f>
      </c>
      <c r="Z162" s="3056">
        <f>IF(A162="","",IF(AND(R162&lt;&gt;"",COUNTIFS($D$3:$D$164,D162,$R$3:$R$164,"&lt;&gt;")&gt;1),"DUPLICADO","OK"))</f>
      </c>
      <c r="AA162" s="3056">
        <f>IF(A162="","",IF(OR(LEN(Q162)&gt;180,LEN(R162)&gt;180,LEN(S162)&gt;180,LEN(T162)&gt;180),"CAMINHO LONGO","OK"))</f>
      </c>
      <c r="AB162" s="3056">
        <f>IF(A162="","",IF(U162="","",IFERROR(INT(U162-TODAY()),"")))</f>
      </c>
      <c r="AC162" s="3056">
        <f>IF(A162="","",IF(AND(T162="",U162=""),"",IF(T162="","SEM CAMINHO",IF(U162="","SEM DATA",IFERROR(IF(AB162&lt;15,"VERMELHO",IF(AB162&lt;=30,"AMARELO","VERDE")),"DATA INVALIDA")))))</f>
      </c>
      <c r="AD162" s="3056">
        <f>IF(OR(A162="",U162="",NOT(ISNUMBER(AB162))),"",RANK(AB162,$AB$3:$AB$164,1)+COUNTIFS($AB$3:AB162,AB162)-1)</f>
      </c>
      <c r="AE162" s="1736"/>
    </row>
    <row r="163" ht="22.0" customHeight="true" hidden="false">
      <c r="A163" s="3079"/>
      <c r="B163" s="3078"/>
      <c r="C163" s="3078"/>
      <c r="D163" s="3078"/>
      <c r="E163" s="3078"/>
      <c r="F163" s="3078"/>
      <c r="G163" s="3078"/>
      <c r="H163" s="3078"/>
      <c r="I163" s="3078"/>
      <c r="J163" s="3078"/>
      <c r="K163" s="3078"/>
      <c r="L163" s="3078"/>
      <c r="M163" s="3078"/>
      <c r="N163" s="3078"/>
      <c r="O163" s="3078"/>
      <c r="P163" s="3078"/>
      <c r="Q163" s="3081"/>
      <c r="R163" s="3081"/>
      <c r="S163" s="3081"/>
      <c r="T163" s="3081"/>
      <c r="U163" s="3082"/>
      <c r="V163" s="3078"/>
      <c r="W163" s="3078"/>
      <c r="X163" s="3056">
        <f>IF(A163="","",IF(LEN(SUBSTITUTE(SUBSTITUTE(SUBSTITUTE(SUBSTITUTE(D163,".",""),"/",""),"-","")," ",""))&lt;&gt;14,"CNPJ INVALIDO","OK"))</f>
      </c>
      <c r="Y163" s="3056">
        <f>IF(A163="","",IF(R163="","REST PENDENTE","REST OK"))</f>
      </c>
      <c r="Z163" s="3056">
        <f>IF(A163="","",IF(AND(R163&lt;&gt;"",COUNTIFS($D$3:$D$164,D163,$R$3:$R$164,"&lt;&gt;")&gt;1),"DUPLICADO","OK"))</f>
      </c>
      <c r="AA163" s="3056">
        <f>IF(A163="","",IF(OR(LEN(Q163)&gt;180,LEN(R163)&gt;180,LEN(S163)&gt;180,LEN(T163)&gt;180),"CAMINHO LONGO","OK"))</f>
      </c>
      <c r="AB163" s="3056">
        <f>IF(A163="","",IF(U163="","",IFERROR(INT(U163-TODAY()),"")))</f>
      </c>
      <c r="AC163" s="3056">
        <f>IF(A163="","",IF(AND(T163="",U163=""),"",IF(T163="","SEM CAMINHO",IF(U163="","SEM DATA",IFERROR(IF(AB163&lt;15,"VERMELHO",IF(AB163&lt;=30,"AMARELO","VERDE")),"DATA INVALIDA")))))</f>
      </c>
      <c r="AD163" s="3056">
        <f>IF(OR(A163="",U163="",NOT(ISNUMBER(AB163))),"",RANK(AB163,$AB$3:$AB$164,1)+COUNTIFS($AB$3:AB163,AB163)-1)</f>
      </c>
      <c r="AE163" s="1736"/>
    </row>
    <row r="164" ht="22.0" customHeight="true" hidden="false">
      <c r="A164" s="3084"/>
      <c r="B164" s="3083"/>
      <c r="C164" s="3083"/>
      <c r="D164" s="3083"/>
      <c r="E164" s="3083"/>
      <c r="F164" s="3083"/>
      <c r="G164" s="3083"/>
      <c r="H164" s="3083"/>
      <c r="I164" s="3083"/>
      <c r="J164" s="3083"/>
      <c r="K164" s="3083"/>
      <c r="L164" s="3083"/>
      <c r="M164" s="3083"/>
      <c r="N164" s="3083"/>
      <c r="O164" s="3083"/>
      <c r="P164" s="3083"/>
      <c r="Q164" s="3086"/>
      <c r="R164" s="3086"/>
      <c r="S164" s="3086"/>
      <c r="T164" s="3086"/>
      <c r="U164" s="3087"/>
      <c r="V164" s="3083"/>
      <c r="W164" s="3083"/>
      <c r="X164" s="3056">
        <f>IF(A164="","",IF(LEN(SUBSTITUTE(SUBSTITUTE(SUBSTITUTE(SUBSTITUTE(D164,".",""),"/",""),"-","")," ",""))&lt;&gt;14,"CNPJ INVALIDO","OK"))</f>
      </c>
      <c r="Y164" s="3056">
        <f>IF(A164="","",IF(R164="","REST PENDENTE","REST OK"))</f>
      </c>
      <c r="Z164" s="3056">
        <f>IF(A164="","",IF(AND(R164&lt;&gt;"",COUNTIFS($D$3:$D$164,D164,$R$3:$R$164,"&lt;&gt;")&gt;1),"DUPLICADO","OK"))</f>
      </c>
      <c r="AA164" s="3056">
        <f>IF(A164="","",IF(OR(LEN(Q164)&gt;180,LEN(R164)&gt;180,LEN(S164)&gt;180,LEN(T164)&gt;180),"CAMINHO LONGO","OK"))</f>
      </c>
      <c r="AB164" s="3056">
        <f>IF(A164="","",IF(U164="","",IFERROR(INT(U164-TODAY()),"")))</f>
      </c>
      <c r="AC164" s="3056">
        <f>IF(A164="","",IF(AND(T164="",U164=""),"",IF(T164="","SEM CAMINHO",IF(U164="","SEM DATA",IFERROR(IF(AB164&lt;15,"VERMELHO",IF(AB164&lt;=30,"AMARELO","VERDE")),"DATA INVALIDA")))))</f>
      </c>
      <c r="AD164" s="3056">
        <f>IF(OR(A164="",U164="",NOT(ISNUMBER(AB164))),"",RANK(AB164,$AB$3:$AB$164,1)+COUNTIFS($AB$3:AB164,AB164)-1)</f>
      </c>
      <c r="AE164" s="1736"/>
    </row>
  </sheetData>
  <autoFilter ref="A2:W164"/>
  <mergeCells count="1">
    <mergeCell ref="A1:W1"/>
  </mergeCells>
  <phoneticPr fontId="6" type="noConversion"/>
  <printOptions gridLines="false"/>
  <pageMargins left="0.511811024" right="0.511811024" top="0.78740157499999996" bottom="0.78740157499999996" header="0.31496062000000002" footer="0.31496062000000002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664CF-DAE5-4396-BA73-B978C471E6A7}">
  <sheetPr codeName="Planilha1" filterMode="1"/>
  <dimension ref="A1:AE164"/>
  <sheetViews>
    <sheetView tabSelected="false" workbookViewId="0" showGridLines="false" zoomScale="90">
      <pane ySplit="2.0" topLeftCell="A3" activePane="bottomLeft" state="frozen"/>
      <selection pane="bottomLeft"/>
    </sheetView>
  </sheetViews>
  <sheetFormatPr defaultRowHeight="15" x14ac:dyDescent="0.25"/>
  <cols>
    <col min="1" max="1" customWidth="true" hidden="false" width="52.0"/>
    <col min="2" max="2" customWidth="true" hidden="false" width="22.0"/>
    <col min="3" max="3" customWidth="true" hidden="false" width="26.0"/>
    <col min="4" max="4" customWidth="true" hidden="false" width="20.0"/>
    <col min="5" max="5" customWidth="true" hidden="false" width="17.7109375"/>
    <col min="6" max="6" customWidth="true" hidden="false" width="18.0"/>
    <col min="7" max="7" customWidth="true" hidden="false" width="20.0"/>
    <col min="8" max="8" customWidth="true" hidden="false" width="8.7109375"/>
    <col min="9" max="9" customWidth="true" hidden="false" width="16.7109375"/>
    <col min="10" max="10" customWidth="true" hidden="false" width="10.85546875"/>
    <col min="11" max="11" customWidth="true" hidden="false" width="16.7109375"/>
    <col min="12" max="12" customWidth="true" hidden="false" width="11.7109375"/>
    <col min="13" max="13" customWidth="true" hidden="false" width="16.7109375"/>
    <col min="14" max="14" customWidth="true" hidden="false" width="10.28515625"/>
    <col min="15" max="15" customWidth="true" hidden="false" width="16.7109375"/>
    <col min="16" max="16" customWidth="true" hidden="false" width="13.7109375"/>
    <col min="17" max="17" customWidth="true" hidden="false" width="44.0"/>
    <col min="18" max="18" customWidth="true" hidden="false" width="62.0"/>
    <col min="19" max="19" customWidth="true" hidden="false" width="42.0"/>
    <col min="20" max="20" customWidth="true" hidden="false" width="48.0"/>
    <col min="21" max="21" customWidth="true" hidden="false" width="18.0"/>
    <col min="22" max="22" customWidth="true" hidden="false" width="24.0"/>
    <col min="23" max="23" customWidth="true" hidden="false" width="18.0"/>
    <col min="24" max="24" customWidth="true" hidden="true" width="22.0"/>
    <col min="25" max="25" customWidth="true" hidden="true" width="22.0"/>
    <col min="26" max="26" customWidth="true" hidden="true" width="22.0"/>
    <col min="27" max="27" customWidth="true" hidden="true" width="22.0"/>
    <col min="28" max="28" customWidth="true" hidden="true" width="22.0"/>
    <col min="29" max="29" customWidth="true" hidden="true" width="22.0"/>
    <col min="30" max="30" customWidth="true" hidden="true" width="22.0"/>
    <col min="31" max="31" customWidth="true" hidden="true" width="22.0"/>
  </cols>
  <sheetData>
    <row r="1" spans="1:19" ht="42.0" customHeight="true" x14ac:dyDescent="0.25">
      <c r="A1" s="3037" t="s">
        <v>407</v>
      </c>
      <c r="B1" s="3037"/>
      <c r="C1" s="3037"/>
      <c r="D1" s="3037"/>
      <c r="E1" s="3037"/>
      <c r="F1" s="3037"/>
      <c r="G1" s="3037"/>
      <c r="H1" s="3037"/>
      <c r="I1" s="3037"/>
      <c r="J1" s="3037"/>
      <c r="K1" s="3037"/>
      <c r="L1" s="3037"/>
      <c r="M1" s="3037"/>
      <c r="N1" s="3037"/>
      <c r="O1" s="3037"/>
      <c r="P1" s="3037"/>
      <c r="Q1" s="3037"/>
      <c r="R1" s="3037"/>
      <c r="S1" s="3037"/>
      <c r="T1" s="3037"/>
      <c r="U1" s="3037"/>
      <c r="V1" s="3037"/>
      <c r="W1" s="3037"/>
      <c r="X1" s="1716"/>
      <c r="AE1" s="0"/>
    </row>
    <row r="2" spans="1:19" ht="32.0" customHeight="true" thickBot="1" x14ac:dyDescent="0.3">
      <c r="A2" s="3038" t="s">
        <v>325</v>
      </c>
      <c r="B2" s="3038" t="s">
        <v>326</v>
      </c>
      <c r="C2" s="3038" t="s">
        <v>408</v>
      </c>
      <c r="D2" s="3038" t="s">
        <v>328</v>
      </c>
      <c r="E2" s="3038" t="s">
        <v>329</v>
      </c>
      <c r="F2" s="3038" t="s">
        <v>330</v>
      </c>
      <c r="G2" s="3038" t="s">
        <v>331</v>
      </c>
      <c r="H2" s="3038" t="s">
        <v>332</v>
      </c>
      <c r="I2" s="3038" t="s">
        <v>333</v>
      </c>
      <c r="J2" s="3038" t="s">
        <v>334</v>
      </c>
      <c r="K2" s="3038" t="s">
        <v>335</v>
      </c>
      <c r="L2" s="3038" t="s">
        <v>336</v>
      </c>
      <c r="M2" s="3038" t="s">
        <v>337</v>
      </c>
      <c r="N2" s="3038" t="s">
        <v>338</v>
      </c>
      <c r="O2" s="3038" t="s">
        <v>339</v>
      </c>
      <c r="P2" s="3038" t="s">
        <v>340</v>
      </c>
      <c r="Q2" s="3039" t="s">
        <v>409</v>
      </c>
      <c r="R2" s="3040" t="s">
        <v>410</v>
      </c>
      <c r="S2" s="3041" t="s">
        <v>523</v>
      </c>
      <c r="T2" s="3042" t="s">
        <v>470</v>
      </c>
      <c r="U2" s="3043" t="s">
        <v>471</v>
      </c>
      <c r="V2" s="3044" t="s">
        <v>472</v>
      </c>
      <c r="W2" s="3045" t="s">
        <v>412</v>
      </c>
      <c r="X2" s="3038" t="s">
        <v>413</v>
      </c>
      <c r="Y2" s="3038" t="s">
        <v>414</v>
      </c>
      <c r="Z2" s="3038" t="s">
        <v>415</v>
      </c>
      <c r="AA2" s="3038" t="s">
        <v>416</v>
      </c>
      <c r="AB2" s="3038" t="s">
        <v>473</v>
      </c>
      <c r="AC2" s="3038" t="s">
        <v>474</v>
      </c>
      <c r="AD2" s="3038" t="s">
        <v>475</v>
      </c>
      <c r="AE2" s="1717"/>
    </row>
    <row r="3" spans="1:19" ht="22.0" hidden="false" customHeight="true" thickTop="1" x14ac:dyDescent="0.25">
      <c r="A3" s="3089" t="s">
        <v>0</v>
      </c>
      <c r="B3" s="3088" t="s">
        <v>1</v>
      </c>
      <c r="C3" s="3088" t="s">
        <v>2</v>
      </c>
      <c r="D3" s="3088">
        <v>35381421000194</v>
      </c>
      <c r="E3" s="3088"/>
      <c r="F3" s="3088" t="s">
        <v>3</v>
      </c>
      <c r="G3" s="3088" t="s">
        <v>4</v>
      </c>
      <c r="H3" s="3088" t="s">
        <v>5</v>
      </c>
      <c r="I3" s="3088" t="s">
        <v>344</v>
      </c>
      <c r="J3" s="3088"/>
      <c r="K3" s="3088"/>
      <c r="L3" s="3088"/>
      <c r="M3" s="3088"/>
      <c r="N3" s="3088"/>
      <c r="O3" s="3088"/>
      <c r="P3" s="3088"/>
      <c r="Q3" s="3091"/>
      <c r="R3" s="3091"/>
      <c r="S3" s="3091"/>
      <c r="T3" s="3091"/>
      <c r="U3" s="3092"/>
      <c r="V3" s="3088"/>
      <c r="W3" s="3088" t="s">
        <v>417</v>
      </c>
      <c r="X3" s="3056">
        <f>IF(A3="","",IF(LEN(SUBSTITUTE(SUBSTITUTE(SUBSTITUTE(SUBSTITUTE(D3,".",""),"/",""),"-","")," ",""))&lt;&gt;14,"CNPJ INVALIDO","OK"))</f>
      </c>
      <c r="Y3" s="3056">
        <f>IF(A3="","",IF(R3="","REST PENDENTE","REST OK"))</f>
      </c>
      <c r="Z3" s="3056">
        <f>IF(A3="","",IF(AND(R3&lt;&gt;"",COUNTIFS($D$3:$D$164,D3,$R$3:$R$164,"&lt;&gt;")&gt;1),"DUPLICADO","OK"))</f>
      </c>
      <c r="AA3" s="3056">
        <f>IF(A3="","",IF(OR(LEN(Q3)&gt;180,LEN(R3)&gt;180,LEN(S3)&gt;180,LEN(T3)&gt;180),"CAMINHO LONGO","OK"))</f>
      </c>
      <c r="AB3" s="3056">
        <f>IF(A3="","",IF(U3="","",IFERROR(INT(U3-TODAY()),"")))</f>
      </c>
      <c r="AC3" s="3056">
        <f>IF(A3="","",IF(AND(T3="",U3=""),"",IF(T3="","SEM CAMINHO",IF(U3="","SEM DATA",IFERROR(IF(AB3&lt;15,"VERMELHO",IF(AB3&lt;=30,"AMARELO","VERDE")),"DATA INVALIDA")))))</f>
      </c>
      <c r="AD3" s="3056">
        <f>IF(OR(A3="",U3="",NOT(ISNUMBER(AB3))),"",RANK(AB3,$AB$3:$AB$164,1)+COUNTIFS($AB$3:AB3,AB3)-1)</f>
      </c>
      <c r="AE3" s="1736"/>
    </row>
    <row r="4" spans="1:19" ht="22.0" hidden="false" customHeight="true" x14ac:dyDescent="0.25">
      <c r="A4" s="3094" t="s">
        <v>6</v>
      </c>
      <c r="B4" s="3093" t="s">
        <v>1</v>
      </c>
      <c r="C4" s="3093" t="s">
        <v>2</v>
      </c>
      <c r="D4" s="3093" t="s">
        <v>7</v>
      </c>
      <c r="E4" s="3093"/>
      <c r="F4" s="3093" t="s">
        <v>3</v>
      </c>
      <c r="G4" s="3093" t="s">
        <v>4</v>
      </c>
      <c r="H4" s="3093" t="s">
        <v>5</v>
      </c>
      <c r="I4" s="3093" t="s">
        <v>344</v>
      </c>
      <c r="J4" s="3093"/>
      <c r="K4" s="3093"/>
      <c r="L4" s="3093"/>
      <c r="M4" s="3093"/>
      <c r="N4" s="3093"/>
      <c r="O4" s="3093"/>
      <c r="P4" s="3093"/>
      <c r="Q4" s="3096"/>
      <c r="R4" s="3096"/>
      <c r="S4" s="3096"/>
      <c r="T4" s="3096"/>
      <c r="U4" s="3097"/>
      <c r="V4" s="3093"/>
      <c r="W4" s="3093"/>
      <c r="X4" s="3056">
        <f>IF(A4="","",IF(LEN(SUBSTITUTE(SUBSTITUTE(SUBSTITUTE(SUBSTITUTE(D4,".",""),"/",""),"-","")," ",""))&lt;&gt;14,"CNPJ INVALIDO","OK"))</f>
      </c>
      <c r="Y4" s="3056">
        <f>IF(A4="","",IF(R4="","REST PENDENTE","REST OK"))</f>
      </c>
      <c r="Z4" s="3056">
        <f>IF(A4="","",IF(AND(R4&lt;&gt;"",COUNTIFS($D$3:$D$164,D4,$R$3:$R$164,"&lt;&gt;")&gt;1),"DUPLICADO","OK"))</f>
      </c>
      <c r="AA4" s="3056">
        <f>IF(A4="","",IF(OR(LEN(Q4)&gt;180,LEN(R4)&gt;180,LEN(S4)&gt;180,LEN(T4)&gt;180),"CAMINHO LONGO","OK"))</f>
      </c>
      <c r="AB4" s="3056">
        <f>IF(A4="","",IF(U4="","",IFERROR(INT(U4-TODAY()),"")))</f>
      </c>
      <c r="AC4" s="3056">
        <f>IF(A4="","",IF(AND(T4="",U4=""),"",IF(T4="","SEM CAMINHO",IF(U4="","SEM DATA",IFERROR(IF(AB4&lt;15,"VERMELHO",IF(AB4&lt;=30,"AMARELO","VERDE")),"DATA INVALIDA")))))</f>
      </c>
      <c r="AD4" s="3056">
        <f>IF(OR(A4="",U4="",NOT(ISNUMBER(AB4))),"",RANK(AB4,$AB$3:$AB$164,1)+COUNTIFS($AB$3:AB4,AB4)-1)</f>
      </c>
      <c r="AE4" s="1736"/>
    </row>
    <row r="5" spans="1:19" ht="22.0" hidden="false" customHeight="true" x14ac:dyDescent="0.25">
      <c r="A5" s="3089" t="s">
        <v>8</v>
      </c>
      <c r="B5" s="3088" t="s">
        <v>9</v>
      </c>
      <c r="C5" s="3088" t="s">
        <v>10</v>
      </c>
      <c r="D5" s="3088" t="s">
        <v>11</v>
      </c>
      <c r="E5" s="3088"/>
      <c r="F5" s="3088" t="s">
        <v>12</v>
      </c>
      <c r="G5" s="3088" t="s">
        <v>13</v>
      </c>
      <c r="H5" s="3088" t="s">
        <v>14</v>
      </c>
      <c r="I5" s="3088" t="s">
        <v>344</v>
      </c>
      <c r="J5" s="3088"/>
      <c r="K5" s="3088"/>
      <c r="L5" s="3088"/>
      <c r="M5" s="3088"/>
      <c r="N5" s="3088"/>
      <c r="O5" s="3088"/>
      <c r="P5" s="3088"/>
      <c r="Q5" s="3091"/>
      <c r="R5" s="3091"/>
      <c r="S5" s="3091"/>
      <c r="T5" s="3091"/>
      <c r="U5" s="3092"/>
      <c r="V5" s="3088"/>
      <c r="W5" s="3088"/>
      <c r="X5" s="3056">
        <f>IF(A5="","",IF(LEN(SUBSTITUTE(SUBSTITUTE(SUBSTITUTE(SUBSTITUTE(D5,".",""),"/",""),"-","")," ",""))&lt;&gt;14,"CNPJ INVALIDO","OK"))</f>
      </c>
      <c r="Y5" s="3056">
        <f>IF(A5="","",IF(R5="","REST PENDENTE","REST OK"))</f>
      </c>
      <c r="Z5" s="3056">
        <f>IF(A5="","",IF(AND(R5&lt;&gt;"",COUNTIFS($D$3:$D$164,D5,$R$3:$R$164,"&lt;&gt;")&gt;1),"DUPLICADO","OK"))</f>
      </c>
      <c r="AA5" s="3056">
        <f>IF(A5="","",IF(OR(LEN(Q5)&gt;180,LEN(R5)&gt;180,LEN(S5)&gt;180,LEN(T5)&gt;180),"CAMINHO LONGO","OK"))</f>
      </c>
      <c r="AB5" s="3056">
        <f>IF(A5="","",IF(U5="","",IFERROR(INT(U5-TODAY()),"")))</f>
      </c>
      <c r="AC5" s="3056">
        <f>IF(A5="","",IF(AND(T5="",U5=""),"",IF(T5="","SEM CAMINHO",IF(U5="","SEM DATA",IFERROR(IF(AB5&lt;15,"VERMELHO",IF(AB5&lt;=30,"AMARELO","VERDE")),"DATA INVALIDA")))))</f>
      </c>
      <c r="AD5" s="3056">
        <f>IF(OR(A5="",U5="",NOT(ISNUMBER(AB5))),"",RANK(AB5,$AB$3:$AB$164,1)+COUNTIFS($AB$3:AB5,AB5)-1)</f>
      </c>
      <c r="AE5" s="1736"/>
    </row>
    <row r="6" spans="1:19" ht="22.0" hidden="false" customHeight="true" x14ac:dyDescent="0.25">
      <c r="A6" s="3094" t="s">
        <v>15</v>
      </c>
      <c r="B6" s="3093" t="s">
        <v>9</v>
      </c>
      <c r="C6" s="3093" t="s">
        <v>16</v>
      </c>
      <c r="D6" s="3093" t="s">
        <v>17</v>
      </c>
      <c r="E6" s="3093"/>
      <c r="F6" s="3093" t="s">
        <v>12</v>
      </c>
      <c r="G6" s="3093" t="s">
        <v>13</v>
      </c>
      <c r="H6" s="3093" t="s">
        <v>14</v>
      </c>
      <c r="I6" s="3093" t="s">
        <v>344</v>
      </c>
      <c r="J6" s="3093" t="s">
        <v>344</v>
      </c>
      <c r="K6" s="3093" t="s">
        <v>344</v>
      </c>
      <c r="L6" s="3093" t="s">
        <v>344</v>
      </c>
      <c r="M6" s="3093" t="s">
        <v>344</v>
      </c>
      <c r="N6" s="3093" t="s">
        <v>344</v>
      </c>
      <c r="O6" s="3093" t="s">
        <v>344</v>
      </c>
      <c r="P6" s="3093" t="s">
        <v>344</v>
      </c>
      <c r="Q6" s="3096"/>
      <c r="R6" s="3096"/>
      <c r="S6" s="3096"/>
      <c r="T6" s="3096"/>
      <c r="U6" s="3097"/>
      <c r="V6" s="3093"/>
      <c r="W6" s="3093"/>
      <c r="X6" s="3056">
        <f>IF(A6="","",IF(LEN(SUBSTITUTE(SUBSTITUTE(SUBSTITUTE(SUBSTITUTE(D6,".",""),"/",""),"-","")," ",""))&lt;&gt;14,"CNPJ INVALIDO","OK"))</f>
      </c>
      <c r="Y6" s="3056">
        <f>IF(A6="","",IF(R6="","REST PENDENTE","REST OK"))</f>
      </c>
      <c r="Z6" s="3056">
        <f>IF(A6="","",IF(AND(R6&lt;&gt;"",COUNTIFS($D$3:$D$164,D6,$R$3:$R$164,"&lt;&gt;")&gt;1),"DUPLICADO","OK"))</f>
      </c>
      <c r="AA6" s="3056">
        <f>IF(A6="","",IF(OR(LEN(Q6)&gt;180,LEN(R6)&gt;180,LEN(S6)&gt;180,LEN(T6)&gt;180),"CAMINHO LONGO","OK"))</f>
      </c>
      <c r="AB6" s="3056">
        <f>IF(A6="","",IF(U6="","",IFERROR(INT(U6-TODAY()),"")))</f>
      </c>
      <c r="AC6" s="3056">
        <f>IF(A6="","",IF(AND(T6="",U6=""),"",IF(T6="","SEM CAMINHO",IF(U6="","SEM DATA",IFERROR(IF(AB6&lt;15,"VERMELHO",IF(AB6&lt;=30,"AMARELO","VERDE")),"DATA INVALIDA")))))</f>
      </c>
      <c r="AD6" s="3056">
        <f>IF(OR(A6="",U6="",NOT(ISNUMBER(AB6))),"",RANK(AB6,$AB$3:$AB$164,1)+COUNTIFS($AB$3:AB6,AB6)-1)</f>
      </c>
      <c r="AE6" s="1736"/>
    </row>
    <row r="7" spans="1:19" ht="22.0" hidden="false" customHeight="true" x14ac:dyDescent="0.25">
      <c r="A7" s="3089" t="s">
        <v>18</v>
      </c>
      <c r="B7" s="3088" t="s">
        <v>9</v>
      </c>
      <c r="C7" s="3088" t="s">
        <v>19</v>
      </c>
      <c r="D7" s="3088" t="s">
        <v>20</v>
      </c>
      <c r="E7" s="3088"/>
      <c r="F7" s="3088" t="s">
        <v>12</v>
      </c>
      <c r="G7" s="3088" t="s">
        <v>13</v>
      </c>
      <c r="H7" s="3088" t="s">
        <v>14</v>
      </c>
      <c r="I7" s="3088" t="s">
        <v>344</v>
      </c>
      <c r="J7" s="3088" t="s">
        <v>344</v>
      </c>
      <c r="K7" s="3088" t="s">
        <v>344</v>
      </c>
      <c r="L7" s="3088" t="s">
        <v>344</v>
      </c>
      <c r="M7" s="3088" t="s">
        <v>344</v>
      </c>
      <c r="N7" s="3088" t="s">
        <v>344</v>
      </c>
      <c r="O7" s="3088" t="s">
        <v>344</v>
      </c>
      <c r="P7" s="3088" t="s">
        <v>344</v>
      </c>
      <c r="Q7" s="3091"/>
      <c r="R7" s="3091"/>
      <c r="S7" s="3091"/>
      <c r="T7" s="3091"/>
      <c r="U7" s="3092"/>
      <c r="V7" s="3088"/>
      <c r="W7" s="3088"/>
      <c r="X7" s="3056">
        <f>IF(A7="","",IF(LEN(SUBSTITUTE(SUBSTITUTE(SUBSTITUTE(SUBSTITUTE(D7,".",""),"/",""),"-","")," ",""))&lt;&gt;14,"CNPJ INVALIDO","OK"))</f>
      </c>
      <c r="Y7" s="3056">
        <f>IF(A7="","",IF(R7="","REST PENDENTE","REST OK"))</f>
      </c>
      <c r="Z7" s="3056">
        <f>IF(A7="","",IF(AND(R7&lt;&gt;"",COUNTIFS($D$3:$D$164,D7,$R$3:$R$164,"&lt;&gt;")&gt;1),"DUPLICADO","OK"))</f>
      </c>
      <c r="AA7" s="3056">
        <f>IF(A7="","",IF(OR(LEN(Q7)&gt;180,LEN(R7)&gt;180,LEN(S7)&gt;180,LEN(T7)&gt;180),"CAMINHO LONGO","OK"))</f>
      </c>
      <c r="AB7" s="3056">
        <f>IF(A7="","",IF(U7="","",IFERROR(INT(U7-TODAY()),"")))</f>
      </c>
      <c r="AC7" s="3056">
        <f>IF(A7="","",IF(AND(T7="",U7=""),"",IF(T7="","SEM CAMINHO",IF(U7="","SEM DATA",IFERROR(IF(AB7&lt;15,"VERMELHO",IF(AB7&lt;=30,"AMARELO","VERDE")),"DATA INVALIDA")))))</f>
      </c>
      <c r="AD7" s="3056">
        <f>IF(OR(A7="",U7="",NOT(ISNUMBER(AB7))),"",RANK(AB7,$AB$3:$AB$164,1)+COUNTIFS($AB$3:AB7,AB7)-1)</f>
      </c>
      <c r="AE7" s="1736"/>
    </row>
    <row r="8" spans="1:19" ht="22.0" hidden="false" customHeight="true" x14ac:dyDescent="0.25">
      <c r="A8" s="3094" t="s">
        <v>21</v>
      </c>
      <c r="B8" s="3093" t="s">
        <v>9</v>
      </c>
      <c r="C8" s="3093" t="s">
        <v>19</v>
      </c>
      <c r="D8" s="3093" t="s">
        <v>22</v>
      </c>
      <c r="E8" s="3093"/>
      <c r="F8" s="3093" t="s">
        <v>12</v>
      </c>
      <c r="G8" s="3093" t="s">
        <v>13</v>
      </c>
      <c r="H8" s="3093" t="s">
        <v>14</v>
      </c>
      <c r="I8" s="3093" t="s">
        <v>344</v>
      </c>
      <c r="J8" s="3093" t="s">
        <v>344</v>
      </c>
      <c r="K8" s="3093" t="s">
        <v>344</v>
      </c>
      <c r="L8" s="3093" t="s">
        <v>344</v>
      </c>
      <c r="M8" s="3093" t="s">
        <v>344</v>
      </c>
      <c r="N8" s="3093" t="s">
        <v>344</v>
      </c>
      <c r="O8" s="3093" t="s">
        <v>344</v>
      </c>
      <c r="P8" s="3093" t="s">
        <v>344</v>
      </c>
      <c r="Q8" s="3096"/>
      <c r="R8" s="3096"/>
      <c r="S8" s="3096"/>
      <c r="T8" s="3096"/>
      <c r="U8" s="3097"/>
      <c r="V8" s="3093"/>
      <c r="W8" s="3093"/>
      <c r="X8" s="3056">
        <f>IF(A8="","",IF(LEN(SUBSTITUTE(SUBSTITUTE(SUBSTITUTE(SUBSTITUTE(D8,".",""),"/",""),"-","")," ",""))&lt;&gt;14,"CNPJ INVALIDO","OK"))</f>
      </c>
      <c r="Y8" s="3056">
        <f>IF(A8="","",IF(R8="","REST PENDENTE","REST OK"))</f>
      </c>
      <c r="Z8" s="3056">
        <f>IF(A8="","",IF(AND(R8&lt;&gt;"",COUNTIFS($D$3:$D$164,D8,$R$3:$R$164,"&lt;&gt;")&gt;1),"DUPLICADO","OK"))</f>
      </c>
      <c r="AA8" s="3056">
        <f>IF(A8="","",IF(OR(LEN(Q8)&gt;180,LEN(R8)&gt;180,LEN(S8)&gt;180,LEN(T8)&gt;180),"CAMINHO LONGO","OK"))</f>
      </c>
      <c r="AB8" s="3056">
        <f>IF(A8="","",IF(U8="","",IFERROR(INT(U8-TODAY()),"")))</f>
      </c>
      <c r="AC8" s="3056">
        <f>IF(A8="","",IF(AND(T8="",U8=""),"",IF(T8="","SEM CAMINHO",IF(U8="","SEM DATA",IFERROR(IF(AB8&lt;15,"VERMELHO",IF(AB8&lt;=30,"AMARELO","VERDE")),"DATA INVALIDA")))))</f>
      </c>
      <c r="AD8" s="3056">
        <f>IF(OR(A8="",U8="",NOT(ISNUMBER(AB8))),"",RANK(AB8,$AB$3:$AB$164,1)+COUNTIFS($AB$3:AB8,AB8)-1)</f>
      </c>
      <c r="AE8" s="1736"/>
    </row>
    <row r="9" spans="1:19" ht="22.0" hidden="false" customHeight="true" x14ac:dyDescent="0.25">
      <c r="A9" s="3089" t="s">
        <v>23</v>
      </c>
      <c r="B9" s="3088" t="s">
        <v>9</v>
      </c>
      <c r="C9" s="3088" t="s">
        <v>24</v>
      </c>
      <c r="D9" s="3088" t="s">
        <v>25</v>
      </c>
      <c r="E9" s="3088"/>
      <c r="F9" s="3088" t="s">
        <v>12</v>
      </c>
      <c r="G9" s="3088" t="s">
        <v>13</v>
      </c>
      <c r="H9" s="3088" t="s">
        <v>14</v>
      </c>
      <c r="I9" s="3088" t="s">
        <v>344</v>
      </c>
      <c r="J9" s="3088" t="s">
        <v>344</v>
      </c>
      <c r="K9" s="3088" t="s">
        <v>344</v>
      </c>
      <c r="L9" s="3088" t="s">
        <v>344</v>
      </c>
      <c r="M9" s="3088" t="s">
        <v>344</v>
      </c>
      <c r="N9" s="3088" t="s">
        <v>344</v>
      </c>
      <c r="O9" s="3088" t="s">
        <v>344</v>
      </c>
      <c r="P9" s="3088" t="s">
        <v>344</v>
      </c>
      <c r="Q9" s="3091"/>
      <c r="R9" s="3091"/>
      <c r="S9" s="3091"/>
      <c r="T9" s="3091"/>
      <c r="U9" s="3092"/>
      <c r="V9" s="3088"/>
      <c r="W9" s="3088"/>
      <c r="X9" s="3056">
        <f>IF(A9="","",IF(LEN(SUBSTITUTE(SUBSTITUTE(SUBSTITUTE(SUBSTITUTE(D9,".",""),"/",""),"-","")," ",""))&lt;&gt;14,"CNPJ INVALIDO","OK"))</f>
      </c>
      <c r="Y9" s="3056">
        <f>IF(A9="","",IF(R9="","REST PENDENTE","REST OK"))</f>
      </c>
      <c r="Z9" s="3056">
        <f>IF(A9="","",IF(AND(R9&lt;&gt;"",COUNTIFS($D$3:$D$164,D9,$R$3:$R$164,"&lt;&gt;")&gt;1),"DUPLICADO","OK"))</f>
      </c>
      <c r="AA9" s="3056">
        <f>IF(A9="","",IF(OR(LEN(Q9)&gt;180,LEN(R9)&gt;180,LEN(S9)&gt;180,LEN(T9)&gt;180),"CAMINHO LONGO","OK"))</f>
      </c>
      <c r="AB9" s="3056">
        <f>IF(A9="","",IF(U9="","",IFERROR(INT(U9-TODAY()),"")))</f>
      </c>
      <c r="AC9" s="3056">
        <f>IF(A9="","",IF(AND(T9="",U9=""),"",IF(T9="","SEM CAMINHO",IF(U9="","SEM DATA",IFERROR(IF(AB9&lt;15,"VERMELHO",IF(AB9&lt;=30,"AMARELO","VERDE")),"DATA INVALIDA")))))</f>
      </c>
      <c r="AD9" s="3056">
        <f>IF(OR(A9="",U9="",NOT(ISNUMBER(AB9))),"",RANK(AB9,$AB$3:$AB$164,1)+COUNTIFS($AB$3:AB9,AB9)-1)</f>
      </c>
      <c r="AE9" s="1736"/>
    </row>
    <row r="10" spans="1:19" ht="22.0" hidden="false" customHeight="true" x14ac:dyDescent="0.25">
      <c r="A10" s="3094" t="s">
        <v>26</v>
      </c>
      <c r="B10" s="3093" t="s">
        <v>9</v>
      </c>
      <c r="C10" s="3093" t="s">
        <v>27</v>
      </c>
      <c r="D10" s="3093" t="s">
        <v>28</v>
      </c>
      <c r="E10" s="3093"/>
      <c r="F10" s="3093" t="s">
        <v>12</v>
      </c>
      <c r="G10" s="3093" t="s">
        <v>13</v>
      </c>
      <c r="H10" s="3093" t="s">
        <v>14</v>
      </c>
      <c r="I10" s="3093" t="s">
        <v>344</v>
      </c>
      <c r="J10" s="3093" t="s">
        <v>344</v>
      </c>
      <c r="K10" s="3093" t="s">
        <v>344</v>
      </c>
      <c r="L10" s="3093" t="s">
        <v>344</v>
      </c>
      <c r="M10" s="3093" t="s">
        <v>344</v>
      </c>
      <c r="N10" s="3093" t="s">
        <v>344</v>
      </c>
      <c r="O10" s="3093" t="s">
        <v>344</v>
      </c>
      <c r="P10" s="3093" t="s">
        <v>344</v>
      </c>
      <c r="Q10" s="3096"/>
      <c r="R10" s="3096"/>
      <c r="S10" s="3096"/>
      <c r="T10" s="3096"/>
      <c r="U10" s="3097"/>
      <c r="V10" s="3093"/>
      <c r="W10" s="3093"/>
      <c r="X10" s="3056">
        <f>IF(A10="","",IF(LEN(SUBSTITUTE(SUBSTITUTE(SUBSTITUTE(SUBSTITUTE(D10,".",""),"/",""),"-","")," ",""))&lt;&gt;14,"CNPJ INVALIDO","OK"))</f>
      </c>
      <c r="Y10" s="3056">
        <f>IF(A10="","",IF(R10="","REST PENDENTE","REST OK"))</f>
      </c>
      <c r="Z10" s="3056">
        <f>IF(A10="","",IF(AND(R10&lt;&gt;"",COUNTIFS($D$3:$D$164,D10,$R$3:$R$164,"&lt;&gt;")&gt;1),"DUPLICADO","OK"))</f>
      </c>
      <c r="AA10" s="3056">
        <f>IF(A10="","",IF(OR(LEN(Q10)&gt;180,LEN(R10)&gt;180,LEN(S10)&gt;180,LEN(T10)&gt;180),"CAMINHO LONGO","OK"))</f>
      </c>
      <c r="AB10" s="3056">
        <f>IF(A10="","",IF(U10="","",IFERROR(INT(U10-TODAY()),"")))</f>
      </c>
      <c r="AC10" s="3056">
        <f>IF(A10="","",IF(AND(T10="",U10=""),"",IF(T10="","SEM CAMINHO",IF(U10="","SEM DATA",IFERROR(IF(AB10&lt;15,"VERMELHO",IF(AB10&lt;=30,"AMARELO","VERDE")),"DATA INVALIDA")))))</f>
      </c>
      <c r="AD10" s="3056">
        <f>IF(OR(A10="",U10="",NOT(ISNUMBER(AB10))),"",RANK(AB10,$AB$3:$AB$164,1)+COUNTIFS($AB$3:AB10,AB10)-1)</f>
      </c>
      <c r="AE10" s="1736"/>
    </row>
    <row r="11" spans="1:19" ht="22.0" hidden="false" customHeight="true" x14ac:dyDescent="0.25">
      <c r="A11" s="3089" t="s">
        <v>29</v>
      </c>
      <c r="B11" s="3088" t="s">
        <v>9</v>
      </c>
      <c r="C11" s="3088" t="s">
        <v>16</v>
      </c>
      <c r="D11" s="3088" t="s">
        <v>30</v>
      </c>
      <c r="E11" s="3088"/>
      <c r="F11" s="3088" t="s">
        <v>12</v>
      </c>
      <c r="G11" s="3088" t="s">
        <v>13</v>
      </c>
      <c r="H11" s="3088" t="s">
        <v>14</v>
      </c>
      <c r="I11" s="3088" t="s">
        <v>344</v>
      </c>
      <c r="J11" s="3088" t="s">
        <v>344</v>
      </c>
      <c r="K11" s="3088" t="s">
        <v>344</v>
      </c>
      <c r="L11" s="3088" t="s">
        <v>344</v>
      </c>
      <c r="M11" s="3088" t="s">
        <v>344</v>
      </c>
      <c r="N11" s="3088" t="s">
        <v>344</v>
      </c>
      <c r="O11" s="3088" t="s">
        <v>344</v>
      </c>
      <c r="P11" s="3088" t="s">
        <v>344</v>
      </c>
      <c r="Q11" s="3091"/>
      <c r="R11" s="3091"/>
      <c r="S11" s="3091"/>
      <c r="T11" s="3091"/>
      <c r="U11" s="3092"/>
      <c r="V11" s="3088"/>
      <c r="W11" s="3088"/>
      <c r="X11" s="3056">
        <f>IF(A11="","",IF(LEN(SUBSTITUTE(SUBSTITUTE(SUBSTITUTE(SUBSTITUTE(D11,".",""),"/",""),"-","")," ",""))&lt;&gt;14,"CNPJ INVALIDO","OK"))</f>
      </c>
      <c r="Y11" s="3056">
        <f>IF(A11="","",IF(R11="","REST PENDENTE","REST OK"))</f>
      </c>
      <c r="Z11" s="3056">
        <f>IF(A11="","",IF(AND(R11&lt;&gt;"",COUNTIFS($D$3:$D$164,D11,$R$3:$R$164,"&lt;&gt;")&gt;1),"DUPLICADO","OK"))</f>
      </c>
      <c r="AA11" s="3056">
        <f>IF(A11="","",IF(OR(LEN(Q11)&gt;180,LEN(R11)&gt;180,LEN(S11)&gt;180,LEN(T11)&gt;180),"CAMINHO LONGO","OK"))</f>
      </c>
      <c r="AB11" s="3056">
        <f>IF(A11="","",IF(U11="","",IFERROR(INT(U11-TODAY()),"")))</f>
      </c>
      <c r="AC11" s="3056">
        <f>IF(A11="","",IF(AND(T11="",U11=""),"",IF(T11="","SEM CAMINHO",IF(U11="","SEM DATA",IFERROR(IF(AB11&lt;15,"VERMELHO",IF(AB11&lt;=30,"AMARELO","VERDE")),"DATA INVALIDA")))))</f>
      </c>
      <c r="AD11" s="3056">
        <f>IF(OR(A11="",U11="",NOT(ISNUMBER(AB11))),"",RANK(AB11,$AB$3:$AB$164,1)+COUNTIFS($AB$3:AB11,AB11)-1)</f>
      </c>
      <c r="AE11" s="1736"/>
    </row>
    <row r="12" spans="1:19" ht="22.0" hidden="false" customHeight="true" x14ac:dyDescent="0.25">
      <c r="A12" s="3094" t="s">
        <v>31</v>
      </c>
      <c r="B12" s="3093" t="s">
        <v>9</v>
      </c>
      <c r="C12" s="3093" t="s">
        <v>24</v>
      </c>
      <c r="D12" s="3093" t="s">
        <v>32</v>
      </c>
      <c r="E12" s="3093"/>
      <c r="F12" s="3093" t="s">
        <v>12</v>
      </c>
      <c r="G12" s="3093" t="s">
        <v>13</v>
      </c>
      <c r="H12" s="3093" t="s">
        <v>14</v>
      </c>
      <c r="I12" s="3093" t="s">
        <v>344</v>
      </c>
      <c r="J12" s="3093" t="s">
        <v>344</v>
      </c>
      <c r="K12" s="3093" t="s">
        <v>344</v>
      </c>
      <c r="L12" s="3093" t="s">
        <v>344</v>
      </c>
      <c r="M12" s="3093" t="s">
        <v>344</v>
      </c>
      <c r="N12" s="3093" t="s">
        <v>344</v>
      </c>
      <c r="O12" s="3093" t="s">
        <v>344</v>
      </c>
      <c r="P12" s="3093" t="s">
        <v>344</v>
      </c>
      <c r="Q12" s="3096"/>
      <c r="R12" s="3096"/>
      <c r="S12" s="3096"/>
      <c r="T12" s="3096"/>
      <c r="U12" s="3097"/>
      <c r="V12" s="3093"/>
      <c r="W12" s="3093"/>
      <c r="X12" s="3056">
        <f>IF(A12="","",IF(LEN(SUBSTITUTE(SUBSTITUTE(SUBSTITUTE(SUBSTITUTE(D12,".",""),"/",""),"-","")," ",""))&lt;&gt;14,"CNPJ INVALIDO","OK"))</f>
      </c>
      <c r="Y12" s="3056">
        <f>IF(A12="","",IF(R12="","REST PENDENTE","REST OK"))</f>
      </c>
      <c r="Z12" s="3056">
        <f>IF(A12="","",IF(AND(R12&lt;&gt;"",COUNTIFS($D$3:$D$164,D12,$R$3:$R$164,"&lt;&gt;")&gt;1),"DUPLICADO","OK"))</f>
      </c>
      <c r="AA12" s="3056">
        <f>IF(A12="","",IF(OR(LEN(Q12)&gt;180,LEN(R12)&gt;180,LEN(S12)&gt;180,LEN(T12)&gt;180),"CAMINHO LONGO","OK"))</f>
      </c>
      <c r="AB12" s="3056">
        <f>IF(A12="","",IF(U12="","",IFERROR(INT(U12-TODAY()),"")))</f>
      </c>
      <c r="AC12" s="3056">
        <f>IF(A12="","",IF(AND(T12="",U12=""),"",IF(T12="","SEM CAMINHO",IF(U12="","SEM DATA",IFERROR(IF(AB12&lt;15,"VERMELHO",IF(AB12&lt;=30,"AMARELO","VERDE")),"DATA INVALIDA")))))</f>
      </c>
      <c r="AD12" s="3056">
        <f>IF(OR(A12="",U12="",NOT(ISNUMBER(AB12))),"",RANK(AB12,$AB$3:$AB$164,1)+COUNTIFS($AB$3:AB12,AB12)-1)</f>
      </c>
      <c r="AE12" s="1736"/>
    </row>
    <row r="13" spans="1:19" ht="22.0" hidden="false" customHeight="true" x14ac:dyDescent="0.25">
      <c r="A13" s="3089" t="s">
        <v>33</v>
      </c>
      <c r="B13" s="3088" t="s">
        <v>9</v>
      </c>
      <c r="C13" s="3088" t="s">
        <v>24</v>
      </c>
      <c r="D13" s="3088" t="s">
        <v>34</v>
      </c>
      <c r="E13" s="3088"/>
      <c r="F13" s="3088" t="s">
        <v>12</v>
      </c>
      <c r="G13" s="3088" t="s">
        <v>13</v>
      </c>
      <c r="H13" s="3088" t="s">
        <v>14</v>
      </c>
      <c r="I13" s="3088" t="s">
        <v>344</v>
      </c>
      <c r="J13" s="3088" t="s">
        <v>344</v>
      </c>
      <c r="K13" s="3088" t="s">
        <v>344</v>
      </c>
      <c r="L13" s="3088" t="s">
        <v>344</v>
      </c>
      <c r="M13" s="3088" t="s">
        <v>344</v>
      </c>
      <c r="N13" s="3088" t="s">
        <v>344</v>
      </c>
      <c r="O13" s="3088" t="s">
        <v>344</v>
      </c>
      <c r="P13" s="3088" t="s">
        <v>344</v>
      </c>
      <c r="Q13" s="3091"/>
      <c r="R13" s="3091"/>
      <c r="S13" s="3091"/>
      <c r="T13" s="3091"/>
      <c r="U13" s="3092"/>
      <c r="V13" s="3088"/>
      <c r="W13" s="3088"/>
      <c r="X13" s="3056">
        <f>IF(A13="","",IF(LEN(SUBSTITUTE(SUBSTITUTE(SUBSTITUTE(SUBSTITUTE(D13,".",""),"/",""),"-","")," ",""))&lt;&gt;14,"CNPJ INVALIDO","OK"))</f>
      </c>
      <c r="Y13" s="3056">
        <f>IF(A13="","",IF(R13="","REST PENDENTE","REST OK"))</f>
      </c>
      <c r="Z13" s="3056">
        <f>IF(A13="","",IF(AND(R13&lt;&gt;"",COUNTIFS($D$3:$D$164,D13,$R$3:$R$164,"&lt;&gt;")&gt;1),"DUPLICADO","OK"))</f>
      </c>
      <c r="AA13" s="3056">
        <f>IF(A13="","",IF(OR(LEN(Q13)&gt;180,LEN(R13)&gt;180,LEN(S13)&gt;180,LEN(T13)&gt;180),"CAMINHO LONGO","OK"))</f>
      </c>
      <c r="AB13" s="3056">
        <f>IF(A13="","",IF(U13="","",IFERROR(INT(U13-TODAY()),"")))</f>
      </c>
      <c r="AC13" s="3056">
        <f>IF(A13="","",IF(AND(T13="",U13=""),"",IF(T13="","SEM CAMINHO",IF(U13="","SEM DATA",IFERROR(IF(AB13&lt;15,"VERMELHO",IF(AB13&lt;=30,"AMARELO","VERDE")),"DATA INVALIDA")))))</f>
      </c>
      <c r="AD13" s="3056">
        <f>IF(OR(A13="",U13="",NOT(ISNUMBER(AB13))),"",RANK(AB13,$AB$3:$AB$164,1)+COUNTIFS($AB$3:AB13,AB13)-1)</f>
      </c>
      <c r="AE13" s="1736"/>
    </row>
    <row r="14" spans="1:19" ht="22.0" hidden="false" customHeight="true" x14ac:dyDescent="0.25">
      <c r="A14" s="3094" t="s">
        <v>35</v>
      </c>
      <c r="B14" s="3093" t="s">
        <v>9</v>
      </c>
      <c r="C14" s="3093" t="s">
        <v>24</v>
      </c>
      <c r="D14" s="3093" t="s">
        <v>36</v>
      </c>
      <c r="E14" s="3093"/>
      <c r="F14" s="3093" t="s">
        <v>37</v>
      </c>
      <c r="G14" s="3093" t="s">
        <v>13</v>
      </c>
      <c r="H14" s="3093" t="s">
        <v>14</v>
      </c>
      <c r="I14" s="3093" t="s">
        <v>344</v>
      </c>
      <c r="J14" s="3093" t="s">
        <v>344</v>
      </c>
      <c r="K14" s="3093" t="s">
        <v>344</v>
      </c>
      <c r="L14" s="3093" t="s">
        <v>344</v>
      </c>
      <c r="M14" s="3093" t="s">
        <v>344</v>
      </c>
      <c r="N14" s="3093" t="s">
        <v>344</v>
      </c>
      <c r="O14" s="3093" t="s">
        <v>344</v>
      </c>
      <c r="P14" s="3093" t="s">
        <v>344</v>
      </c>
      <c r="Q14" s="3096"/>
      <c r="R14" s="3096"/>
      <c r="S14" s="3096"/>
      <c r="T14" s="3096"/>
      <c r="U14" s="3097"/>
      <c r="V14" s="3093"/>
      <c r="W14" s="3093"/>
      <c r="X14" s="3056">
        <f>IF(A14="","",IF(LEN(SUBSTITUTE(SUBSTITUTE(SUBSTITUTE(SUBSTITUTE(D14,".",""),"/",""),"-","")," ",""))&lt;&gt;14,"CNPJ INVALIDO","OK"))</f>
      </c>
      <c r="Y14" s="3056">
        <f>IF(A14="","",IF(R14="","REST PENDENTE","REST OK"))</f>
      </c>
      <c r="Z14" s="3056">
        <f>IF(A14="","",IF(AND(R14&lt;&gt;"",COUNTIFS($D$3:$D$164,D14,$R$3:$R$164,"&lt;&gt;")&gt;1),"DUPLICADO","OK"))</f>
      </c>
      <c r="AA14" s="3056">
        <f>IF(A14="","",IF(OR(LEN(Q14)&gt;180,LEN(R14)&gt;180,LEN(S14)&gt;180,LEN(T14)&gt;180),"CAMINHO LONGO","OK"))</f>
      </c>
      <c r="AB14" s="3056">
        <f>IF(A14="","",IF(U14="","",IFERROR(INT(U14-TODAY()),"")))</f>
      </c>
      <c r="AC14" s="3056">
        <f>IF(A14="","",IF(AND(T14="",U14=""),"",IF(T14="","SEM CAMINHO",IF(U14="","SEM DATA",IFERROR(IF(AB14&lt;15,"VERMELHO",IF(AB14&lt;=30,"AMARELO","VERDE")),"DATA INVALIDA")))))</f>
      </c>
      <c r="AD14" s="3056">
        <f>IF(OR(A14="",U14="",NOT(ISNUMBER(AB14))),"",RANK(AB14,$AB$3:$AB$164,1)+COUNTIFS($AB$3:AB14,AB14)-1)</f>
      </c>
      <c r="AE14" s="1736"/>
    </row>
    <row r="15" spans="1:19" ht="22.0" hidden="false" customHeight="true" x14ac:dyDescent="0.25">
      <c r="A15" s="3089" t="s">
        <v>38</v>
      </c>
      <c r="B15" s="3088" t="s">
        <v>9</v>
      </c>
      <c r="C15" s="3088" t="s">
        <v>16</v>
      </c>
      <c r="D15" s="3088" t="s">
        <v>39</v>
      </c>
      <c r="E15" s="3088"/>
      <c r="F15" s="3088" t="s">
        <v>37</v>
      </c>
      <c r="G15" s="3088" t="s">
        <v>13</v>
      </c>
      <c r="H15" s="3088" t="s">
        <v>14</v>
      </c>
      <c r="I15" s="3088" t="s">
        <v>344</v>
      </c>
      <c r="J15" s="3088" t="s">
        <v>344</v>
      </c>
      <c r="K15" s="3088" t="s">
        <v>344</v>
      </c>
      <c r="L15" s="3088" t="s">
        <v>344</v>
      </c>
      <c r="M15" s="3088" t="s">
        <v>344</v>
      </c>
      <c r="N15" s="3088" t="s">
        <v>344</v>
      </c>
      <c r="O15" s="3088" t="s">
        <v>344</v>
      </c>
      <c r="P15" s="3088" t="s">
        <v>344</v>
      </c>
      <c r="Q15" s="3091"/>
      <c r="R15" s="3091"/>
      <c r="S15" s="3091"/>
      <c r="T15" s="3091"/>
      <c r="U15" s="3092"/>
      <c r="V15" s="3088"/>
      <c r="W15" s="3088"/>
      <c r="X15" s="3056">
        <f>IF(A15="","",IF(LEN(SUBSTITUTE(SUBSTITUTE(SUBSTITUTE(SUBSTITUTE(D15,".",""),"/",""),"-","")," ",""))&lt;&gt;14,"CNPJ INVALIDO","OK"))</f>
      </c>
      <c r="Y15" s="3056">
        <f>IF(A15="","",IF(R15="","REST PENDENTE","REST OK"))</f>
      </c>
      <c r="Z15" s="3056">
        <f>IF(A15="","",IF(AND(R15&lt;&gt;"",COUNTIFS($D$3:$D$164,D15,$R$3:$R$164,"&lt;&gt;")&gt;1),"DUPLICADO","OK"))</f>
      </c>
      <c r="AA15" s="3056">
        <f>IF(A15="","",IF(OR(LEN(Q15)&gt;180,LEN(R15)&gt;180,LEN(S15)&gt;180,LEN(T15)&gt;180),"CAMINHO LONGO","OK"))</f>
      </c>
      <c r="AB15" s="3056">
        <f>IF(A15="","",IF(U15="","",IFERROR(INT(U15-TODAY()),"")))</f>
      </c>
      <c r="AC15" s="3056">
        <f>IF(A15="","",IF(AND(T15="",U15=""),"",IF(T15="","SEM CAMINHO",IF(U15="","SEM DATA",IFERROR(IF(AB15&lt;15,"VERMELHO",IF(AB15&lt;=30,"AMARELO","VERDE")),"DATA INVALIDA")))))</f>
      </c>
      <c r="AD15" s="3056">
        <f>IF(OR(A15="",U15="",NOT(ISNUMBER(AB15))),"",RANK(AB15,$AB$3:$AB$164,1)+COUNTIFS($AB$3:AB15,AB15)-1)</f>
      </c>
      <c r="AE15" s="1736"/>
    </row>
    <row r="16" spans="1:19" ht="22.0" hidden="false" customHeight="true" x14ac:dyDescent="0.25">
      <c r="A16" s="3094" t="s">
        <v>40</v>
      </c>
      <c r="B16" s="3093" t="s">
        <v>9</v>
      </c>
      <c r="C16" s="3093" t="s">
        <v>24</v>
      </c>
      <c r="D16" s="3093">
        <v>17608570000161</v>
      </c>
      <c r="E16" s="3093"/>
      <c r="F16" s="3093" t="s">
        <v>12</v>
      </c>
      <c r="G16" s="3093" t="s">
        <v>41</v>
      </c>
      <c r="H16" s="3093" t="s">
        <v>5</v>
      </c>
      <c r="I16" s="3093" t="s">
        <v>344</v>
      </c>
      <c r="J16" s="3093" t="s">
        <v>344</v>
      </c>
      <c r="K16" s="3093" t="s">
        <v>344</v>
      </c>
      <c r="L16" s="3093" t="s">
        <v>344</v>
      </c>
      <c r="M16" s="3093" t="s">
        <v>344</v>
      </c>
      <c r="N16" s="3093" t="s">
        <v>344</v>
      </c>
      <c r="O16" s="3093" t="s">
        <v>344</v>
      </c>
      <c r="P16" s="3093" t="s">
        <v>344</v>
      </c>
      <c r="Q16" s="3096"/>
      <c r="R16" s="3096"/>
      <c r="S16" s="3096"/>
      <c r="T16" s="3096"/>
      <c r="U16" s="3097"/>
      <c r="V16" s="3093"/>
      <c r="W16" s="3093"/>
      <c r="X16" s="3056">
        <f>IF(A16="","",IF(LEN(SUBSTITUTE(SUBSTITUTE(SUBSTITUTE(SUBSTITUTE(D16,".",""),"/",""),"-","")," ",""))&lt;&gt;14,"CNPJ INVALIDO","OK"))</f>
      </c>
      <c r="Y16" s="3056">
        <f>IF(A16="","",IF(R16="","REST PENDENTE","REST OK"))</f>
      </c>
      <c r="Z16" s="3056">
        <f>IF(A16="","",IF(AND(R16&lt;&gt;"",COUNTIFS($D$3:$D$164,D16,$R$3:$R$164,"&lt;&gt;")&gt;1),"DUPLICADO","OK"))</f>
      </c>
      <c r="AA16" s="3056">
        <f>IF(A16="","",IF(OR(LEN(Q16)&gt;180,LEN(R16)&gt;180,LEN(S16)&gt;180,LEN(T16)&gt;180),"CAMINHO LONGO","OK"))</f>
      </c>
      <c r="AB16" s="3056">
        <f>IF(A16="","",IF(U16="","",IFERROR(INT(U16-TODAY()),"")))</f>
      </c>
      <c r="AC16" s="3056">
        <f>IF(A16="","",IF(AND(T16="",U16=""),"",IF(T16="","SEM CAMINHO",IF(U16="","SEM DATA",IFERROR(IF(AB16&lt;15,"VERMELHO",IF(AB16&lt;=30,"AMARELO","VERDE")),"DATA INVALIDA")))))</f>
      </c>
      <c r="AD16" s="3056">
        <f>IF(OR(A16="",U16="",NOT(ISNUMBER(AB16))),"",RANK(AB16,$AB$3:$AB$164,1)+COUNTIFS($AB$3:AB16,AB16)-1)</f>
      </c>
      <c r="AE16" s="1736"/>
    </row>
    <row r="17" spans="1:19" ht="22.0" hidden="false" customHeight="true" x14ac:dyDescent="0.25">
      <c r="A17" s="3089" t="s">
        <v>42</v>
      </c>
      <c r="B17" s="3088" t="s">
        <v>9</v>
      </c>
      <c r="C17" s="3088" t="s">
        <v>24</v>
      </c>
      <c r="D17" s="3088" t="s">
        <v>43</v>
      </c>
      <c r="E17" s="3088"/>
      <c r="F17" s="3088" t="s">
        <v>12</v>
      </c>
      <c r="G17" s="3088" t="s">
        <v>41</v>
      </c>
      <c r="H17" s="3088" t="s">
        <v>5</v>
      </c>
      <c r="I17" s="3088"/>
      <c r="J17" s="3088"/>
      <c r="K17" s="3088"/>
      <c r="L17" s="3088"/>
      <c r="M17" s="3088" t="s">
        <v>376</v>
      </c>
      <c r="N17" s="3088"/>
      <c r="O17" s="3088" t="s">
        <v>345</v>
      </c>
      <c r="P17" s="3088" t="s">
        <v>346</v>
      </c>
      <c r="Q17" s="3091"/>
      <c r="R17" s="3091"/>
      <c r="S17" s="3091"/>
      <c r="T17" s="3091"/>
      <c r="U17" s="3092"/>
      <c r="V17" s="3088"/>
      <c r="W17" s="3088"/>
      <c r="X17" s="3056">
        <f>IF(A17="","",IF(LEN(SUBSTITUTE(SUBSTITUTE(SUBSTITUTE(SUBSTITUTE(D17,".",""),"/",""),"-","")," ",""))&lt;&gt;14,"CNPJ INVALIDO","OK"))</f>
      </c>
      <c r="Y17" s="3056">
        <f>IF(A17="","",IF(R17="","REST PENDENTE","REST OK"))</f>
      </c>
      <c r="Z17" s="3056">
        <f>IF(A17="","",IF(AND(R17&lt;&gt;"",COUNTIFS($D$3:$D$164,D17,$R$3:$R$164,"&lt;&gt;")&gt;1),"DUPLICADO","OK"))</f>
      </c>
      <c r="AA17" s="3056">
        <f>IF(A17="","",IF(OR(LEN(Q17)&gt;180,LEN(R17)&gt;180,LEN(S17)&gt;180,LEN(T17)&gt;180),"CAMINHO LONGO","OK"))</f>
      </c>
      <c r="AB17" s="3056">
        <f>IF(A17="","",IF(U17="","",IFERROR(INT(U17-TODAY()),"")))</f>
      </c>
      <c r="AC17" s="3056">
        <f>IF(A17="","",IF(AND(T17="",U17=""),"",IF(T17="","SEM CAMINHO",IF(U17="","SEM DATA",IFERROR(IF(AB17&lt;15,"VERMELHO",IF(AB17&lt;=30,"AMARELO","VERDE")),"DATA INVALIDA")))))</f>
      </c>
      <c r="AD17" s="3056">
        <f>IF(OR(A17="",U17="",NOT(ISNUMBER(AB17))),"",RANK(AB17,$AB$3:$AB$164,1)+COUNTIFS($AB$3:AB17,AB17)-1)</f>
      </c>
      <c r="AE17" s="1736"/>
    </row>
    <row r="18" spans="1:19" ht="22.0" hidden="false" customHeight="true" x14ac:dyDescent="0.25">
      <c r="A18" s="3094" t="s">
        <v>44</v>
      </c>
      <c r="B18" s="3093" t="s">
        <v>45</v>
      </c>
      <c r="C18" s="3093" t="s">
        <v>46</v>
      </c>
      <c r="D18" s="3093" t="s">
        <v>47</v>
      </c>
      <c r="E18" s="3093"/>
      <c r="F18" s="3093" t="s">
        <v>48</v>
      </c>
      <c r="G18" s="3093" t="s">
        <v>13</v>
      </c>
      <c r="H18" s="3093" t="s">
        <v>49</v>
      </c>
      <c r="I18" s="3093"/>
      <c r="J18" s="3093"/>
      <c r="K18" s="3093"/>
      <c r="L18" s="3093"/>
      <c r="M18" s="3093" t="s">
        <v>377</v>
      </c>
      <c r="N18" s="3093"/>
      <c r="O18" s="3093" t="s">
        <v>347</v>
      </c>
      <c r="P18" s="3093"/>
      <c r="Q18" s="3096"/>
      <c r="R18" s="3096"/>
      <c r="S18" s="3096"/>
      <c r="T18" s="3096"/>
      <c r="U18" s="3097"/>
      <c r="V18" s="3093"/>
      <c r="W18" s="3093"/>
      <c r="X18" s="3056">
        <f>IF(A18="","",IF(LEN(SUBSTITUTE(SUBSTITUTE(SUBSTITUTE(SUBSTITUTE(D18,".",""),"/",""),"-","")," ",""))&lt;&gt;14,"CNPJ INVALIDO","OK"))</f>
      </c>
      <c r="Y18" s="3056">
        <f>IF(A18="","",IF(R18="","REST PENDENTE","REST OK"))</f>
      </c>
      <c r="Z18" s="3056">
        <f>IF(A18="","",IF(AND(R18&lt;&gt;"",COUNTIFS($D$3:$D$164,D18,$R$3:$R$164,"&lt;&gt;")&gt;1),"DUPLICADO","OK"))</f>
      </c>
      <c r="AA18" s="3056">
        <f>IF(A18="","",IF(OR(LEN(Q18)&gt;180,LEN(R18)&gt;180,LEN(S18)&gt;180,LEN(T18)&gt;180),"CAMINHO LONGO","OK"))</f>
      </c>
      <c r="AB18" s="3056">
        <f>IF(A18="","",IF(U18="","",IFERROR(INT(U18-TODAY()),"")))</f>
      </c>
      <c r="AC18" s="3056">
        <f>IF(A18="","",IF(AND(T18="",U18=""),"",IF(T18="","SEM CAMINHO",IF(U18="","SEM DATA",IFERROR(IF(AB18&lt;15,"VERMELHO",IF(AB18&lt;=30,"AMARELO","VERDE")),"DATA INVALIDA")))))</f>
      </c>
      <c r="AD18" s="3056">
        <f>IF(OR(A18="",U18="",NOT(ISNUMBER(AB18))),"",RANK(AB18,$AB$3:$AB$164,1)+COUNTIFS($AB$3:AB18,AB18)-1)</f>
      </c>
      <c r="AE18" s="1736"/>
    </row>
    <row r="19" spans="1:19" ht="22.0" hidden="false" customHeight="true" x14ac:dyDescent="0.25">
      <c r="A19" s="3089" t="s">
        <v>50</v>
      </c>
      <c r="B19" s="3088" t="s">
        <v>45</v>
      </c>
      <c r="C19" s="3088" t="s">
        <v>46</v>
      </c>
      <c r="D19" s="3088" t="s">
        <v>51</v>
      </c>
      <c r="E19" s="3088"/>
      <c r="F19" s="3088" t="s">
        <v>48</v>
      </c>
      <c r="G19" s="3088" t="s">
        <v>13</v>
      </c>
      <c r="H19" s="3088" t="s">
        <v>49</v>
      </c>
      <c r="I19" s="3088"/>
      <c r="J19" s="3088"/>
      <c r="K19" s="3088"/>
      <c r="L19" s="3088"/>
      <c r="M19" s="3088" t="s">
        <v>377</v>
      </c>
      <c r="N19" s="3088"/>
      <c r="O19" s="3088" t="s">
        <v>347</v>
      </c>
      <c r="P19" s="3088"/>
      <c r="Q19" s="3091"/>
      <c r="R19" s="3091"/>
      <c r="S19" s="3091"/>
      <c r="T19" s="3091"/>
      <c r="U19" s="3092"/>
      <c r="V19" s="3088"/>
      <c r="W19" s="3088"/>
      <c r="X19" s="3056">
        <f>IF(A19="","",IF(LEN(SUBSTITUTE(SUBSTITUTE(SUBSTITUTE(SUBSTITUTE(D19,".",""),"/",""),"-","")," ",""))&lt;&gt;14,"CNPJ INVALIDO","OK"))</f>
      </c>
      <c r="Y19" s="3056">
        <f>IF(A19="","",IF(R19="","REST PENDENTE","REST OK"))</f>
      </c>
      <c r="Z19" s="3056">
        <f>IF(A19="","",IF(AND(R19&lt;&gt;"",COUNTIFS($D$3:$D$164,D19,$R$3:$R$164,"&lt;&gt;")&gt;1),"DUPLICADO","OK"))</f>
      </c>
      <c r="AA19" s="3056">
        <f>IF(A19="","",IF(OR(LEN(Q19)&gt;180,LEN(R19)&gt;180,LEN(S19)&gt;180,LEN(T19)&gt;180),"CAMINHO LONGO","OK"))</f>
      </c>
      <c r="AB19" s="3056">
        <f>IF(A19="","",IF(U19="","",IFERROR(INT(U19-TODAY()),"")))</f>
      </c>
      <c r="AC19" s="3056">
        <f>IF(A19="","",IF(AND(T19="",U19=""),"",IF(T19="","SEM CAMINHO",IF(U19="","SEM DATA",IFERROR(IF(AB19&lt;15,"VERMELHO",IF(AB19&lt;=30,"AMARELO","VERDE")),"DATA INVALIDA")))))</f>
      </c>
      <c r="AD19" s="3056">
        <f>IF(OR(A19="",U19="",NOT(ISNUMBER(AB19))),"",RANK(AB19,$AB$3:$AB$164,1)+COUNTIFS($AB$3:AB19,AB19)-1)</f>
      </c>
      <c r="AE19" s="1736"/>
    </row>
    <row r="20" spans="1:19" ht="22.0" hidden="false" customHeight="true" x14ac:dyDescent="0.25">
      <c r="A20" s="3094" t="s">
        <v>52</v>
      </c>
      <c r="B20" s="3093" t="s">
        <v>45</v>
      </c>
      <c r="C20" s="3093" t="s">
        <v>46</v>
      </c>
      <c r="D20" s="3093" t="s">
        <v>53</v>
      </c>
      <c r="E20" s="3093"/>
      <c r="F20" s="3093" t="s">
        <v>48</v>
      </c>
      <c r="G20" s="3093" t="s">
        <v>13</v>
      </c>
      <c r="H20" s="3093" t="s">
        <v>14</v>
      </c>
      <c r="I20" s="3093"/>
      <c r="J20" s="3093"/>
      <c r="K20" s="3093"/>
      <c r="L20" s="3093"/>
      <c r="M20" s="3093" t="s">
        <v>377</v>
      </c>
      <c r="N20" s="3093"/>
      <c r="O20" s="3093" t="s">
        <v>347</v>
      </c>
      <c r="P20" s="3093"/>
      <c r="Q20" s="3096"/>
      <c r="R20" s="3096"/>
      <c r="S20" s="3096"/>
      <c r="T20" s="3096"/>
      <c r="U20" s="3097"/>
      <c r="V20" s="3093"/>
      <c r="W20" s="3093"/>
      <c r="X20" s="3056">
        <f>IF(A20="","",IF(LEN(SUBSTITUTE(SUBSTITUTE(SUBSTITUTE(SUBSTITUTE(D20,".",""),"/",""),"-","")," ",""))&lt;&gt;14,"CNPJ INVALIDO","OK"))</f>
      </c>
      <c r="Y20" s="3056">
        <f>IF(A20="","",IF(R20="","REST PENDENTE","REST OK"))</f>
      </c>
      <c r="Z20" s="3056">
        <f>IF(A20="","",IF(AND(R20&lt;&gt;"",COUNTIFS($D$3:$D$164,D20,$R$3:$R$164,"&lt;&gt;")&gt;1),"DUPLICADO","OK"))</f>
      </c>
      <c r="AA20" s="3056">
        <f>IF(A20="","",IF(OR(LEN(Q20)&gt;180,LEN(R20)&gt;180,LEN(S20)&gt;180,LEN(T20)&gt;180),"CAMINHO LONGO","OK"))</f>
      </c>
      <c r="AB20" s="3056">
        <f>IF(A20="","",IF(U20="","",IFERROR(INT(U20-TODAY()),"")))</f>
      </c>
      <c r="AC20" s="3056">
        <f>IF(A20="","",IF(AND(T20="",U20=""),"",IF(T20="","SEM CAMINHO",IF(U20="","SEM DATA",IFERROR(IF(AB20&lt;15,"VERMELHO",IF(AB20&lt;=30,"AMARELO","VERDE")),"DATA INVALIDA")))))</f>
      </c>
      <c r="AD20" s="3056">
        <f>IF(OR(A20="",U20="",NOT(ISNUMBER(AB20))),"",RANK(AB20,$AB$3:$AB$164,1)+COUNTIFS($AB$3:AB20,AB20)-1)</f>
      </c>
      <c r="AE20" s="1736"/>
    </row>
    <row r="21" spans="1:19" ht="22.0" hidden="false" customHeight="true" x14ac:dyDescent="0.25">
      <c r="A21" s="3089" t="s">
        <v>54</v>
      </c>
      <c r="B21" s="3088" t="s">
        <v>55</v>
      </c>
      <c r="C21" s="3088" t="s">
        <v>56</v>
      </c>
      <c r="D21" s="3088">
        <v>57123358000129</v>
      </c>
      <c r="E21" s="3088"/>
      <c r="F21" s="3088" t="s">
        <v>57</v>
      </c>
      <c r="G21" s="3088" t="s">
        <v>4</v>
      </c>
      <c r="H21" s="3088" t="s">
        <v>14</v>
      </c>
      <c r="I21" s="3088"/>
      <c r="J21" s="3088"/>
      <c r="K21" s="3088"/>
      <c r="L21" s="3088"/>
      <c r="M21" s="3088" t="s">
        <v>376</v>
      </c>
      <c r="N21" s="3088"/>
      <c r="O21" s="3088" t="s">
        <v>349</v>
      </c>
      <c r="P21" s="3088"/>
      <c r="Q21" s="3091"/>
      <c r="R21" s="3091"/>
      <c r="S21" s="3091"/>
      <c r="T21" s="3091"/>
      <c r="U21" s="3092"/>
      <c r="V21" s="3088"/>
      <c r="W21" s="3088"/>
      <c r="X21" s="3056">
        <f>IF(A21="","",IF(LEN(SUBSTITUTE(SUBSTITUTE(SUBSTITUTE(SUBSTITUTE(D21,".",""),"/",""),"-","")," ",""))&lt;&gt;14,"CNPJ INVALIDO","OK"))</f>
      </c>
      <c r="Y21" s="3056">
        <f>IF(A21="","",IF(R21="","REST PENDENTE","REST OK"))</f>
      </c>
      <c r="Z21" s="3056">
        <f>IF(A21="","",IF(AND(R21&lt;&gt;"",COUNTIFS($D$3:$D$164,D21,$R$3:$R$164,"&lt;&gt;")&gt;1),"DUPLICADO","OK"))</f>
      </c>
      <c r="AA21" s="3056">
        <f>IF(A21="","",IF(OR(LEN(Q21)&gt;180,LEN(R21)&gt;180,LEN(S21)&gt;180,LEN(T21)&gt;180),"CAMINHO LONGO","OK"))</f>
      </c>
      <c r="AB21" s="3056">
        <f>IF(A21="","",IF(U21="","",IFERROR(INT(U21-TODAY()),"")))</f>
      </c>
      <c r="AC21" s="3056">
        <f>IF(A21="","",IF(AND(T21="",U21=""),"",IF(T21="","SEM CAMINHO",IF(U21="","SEM DATA",IFERROR(IF(AB21&lt;15,"VERMELHO",IF(AB21&lt;=30,"AMARELO","VERDE")),"DATA INVALIDA")))))</f>
      </c>
      <c r="AD21" s="3056">
        <f>IF(OR(A21="",U21="",NOT(ISNUMBER(AB21))),"",RANK(AB21,$AB$3:$AB$164,1)+COUNTIFS($AB$3:AB21,AB21)-1)</f>
      </c>
      <c r="AE21" s="1736"/>
    </row>
    <row r="22" spans="1:19" ht="22.0" hidden="false" customHeight="true" x14ac:dyDescent="0.25">
      <c r="A22" s="3094" t="s">
        <v>58</v>
      </c>
      <c r="B22" s="3093" t="s">
        <v>45</v>
      </c>
      <c r="C22" s="3093" t="s">
        <v>59</v>
      </c>
      <c r="D22" s="3093">
        <v>40870380000130</v>
      </c>
      <c r="E22" s="3093"/>
      <c r="F22" s="3093" t="s">
        <v>48</v>
      </c>
      <c r="G22" s="3093" t="s">
        <v>4</v>
      </c>
      <c r="H22" s="3093" t="s">
        <v>14</v>
      </c>
      <c r="I22" s="3093"/>
      <c r="J22" s="3093"/>
      <c r="K22" s="3093"/>
      <c r="L22" s="3093"/>
      <c r="M22" s="3093" t="s">
        <v>378</v>
      </c>
      <c r="N22" s="3093"/>
      <c r="O22" s="3093" t="s">
        <v>348</v>
      </c>
      <c r="P22" s="3093"/>
      <c r="Q22" s="3096"/>
      <c r="R22" s="3096"/>
      <c r="S22" s="3096"/>
      <c r="T22" s="3096"/>
      <c r="U22" s="3097"/>
      <c r="V22" s="3093"/>
      <c r="W22" s="3093"/>
      <c r="X22" s="3056">
        <f>IF(A22="","",IF(LEN(SUBSTITUTE(SUBSTITUTE(SUBSTITUTE(SUBSTITUTE(D22,".",""),"/",""),"-","")," ",""))&lt;&gt;14,"CNPJ INVALIDO","OK"))</f>
      </c>
      <c r="Y22" s="3056">
        <f>IF(A22="","",IF(R22="","REST PENDENTE","REST OK"))</f>
      </c>
      <c r="Z22" s="3056">
        <f>IF(A22="","",IF(AND(R22&lt;&gt;"",COUNTIFS($D$3:$D$164,D22,$R$3:$R$164,"&lt;&gt;")&gt;1),"DUPLICADO","OK"))</f>
      </c>
      <c r="AA22" s="3056">
        <f>IF(A22="","",IF(OR(LEN(Q22)&gt;180,LEN(R22)&gt;180,LEN(S22)&gt;180,LEN(T22)&gt;180),"CAMINHO LONGO","OK"))</f>
      </c>
      <c r="AB22" s="3056">
        <f>IF(A22="","",IF(U22="","",IFERROR(INT(U22-TODAY()),"")))</f>
      </c>
      <c r="AC22" s="3056">
        <f>IF(A22="","",IF(AND(T22="",U22=""),"",IF(T22="","SEM CAMINHO",IF(U22="","SEM DATA",IFERROR(IF(AB22&lt;15,"VERMELHO",IF(AB22&lt;=30,"AMARELO","VERDE")),"DATA INVALIDA")))))</f>
      </c>
      <c r="AD22" s="3056">
        <f>IF(OR(A22="",U22="",NOT(ISNUMBER(AB22))),"",RANK(AB22,$AB$3:$AB$164,1)+COUNTIFS($AB$3:AB22,AB22)-1)</f>
      </c>
      <c r="AE22" s="1736"/>
    </row>
    <row r="23" spans="1:19" ht="22.0" hidden="false" customHeight="true" x14ac:dyDescent="0.25">
      <c r="A23" s="3089" t="s">
        <v>60</v>
      </c>
      <c r="B23" s="3088" t="s">
        <v>61</v>
      </c>
      <c r="C23" s="3088" t="s">
        <v>62</v>
      </c>
      <c r="D23" s="3088">
        <v>26837949000134</v>
      </c>
      <c r="E23" s="3088"/>
      <c r="F23" s="3088" t="s">
        <v>63</v>
      </c>
      <c r="G23" s="3088" t="s">
        <v>41</v>
      </c>
      <c r="H23" s="3088" t="s">
        <v>5</v>
      </c>
      <c r="I23" s="3088"/>
      <c r="J23" s="3088"/>
      <c r="K23" s="3088"/>
      <c r="L23" s="3088"/>
      <c r="M23" s="3088" t="s">
        <v>379</v>
      </c>
      <c r="N23" s="3088"/>
      <c r="O23" s="3088"/>
      <c r="P23" s="3088"/>
      <c r="Q23" s="3091"/>
      <c r="R23" s="3091"/>
      <c r="S23" s="3091"/>
      <c r="T23" s="3091"/>
      <c r="U23" s="3092"/>
      <c r="V23" s="3088"/>
      <c r="W23" s="3088"/>
      <c r="X23" s="3056">
        <f>IF(A23="","",IF(LEN(SUBSTITUTE(SUBSTITUTE(SUBSTITUTE(SUBSTITUTE(D23,".",""),"/",""),"-","")," ",""))&lt;&gt;14,"CNPJ INVALIDO","OK"))</f>
      </c>
      <c r="Y23" s="3056">
        <f>IF(A23="","",IF(R23="","REST PENDENTE","REST OK"))</f>
      </c>
      <c r="Z23" s="3056">
        <f>IF(A23="","",IF(AND(R23&lt;&gt;"",COUNTIFS($D$3:$D$164,D23,$R$3:$R$164,"&lt;&gt;")&gt;1),"DUPLICADO","OK"))</f>
      </c>
      <c r="AA23" s="3056">
        <f>IF(A23="","",IF(OR(LEN(Q23)&gt;180,LEN(R23)&gt;180,LEN(S23)&gt;180,LEN(T23)&gt;180),"CAMINHO LONGO","OK"))</f>
      </c>
      <c r="AB23" s="3056">
        <f>IF(A23="","",IF(U23="","",IFERROR(INT(U23-TODAY()),"")))</f>
      </c>
      <c r="AC23" s="3056">
        <f>IF(A23="","",IF(AND(T23="",U23=""),"",IF(T23="","SEM CAMINHO",IF(U23="","SEM DATA",IFERROR(IF(AB23&lt;15,"VERMELHO",IF(AB23&lt;=30,"AMARELO","VERDE")),"DATA INVALIDA")))))</f>
      </c>
      <c r="AD23" s="3056">
        <f>IF(OR(A23="",U23="",NOT(ISNUMBER(AB23))),"",RANK(AB23,$AB$3:$AB$164,1)+COUNTIFS($AB$3:AB23,AB23)-1)</f>
      </c>
      <c r="AE23" s="1736"/>
    </row>
    <row r="24" spans="1:19" ht="22.0" hidden="false" customHeight="true" x14ac:dyDescent="0.25">
      <c r="A24" s="3094" t="s">
        <v>64</v>
      </c>
      <c r="B24" s="3093" t="s">
        <v>65</v>
      </c>
      <c r="C24" s="3093" t="s">
        <v>62</v>
      </c>
      <c r="D24" s="3093">
        <v>12923820000134</v>
      </c>
      <c r="E24" s="3093"/>
      <c r="F24" s="3093" t="s">
        <v>66</v>
      </c>
      <c r="G24" s="3093" t="s">
        <v>13</v>
      </c>
      <c r="H24" s="3093" t="s">
        <v>49</v>
      </c>
      <c r="I24" s="3093"/>
      <c r="J24" s="3093"/>
      <c r="K24" s="3093"/>
      <c r="L24" s="3093"/>
      <c r="M24" s="3093" t="s">
        <v>377</v>
      </c>
      <c r="N24" s="3093"/>
      <c r="O24" s="3093" t="s">
        <v>347</v>
      </c>
      <c r="P24" s="3093"/>
      <c r="Q24" s="3096"/>
      <c r="R24" s="3096"/>
      <c r="S24" s="3096"/>
      <c r="T24" s="3096"/>
      <c r="U24" s="3097"/>
      <c r="V24" s="3093"/>
      <c r="W24" s="3093"/>
      <c r="X24" s="3056">
        <f>IF(A24="","",IF(LEN(SUBSTITUTE(SUBSTITUTE(SUBSTITUTE(SUBSTITUTE(D24,".",""),"/",""),"-","")," ",""))&lt;&gt;14,"CNPJ INVALIDO","OK"))</f>
      </c>
      <c r="Y24" s="3056">
        <f>IF(A24="","",IF(R24="","REST PENDENTE","REST OK"))</f>
      </c>
      <c r="Z24" s="3056">
        <f>IF(A24="","",IF(AND(R24&lt;&gt;"",COUNTIFS($D$3:$D$164,D24,$R$3:$R$164,"&lt;&gt;")&gt;1),"DUPLICADO","OK"))</f>
      </c>
      <c r="AA24" s="3056">
        <f>IF(A24="","",IF(OR(LEN(Q24)&gt;180,LEN(R24)&gt;180,LEN(S24)&gt;180,LEN(T24)&gt;180),"CAMINHO LONGO","OK"))</f>
      </c>
      <c r="AB24" s="3056">
        <f>IF(A24="","",IF(U24="","",IFERROR(INT(U24-TODAY()),"")))</f>
      </c>
      <c r="AC24" s="3056">
        <f>IF(A24="","",IF(AND(T24="",U24=""),"",IF(T24="","SEM CAMINHO",IF(U24="","SEM DATA",IFERROR(IF(AB24&lt;15,"VERMELHO",IF(AB24&lt;=30,"AMARELO","VERDE")),"DATA INVALIDA")))))</f>
      </c>
      <c r="AD24" s="3056">
        <f>IF(OR(A24="",U24="",NOT(ISNUMBER(AB24))),"",RANK(AB24,$AB$3:$AB$164,1)+COUNTIFS($AB$3:AB24,AB24)-1)</f>
      </c>
      <c r="AE24" s="1736"/>
    </row>
    <row r="25" spans="1:19" ht="22.0" hidden="false" customHeight="true" x14ac:dyDescent="0.25">
      <c r="A25" s="3089" t="s">
        <v>67</v>
      </c>
      <c r="B25" s="3088" t="s">
        <v>68</v>
      </c>
      <c r="C25" s="3088" t="s">
        <v>69</v>
      </c>
      <c r="D25" s="3088" t="s">
        <v>70</v>
      </c>
      <c r="E25" s="3088"/>
      <c r="F25" s="3088" t="s">
        <v>71</v>
      </c>
      <c r="G25" s="3088" t="s">
        <v>4</v>
      </c>
      <c r="H25" s="3088" t="s">
        <v>49</v>
      </c>
      <c r="I25" s="3088"/>
      <c r="J25" s="3088"/>
      <c r="K25" s="3088"/>
      <c r="L25" s="3088"/>
      <c r="M25" s="3088" t="s">
        <v>379</v>
      </c>
      <c r="N25" s="3088"/>
      <c r="O25" s="3088" t="s">
        <v>349</v>
      </c>
      <c r="P25" s="3088"/>
      <c r="Q25" s="3091"/>
      <c r="R25" s="3091"/>
      <c r="S25" s="3091"/>
      <c r="T25" s="3091"/>
      <c r="U25" s="3092"/>
      <c r="V25" s="3088"/>
      <c r="W25" s="3088"/>
      <c r="X25" s="3056">
        <f>IF(A25="","",IF(LEN(SUBSTITUTE(SUBSTITUTE(SUBSTITUTE(SUBSTITUTE(D25,".",""),"/",""),"-","")," ",""))&lt;&gt;14,"CNPJ INVALIDO","OK"))</f>
      </c>
      <c r="Y25" s="3056">
        <f>IF(A25="","",IF(R25="","REST PENDENTE","REST OK"))</f>
      </c>
      <c r="Z25" s="3056">
        <f>IF(A25="","",IF(AND(R25&lt;&gt;"",COUNTIFS($D$3:$D$164,D25,$R$3:$R$164,"&lt;&gt;")&gt;1),"DUPLICADO","OK"))</f>
      </c>
      <c r="AA25" s="3056">
        <f>IF(A25="","",IF(OR(LEN(Q25)&gt;180,LEN(R25)&gt;180,LEN(S25)&gt;180,LEN(T25)&gt;180),"CAMINHO LONGO","OK"))</f>
      </c>
      <c r="AB25" s="3056">
        <f>IF(A25="","",IF(U25="","",IFERROR(INT(U25-TODAY()),"")))</f>
      </c>
      <c r="AC25" s="3056">
        <f>IF(A25="","",IF(AND(T25="",U25=""),"",IF(T25="","SEM CAMINHO",IF(U25="","SEM DATA",IFERROR(IF(AB25&lt;15,"VERMELHO",IF(AB25&lt;=30,"AMARELO","VERDE")),"DATA INVALIDA")))))</f>
      </c>
      <c r="AD25" s="3056">
        <f>IF(OR(A25="",U25="",NOT(ISNUMBER(AB25))),"",RANK(AB25,$AB$3:$AB$164,1)+COUNTIFS($AB$3:AB25,AB25)-1)</f>
      </c>
      <c r="AE25" s="1736"/>
    </row>
    <row r="26" spans="1:19" ht="22.0" hidden="false" customHeight="true" x14ac:dyDescent="0.25">
      <c r="A26" s="3094" t="s">
        <v>72</v>
      </c>
      <c r="B26" s="3093" t="s">
        <v>9</v>
      </c>
      <c r="C26" s="3093" t="s">
        <v>24</v>
      </c>
      <c r="D26" s="3093">
        <v>41597807000130</v>
      </c>
      <c r="E26" s="3093"/>
      <c r="F26" s="3093" t="s">
        <v>73</v>
      </c>
      <c r="G26" s="3093" t="s">
        <v>4</v>
      </c>
      <c r="H26" s="3093" t="s">
        <v>5</v>
      </c>
      <c r="I26" s="3093"/>
      <c r="J26" s="3093"/>
      <c r="K26" s="3093"/>
      <c r="L26" s="3093"/>
      <c r="M26" s="3093" t="s">
        <v>379</v>
      </c>
      <c r="N26" s="3093"/>
      <c r="O26" s="3093" t="s">
        <v>347</v>
      </c>
      <c r="P26" s="3093"/>
      <c r="Q26" s="3096"/>
      <c r="R26" s="3096"/>
      <c r="S26" s="3096"/>
      <c r="T26" s="3096"/>
      <c r="U26" s="3097"/>
      <c r="V26" s="3093"/>
      <c r="W26" s="3093"/>
      <c r="X26" s="3056">
        <f>IF(A26="","",IF(LEN(SUBSTITUTE(SUBSTITUTE(SUBSTITUTE(SUBSTITUTE(D26,".",""),"/",""),"-","")," ",""))&lt;&gt;14,"CNPJ INVALIDO","OK"))</f>
      </c>
      <c r="Y26" s="3056">
        <f>IF(A26="","",IF(R26="","REST PENDENTE","REST OK"))</f>
      </c>
      <c r="Z26" s="3056">
        <f>IF(A26="","",IF(AND(R26&lt;&gt;"",COUNTIFS($D$3:$D$164,D26,$R$3:$R$164,"&lt;&gt;")&gt;1),"DUPLICADO","OK"))</f>
      </c>
      <c r="AA26" s="3056">
        <f>IF(A26="","",IF(OR(LEN(Q26)&gt;180,LEN(R26)&gt;180,LEN(S26)&gt;180,LEN(T26)&gt;180),"CAMINHO LONGO","OK"))</f>
      </c>
      <c r="AB26" s="3056">
        <f>IF(A26="","",IF(U26="","",IFERROR(INT(U26-TODAY()),"")))</f>
      </c>
      <c r="AC26" s="3056">
        <f>IF(A26="","",IF(AND(T26="",U26=""),"",IF(T26="","SEM CAMINHO",IF(U26="","SEM DATA",IFERROR(IF(AB26&lt;15,"VERMELHO",IF(AB26&lt;=30,"AMARELO","VERDE")),"DATA INVALIDA")))))</f>
      </c>
      <c r="AD26" s="3056">
        <f>IF(OR(A26="",U26="",NOT(ISNUMBER(AB26))),"",RANK(AB26,$AB$3:$AB$164,1)+COUNTIFS($AB$3:AB26,AB26)-1)</f>
      </c>
      <c r="AE26" s="1736"/>
    </row>
    <row r="27" spans="1:19" ht="22.0" hidden="false" customHeight="true" x14ac:dyDescent="0.25">
      <c r="A27" s="3089" t="s">
        <v>74</v>
      </c>
      <c r="B27" s="3088" t="s">
        <v>75</v>
      </c>
      <c r="C27" s="3088" t="s">
        <v>62</v>
      </c>
      <c r="D27" s="3088">
        <v>21430001000146</v>
      </c>
      <c r="E27" s="3088"/>
      <c r="F27" s="3088" t="s">
        <v>76</v>
      </c>
      <c r="G27" s="3088" t="s">
        <v>4</v>
      </c>
      <c r="H27" s="3088" t="s">
        <v>5</v>
      </c>
      <c r="I27" s="3088"/>
      <c r="J27" s="3088"/>
      <c r="K27" s="3088"/>
      <c r="L27" s="3088"/>
      <c r="M27" s="3088" t="s">
        <v>377</v>
      </c>
      <c r="N27" s="3088"/>
      <c r="O27" s="3088" t="s">
        <v>347</v>
      </c>
      <c r="P27" s="3088"/>
      <c r="Q27" s="3091"/>
      <c r="R27" s="3091"/>
      <c r="S27" s="3091"/>
      <c r="T27" s="3091"/>
      <c r="U27" s="3092"/>
      <c r="V27" s="3088"/>
      <c r="W27" s="3088"/>
      <c r="X27" s="3056">
        <f>IF(A27="","",IF(LEN(SUBSTITUTE(SUBSTITUTE(SUBSTITUTE(SUBSTITUTE(D27,".",""),"/",""),"-","")," ",""))&lt;&gt;14,"CNPJ INVALIDO","OK"))</f>
      </c>
      <c r="Y27" s="3056">
        <f>IF(A27="","",IF(R27="","REST PENDENTE","REST OK"))</f>
      </c>
      <c r="Z27" s="3056">
        <f>IF(A27="","",IF(AND(R27&lt;&gt;"",COUNTIFS($D$3:$D$164,D27,$R$3:$R$164,"&lt;&gt;")&gt;1),"DUPLICADO","OK"))</f>
      </c>
      <c r="AA27" s="3056">
        <f>IF(A27="","",IF(OR(LEN(Q27)&gt;180,LEN(R27)&gt;180,LEN(S27)&gt;180,LEN(T27)&gt;180),"CAMINHO LONGO","OK"))</f>
      </c>
      <c r="AB27" s="3056">
        <f>IF(A27="","",IF(U27="","",IFERROR(INT(U27-TODAY()),"")))</f>
      </c>
      <c r="AC27" s="3056">
        <f>IF(A27="","",IF(AND(T27="",U27=""),"",IF(T27="","SEM CAMINHO",IF(U27="","SEM DATA",IFERROR(IF(AB27&lt;15,"VERMELHO",IF(AB27&lt;=30,"AMARELO","VERDE")),"DATA INVALIDA")))))</f>
      </c>
      <c r="AD27" s="3056">
        <f>IF(OR(A27="",U27="",NOT(ISNUMBER(AB27))),"",RANK(AB27,$AB$3:$AB$164,1)+COUNTIFS($AB$3:AB27,AB27)-1)</f>
      </c>
      <c r="AE27" s="1736"/>
    </row>
    <row r="28" spans="1:19" ht="22.0" hidden="false" customHeight="true" x14ac:dyDescent="0.25">
      <c r="A28" s="3094" t="s">
        <v>77</v>
      </c>
      <c r="B28" s="3093" t="s">
        <v>78</v>
      </c>
      <c r="C28" s="3093" t="s">
        <v>79</v>
      </c>
      <c r="D28" s="3093" t="s">
        <v>80</v>
      </c>
      <c r="E28" s="3093"/>
      <c r="F28" s="3093" t="s">
        <v>81</v>
      </c>
      <c r="G28" s="3093" t="s">
        <v>13</v>
      </c>
      <c r="H28" s="3093" t="s">
        <v>49</v>
      </c>
      <c r="I28" s="3093"/>
      <c r="J28" s="3093"/>
      <c r="K28" s="3093"/>
      <c r="L28" s="3093"/>
      <c r="M28" s="3093" t="s">
        <v>377</v>
      </c>
      <c r="N28" s="3093"/>
      <c r="O28" s="3093" t="s">
        <v>347</v>
      </c>
      <c r="P28" s="3093"/>
      <c r="Q28" s="3096"/>
      <c r="R28" s="3096"/>
      <c r="S28" s="3096"/>
      <c r="T28" s="3096"/>
      <c r="U28" s="3097"/>
      <c r="V28" s="3093"/>
      <c r="W28" s="3093"/>
      <c r="X28" s="3056">
        <f>IF(A28="","",IF(LEN(SUBSTITUTE(SUBSTITUTE(SUBSTITUTE(SUBSTITUTE(D28,".",""),"/",""),"-","")," ",""))&lt;&gt;14,"CNPJ INVALIDO","OK"))</f>
      </c>
      <c r="Y28" s="3056">
        <f>IF(A28="","",IF(R28="","REST PENDENTE","REST OK"))</f>
      </c>
      <c r="Z28" s="3056">
        <f>IF(A28="","",IF(AND(R28&lt;&gt;"",COUNTIFS($D$3:$D$164,D28,$R$3:$R$164,"&lt;&gt;")&gt;1),"DUPLICADO","OK"))</f>
      </c>
      <c r="AA28" s="3056">
        <f>IF(A28="","",IF(OR(LEN(Q28)&gt;180,LEN(R28)&gt;180,LEN(S28)&gt;180,LEN(T28)&gt;180),"CAMINHO LONGO","OK"))</f>
      </c>
      <c r="AB28" s="3056">
        <f>IF(A28="","",IF(U28="","",IFERROR(INT(U28-TODAY()),"")))</f>
      </c>
      <c r="AC28" s="3056">
        <f>IF(A28="","",IF(AND(T28="",U28=""),"",IF(T28="","SEM CAMINHO",IF(U28="","SEM DATA",IFERROR(IF(AB28&lt;15,"VERMELHO",IF(AB28&lt;=30,"AMARELO","VERDE")),"DATA INVALIDA")))))</f>
      </c>
      <c r="AD28" s="3056">
        <f>IF(OR(A28="",U28="",NOT(ISNUMBER(AB28))),"",RANK(AB28,$AB$3:$AB$164,1)+COUNTIFS($AB$3:AB28,AB28)-1)</f>
      </c>
      <c r="AE28" s="1736"/>
    </row>
    <row r="29" spans="1:19" ht="22.0" hidden="false" customHeight="true" x14ac:dyDescent="0.25">
      <c r="A29" s="3089" t="s">
        <v>82</v>
      </c>
      <c r="B29" s="3088" t="s">
        <v>78</v>
      </c>
      <c r="C29" s="3088" t="s">
        <v>83</v>
      </c>
      <c r="D29" s="3088">
        <v>62220305000166</v>
      </c>
      <c r="E29" s="3088"/>
      <c r="F29" s="3088" t="s">
        <v>81</v>
      </c>
      <c r="G29" s="3088" t="s">
        <v>4</v>
      </c>
      <c r="H29" s="3088" t="s">
        <v>5</v>
      </c>
      <c r="I29" s="3088"/>
      <c r="J29" s="3088"/>
      <c r="K29" s="3088"/>
      <c r="L29" s="3088"/>
      <c r="M29" s="3088" t="s">
        <v>378</v>
      </c>
      <c r="N29" s="3088"/>
      <c r="O29" s="3088" t="s">
        <v>349</v>
      </c>
      <c r="P29" s="3088"/>
      <c r="Q29" s="3091"/>
      <c r="R29" s="3091"/>
      <c r="S29" s="3091"/>
      <c r="T29" s="3091"/>
      <c r="U29" s="3092"/>
      <c r="V29" s="3088"/>
      <c r="W29" s="3088"/>
      <c r="X29" s="3056">
        <f>IF(A29="","",IF(LEN(SUBSTITUTE(SUBSTITUTE(SUBSTITUTE(SUBSTITUTE(D29,".",""),"/",""),"-","")," ",""))&lt;&gt;14,"CNPJ INVALIDO","OK"))</f>
      </c>
      <c r="Y29" s="3056">
        <f>IF(A29="","",IF(R29="","REST PENDENTE","REST OK"))</f>
      </c>
      <c r="Z29" s="3056">
        <f>IF(A29="","",IF(AND(R29&lt;&gt;"",COUNTIFS($D$3:$D$164,D29,$R$3:$R$164,"&lt;&gt;")&gt;1),"DUPLICADO","OK"))</f>
      </c>
      <c r="AA29" s="3056">
        <f>IF(A29="","",IF(OR(LEN(Q29)&gt;180,LEN(R29)&gt;180,LEN(S29)&gt;180,LEN(T29)&gt;180),"CAMINHO LONGO","OK"))</f>
      </c>
      <c r="AB29" s="3056">
        <f>IF(A29="","",IF(U29="","",IFERROR(INT(U29-TODAY()),"")))</f>
      </c>
      <c r="AC29" s="3056">
        <f>IF(A29="","",IF(AND(T29="",U29=""),"",IF(T29="","SEM CAMINHO",IF(U29="","SEM DATA",IFERROR(IF(AB29&lt;15,"VERMELHO",IF(AB29&lt;=30,"AMARELO","VERDE")),"DATA INVALIDA")))))</f>
      </c>
      <c r="AD29" s="3056">
        <f>IF(OR(A29="",U29="",NOT(ISNUMBER(AB29))),"",RANK(AB29,$AB$3:$AB$164,1)+COUNTIFS($AB$3:AB29,AB29)-1)</f>
      </c>
      <c r="AE29" s="1736"/>
    </row>
    <row r="30" spans="1:19" ht="22.0" hidden="false" customHeight="true" x14ac:dyDescent="0.25">
      <c r="A30" s="3094" t="s">
        <v>84</v>
      </c>
      <c r="B30" s="3093" t="s">
        <v>85</v>
      </c>
      <c r="C30" s="3093" t="s">
        <v>46</v>
      </c>
      <c r="D30" s="3093">
        <v>10712858000132</v>
      </c>
      <c r="E30" s="3093"/>
      <c r="F30" s="3093" t="s">
        <v>86</v>
      </c>
      <c r="G30" s="3093" t="s">
        <v>13</v>
      </c>
      <c r="H30" s="3093" t="s">
        <v>5</v>
      </c>
      <c r="I30" s="3093"/>
      <c r="J30" s="3093"/>
      <c r="K30" s="3093"/>
      <c r="L30" s="3093"/>
      <c r="M30" s="3093" t="s">
        <v>377</v>
      </c>
      <c r="N30" s="3093"/>
      <c r="O30" s="3093" t="s">
        <v>349</v>
      </c>
      <c r="P30" s="3093"/>
      <c r="Q30" s="3096"/>
      <c r="R30" s="3096"/>
      <c r="S30" s="3096"/>
      <c r="T30" s="3096"/>
      <c r="U30" s="3097"/>
      <c r="V30" s="3093"/>
      <c r="W30" s="3093"/>
      <c r="X30" s="3056">
        <f>IF(A30="","",IF(LEN(SUBSTITUTE(SUBSTITUTE(SUBSTITUTE(SUBSTITUTE(D30,".",""),"/",""),"-","")," ",""))&lt;&gt;14,"CNPJ INVALIDO","OK"))</f>
      </c>
      <c r="Y30" s="3056">
        <f>IF(A30="","",IF(R30="","REST PENDENTE","REST OK"))</f>
      </c>
      <c r="Z30" s="3056">
        <f>IF(A30="","",IF(AND(R30&lt;&gt;"",COUNTIFS($D$3:$D$164,D30,$R$3:$R$164,"&lt;&gt;")&gt;1),"DUPLICADO","OK"))</f>
      </c>
      <c r="AA30" s="3056">
        <f>IF(A30="","",IF(OR(LEN(Q30)&gt;180,LEN(R30)&gt;180,LEN(S30)&gt;180,LEN(T30)&gt;180),"CAMINHO LONGO","OK"))</f>
      </c>
      <c r="AB30" s="3056">
        <f>IF(A30="","",IF(U30="","",IFERROR(INT(U30-TODAY()),"")))</f>
      </c>
      <c r="AC30" s="3056">
        <f>IF(A30="","",IF(AND(T30="",U30=""),"",IF(T30="","SEM CAMINHO",IF(U30="","SEM DATA",IFERROR(IF(AB30&lt;15,"VERMELHO",IF(AB30&lt;=30,"AMARELO","VERDE")),"DATA INVALIDA")))))</f>
      </c>
      <c r="AD30" s="3056">
        <f>IF(OR(A30="",U30="",NOT(ISNUMBER(AB30))),"",RANK(AB30,$AB$3:$AB$164,1)+COUNTIFS($AB$3:AB30,AB30)-1)</f>
      </c>
      <c r="AE30" s="1736"/>
    </row>
    <row r="31" spans="1:19" ht="22.0" hidden="false" customHeight="true" x14ac:dyDescent="0.25">
      <c r="A31" s="3089" t="s">
        <v>87</v>
      </c>
      <c r="B31" s="3088" t="s">
        <v>61</v>
      </c>
      <c r="C31" s="3088" t="s">
        <v>62</v>
      </c>
      <c r="D31" s="3088">
        <v>53665434000177</v>
      </c>
      <c r="E31" s="3088"/>
      <c r="F31" s="3088" t="s">
        <v>63</v>
      </c>
      <c r="G31" s="3088" t="s">
        <v>4</v>
      </c>
      <c r="H31" s="3088" t="s">
        <v>5</v>
      </c>
      <c r="I31" s="3088"/>
      <c r="J31" s="3088"/>
      <c r="K31" s="3088"/>
      <c r="L31" s="3088"/>
      <c r="M31" s="3088" t="s">
        <v>379</v>
      </c>
      <c r="N31" s="3088"/>
      <c r="O31" s="3088" t="s">
        <v>349</v>
      </c>
      <c r="P31" s="3088"/>
      <c r="Q31" s="3091"/>
      <c r="R31" s="3091"/>
      <c r="S31" s="3091"/>
      <c r="T31" s="3091"/>
      <c r="U31" s="3092"/>
      <c r="V31" s="3088"/>
      <c r="W31" s="3088"/>
      <c r="X31" s="3056">
        <f>IF(A31="","",IF(LEN(SUBSTITUTE(SUBSTITUTE(SUBSTITUTE(SUBSTITUTE(D31,".",""),"/",""),"-","")," ",""))&lt;&gt;14,"CNPJ INVALIDO","OK"))</f>
      </c>
      <c r="Y31" s="3056">
        <f>IF(A31="","",IF(R31="","REST PENDENTE","REST OK"))</f>
      </c>
      <c r="Z31" s="3056">
        <f>IF(A31="","",IF(AND(R31&lt;&gt;"",COUNTIFS($D$3:$D$164,D31,$R$3:$R$164,"&lt;&gt;")&gt;1),"DUPLICADO","OK"))</f>
      </c>
      <c r="AA31" s="3056">
        <f>IF(A31="","",IF(OR(LEN(Q31)&gt;180,LEN(R31)&gt;180,LEN(S31)&gt;180,LEN(T31)&gt;180),"CAMINHO LONGO","OK"))</f>
      </c>
      <c r="AB31" s="3056">
        <f>IF(A31="","",IF(U31="","",IFERROR(INT(U31-TODAY()),"")))</f>
      </c>
      <c r="AC31" s="3056">
        <f>IF(A31="","",IF(AND(T31="",U31=""),"",IF(T31="","SEM CAMINHO",IF(U31="","SEM DATA",IFERROR(IF(AB31&lt;15,"VERMELHO",IF(AB31&lt;=30,"AMARELO","VERDE")),"DATA INVALIDA")))))</f>
      </c>
      <c r="AD31" s="3056">
        <f>IF(OR(A31="",U31="",NOT(ISNUMBER(AB31))),"",RANK(AB31,$AB$3:$AB$164,1)+COUNTIFS($AB$3:AB31,AB31)-1)</f>
      </c>
      <c r="AE31" s="1736"/>
    </row>
    <row r="32" spans="1:19" ht="22.0" hidden="false" customHeight="true" x14ac:dyDescent="0.25">
      <c r="A32" s="3094" t="s">
        <v>88</v>
      </c>
      <c r="B32" s="3093" t="s">
        <v>61</v>
      </c>
      <c r="C32" s="3093" t="s">
        <v>62</v>
      </c>
      <c r="D32" s="3093">
        <v>53665515000177</v>
      </c>
      <c r="E32" s="3093"/>
      <c r="F32" s="3093" t="s">
        <v>63</v>
      </c>
      <c r="G32" s="3093" t="s">
        <v>4</v>
      </c>
      <c r="H32" s="3093" t="s">
        <v>5</v>
      </c>
      <c r="I32" s="3093"/>
      <c r="J32" s="3093"/>
      <c r="K32" s="3093"/>
      <c r="L32" s="3093"/>
      <c r="M32" s="3093" t="s">
        <v>379</v>
      </c>
      <c r="N32" s="3093"/>
      <c r="O32" s="3093" t="s">
        <v>349</v>
      </c>
      <c r="P32" s="3093"/>
      <c r="Q32" s="3096"/>
      <c r="R32" s="3096"/>
      <c r="S32" s="3096"/>
      <c r="T32" s="3096"/>
      <c r="U32" s="3097"/>
      <c r="V32" s="3093"/>
      <c r="W32" s="3093"/>
      <c r="X32" s="3056">
        <f>IF(A32="","",IF(LEN(SUBSTITUTE(SUBSTITUTE(SUBSTITUTE(SUBSTITUTE(D32,".",""),"/",""),"-","")," ",""))&lt;&gt;14,"CNPJ INVALIDO","OK"))</f>
      </c>
      <c r="Y32" s="3056">
        <f>IF(A32="","",IF(R32="","REST PENDENTE","REST OK"))</f>
      </c>
      <c r="Z32" s="3056">
        <f>IF(A32="","",IF(AND(R32&lt;&gt;"",COUNTIFS($D$3:$D$164,D32,$R$3:$R$164,"&lt;&gt;")&gt;1),"DUPLICADO","OK"))</f>
      </c>
      <c r="AA32" s="3056">
        <f>IF(A32="","",IF(OR(LEN(Q32)&gt;180,LEN(R32)&gt;180,LEN(S32)&gt;180,LEN(T32)&gt;180),"CAMINHO LONGO","OK"))</f>
      </c>
      <c r="AB32" s="3056">
        <f>IF(A32="","",IF(U32="","",IFERROR(INT(U32-TODAY()),"")))</f>
      </c>
      <c r="AC32" s="3056">
        <f>IF(A32="","",IF(AND(T32="",U32=""),"",IF(T32="","SEM CAMINHO",IF(U32="","SEM DATA",IFERROR(IF(AB32&lt;15,"VERMELHO",IF(AB32&lt;=30,"AMARELO","VERDE")),"DATA INVALIDA")))))</f>
      </c>
      <c r="AD32" s="3056">
        <f>IF(OR(A32="",U32="",NOT(ISNUMBER(AB32))),"",RANK(AB32,$AB$3:$AB$164,1)+COUNTIFS($AB$3:AB32,AB32)-1)</f>
      </c>
      <c r="AE32" s="1736"/>
    </row>
    <row r="33" spans="1:19" ht="22.0" hidden="false" customHeight="true" x14ac:dyDescent="0.25">
      <c r="A33" s="3089" t="s">
        <v>89</v>
      </c>
      <c r="B33" s="3088" t="s">
        <v>61</v>
      </c>
      <c r="C33" s="3088" t="s">
        <v>62</v>
      </c>
      <c r="D33" s="3088">
        <v>53666225000148</v>
      </c>
      <c r="E33" s="3088"/>
      <c r="F33" s="3088" t="s">
        <v>63</v>
      </c>
      <c r="G33" s="3088" t="s">
        <v>4</v>
      </c>
      <c r="H33" s="3088" t="s">
        <v>5</v>
      </c>
      <c r="I33" s="3088"/>
      <c r="J33" s="3088"/>
      <c r="K33" s="3088"/>
      <c r="L33" s="3088"/>
      <c r="M33" s="3088" t="s">
        <v>379</v>
      </c>
      <c r="N33" s="3088"/>
      <c r="O33" s="3088" t="s">
        <v>349</v>
      </c>
      <c r="P33" s="3088"/>
      <c r="Q33" s="3091"/>
      <c r="R33" s="3091"/>
      <c r="S33" s="3091"/>
      <c r="T33" s="3091"/>
      <c r="U33" s="3092"/>
      <c r="V33" s="3088"/>
      <c r="W33" s="3088"/>
      <c r="X33" s="3056">
        <f>IF(A33="","",IF(LEN(SUBSTITUTE(SUBSTITUTE(SUBSTITUTE(SUBSTITUTE(D33,".",""),"/",""),"-","")," ",""))&lt;&gt;14,"CNPJ INVALIDO","OK"))</f>
      </c>
      <c r="Y33" s="3056">
        <f>IF(A33="","",IF(R33="","REST PENDENTE","REST OK"))</f>
      </c>
      <c r="Z33" s="3056">
        <f>IF(A33="","",IF(AND(R33&lt;&gt;"",COUNTIFS($D$3:$D$164,D33,$R$3:$R$164,"&lt;&gt;")&gt;1),"DUPLICADO","OK"))</f>
      </c>
      <c r="AA33" s="3056">
        <f>IF(A33="","",IF(OR(LEN(Q33)&gt;180,LEN(R33)&gt;180,LEN(S33)&gt;180,LEN(T33)&gt;180),"CAMINHO LONGO","OK"))</f>
      </c>
      <c r="AB33" s="3056">
        <f>IF(A33="","",IF(U33="","",IFERROR(INT(U33-TODAY()),"")))</f>
      </c>
      <c r="AC33" s="3056">
        <f>IF(A33="","",IF(AND(T33="",U33=""),"",IF(T33="","SEM CAMINHO",IF(U33="","SEM DATA",IFERROR(IF(AB33&lt;15,"VERMELHO",IF(AB33&lt;=30,"AMARELO","VERDE")),"DATA INVALIDA")))))</f>
      </c>
      <c r="AD33" s="3056">
        <f>IF(OR(A33="",U33="",NOT(ISNUMBER(AB33))),"",RANK(AB33,$AB$3:$AB$164,1)+COUNTIFS($AB$3:AB33,AB33)-1)</f>
      </c>
      <c r="AE33" s="1736"/>
    </row>
    <row r="34" spans="1:19" ht="22.0" hidden="false" customHeight="true" x14ac:dyDescent="0.25">
      <c r="A34" s="3094" t="s">
        <v>90</v>
      </c>
      <c r="B34" s="3093" t="s">
        <v>61</v>
      </c>
      <c r="C34" s="3093" t="s">
        <v>62</v>
      </c>
      <c r="D34" s="3093">
        <v>17845752000156</v>
      </c>
      <c r="E34" s="3093"/>
      <c r="F34" s="3093" t="s">
        <v>63</v>
      </c>
      <c r="G34" s="3093" t="s">
        <v>41</v>
      </c>
      <c r="H34" s="3093" t="s">
        <v>5</v>
      </c>
      <c r="I34" s="3093"/>
      <c r="J34" s="3093"/>
      <c r="K34" s="3093"/>
      <c r="L34" s="3093"/>
      <c r="M34" s="3093" t="s">
        <v>380</v>
      </c>
      <c r="N34" s="3093"/>
      <c r="O34" s="3093" t="s">
        <v>349</v>
      </c>
      <c r="P34" s="3093"/>
      <c r="Q34" s="3096"/>
      <c r="R34" s="3096"/>
      <c r="S34" s="3096"/>
      <c r="T34" s="3096"/>
      <c r="U34" s="3097"/>
      <c r="V34" s="3093"/>
      <c r="W34" s="3093"/>
      <c r="X34" s="3056">
        <f>IF(A34="","",IF(LEN(SUBSTITUTE(SUBSTITUTE(SUBSTITUTE(SUBSTITUTE(D34,".",""),"/",""),"-","")," ",""))&lt;&gt;14,"CNPJ INVALIDO","OK"))</f>
      </c>
      <c r="Y34" s="3056">
        <f>IF(A34="","",IF(R34="","REST PENDENTE","REST OK"))</f>
      </c>
      <c r="Z34" s="3056">
        <f>IF(A34="","",IF(AND(R34&lt;&gt;"",COUNTIFS($D$3:$D$164,D34,$R$3:$R$164,"&lt;&gt;")&gt;1),"DUPLICADO","OK"))</f>
      </c>
      <c r="AA34" s="3056">
        <f>IF(A34="","",IF(OR(LEN(Q34)&gt;180,LEN(R34)&gt;180,LEN(S34)&gt;180,LEN(T34)&gt;180),"CAMINHO LONGO","OK"))</f>
      </c>
      <c r="AB34" s="3056">
        <f>IF(A34="","",IF(U34="","",IFERROR(INT(U34-TODAY()),"")))</f>
      </c>
      <c r="AC34" s="3056">
        <f>IF(A34="","",IF(AND(T34="",U34=""),"",IF(T34="","SEM CAMINHO",IF(U34="","SEM DATA",IFERROR(IF(AB34&lt;15,"VERMELHO",IF(AB34&lt;=30,"AMARELO","VERDE")),"DATA INVALIDA")))))</f>
      </c>
      <c r="AD34" s="3056">
        <f>IF(OR(A34="",U34="",NOT(ISNUMBER(AB34))),"",RANK(AB34,$AB$3:$AB$164,1)+COUNTIFS($AB$3:AB34,AB34)-1)</f>
      </c>
      <c r="AE34" s="1736"/>
    </row>
    <row r="35" spans="1:19" ht="22.0" hidden="false" customHeight="true" x14ac:dyDescent="0.25">
      <c r="A35" s="3089" t="s">
        <v>91</v>
      </c>
      <c r="B35" s="3088" t="s">
        <v>61</v>
      </c>
      <c r="C35" s="3088" t="s">
        <v>62</v>
      </c>
      <c r="D35" s="3088">
        <v>17813257000165</v>
      </c>
      <c r="E35" s="3088"/>
      <c r="F35" s="3088" t="s">
        <v>63</v>
      </c>
      <c r="G35" s="3088" t="s">
        <v>13</v>
      </c>
      <c r="H35" s="3088" t="s">
        <v>5</v>
      </c>
      <c r="I35" s="3088"/>
      <c r="J35" s="3088"/>
      <c r="K35" s="3088"/>
      <c r="L35" s="3088"/>
      <c r="M35" s="3088" t="s">
        <v>381</v>
      </c>
      <c r="N35" s="3088"/>
      <c r="O35" s="3088" t="s">
        <v>349</v>
      </c>
      <c r="P35" s="3088"/>
      <c r="Q35" s="3091"/>
      <c r="R35" s="3091"/>
      <c r="S35" s="3091"/>
      <c r="T35" s="3091"/>
      <c r="U35" s="3092"/>
      <c r="V35" s="3088"/>
      <c r="W35" s="3088"/>
      <c r="X35" s="3056">
        <f>IF(A35="","",IF(LEN(SUBSTITUTE(SUBSTITUTE(SUBSTITUTE(SUBSTITUTE(D35,".",""),"/",""),"-","")," ",""))&lt;&gt;14,"CNPJ INVALIDO","OK"))</f>
      </c>
      <c r="Y35" s="3056">
        <f>IF(A35="","",IF(R35="","REST PENDENTE","REST OK"))</f>
      </c>
      <c r="Z35" s="3056">
        <f>IF(A35="","",IF(AND(R35&lt;&gt;"",COUNTIFS($D$3:$D$164,D35,$R$3:$R$164,"&lt;&gt;")&gt;1),"DUPLICADO","OK"))</f>
      </c>
      <c r="AA35" s="3056">
        <f>IF(A35="","",IF(OR(LEN(Q35)&gt;180,LEN(R35)&gt;180,LEN(S35)&gt;180,LEN(T35)&gt;180),"CAMINHO LONGO","OK"))</f>
      </c>
      <c r="AB35" s="3056">
        <f>IF(A35="","",IF(U35="","",IFERROR(INT(U35-TODAY()),"")))</f>
      </c>
      <c r="AC35" s="3056">
        <f>IF(A35="","",IF(AND(T35="",U35=""),"",IF(T35="","SEM CAMINHO",IF(U35="","SEM DATA",IFERROR(IF(AB35&lt;15,"VERMELHO",IF(AB35&lt;=30,"AMARELO","VERDE")),"DATA INVALIDA")))))</f>
      </c>
      <c r="AD35" s="3056">
        <f>IF(OR(A35="",U35="",NOT(ISNUMBER(AB35))),"",RANK(AB35,$AB$3:$AB$164,1)+COUNTIFS($AB$3:AB35,AB35)-1)</f>
      </c>
      <c r="AE35" s="1736"/>
    </row>
    <row r="36" spans="1:19" ht="22.0" hidden="false" customHeight="true" x14ac:dyDescent="0.25">
      <c r="A36" s="3094" t="s">
        <v>92</v>
      </c>
      <c r="B36" s="3093" t="s">
        <v>1</v>
      </c>
      <c r="C36" s="3093" t="s">
        <v>93</v>
      </c>
      <c r="D36" s="3093" t="s">
        <v>94</v>
      </c>
      <c r="E36" s="3093"/>
      <c r="F36" s="3093" t="s">
        <v>3</v>
      </c>
      <c r="G36" s="3093" t="s">
        <v>4</v>
      </c>
      <c r="H36" s="3093" t="s">
        <v>5</v>
      </c>
      <c r="I36" s="3093"/>
      <c r="J36" s="3093"/>
      <c r="K36" s="3093"/>
      <c r="L36" s="3093"/>
      <c r="M36" s="3093" t="s">
        <v>377</v>
      </c>
      <c r="N36" s="3093"/>
      <c r="O36" s="3093" t="s">
        <v>349</v>
      </c>
      <c r="P36" s="3093"/>
      <c r="Q36" s="3096"/>
      <c r="R36" s="3096"/>
      <c r="S36" s="3096"/>
      <c r="T36" s="3096"/>
      <c r="U36" s="3097"/>
      <c r="V36" s="3093"/>
      <c r="W36" s="3093"/>
      <c r="X36" s="3056">
        <f>IF(A36="","",IF(LEN(SUBSTITUTE(SUBSTITUTE(SUBSTITUTE(SUBSTITUTE(D36,".",""),"/",""),"-","")," ",""))&lt;&gt;14,"CNPJ INVALIDO","OK"))</f>
      </c>
      <c r="Y36" s="3056">
        <f>IF(A36="","",IF(R36="","REST PENDENTE","REST OK"))</f>
      </c>
      <c r="Z36" s="3056">
        <f>IF(A36="","",IF(AND(R36&lt;&gt;"",COUNTIFS($D$3:$D$164,D36,$R$3:$R$164,"&lt;&gt;")&gt;1),"DUPLICADO","OK"))</f>
      </c>
      <c r="AA36" s="3056">
        <f>IF(A36="","",IF(OR(LEN(Q36)&gt;180,LEN(R36)&gt;180,LEN(S36)&gt;180,LEN(T36)&gt;180),"CAMINHO LONGO","OK"))</f>
      </c>
      <c r="AB36" s="3056">
        <f>IF(A36="","",IF(U36="","",IFERROR(INT(U36-TODAY()),"")))</f>
      </c>
      <c r="AC36" s="3056">
        <f>IF(A36="","",IF(AND(T36="",U36=""),"",IF(T36="","SEM CAMINHO",IF(U36="","SEM DATA",IFERROR(IF(AB36&lt;15,"VERMELHO",IF(AB36&lt;=30,"AMARELO","VERDE")),"DATA INVALIDA")))))</f>
      </c>
      <c r="AD36" s="3056">
        <f>IF(OR(A36="",U36="",NOT(ISNUMBER(AB36))),"",RANK(AB36,$AB$3:$AB$164,1)+COUNTIFS($AB$3:AB36,AB36)-1)</f>
      </c>
      <c r="AE36" s="1736"/>
    </row>
    <row r="37" spans="1:19" ht="22.0" hidden="false" customHeight="true" x14ac:dyDescent="0.25">
      <c r="A37" s="3089" t="s">
        <v>95</v>
      </c>
      <c r="B37" s="3088" t="s">
        <v>96</v>
      </c>
      <c r="C37" s="3088" t="s">
        <v>97</v>
      </c>
      <c r="D37" s="3088" t="s">
        <v>98</v>
      </c>
      <c r="E37" s="3088"/>
      <c r="F37" s="3088" t="s">
        <v>99</v>
      </c>
      <c r="G37" s="3088" t="s">
        <v>41</v>
      </c>
      <c r="H37" s="3088" t="s">
        <v>14</v>
      </c>
      <c r="I37" s="3088"/>
      <c r="J37" s="3088"/>
      <c r="K37" s="3088"/>
      <c r="L37" s="3088"/>
      <c r="M37" s="3088" t="s">
        <v>383</v>
      </c>
      <c r="N37" s="3088" t="s">
        <v>362</v>
      </c>
      <c r="O37" s="3088" t="s">
        <v>349</v>
      </c>
      <c r="P37" s="3088"/>
      <c r="Q37" s="3091"/>
      <c r="R37" s="3091"/>
      <c r="S37" s="3091"/>
      <c r="T37" s="3091"/>
      <c r="U37" s="3092"/>
      <c r="V37" s="3088"/>
      <c r="W37" s="3088"/>
      <c r="X37" s="3056">
        <f>IF(A37="","",IF(LEN(SUBSTITUTE(SUBSTITUTE(SUBSTITUTE(SUBSTITUTE(D37,".",""),"/",""),"-","")," ",""))&lt;&gt;14,"CNPJ INVALIDO","OK"))</f>
      </c>
      <c r="Y37" s="3056">
        <f>IF(A37="","",IF(R37="","REST PENDENTE","REST OK"))</f>
      </c>
      <c r="Z37" s="3056">
        <f>IF(A37="","",IF(AND(R37&lt;&gt;"",COUNTIFS($D$3:$D$164,D37,$R$3:$R$164,"&lt;&gt;")&gt;1),"DUPLICADO","OK"))</f>
      </c>
      <c r="AA37" s="3056">
        <f>IF(A37="","",IF(OR(LEN(Q37)&gt;180,LEN(R37)&gt;180,LEN(S37)&gt;180,LEN(T37)&gt;180),"CAMINHO LONGO","OK"))</f>
      </c>
      <c r="AB37" s="3056">
        <f>IF(A37="","",IF(U37="","",IFERROR(INT(U37-TODAY()),"")))</f>
      </c>
      <c r="AC37" s="3056">
        <f>IF(A37="","",IF(AND(T37="",U37=""),"",IF(T37="","SEM CAMINHO",IF(U37="","SEM DATA",IFERROR(IF(AB37&lt;15,"VERMELHO",IF(AB37&lt;=30,"AMARELO","VERDE")),"DATA INVALIDA")))))</f>
      </c>
      <c r="AD37" s="3056">
        <f>IF(OR(A37="",U37="",NOT(ISNUMBER(AB37))),"",RANK(AB37,$AB$3:$AB$164,1)+COUNTIFS($AB$3:AB37,AB37)-1)</f>
      </c>
      <c r="AE37" s="1736"/>
    </row>
    <row r="38" spans="1:19" ht="22.0" hidden="false" customHeight="true" x14ac:dyDescent="0.25">
      <c r="A38" s="3094" t="s">
        <v>95</v>
      </c>
      <c r="B38" s="3093" t="s">
        <v>96</v>
      </c>
      <c r="C38" s="3093" t="s">
        <v>97</v>
      </c>
      <c r="D38" s="3093" t="s">
        <v>100</v>
      </c>
      <c r="E38" s="3093"/>
      <c r="F38" s="3093" t="s">
        <v>99</v>
      </c>
      <c r="G38" s="3093" t="s">
        <v>13</v>
      </c>
      <c r="H38" s="3093" t="s">
        <v>14</v>
      </c>
      <c r="I38" s="3093"/>
      <c r="J38" s="3093"/>
      <c r="K38" s="3093"/>
      <c r="L38" s="3093"/>
      <c r="M38" s="3093" t="s">
        <v>382</v>
      </c>
      <c r="N38" s="3093" t="s">
        <v>362</v>
      </c>
      <c r="O38" s="3093" t="s">
        <v>349</v>
      </c>
      <c r="P38" s="3093"/>
      <c r="Q38" s="3096"/>
      <c r="R38" s="3096"/>
      <c r="S38" s="3096"/>
      <c r="T38" s="3096"/>
      <c r="U38" s="3097"/>
      <c r="V38" s="3093"/>
      <c r="W38" s="3093"/>
      <c r="X38" s="3056">
        <f>IF(A38="","",IF(LEN(SUBSTITUTE(SUBSTITUTE(SUBSTITUTE(SUBSTITUTE(D38,".",""),"/",""),"-","")," ",""))&lt;&gt;14,"CNPJ INVALIDO","OK"))</f>
      </c>
      <c r="Y38" s="3056">
        <f>IF(A38="","",IF(R38="","REST PENDENTE","REST OK"))</f>
      </c>
      <c r="Z38" s="3056">
        <f>IF(A38="","",IF(AND(R38&lt;&gt;"",COUNTIFS($D$3:$D$164,D38,$R$3:$R$164,"&lt;&gt;")&gt;1),"DUPLICADO","OK"))</f>
      </c>
      <c r="AA38" s="3056">
        <f>IF(A38="","",IF(OR(LEN(Q38)&gt;180,LEN(R38)&gt;180,LEN(S38)&gt;180,LEN(T38)&gt;180),"CAMINHO LONGO","OK"))</f>
      </c>
      <c r="AB38" s="3056">
        <f>IF(A38="","",IF(U38="","",IFERROR(INT(U38-TODAY()),"")))</f>
      </c>
      <c r="AC38" s="3056">
        <f>IF(A38="","",IF(AND(T38="",U38=""),"",IF(T38="","SEM CAMINHO",IF(U38="","SEM DATA",IFERROR(IF(AB38&lt;15,"VERMELHO",IF(AB38&lt;=30,"AMARELO","VERDE")),"DATA INVALIDA")))))</f>
      </c>
      <c r="AD38" s="3056">
        <f>IF(OR(A38="",U38="",NOT(ISNUMBER(AB38))),"",RANK(AB38,$AB$3:$AB$164,1)+COUNTIFS($AB$3:AB38,AB38)-1)</f>
      </c>
      <c r="AE38" s="1736"/>
    </row>
    <row r="39" spans="1:19" ht="22.0" hidden="false" customHeight="true" x14ac:dyDescent="0.25">
      <c r="A39" s="3089" t="s">
        <v>95</v>
      </c>
      <c r="B39" s="3088" t="s">
        <v>96</v>
      </c>
      <c r="C39" s="3088" t="s">
        <v>97</v>
      </c>
      <c r="D39" s="3088" t="s">
        <v>101</v>
      </c>
      <c r="E39" s="3088"/>
      <c r="F39" s="3088" t="s">
        <v>99</v>
      </c>
      <c r="G39" s="3088" t="s">
        <v>13</v>
      </c>
      <c r="H39" s="3088" t="s">
        <v>14</v>
      </c>
      <c r="I39" s="3088"/>
      <c r="J39" s="3088"/>
      <c r="K39" s="3088"/>
      <c r="L39" s="3088"/>
      <c r="M39" s="3088" t="s">
        <v>382</v>
      </c>
      <c r="N39" s="3088" t="s">
        <v>362</v>
      </c>
      <c r="O39" s="3088" t="s">
        <v>349</v>
      </c>
      <c r="P39" s="3088"/>
      <c r="Q39" s="3091"/>
      <c r="R39" s="3091"/>
      <c r="S39" s="3091"/>
      <c r="T39" s="3091"/>
      <c r="U39" s="3092"/>
      <c r="V39" s="3088"/>
      <c r="W39" s="3088"/>
      <c r="X39" s="3056">
        <f>IF(A39="","",IF(LEN(SUBSTITUTE(SUBSTITUTE(SUBSTITUTE(SUBSTITUTE(D39,".",""),"/",""),"-","")," ",""))&lt;&gt;14,"CNPJ INVALIDO","OK"))</f>
      </c>
      <c r="Y39" s="3056">
        <f>IF(A39="","",IF(R39="","REST PENDENTE","REST OK"))</f>
      </c>
      <c r="Z39" s="3056">
        <f>IF(A39="","",IF(AND(R39&lt;&gt;"",COUNTIFS($D$3:$D$164,D39,$R$3:$R$164,"&lt;&gt;")&gt;1),"DUPLICADO","OK"))</f>
      </c>
      <c r="AA39" s="3056">
        <f>IF(A39="","",IF(OR(LEN(Q39)&gt;180,LEN(R39)&gt;180,LEN(S39)&gt;180,LEN(T39)&gt;180),"CAMINHO LONGO","OK"))</f>
      </c>
      <c r="AB39" s="3056">
        <f>IF(A39="","",IF(U39="","",IFERROR(INT(U39-TODAY()),"")))</f>
      </c>
      <c r="AC39" s="3056">
        <f>IF(A39="","",IF(AND(T39="",U39=""),"",IF(T39="","SEM CAMINHO",IF(U39="","SEM DATA",IFERROR(IF(AB39&lt;15,"VERMELHO",IF(AB39&lt;=30,"AMARELO","VERDE")),"DATA INVALIDA")))))</f>
      </c>
      <c r="AD39" s="3056">
        <f>IF(OR(A39="",U39="",NOT(ISNUMBER(AB39))),"",RANK(AB39,$AB$3:$AB$164,1)+COUNTIFS($AB$3:AB39,AB39)-1)</f>
      </c>
      <c r="AE39" s="1736"/>
    </row>
    <row r="40" spans="1:19" ht="22.0" hidden="false" customHeight="true" x14ac:dyDescent="0.25">
      <c r="A40" s="3094" t="s">
        <v>95</v>
      </c>
      <c r="B40" s="3093" t="s">
        <v>96</v>
      </c>
      <c r="C40" s="3093" t="s">
        <v>97</v>
      </c>
      <c r="D40" s="3093" t="s">
        <v>102</v>
      </c>
      <c r="E40" s="3093"/>
      <c r="F40" s="3093" t="s">
        <v>99</v>
      </c>
      <c r="G40" s="3093" t="s">
        <v>13</v>
      </c>
      <c r="H40" s="3093" t="s">
        <v>14</v>
      </c>
      <c r="I40" s="3093"/>
      <c r="J40" s="3093"/>
      <c r="K40" s="3093"/>
      <c r="L40" s="3093"/>
      <c r="M40" s="3093" t="s">
        <v>382</v>
      </c>
      <c r="N40" s="3093" t="s">
        <v>362</v>
      </c>
      <c r="O40" s="3093" t="s">
        <v>349</v>
      </c>
      <c r="P40" s="3093"/>
      <c r="Q40" s="3096"/>
      <c r="R40" s="3096"/>
      <c r="S40" s="3096"/>
      <c r="T40" s="3096"/>
      <c r="U40" s="3097"/>
      <c r="V40" s="3093"/>
      <c r="W40" s="3093"/>
      <c r="X40" s="3056">
        <f>IF(A40="","",IF(LEN(SUBSTITUTE(SUBSTITUTE(SUBSTITUTE(SUBSTITUTE(D40,".",""),"/",""),"-","")," ",""))&lt;&gt;14,"CNPJ INVALIDO","OK"))</f>
      </c>
      <c r="Y40" s="3056">
        <f>IF(A40="","",IF(R40="","REST PENDENTE","REST OK"))</f>
      </c>
      <c r="Z40" s="3056">
        <f>IF(A40="","",IF(AND(R40&lt;&gt;"",COUNTIFS($D$3:$D$164,D40,$R$3:$R$164,"&lt;&gt;")&gt;1),"DUPLICADO","OK"))</f>
      </c>
      <c r="AA40" s="3056">
        <f>IF(A40="","",IF(OR(LEN(Q40)&gt;180,LEN(R40)&gt;180,LEN(S40)&gt;180,LEN(T40)&gt;180),"CAMINHO LONGO","OK"))</f>
      </c>
      <c r="AB40" s="3056">
        <f>IF(A40="","",IF(U40="","",IFERROR(INT(U40-TODAY()),"")))</f>
      </c>
      <c r="AC40" s="3056">
        <f>IF(A40="","",IF(AND(T40="",U40=""),"",IF(T40="","SEM CAMINHO",IF(U40="","SEM DATA",IFERROR(IF(AB40&lt;15,"VERMELHO",IF(AB40&lt;=30,"AMARELO","VERDE")),"DATA INVALIDA")))))</f>
      </c>
      <c r="AD40" s="3056">
        <f>IF(OR(A40="",U40="",NOT(ISNUMBER(AB40))),"",RANK(AB40,$AB$3:$AB$164,1)+COUNTIFS($AB$3:AB40,AB40)-1)</f>
      </c>
      <c r="AE40" s="1736"/>
    </row>
    <row r="41" spans="1:19" ht="22.0" hidden="false" customHeight="true" x14ac:dyDescent="0.25">
      <c r="A41" s="3089" t="s">
        <v>95</v>
      </c>
      <c r="B41" s="3088" t="s">
        <v>96</v>
      </c>
      <c r="C41" s="3088" t="s">
        <v>97</v>
      </c>
      <c r="D41" s="3088" t="s">
        <v>103</v>
      </c>
      <c r="E41" s="3088"/>
      <c r="F41" s="3088" t="s">
        <v>99</v>
      </c>
      <c r="G41" s="3088" t="s">
        <v>13</v>
      </c>
      <c r="H41" s="3088" t="s">
        <v>14</v>
      </c>
      <c r="I41" s="3088"/>
      <c r="J41" s="3088"/>
      <c r="K41" s="3088"/>
      <c r="L41" s="3088"/>
      <c r="M41" s="3088" t="s">
        <v>382</v>
      </c>
      <c r="N41" s="3088" t="s">
        <v>362</v>
      </c>
      <c r="O41" s="3088" t="s">
        <v>349</v>
      </c>
      <c r="P41" s="3088"/>
      <c r="Q41" s="3091"/>
      <c r="R41" s="3091"/>
      <c r="S41" s="3091"/>
      <c r="T41" s="3091"/>
      <c r="U41" s="3092"/>
      <c r="V41" s="3088"/>
      <c r="W41" s="3088"/>
      <c r="X41" s="3056">
        <f>IF(A41="","",IF(LEN(SUBSTITUTE(SUBSTITUTE(SUBSTITUTE(SUBSTITUTE(D41,".",""),"/",""),"-","")," ",""))&lt;&gt;14,"CNPJ INVALIDO","OK"))</f>
      </c>
      <c r="Y41" s="3056">
        <f>IF(A41="","",IF(R41="","REST PENDENTE","REST OK"))</f>
      </c>
      <c r="Z41" s="3056">
        <f>IF(A41="","",IF(AND(R41&lt;&gt;"",COUNTIFS($D$3:$D$164,D41,$R$3:$R$164,"&lt;&gt;")&gt;1),"DUPLICADO","OK"))</f>
      </c>
      <c r="AA41" s="3056">
        <f>IF(A41="","",IF(OR(LEN(Q41)&gt;180,LEN(R41)&gt;180,LEN(S41)&gt;180,LEN(T41)&gt;180),"CAMINHO LONGO","OK"))</f>
      </c>
      <c r="AB41" s="3056">
        <f>IF(A41="","",IF(U41="","",IFERROR(INT(U41-TODAY()),"")))</f>
      </c>
      <c r="AC41" s="3056">
        <f>IF(A41="","",IF(AND(T41="",U41=""),"",IF(T41="","SEM CAMINHO",IF(U41="","SEM DATA",IFERROR(IF(AB41&lt;15,"VERMELHO",IF(AB41&lt;=30,"AMARELO","VERDE")),"DATA INVALIDA")))))</f>
      </c>
      <c r="AD41" s="3056">
        <f>IF(OR(A41="",U41="",NOT(ISNUMBER(AB41))),"",RANK(AB41,$AB$3:$AB$164,1)+COUNTIFS($AB$3:AB41,AB41)-1)</f>
      </c>
      <c r="AE41" s="1736"/>
    </row>
    <row r="42" spans="1:19" ht="22.0" hidden="false" customHeight="true" x14ac:dyDescent="0.25">
      <c r="A42" s="3094" t="s">
        <v>95</v>
      </c>
      <c r="B42" s="3093" t="s">
        <v>96</v>
      </c>
      <c r="C42" s="3093" t="s">
        <v>104</v>
      </c>
      <c r="D42" s="3093" t="s">
        <v>105</v>
      </c>
      <c r="E42" s="3093"/>
      <c r="F42" s="3093" t="s">
        <v>99</v>
      </c>
      <c r="G42" s="3093" t="s">
        <v>13</v>
      </c>
      <c r="H42" s="3093" t="s">
        <v>14</v>
      </c>
      <c r="I42" s="3093"/>
      <c r="J42" s="3093"/>
      <c r="K42" s="3093"/>
      <c r="L42" s="3093"/>
      <c r="M42" s="3093" t="s">
        <v>382</v>
      </c>
      <c r="N42" s="3093" t="s">
        <v>362</v>
      </c>
      <c r="O42" s="3093" t="s">
        <v>349</v>
      </c>
      <c r="P42" s="3093"/>
      <c r="Q42" s="3096"/>
      <c r="R42" s="3096"/>
      <c r="S42" s="3096"/>
      <c r="T42" s="3096"/>
      <c r="U42" s="3097"/>
      <c r="V42" s="3093"/>
      <c r="W42" s="3093"/>
      <c r="X42" s="3056">
        <f>IF(A42="","",IF(LEN(SUBSTITUTE(SUBSTITUTE(SUBSTITUTE(SUBSTITUTE(D42,".",""),"/",""),"-","")," ",""))&lt;&gt;14,"CNPJ INVALIDO","OK"))</f>
      </c>
      <c r="Y42" s="3056">
        <f>IF(A42="","",IF(R42="","REST PENDENTE","REST OK"))</f>
      </c>
      <c r="Z42" s="3056">
        <f>IF(A42="","",IF(AND(R42&lt;&gt;"",COUNTIFS($D$3:$D$164,D42,$R$3:$R$164,"&lt;&gt;")&gt;1),"DUPLICADO","OK"))</f>
      </c>
      <c r="AA42" s="3056">
        <f>IF(A42="","",IF(OR(LEN(Q42)&gt;180,LEN(R42)&gt;180,LEN(S42)&gt;180,LEN(T42)&gt;180),"CAMINHO LONGO","OK"))</f>
      </c>
      <c r="AB42" s="3056">
        <f>IF(A42="","",IF(U42="","",IFERROR(INT(U42-TODAY()),"")))</f>
      </c>
      <c r="AC42" s="3056">
        <f>IF(A42="","",IF(AND(T42="",U42=""),"",IF(T42="","SEM CAMINHO",IF(U42="","SEM DATA",IFERROR(IF(AB42&lt;15,"VERMELHO",IF(AB42&lt;=30,"AMARELO","VERDE")),"DATA INVALIDA")))))</f>
      </c>
      <c r="AD42" s="3056">
        <f>IF(OR(A42="",U42="",NOT(ISNUMBER(AB42))),"",RANK(AB42,$AB$3:$AB$164,1)+COUNTIFS($AB$3:AB42,AB42)-1)</f>
      </c>
      <c r="AE42" s="1736"/>
    </row>
    <row r="43" spans="1:19" ht="22.0" hidden="false" customHeight="true" x14ac:dyDescent="0.25">
      <c r="A43" s="3089" t="s">
        <v>95</v>
      </c>
      <c r="B43" s="3088" t="s">
        <v>96</v>
      </c>
      <c r="C43" s="3088" t="s">
        <v>104</v>
      </c>
      <c r="D43" s="3088" t="s">
        <v>106</v>
      </c>
      <c r="E43" s="3088"/>
      <c r="F43" s="3088" t="s">
        <v>99</v>
      </c>
      <c r="G43" s="3088" t="s">
        <v>13</v>
      </c>
      <c r="H43" s="3088" t="s">
        <v>14</v>
      </c>
      <c r="I43" s="3088"/>
      <c r="J43" s="3088"/>
      <c r="K43" s="3088"/>
      <c r="L43" s="3088"/>
      <c r="M43" s="3088" t="s">
        <v>382</v>
      </c>
      <c r="N43" s="3088" t="s">
        <v>362</v>
      </c>
      <c r="O43" s="3088" t="s">
        <v>349</v>
      </c>
      <c r="P43" s="3088"/>
      <c r="Q43" s="3091"/>
      <c r="R43" s="3091"/>
      <c r="S43" s="3091"/>
      <c r="T43" s="3091"/>
      <c r="U43" s="3092"/>
      <c r="V43" s="3088"/>
      <c r="W43" s="3088"/>
      <c r="X43" s="3056">
        <f>IF(A43="","",IF(LEN(SUBSTITUTE(SUBSTITUTE(SUBSTITUTE(SUBSTITUTE(D43,".",""),"/",""),"-","")," ",""))&lt;&gt;14,"CNPJ INVALIDO","OK"))</f>
      </c>
      <c r="Y43" s="3056">
        <f>IF(A43="","",IF(R43="","REST PENDENTE","REST OK"))</f>
      </c>
      <c r="Z43" s="3056">
        <f>IF(A43="","",IF(AND(R43&lt;&gt;"",COUNTIFS($D$3:$D$164,D43,$R$3:$R$164,"&lt;&gt;")&gt;1),"DUPLICADO","OK"))</f>
      </c>
      <c r="AA43" s="3056">
        <f>IF(A43="","",IF(OR(LEN(Q43)&gt;180,LEN(R43)&gt;180,LEN(S43)&gt;180,LEN(T43)&gt;180),"CAMINHO LONGO","OK"))</f>
      </c>
      <c r="AB43" s="3056">
        <f>IF(A43="","",IF(U43="","",IFERROR(INT(U43-TODAY()),"")))</f>
      </c>
      <c r="AC43" s="3056">
        <f>IF(A43="","",IF(AND(T43="",U43=""),"",IF(T43="","SEM CAMINHO",IF(U43="","SEM DATA",IFERROR(IF(AB43&lt;15,"VERMELHO",IF(AB43&lt;=30,"AMARELO","VERDE")),"DATA INVALIDA")))))</f>
      </c>
      <c r="AD43" s="3056">
        <f>IF(OR(A43="",U43="",NOT(ISNUMBER(AB43))),"",RANK(AB43,$AB$3:$AB$164,1)+COUNTIFS($AB$3:AB43,AB43)-1)</f>
      </c>
      <c r="AE43" s="1736"/>
    </row>
    <row r="44" spans="1:19" ht="22.0" hidden="false" customHeight="true" x14ac:dyDescent="0.25">
      <c r="A44" s="3094" t="s">
        <v>107</v>
      </c>
      <c r="B44" s="3093" t="s">
        <v>108</v>
      </c>
      <c r="C44" s="3093" t="s">
        <v>62</v>
      </c>
      <c r="D44" s="3093">
        <v>50056304000149</v>
      </c>
      <c r="E44" s="3093"/>
      <c r="F44" s="3093" t="s">
        <v>109</v>
      </c>
      <c r="G44" s="3093" t="s">
        <v>4</v>
      </c>
      <c r="H44" s="3093" t="s">
        <v>49</v>
      </c>
      <c r="I44" s="3093"/>
      <c r="J44" s="3093"/>
      <c r="K44" s="3093"/>
      <c r="L44" s="3093"/>
      <c r="M44" s="3093" t="s">
        <v>379</v>
      </c>
      <c r="N44" s="3093"/>
      <c r="O44" s="3093" t="s">
        <v>349</v>
      </c>
      <c r="P44" s="3093"/>
      <c r="Q44" s="3096"/>
      <c r="R44" s="3096"/>
      <c r="S44" s="3096"/>
      <c r="T44" s="3096"/>
      <c r="U44" s="3097"/>
      <c r="V44" s="3093"/>
      <c r="W44" s="3093"/>
      <c r="X44" s="3056">
        <f>IF(A44="","",IF(LEN(SUBSTITUTE(SUBSTITUTE(SUBSTITUTE(SUBSTITUTE(D44,".",""),"/",""),"-","")," ",""))&lt;&gt;14,"CNPJ INVALIDO","OK"))</f>
      </c>
      <c r="Y44" s="3056">
        <f>IF(A44="","",IF(R44="","REST PENDENTE","REST OK"))</f>
      </c>
      <c r="Z44" s="3056">
        <f>IF(A44="","",IF(AND(R44&lt;&gt;"",COUNTIFS($D$3:$D$164,D44,$R$3:$R$164,"&lt;&gt;")&gt;1),"DUPLICADO","OK"))</f>
      </c>
      <c r="AA44" s="3056">
        <f>IF(A44="","",IF(OR(LEN(Q44)&gt;180,LEN(R44)&gt;180,LEN(S44)&gt;180,LEN(T44)&gt;180),"CAMINHO LONGO","OK"))</f>
      </c>
      <c r="AB44" s="3056">
        <f>IF(A44="","",IF(U44="","",IFERROR(INT(U44-TODAY()),"")))</f>
      </c>
      <c r="AC44" s="3056">
        <f>IF(A44="","",IF(AND(T44="",U44=""),"",IF(T44="","SEM CAMINHO",IF(U44="","SEM DATA",IFERROR(IF(AB44&lt;15,"VERMELHO",IF(AB44&lt;=30,"AMARELO","VERDE")),"DATA INVALIDA")))))</f>
      </c>
      <c r="AD44" s="3056">
        <f>IF(OR(A44="",U44="",NOT(ISNUMBER(AB44))),"",RANK(AB44,$AB$3:$AB$164,1)+COUNTIFS($AB$3:AB44,AB44)-1)</f>
      </c>
      <c r="AE44" s="1736"/>
    </row>
    <row r="45" spans="1:19" ht="22.0" hidden="false" customHeight="true" x14ac:dyDescent="0.25">
      <c r="A45" s="3089" t="s">
        <v>110</v>
      </c>
      <c r="B45" s="3088" t="s">
        <v>108</v>
      </c>
      <c r="C45" s="3088" t="s">
        <v>62</v>
      </c>
      <c r="D45" s="3088">
        <v>59971731000127</v>
      </c>
      <c r="E45" s="3088"/>
      <c r="F45" s="3088" t="s">
        <v>109</v>
      </c>
      <c r="G45" s="3088" t="s">
        <v>4</v>
      </c>
      <c r="H45" s="3088" t="s">
        <v>49</v>
      </c>
      <c r="I45" s="3088"/>
      <c r="J45" s="3088"/>
      <c r="K45" s="3088"/>
      <c r="L45" s="3088"/>
      <c r="M45" s="3088" t="s">
        <v>379</v>
      </c>
      <c r="N45" s="3088"/>
      <c r="O45" s="3088" t="s">
        <v>349</v>
      </c>
      <c r="P45" s="3088"/>
      <c r="Q45" s="3091"/>
      <c r="R45" s="3091"/>
      <c r="S45" s="3091"/>
      <c r="T45" s="3091"/>
      <c r="U45" s="3092"/>
      <c r="V45" s="3088"/>
      <c r="W45" s="3088"/>
      <c r="X45" s="3056">
        <f>IF(A45="","",IF(LEN(SUBSTITUTE(SUBSTITUTE(SUBSTITUTE(SUBSTITUTE(D45,".",""),"/",""),"-","")," ",""))&lt;&gt;14,"CNPJ INVALIDO","OK"))</f>
      </c>
      <c r="Y45" s="3056">
        <f>IF(A45="","",IF(R45="","REST PENDENTE","REST OK"))</f>
      </c>
      <c r="Z45" s="3056">
        <f>IF(A45="","",IF(AND(R45&lt;&gt;"",COUNTIFS($D$3:$D$164,D45,$R$3:$R$164,"&lt;&gt;")&gt;1),"DUPLICADO","OK"))</f>
      </c>
      <c r="AA45" s="3056">
        <f>IF(A45="","",IF(OR(LEN(Q45)&gt;180,LEN(R45)&gt;180,LEN(S45)&gt;180,LEN(T45)&gt;180),"CAMINHO LONGO","OK"))</f>
      </c>
      <c r="AB45" s="3056">
        <f>IF(A45="","",IF(U45="","",IFERROR(INT(U45-TODAY()),"")))</f>
      </c>
      <c r="AC45" s="3056">
        <f>IF(A45="","",IF(AND(T45="",U45=""),"",IF(T45="","SEM CAMINHO",IF(U45="","SEM DATA",IFERROR(IF(AB45&lt;15,"VERMELHO",IF(AB45&lt;=30,"AMARELO","VERDE")),"DATA INVALIDA")))))</f>
      </c>
      <c r="AD45" s="3056">
        <f>IF(OR(A45="",U45="",NOT(ISNUMBER(AB45))),"",RANK(AB45,$AB$3:$AB$164,1)+COUNTIFS($AB$3:AB45,AB45)-1)</f>
      </c>
      <c r="AE45" s="1736"/>
    </row>
    <row r="46" spans="1:19" ht="22.0" hidden="false" customHeight="true" x14ac:dyDescent="0.25">
      <c r="A46" s="3094" t="s">
        <v>111</v>
      </c>
      <c r="B46" s="3093" t="s">
        <v>108</v>
      </c>
      <c r="C46" s="3093" t="s">
        <v>69</v>
      </c>
      <c r="D46" s="3093" t="s">
        <v>112</v>
      </c>
      <c r="E46" s="3093"/>
      <c r="F46" s="3093" t="s">
        <v>113</v>
      </c>
      <c r="G46" s="3093" t="s">
        <v>13</v>
      </c>
      <c r="H46" s="3093" t="s">
        <v>49</v>
      </c>
      <c r="I46" s="3093"/>
      <c r="J46" s="3093"/>
      <c r="K46" s="3093"/>
      <c r="L46" s="3093"/>
      <c r="M46" s="3093" t="s">
        <v>377</v>
      </c>
      <c r="N46" s="3093"/>
      <c r="O46" s="3093" t="s">
        <v>347</v>
      </c>
      <c r="P46" s="3093"/>
      <c r="Q46" s="3096"/>
      <c r="R46" s="3096"/>
      <c r="S46" s="3096"/>
      <c r="T46" s="3096"/>
      <c r="U46" s="3097"/>
      <c r="V46" s="3093"/>
      <c r="W46" s="3093"/>
      <c r="X46" s="3056">
        <f>IF(A46="","",IF(LEN(SUBSTITUTE(SUBSTITUTE(SUBSTITUTE(SUBSTITUTE(D46,".",""),"/",""),"-","")," ",""))&lt;&gt;14,"CNPJ INVALIDO","OK"))</f>
      </c>
      <c r="Y46" s="3056">
        <f>IF(A46="","",IF(R46="","REST PENDENTE","REST OK"))</f>
      </c>
      <c r="Z46" s="3056">
        <f>IF(A46="","",IF(AND(R46&lt;&gt;"",COUNTIFS($D$3:$D$164,D46,$R$3:$R$164,"&lt;&gt;")&gt;1),"DUPLICADO","OK"))</f>
      </c>
      <c r="AA46" s="3056">
        <f>IF(A46="","",IF(OR(LEN(Q46)&gt;180,LEN(R46)&gt;180,LEN(S46)&gt;180,LEN(T46)&gt;180),"CAMINHO LONGO","OK"))</f>
      </c>
      <c r="AB46" s="3056">
        <f>IF(A46="","",IF(U46="","",IFERROR(INT(U46-TODAY()),"")))</f>
      </c>
      <c r="AC46" s="3056">
        <f>IF(A46="","",IF(AND(T46="",U46=""),"",IF(T46="","SEM CAMINHO",IF(U46="","SEM DATA",IFERROR(IF(AB46&lt;15,"VERMELHO",IF(AB46&lt;=30,"AMARELO","VERDE")),"DATA INVALIDA")))))</f>
      </c>
      <c r="AD46" s="3056">
        <f>IF(OR(A46="",U46="",NOT(ISNUMBER(AB46))),"",RANK(AB46,$AB$3:$AB$164,1)+COUNTIFS($AB$3:AB46,AB46)-1)</f>
      </c>
      <c r="AE46" s="1736"/>
    </row>
    <row r="47" spans="1:19" ht="22.0" hidden="false" customHeight="true" x14ac:dyDescent="0.25">
      <c r="A47" s="3089" t="s">
        <v>114</v>
      </c>
      <c r="B47" s="3088" t="s">
        <v>115</v>
      </c>
      <c r="C47" s="3088" t="s">
        <v>116</v>
      </c>
      <c r="D47" s="3088" t="s">
        <v>117</v>
      </c>
      <c r="E47" s="3088"/>
      <c r="F47" s="3088" t="s">
        <v>118</v>
      </c>
      <c r="G47" s="3088" t="s">
        <v>13</v>
      </c>
      <c r="H47" s="3088" t="s">
        <v>14</v>
      </c>
      <c r="I47" s="3088"/>
      <c r="J47" s="3088"/>
      <c r="K47" s="3088"/>
      <c r="L47" s="3088"/>
      <c r="M47" s="3088" t="s">
        <v>377</v>
      </c>
      <c r="N47" s="3088"/>
      <c r="O47" s="3088" t="s">
        <v>350</v>
      </c>
      <c r="P47" s="3088"/>
      <c r="Q47" s="3091"/>
      <c r="R47" s="3091"/>
      <c r="S47" s="3091"/>
      <c r="T47" s="3091"/>
      <c r="U47" s="3092"/>
      <c r="V47" s="3088"/>
      <c r="W47" s="3088"/>
      <c r="X47" s="3056">
        <f>IF(A47="","",IF(LEN(SUBSTITUTE(SUBSTITUTE(SUBSTITUTE(SUBSTITUTE(D47,".",""),"/",""),"-","")," ",""))&lt;&gt;14,"CNPJ INVALIDO","OK"))</f>
      </c>
      <c r="Y47" s="3056">
        <f>IF(A47="","",IF(R47="","REST PENDENTE","REST OK"))</f>
      </c>
      <c r="Z47" s="3056">
        <f>IF(A47="","",IF(AND(R47&lt;&gt;"",COUNTIFS($D$3:$D$164,D47,$R$3:$R$164,"&lt;&gt;")&gt;1),"DUPLICADO","OK"))</f>
      </c>
      <c r="AA47" s="3056">
        <f>IF(A47="","",IF(OR(LEN(Q47)&gt;180,LEN(R47)&gt;180,LEN(S47)&gt;180,LEN(T47)&gt;180),"CAMINHO LONGO","OK"))</f>
      </c>
      <c r="AB47" s="3056">
        <f>IF(A47="","",IF(U47="","",IFERROR(INT(U47-TODAY()),"")))</f>
      </c>
      <c r="AC47" s="3056">
        <f>IF(A47="","",IF(AND(T47="",U47=""),"",IF(T47="","SEM CAMINHO",IF(U47="","SEM DATA",IFERROR(IF(AB47&lt;15,"VERMELHO",IF(AB47&lt;=30,"AMARELO","VERDE")),"DATA INVALIDA")))))</f>
      </c>
      <c r="AD47" s="3056">
        <f>IF(OR(A47="",U47="",NOT(ISNUMBER(AB47))),"",RANK(AB47,$AB$3:$AB$164,1)+COUNTIFS($AB$3:AB47,AB47)-1)</f>
      </c>
      <c r="AE47" s="1736"/>
    </row>
    <row r="48" spans="1:19" ht="22.0" hidden="false" customHeight="true" x14ac:dyDescent="0.25">
      <c r="A48" s="3094" t="s">
        <v>119</v>
      </c>
      <c r="B48" s="3093" t="s">
        <v>115</v>
      </c>
      <c r="C48" s="3093" t="s">
        <v>116</v>
      </c>
      <c r="D48" s="3093" t="s">
        <v>120</v>
      </c>
      <c r="E48" s="3093"/>
      <c r="F48" s="3093" t="s">
        <v>118</v>
      </c>
      <c r="G48" s="3093" t="s">
        <v>13</v>
      </c>
      <c r="H48" s="3093" t="s">
        <v>14</v>
      </c>
      <c r="I48" s="3093"/>
      <c r="J48" s="3093"/>
      <c r="K48" s="3093"/>
      <c r="L48" s="3093"/>
      <c r="M48" s="3093" t="s">
        <v>376</v>
      </c>
      <c r="N48" s="3093"/>
      <c r="O48" s="3093" t="s">
        <v>347</v>
      </c>
      <c r="P48" s="3093"/>
      <c r="Q48" s="3096"/>
      <c r="R48" s="3096"/>
      <c r="S48" s="3096"/>
      <c r="T48" s="3096"/>
      <c r="U48" s="3097"/>
      <c r="V48" s="3093"/>
      <c r="W48" s="3093"/>
      <c r="X48" s="3056">
        <f>IF(A48="","",IF(LEN(SUBSTITUTE(SUBSTITUTE(SUBSTITUTE(SUBSTITUTE(D48,".",""),"/",""),"-","")," ",""))&lt;&gt;14,"CNPJ INVALIDO","OK"))</f>
      </c>
      <c r="Y48" s="3056">
        <f>IF(A48="","",IF(R48="","REST PENDENTE","REST OK"))</f>
      </c>
      <c r="Z48" s="3056">
        <f>IF(A48="","",IF(AND(R48&lt;&gt;"",COUNTIFS($D$3:$D$164,D48,$R$3:$R$164,"&lt;&gt;")&gt;1),"DUPLICADO","OK"))</f>
      </c>
      <c r="AA48" s="3056">
        <f>IF(A48="","",IF(OR(LEN(Q48)&gt;180,LEN(R48)&gt;180,LEN(S48)&gt;180,LEN(T48)&gt;180),"CAMINHO LONGO","OK"))</f>
      </c>
      <c r="AB48" s="3056">
        <f>IF(A48="","",IF(U48="","",IFERROR(INT(U48-TODAY()),"")))</f>
      </c>
      <c r="AC48" s="3056">
        <f>IF(A48="","",IF(AND(T48="",U48=""),"",IF(T48="","SEM CAMINHO",IF(U48="","SEM DATA",IFERROR(IF(AB48&lt;15,"VERMELHO",IF(AB48&lt;=30,"AMARELO","VERDE")),"DATA INVALIDA")))))</f>
      </c>
      <c r="AD48" s="3056">
        <f>IF(OR(A48="",U48="",NOT(ISNUMBER(AB48))),"",RANK(AB48,$AB$3:$AB$164,1)+COUNTIFS($AB$3:AB48,AB48)-1)</f>
      </c>
      <c r="AE48" s="1736"/>
    </row>
    <row r="49" spans="1:19" ht="22.0" hidden="false" customHeight="true" x14ac:dyDescent="0.25">
      <c r="A49" s="3089" t="s">
        <v>121</v>
      </c>
      <c r="B49" s="3088" t="s">
        <v>115</v>
      </c>
      <c r="C49" s="3088" t="s">
        <v>122</v>
      </c>
      <c r="D49" s="3088">
        <v>44742752000101</v>
      </c>
      <c r="E49" s="3088"/>
      <c r="F49" s="3088" t="s">
        <v>118</v>
      </c>
      <c r="G49" s="3088" t="s">
        <v>4</v>
      </c>
      <c r="H49" s="3088" t="s">
        <v>5</v>
      </c>
      <c r="I49" s="3088"/>
      <c r="J49" s="3088"/>
      <c r="K49" s="3088"/>
      <c r="L49" s="3088"/>
      <c r="M49" s="3088" t="s">
        <v>376</v>
      </c>
      <c r="N49" s="3088"/>
      <c r="O49" s="3088" t="s">
        <v>349</v>
      </c>
      <c r="P49" s="3088"/>
      <c r="Q49" s="3091"/>
      <c r="R49" s="3091"/>
      <c r="S49" s="3091"/>
      <c r="T49" s="3091"/>
      <c r="U49" s="3092"/>
      <c r="V49" s="3088"/>
      <c r="W49" s="3088"/>
      <c r="X49" s="3056">
        <f>IF(A49="","",IF(LEN(SUBSTITUTE(SUBSTITUTE(SUBSTITUTE(SUBSTITUTE(D49,".",""),"/",""),"-","")," ",""))&lt;&gt;14,"CNPJ INVALIDO","OK"))</f>
      </c>
      <c r="Y49" s="3056">
        <f>IF(A49="","",IF(R49="","REST PENDENTE","REST OK"))</f>
      </c>
      <c r="Z49" s="3056">
        <f>IF(A49="","",IF(AND(R49&lt;&gt;"",COUNTIFS($D$3:$D$164,D49,$R$3:$R$164,"&lt;&gt;")&gt;1),"DUPLICADO","OK"))</f>
      </c>
      <c r="AA49" s="3056">
        <f>IF(A49="","",IF(OR(LEN(Q49)&gt;180,LEN(R49)&gt;180,LEN(S49)&gt;180,LEN(T49)&gt;180),"CAMINHO LONGO","OK"))</f>
      </c>
      <c r="AB49" s="3056">
        <f>IF(A49="","",IF(U49="","",IFERROR(INT(U49-TODAY()),"")))</f>
      </c>
      <c r="AC49" s="3056">
        <f>IF(A49="","",IF(AND(T49="",U49=""),"",IF(T49="","SEM CAMINHO",IF(U49="","SEM DATA",IFERROR(IF(AB49&lt;15,"VERMELHO",IF(AB49&lt;=30,"AMARELO","VERDE")),"DATA INVALIDA")))))</f>
      </c>
      <c r="AD49" s="3056">
        <f>IF(OR(A49="",U49="",NOT(ISNUMBER(AB49))),"",RANK(AB49,$AB$3:$AB$164,1)+COUNTIFS($AB$3:AB49,AB49)-1)</f>
      </c>
      <c r="AE49" s="1736"/>
    </row>
    <row r="50" spans="1:19" ht="22.0" hidden="false" customHeight="true" x14ac:dyDescent="0.25">
      <c r="A50" s="3094" t="s">
        <v>123</v>
      </c>
      <c r="B50" s="3093" t="s">
        <v>115</v>
      </c>
      <c r="C50" s="3093" t="s">
        <v>116</v>
      </c>
      <c r="D50" s="3093" t="s">
        <v>124</v>
      </c>
      <c r="E50" s="3093"/>
      <c r="F50" s="3093" t="s">
        <v>125</v>
      </c>
      <c r="G50" s="3093" t="s">
        <v>13</v>
      </c>
      <c r="H50" s="3093" t="s">
        <v>14</v>
      </c>
      <c r="I50" s="3093"/>
      <c r="J50" s="3093"/>
      <c r="K50" s="3093"/>
      <c r="L50" s="3093"/>
      <c r="M50" s="3093" t="s">
        <v>379</v>
      </c>
      <c r="N50" s="3093"/>
      <c r="O50" s="3093" t="s">
        <v>349</v>
      </c>
      <c r="P50" s="3093"/>
      <c r="Q50" s="3096"/>
      <c r="R50" s="3096"/>
      <c r="S50" s="3096"/>
      <c r="T50" s="3096"/>
      <c r="U50" s="3097"/>
      <c r="V50" s="3093"/>
      <c r="W50" s="3093"/>
      <c r="X50" s="3056">
        <f>IF(A50="","",IF(LEN(SUBSTITUTE(SUBSTITUTE(SUBSTITUTE(SUBSTITUTE(D50,".",""),"/",""),"-","")," ",""))&lt;&gt;14,"CNPJ INVALIDO","OK"))</f>
      </c>
      <c r="Y50" s="3056">
        <f>IF(A50="","",IF(R50="","REST PENDENTE","REST OK"))</f>
      </c>
      <c r="Z50" s="3056">
        <f>IF(A50="","",IF(AND(R50&lt;&gt;"",COUNTIFS($D$3:$D$164,D50,$R$3:$R$164,"&lt;&gt;")&gt;1),"DUPLICADO","OK"))</f>
      </c>
      <c r="AA50" s="3056">
        <f>IF(A50="","",IF(OR(LEN(Q50)&gt;180,LEN(R50)&gt;180,LEN(S50)&gt;180,LEN(T50)&gt;180),"CAMINHO LONGO","OK"))</f>
      </c>
      <c r="AB50" s="3056">
        <f>IF(A50="","",IF(U50="","",IFERROR(INT(U50-TODAY()),"")))</f>
      </c>
      <c r="AC50" s="3056">
        <f>IF(A50="","",IF(AND(T50="",U50=""),"",IF(T50="","SEM CAMINHO",IF(U50="","SEM DATA",IFERROR(IF(AB50&lt;15,"VERMELHO",IF(AB50&lt;=30,"AMARELO","VERDE")),"DATA INVALIDA")))))</f>
      </c>
      <c r="AD50" s="3056">
        <f>IF(OR(A50="",U50="",NOT(ISNUMBER(AB50))),"",RANK(AB50,$AB$3:$AB$164,1)+COUNTIFS($AB$3:AB50,AB50)-1)</f>
      </c>
      <c r="AE50" s="1736"/>
    </row>
    <row r="51" spans="1:19" ht="22.0" hidden="false" customHeight="true" x14ac:dyDescent="0.25">
      <c r="A51" s="3089" t="s">
        <v>126</v>
      </c>
      <c r="B51" s="3088" t="s">
        <v>115</v>
      </c>
      <c r="C51" s="3088" t="s">
        <v>122</v>
      </c>
      <c r="D51" s="3088">
        <v>44777527000100</v>
      </c>
      <c r="E51" s="3088"/>
      <c r="F51" s="3088" t="s">
        <v>125</v>
      </c>
      <c r="G51" s="3088" t="s">
        <v>4</v>
      </c>
      <c r="H51" s="3088" t="s">
        <v>5</v>
      </c>
      <c r="I51" s="3088"/>
      <c r="J51" s="3088"/>
      <c r="K51" s="3088"/>
      <c r="L51" s="3088"/>
      <c r="M51" s="3088" t="s">
        <v>379</v>
      </c>
      <c r="N51" s="3088"/>
      <c r="O51" s="3088" t="s">
        <v>349</v>
      </c>
      <c r="P51" s="3088"/>
      <c r="Q51" s="3091"/>
      <c r="R51" s="3091"/>
      <c r="S51" s="3091"/>
      <c r="T51" s="3091"/>
      <c r="U51" s="3092"/>
      <c r="V51" s="3088"/>
      <c r="W51" s="3088"/>
      <c r="X51" s="3056">
        <f>IF(A51="","",IF(LEN(SUBSTITUTE(SUBSTITUTE(SUBSTITUTE(SUBSTITUTE(D51,".",""),"/",""),"-","")," ",""))&lt;&gt;14,"CNPJ INVALIDO","OK"))</f>
      </c>
      <c r="Y51" s="3056">
        <f>IF(A51="","",IF(R51="","REST PENDENTE","REST OK"))</f>
      </c>
      <c r="Z51" s="3056">
        <f>IF(A51="","",IF(AND(R51&lt;&gt;"",COUNTIFS($D$3:$D$164,D51,$R$3:$R$164,"&lt;&gt;")&gt;1),"DUPLICADO","OK"))</f>
      </c>
      <c r="AA51" s="3056">
        <f>IF(A51="","",IF(OR(LEN(Q51)&gt;180,LEN(R51)&gt;180,LEN(S51)&gt;180,LEN(T51)&gt;180),"CAMINHO LONGO","OK"))</f>
      </c>
      <c r="AB51" s="3056">
        <f>IF(A51="","",IF(U51="","",IFERROR(INT(U51-TODAY()),"")))</f>
      </c>
      <c r="AC51" s="3056">
        <f>IF(A51="","",IF(AND(T51="",U51=""),"",IF(T51="","SEM CAMINHO",IF(U51="","SEM DATA",IFERROR(IF(AB51&lt;15,"VERMELHO",IF(AB51&lt;=30,"AMARELO","VERDE")),"DATA INVALIDA")))))</f>
      </c>
      <c r="AD51" s="3056">
        <f>IF(OR(A51="",U51="",NOT(ISNUMBER(AB51))),"",RANK(AB51,$AB$3:$AB$164,1)+COUNTIFS($AB$3:AB51,AB51)-1)</f>
      </c>
      <c r="AE51" s="1736"/>
    </row>
    <row r="52" spans="1:19" ht="22.0" hidden="false" customHeight="true" x14ac:dyDescent="0.25">
      <c r="A52" s="3094" t="s">
        <v>127</v>
      </c>
      <c r="B52" s="3093" t="s">
        <v>115</v>
      </c>
      <c r="C52" s="3093" t="s">
        <v>122</v>
      </c>
      <c r="D52" s="3093">
        <v>44796284000140</v>
      </c>
      <c r="E52" s="3093"/>
      <c r="F52" s="3093" t="s">
        <v>125</v>
      </c>
      <c r="G52" s="3093" t="s">
        <v>4</v>
      </c>
      <c r="H52" s="3093" t="s">
        <v>5</v>
      </c>
      <c r="I52" s="3093"/>
      <c r="J52" s="3093"/>
      <c r="K52" s="3093"/>
      <c r="L52" s="3093"/>
      <c r="M52" s="3093" t="s">
        <v>379</v>
      </c>
      <c r="N52" s="3093"/>
      <c r="O52" s="3093" t="s">
        <v>349</v>
      </c>
      <c r="P52" s="3093"/>
      <c r="Q52" s="3096"/>
      <c r="R52" s="3096"/>
      <c r="S52" s="3096"/>
      <c r="T52" s="3096"/>
      <c r="U52" s="3097"/>
      <c r="V52" s="3093"/>
      <c r="W52" s="3093"/>
      <c r="X52" s="3056">
        <f>IF(A52="","",IF(LEN(SUBSTITUTE(SUBSTITUTE(SUBSTITUTE(SUBSTITUTE(D52,".",""),"/",""),"-","")," ",""))&lt;&gt;14,"CNPJ INVALIDO","OK"))</f>
      </c>
      <c r="Y52" s="3056">
        <f>IF(A52="","",IF(R52="","REST PENDENTE","REST OK"))</f>
      </c>
      <c r="Z52" s="3056">
        <f>IF(A52="","",IF(AND(R52&lt;&gt;"",COUNTIFS($D$3:$D$164,D52,$R$3:$R$164,"&lt;&gt;")&gt;1),"DUPLICADO","OK"))</f>
      </c>
      <c r="AA52" s="3056">
        <f>IF(A52="","",IF(OR(LEN(Q52)&gt;180,LEN(R52)&gt;180,LEN(S52)&gt;180,LEN(T52)&gt;180),"CAMINHO LONGO","OK"))</f>
      </c>
      <c r="AB52" s="3056">
        <f>IF(A52="","",IF(U52="","",IFERROR(INT(U52-TODAY()),"")))</f>
      </c>
      <c r="AC52" s="3056">
        <f>IF(A52="","",IF(AND(T52="",U52=""),"",IF(T52="","SEM CAMINHO",IF(U52="","SEM DATA",IFERROR(IF(AB52&lt;15,"VERMELHO",IF(AB52&lt;=30,"AMARELO","VERDE")),"DATA INVALIDA")))))</f>
      </c>
      <c r="AD52" s="3056">
        <f>IF(OR(A52="",U52="",NOT(ISNUMBER(AB52))),"",RANK(AB52,$AB$3:$AB$164,1)+COUNTIFS($AB$3:AB52,AB52)-1)</f>
      </c>
      <c r="AE52" s="1736"/>
    </row>
    <row r="53" spans="1:19" ht="22.0" customHeight="true" thickTop="1" x14ac:dyDescent="0.25" hidden="false">
      <c r="A53" s="3089" t="s">
        <v>128</v>
      </c>
      <c r="B53" s="3088" t="s">
        <v>129</v>
      </c>
      <c r="C53" s="3088" t="s">
        <v>16</v>
      </c>
      <c r="D53" s="3088" t="s">
        <v>130</v>
      </c>
      <c r="E53" s="3088"/>
      <c r="F53" s="3088" t="s">
        <v>109</v>
      </c>
      <c r="G53" s="3088" t="s">
        <v>13</v>
      </c>
      <c r="H53" s="3088" t="s">
        <v>14</v>
      </c>
      <c r="I53" s="3088"/>
      <c r="J53" s="3088"/>
      <c r="K53" s="3088"/>
      <c r="L53" s="3088"/>
      <c r="M53" s="3088" t="s">
        <v>384</v>
      </c>
      <c r="N53" s="3088"/>
      <c r="O53" s="3088"/>
      <c r="P53" s="3088"/>
      <c r="Q53" s="3091"/>
      <c r="R53" s="3091"/>
      <c r="S53" s="3091"/>
      <c r="T53" s="3091"/>
      <c r="U53" s="3092"/>
      <c r="V53" s="3088"/>
      <c r="W53" s="3088"/>
      <c r="X53" s="3056">
        <f>IF(A53="","",IF(LEN(SUBSTITUTE(SUBSTITUTE(SUBSTITUTE(SUBSTITUTE(D53,".",""),"/",""),"-","")," ",""))&lt;&gt;14,"CNPJ INVALIDO","OK"))</f>
      </c>
      <c r="Y53" s="3056">
        <f>IF(A53="","",IF(R53="","REST PENDENTE","REST OK"))</f>
      </c>
      <c r="Z53" s="3056">
        <f>IF(A53="","",IF(AND(R53&lt;&gt;"",COUNTIFS($D$3:$D$164,D53,$R$3:$R$164,"&lt;&gt;")&gt;1),"DUPLICADO","OK"))</f>
      </c>
      <c r="AA53" s="3056">
        <f>IF(A53="","",IF(OR(LEN(Q53)&gt;180,LEN(R53)&gt;180,LEN(S53)&gt;180,LEN(T53)&gt;180),"CAMINHO LONGO","OK"))</f>
      </c>
      <c r="AB53" s="3056">
        <f>IF(A53="","",IF(U53="","",IFERROR(INT(U53-TODAY()),"")))</f>
      </c>
      <c r="AC53" s="3056">
        <f>IF(A53="","",IF(AND(T53="",U53=""),"",IF(T53="","SEM CAMINHO",IF(U53="","SEM DATA",IFERROR(IF(AB53&lt;15,"VERMELHO",IF(AB53&lt;=30,"AMARELO","VERDE")),"DATA INVALIDA")))))</f>
      </c>
      <c r="AD53" s="3056">
        <f>IF(OR(A53="",U53="",NOT(ISNUMBER(AB53))),"",RANK(AB53,$AB$3:$AB$164,1)+COUNTIFS($AB$3:AB53,AB53)-1)</f>
      </c>
      <c r="AE53" s="1736"/>
    </row>
    <row r="54" spans="1:19" ht="22.0" hidden="false" customHeight="true" x14ac:dyDescent="0.25">
      <c r="A54" s="3094" t="s">
        <v>131</v>
      </c>
      <c r="B54" s="3093" t="s">
        <v>132</v>
      </c>
      <c r="C54" s="3093" t="s">
        <v>62</v>
      </c>
      <c r="D54" s="3093">
        <v>19318532000108</v>
      </c>
      <c r="E54" s="3093"/>
      <c r="F54" s="3093" t="s">
        <v>66</v>
      </c>
      <c r="G54" s="3093" t="s">
        <v>4</v>
      </c>
      <c r="H54" s="3093" t="s">
        <v>5</v>
      </c>
      <c r="I54" s="3093"/>
      <c r="J54" s="3093"/>
      <c r="K54" s="3093"/>
      <c r="L54" s="3093"/>
      <c r="M54" s="3093" t="s">
        <v>377</v>
      </c>
      <c r="N54" s="3093"/>
      <c r="O54" s="3093" t="s">
        <v>347</v>
      </c>
      <c r="P54" s="3093"/>
      <c r="Q54" s="3096"/>
      <c r="R54" s="3096"/>
      <c r="S54" s="3096"/>
      <c r="T54" s="3096"/>
      <c r="U54" s="3097"/>
      <c r="V54" s="3093"/>
      <c r="W54" s="3093"/>
      <c r="X54" s="3056">
        <f>IF(A54="","",IF(LEN(SUBSTITUTE(SUBSTITUTE(SUBSTITUTE(SUBSTITUTE(D54,".",""),"/",""),"-","")," ",""))&lt;&gt;14,"CNPJ INVALIDO","OK"))</f>
      </c>
      <c r="Y54" s="3056">
        <f>IF(A54="","",IF(R54="","REST PENDENTE","REST OK"))</f>
      </c>
      <c r="Z54" s="3056">
        <f>IF(A54="","",IF(AND(R54&lt;&gt;"",COUNTIFS($D$3:$D$164,D54,$R$3:$R$164,"&lt;&gt;")&gt;1),"DUPLICADO","OK"))</f>
      </c>
      <c r="AA54" s="3056">
        <f>IF(A54="","",IF(OR(LEN(Q54)&gt;180,LEN(R54)&gt;180,LEN(S54)&gt;180,LEN(T54)&gt;180),"CAMINHO LONGO","OK"))</f>
      </c>
      <c r="AB54" s="3056">
        <f>IF(A54="","",IF(U54="","",IFERROR(INT(U54-TODAY()),"")))</f>
      </c>
      <c r="AC54" s="3056">
        <f>IF(A54="","",IF(AND(T54="",U54=""),"",IF(T54="","SEM CAMINHO",IF(U54="","SEM DATA",IFERROR(IF(AB54&lt;15,"VERMELHO",IF(AB54&lt;=30,"AMARELO","VERDE")),"DATA INVALIDA")))))</f>
      </c>
      <c r="AD54" s="3056">
        <f>IF(OR(A54="",U54="",NOT(ISNUMBER(AB54))),"",RANK(AB54,$AB$3:$AB$164,1)+COUNTIFS($AB$3:AB54,AB54)-1)</f>
      </c>
      <c r="AE54" s="1736"/>
    </row>
    <row r="55" spans="1:19" ht="22.0" hidden="false" customHeight="true" x14ac:dyDescent="0.25">
      <c r="A55" s="3089" t="s">
        <v>133</v>
      </c>
      <c r="B55" s="3088" t="s">
        <v>134</v>
      </c>
      <c r="C55" s="3088" t="s">
        <v>116</v>
      </c>
      <c r="D55" s="3088" t="s">
        <v>135</v>
      </c>
      <c r="E55" s="3088"/>
      <c r="F55" s="3088" t="s">
        <v>136</v>
      </c>
      <c r="G55" s="3088" t="s">
        <v>41</v>
      </c>
      <c r="H55" s="3088" t="s">
        <v>5</v>
      </c>
      <c r="I55" s="3088"/>
      <c r="J55" s="3088"/>
      <c r="K55" s="3088"/>
      <c r="L55" s="3088"/>
      <c r="M55" s="3088" t="s">
        <v>379</v>
      </c>
      <c r="N55" s="3088"/>
      <c r="O55" s="3088" t="s">
        <v>351</v>
      </c>
      <c r="P55" s="3088"/>
      <c r="Q55" s="3091"/>
      <c r="R55" s="3091"/>
      <c r="S55" s="3091"/>
      <c r="T55" s="3091"/>
      <c r="U55" s="3092"/>
      <c r="V55" s="3088"/>
      <c r="W55" s="3088"/>
      <c r="X55" s="3056">
        <f>IF(A55="","",IF(LEN(SUBSTITUTE(SUBSTITUTE(SUBSTITUTE(SUBSTITUTE(D55,".",""),"/",""),"-","")," ",""))&lt;&gt;14,"CNPJ INVALIDO","OK"))</f>
      </c>
      <c r="Y55" s="3056">
        <f>IF(A55="","",IF(R55="","REST PENDENTE","REST OK"))</f>
      </c>
      <c r="Z55" s="3056">
        <f>IF(A55="","",IF(AND(R55&lt;&gt;"",COUNTIFS($D$3:$D$164,D55,$R$3:$R$164,"&lt;&gt;")&gt;1),"DUPLICADO","OK"))</f>
      </c>
      <c r="AA55" s="3056">
        <f>IF(A55="","",IF(OR(LEN(Q55)&gt;180,LEN(R55)&gt;180,LEN(S55)&gt;180,LEN(T55)&gt;180),"CAMINHO LONGO","OK"))</f>
      </c>
      <c r="AB55" s="3056">
        <f>IF(A55="","",IF(U55="","",IFERROR(INT(U55-TODAY()),"")))</f>
      </c>
      <c r="AC55" s="3056">
        <f>IF(A55="","",IF(AND(T55="",U55=""),"",IF(T55="","SEM CAMINHO",IF(U55="","SEM DATA",IFERROR(IF(AB55&lt;15,"VERMELHO",IF(AB55&lt;=30,"AMARELO","VERDE")),"DATA INVALIDA")))))</f>
      </c>
      <c r="AD55" s="3056">
        <f>IF(OR(A55="",U55="",NOT(ISNUMBER(AB55))),"",RANK(AB55,$AB$3:$AB$164,1)+COUNTIFS($AB$3:AB55,AB55)-1)</f>
      </c>
      <c r="AE55" s="1736"/>
    </row>
    <row r="56" spans="1:19" ht="22.0" hidden="false" customHeight="true" x14ac:dyDescent="0.25">
      <c r="A56" s="3094" t="s">
        <v>137</v>
      </c>
      <c r="B56" s="3093" t="s">
        <v>134</v>
      </c>
      <c r="C56" s="3093" t="s">
        <v>122</v>
      </c>
      <c r="D56" s="3093">
        <v>34046667000147</v>
      </c>
      <c r="E56" s="3093"/>
      <c r="F56" s="3093" t="s">
        <v>138</v>
      </c>
      <c r="G56" s="3093" t="s">
        <v>4</v>
      </c>
      <c r="H56" s="3093" t="s">
        <v>5</v>
      </c>
      <c r="I56" s="3093"/>
      <c r="J56" s="3093"/>
      <c r="K56" s="3093"/>
      <c r="L56" s="3093"/>
      <c r="M56" s="3093" t="s">
        <v>385</v>
      </c>
      <c r="N56" s="3093"/>
      <c r="O56" s="3093" t="s">
        <v>351</v>
      </c>
      <c r="P56" s="3093"/>
      <c r="Q56" s="3096"/>
      <c r="R56" s="3096"/>
      <c r="S56" s="3096"/>
      <c r="T56" s="3096"/>
      <c r="U56" s="3097"/>
      <c r="V56" s="3093"/>
      <c r="W56" s="3093"/>
      <c r="X56" s="3056">
        <f>IF(A56="","",IF(LEN(SUBSTITUTE(SUBSTITUTE(SUBSTITUTE(SUBSTITUTE(D56,".",""),"/",""),"-","")," ",""))&lt;&gt;14,"CNPJ INVALIDO","OK"))</f>
      </c>
      <c r="Y56" s="3056">
        <f>IF(A56="","",IF(R56="","REST PENDENTE","REST OK"))</f>
      </c>
      <c r="Z56" s="3056">
        <f>IF(A56="","",IF(AND(R56&lt;&gt;"",COUNTIFS($D$3:$D$164,D56,$R$3:$R$164,"&lt;&gt;")&gt;1),"DUPLICADO","OK"))</f>
      </c>
      <c r="AA56" s="3056">
        <f>IF(A56="","",IF(OR(LEN(Q56)&gt;180,LEN(R56)&gt;180,LEN(S56)&gt;180,LEN(T56)&gt;180),"CAMINHO LONGO","OK"))</f>
      </c>
      <c r="AB56" s="3056">
        <f>IF(A56="","",IF(U56="","",IFERROR(INT(U56-TODAY()),"")))</f>
      </c>
      <c r="AC56" s="3056">
        <f>IF(A56="","",IF(AND(T56="",U56=""),"",IF(T56="","SEM CAMINHO",IF(U56="","SEM DATA",IFERROR(IF(AB56&lt;15,"VERMELHO",IF(AB56&lt;=30,"AMARELO","VERDE")),"DATA INVALIDA")))))</f>
      </c>
      <c r="AD56" s="3056">
        <f>IF(OR(A56="",U56="",NOT(ISNUMBER(AB56))),"",RANK(AB56,$AB$3:$AB$164,1)+COUNTIFS($AB$3:AB56,AB56)-1)</f>
      </c>
      <c r="AE56" s="1736"/>
    </row>
    <row r="57" spans="1:19" ht="22.0" hidden="false" customHeight="true" x14ac:dyDescent="0.25">
      <c r="A57" s="3089" t="s">
        <v>139</v>
      </c>
      <c r="B57" s="3088" t="s">
        <v>134</v>
      </c>
      <c r="C57" s="3088" t="s">
        <v>122</v>
      </c>
      <c r="D57" s="3088">
        <v>40932575000167</v>
      </c>
      <c r="E57" s="3088"/>
      <c r="F57" s="3088" t="s">
        <v>140</v>
      </c>
      <c r="G57" s="3088" t="s">
        <v>4</v>
      </c>
      <c r="H57" s="3088" t="s">
        <v>5</v>
      </c>
      <c r="I57" s="3088"/>
      <c r="J57" s="3088"/>
      <c r="K57" s="3088"/>
      <c r="L57" s="3088"/>
      <c r="M57" s="3088" t="s">
        <v>379</v>
      </c>
      <c r="N57" s="3088"/>
      <c r="O57" s="3088" t="s">
        <v>351</v>
      </c>
      <c r="P57" s="3088"/>
      <c r="Q57" s="3091"/>
      <c r="R57" s="3091"/>
      <c r="S57" s="3091"/>
      <c r="T57" s="3091"/>
      <c r="U57" s="3092"/>
      <c r="V57" s="3088"/>
      <c r="W57" s="3088"/>
      <c r="X57" s="3056">
        <f>IF(A57="","",IF(LEN(SUBSTITUTE(SUBSTITUTE(SUBSTITUTE(SUBSTITUTE(D57,".",""),"/",""),"-","")," ",""))&lt;&gt;14,"CNPJ INVALIDO","OK"))</f>
      </c>
      <c r="Y57" s="3056">
        <f>IF(A57="","",IF(R57="","REST PENDENTE","REST OK"))</f>
      </c>
      <c r="Z57" s="3056">
        <f>IF(A57="","",IF(AND(R57&lt;&gt;"",COUNTIFS($D$3:$D$164,D57,$R$3:$R$164,"&lt;&gt;")&gt;1),"DUPLICADO","OK"))</f>
      </c>
      <c r="AA57" s="3056">
        <f>IF(A57="","",IF(OR(LEN(Q57)&gt;180,LEN(R57)&gt;180,LEN(S57)&gt;180,LEN(T57)&gt;180),"CAMINHO LONGO","OK"))</f>
      </c>
      <c r="AB57" s="3056">
        <f>IF(A57="","",IF(U57="","",IFERROR(INT(U57-TODAY()),"")))</f>
      </c>
      <c r="AC57" s="3056">
        <f>IF(A57="","",IF(AND(T57="",U57=""),"",IF(T57="","SEM CAMINHO",IF(U57="","SEM DATA",IFERROR(IF(AB57&lt;15,"VERMELHO",IF(AB57&lt;=30,"AMARELO","VERDE")),"DATA INVALIDA")))))</f>
      </c>
      <c r="AD57" s="3056">
        <f>IF(OR(A57="",U57="",NOT(ISNUMBER(AB57))),"",RANK(AB57,$AB$3:$AB$164,1)+COUNTIFS($AB$3:AB57,AB57)-1)</f>
      </c>
      <c r="AE57" s="1736"/>
    </row>
    <row r="58" spans="1:19" ht="22.0" hidden="false" customHeight="true" x14ac:dyDescent="0.25">
      <c r="A58" s="3094" t="s">
        <v>141</v>
      </c>
      <c r="B58" s="3093" t="s">
        <v>142</v>
      </c>
      <c r="C58" s="3093" t="s">
        <v>62</v>
      </c>
      <c r="D58" s="3093" t="s">
        <v>143</v>
      </c>
      <c r="E58" s="3093"/>
      <c r="F58" s="3093" t="s">
        <v>144</v>
      </c>
      <c r="G58" s="3093" t="s">
        <v>13</v>
      </c>
      <c r="H58" s="3093" t="s">
        <v>49</v>
      </c>
      <c r="I58" s="3093"/>
      <c r="J58" s="3093"/>
      <c r="K58" s="3093"/>
      <c r="L58" s="3093"/>
      <c r="M58" s="3093" t="s">
        <v>385</v>
      </c>
      <c r="N58" s="3093"/>
      <c r="O58" s="3093" t="s">
        <v>347</v>
      </c>
      <c r="P58" s="3093"/>
      <c r="Q58" s="3096"/>
      <c r="R58" s="3096"/>
      <c r="S58" s="3096"/>
      <c r="T58" s="3096"/>
      <c r="U58" s="3097"/>
      <c r="V58" s="3093"/>
      <c r="W58" s="3093"/>
      <c r="X58" s="3056">
        <f>IF(A58="","",IF(LEN(SUBSTITUTE(SUBSTITUTE(SUBSTITUTE(SUBSTITUTE(D58,".",""),"/",""),"-","")," ",""))&lt;&gt;14,"CNPJ INVALIDO","OK"))</f>
      </c>
      <c r="Y58" s="3056">
        <f>IF(A58="","",IF(R58="","REST PENDENTE","REST OK"))</f>
      </c>
      <c r="Z58" s="3056">
        <f>IF(A58="","",IF(AND(R58&lt;&gt;"",COUNTIFS($D$3:$D$164,D58,$R$3:$R$164,"&lt;&gt;")&gt;1),"DUPLICADO","OK"))</f>
      </c>
      <c r="AA58" s="3056">
        <f>IF(A58="","",IF(OR(LEN(Q58)&gt;180,LEN(R58)&gt;180,LEN(S58)&gt;180,LEN(T58)&gt;180),"CAMINHO LONGO","OK"))</f>
      </c>
      <c r="AB58" s="3056">
        <f>IF(A58="","",IF(U58="","",IFERROR(INT(U58-TODAY()),"")))</f>
      </c>
      <c r="AC58" s="3056">
        <f>IF(A58="","",IF(AND(T58="",U58=""),"",IF(T58="","SEM CAMINHO",IF(U58="","SEM DATA",IFERROR(IF(AB58&lt;15,"VERMELHO",IF(AB58&lt;=30,"AMARELO","VERDE")),"DATA INVALIDA")))))</f>
      </c>
      <c r="AD58" s="3056">
        <f>IF(OR(A58="",U58="",NOT(ISNUMBER(AB58))),"",RANK(AB58,$AB$3:$AB$164,1)+COUNTIFS($AB$3:AB58,AB58)-1)</f>
      </c>
      <c r="AE58" s="1736"/>
    </row>
    <row r="59" spans="1:19" ht="22.0" hidden="false" customHeight="true" x14ac:dyDescent="0.25">
      <c r="A59" s="3089" t="s">
        <v>145</v>
      </c>
      <c r="B59" s="3088" t="s">
        <v>142</v>
      </c>
      <c r="C59" s="3088" t="s">
        <v>62</v>
      </c>
      <c r="D59" s="3088">
        <v>60906391000130</v>
      </c>
      <c r="E59" s="3088"/>
      <c r="F59" s="3088" t="s">
        <v>144</v>
      </c>
      <c r="G59" s="3088" t="s">
        <v>4</v>
      </c>
      <c r="H59" s="3088" t="s">
        <v>49</v>
      </c>
      <c r="I59" s="3088"/>
      <c r="J59" s="3088"/>
      <c r="K59" s="3088"/>
      <c r="L59" s="3088"/>
      <c r="M59" s="3088" t="s">
        <v>385</v>
      </c>
      <c r="N59" s="3088"/>
      <c r="O59" s="3088" t="s">
        <v>351</v>
      </c>
      <c r="P59" s="3088"/>
      <c r="Q59" s="3091"/>
      <c r="R59" s="3091"/>
      <c r="S59" s="3091"/>
      <c r="T59" s="3091"/>
      <c r="U59" s="3092"/>
      <c r="V59" s="3088"/>
      <c r="W59" s="3088"/>
      <c r="X59" s="3056">
        <f>IF(A59="","",IF(LEN(SUBSTITUTE(SUBSTITUTE(SUBSTITUTE(SUBSTITUTE(D59,".",""),"/",""),"-","")," ",""))&lt;&gt;14,"CNPJ INVALIDO","OK"))</f>
      </c>
      <c r="Y59" s="3056">
        <f>IF(A59="","",IF(R59="","REST PENDENTE","REST OK"))</f>
      </c>
      <c r="Z59" s="3056">
        <f>IF(A59="","",IF(AND(R59&lt;&gt;"",COUNTIFS($D$3:$D$164,D59,$R$3:$R$164,"&lt;&gt;")&gt;1),"DUPLICADO","OK"))</f>
      </c>
      <c r="AA59" s="3056">
        <f>IF(A59="","",IF(OR(LEN(Q59)&gt;180,LEN(R59)&gt;180,LEN(S59)&gt;180,LEN(T59)&gt;180),"CAMINHO LONGO","OK"))</f>
      </c>
      <c r="AB59" s="3056">
        <f>IF(A59="","",IF(U59="","",IFERROR(INT(U59-TODAY()),"")))</f>
      </c>
      <c r="AC59" s="3056">
        <f>IF(A59="","",IF(AND(T59="",U59=""),"",IF(T59="","SEM CAMINHO",IF(U59="","SEM DATA",IFERROR(IF(AB59&lt;15,"VERMELHO",IF(AB59&lt;=30,"AMARELO","VERDE")),"DATA INVALIDA")))))</f>
      </c>
      <c r="AD59" s="3056">
        <f>IF(OR(A59="",U59="",NOT(ISNUMBER(AB59))),"",RANK(AB59,$AB$3:$AB$164,1)+COUNTIFS($AB$3:AB59,AB59)-1)</f>
      </c>
      <c r="AE59" s="1736"/>
    </row>
    <row r="60" spans="1:19" ht="22.0" hidden="false" customHeight="true" x14ac:dyDescent="0.25">
      <c r="A60" s="3094" t="s">
        <v>146</v>
      </c>
      <c r="B60" s="3093" t="s">
        <v>75</v>
      </c>
      <c r="C60" s="3093" t="s">
        <v>62</v>
      </c>
      <c r="D60" s="3093">
        <v>41762299000107</v>
      </c>
      <c r="E60" s="3093"/>
      <c r="F60" s="3093" t="s">
        <v>147</v>
      </c>
      <c r="G60" s="3093" t="s">
        <v>4</v>
      </c>
      <c r="H60" s="3093" t="s">
        <v>5</v>
      </c>
      <c r="I60" s="3093"/>
      <c r="J60" s="3093"/>
      <c r="K60" s="3093"/>
      <c r="L60" s="3093"/>
      <c r="M60" s="3093" t="s">
        <v>379</v>
      </c>
      <c r="N60" s="3093"/>
      <c r="O60" s="3093" t="s">
        <v>352</v>
      </c>
      <c r="P60" s="3093"/>
      <c r="Q60" s="3096"/>
      <c r="R60" s="3096"/>
      <c r="S60" s="3096"/>
      <c r="T60" s="3096"/>
      <c r="U60" s="3097"/>
      <c r="V60" s="3093"/>
      <c r="W60" s="3093"/>
      <c r="X60" s="3056">
        <f>IF(A60="","",IF(LEN(SUBSTITUTE(SUBSTITUTE(SUBSTITUTE(SUBSTITUTE(D60,".",""),"/",""),"-","")," ",""))&lt;&gt;14,"CNPJ INVALIDO","OK"))</f>
      </c>
      <c r="Y60" s="3056">
        <f>IF(A60="","",IF(R60="","REST PENDENTE","REST OK"))</f>
      </c>
      <c r="Z60" s="3056">
        <f>IF(A60="","",IF(AND(R60&lt;&gt;"",COUNTIFS($D$3:$D$164,D60,$R$3:$R$164,"&lt;&gt;")&gt;1),"DUPLICADO","OK"))</f>
      </c>
      <c r="AA60" s="3056">
        <f>IF(A60="","",IF(OR(LEN(Q60)&gt;180,LEN(R60)&gt;180,LEN(S60)&gt;180,LEN(T60)&gt;180),"CAMINHO LONGO","OK"))</f>
      </c>
      <c r="AB60" s="3056">
        <f>IF(A60="","",IF(U60="","",IFERROR(INT(U60-TODAY()),"")))</f>
      </c>
      <c r="AC60" s="3056">
        <f>IF(A60="","",IF(AND(T60="",U60=""),"",IF(T60="","SEM CAMINHO",IF(U60="","SEM DATA",IFERROR(IF(AB60&lt;15,"VERMELHO",IF(AB60&lt;=30,"AMARELO","VERDE")),"DATA INVALIDA")))))</f>
      </c>
      <c r="AD60" s="3056">
        <f>IF(OR(A60="",U60="",NOT(ISNUMBER(AB60))),"",RANK(AB60,$AB$3:$AB$164,1)+COUNTIFS($AB$3:AB60,AB60)-1)</f>
      </c>
      <c r="AE60" s="1736"/>
    </row>
    <row r="61" spans="1:19" ht="22.0" hidden="false" customHeight="true" x14ac:dyDescent="0.25">
      <c r="A61" s="3089" t="s">
        <v>148</v>
      </c>
      <c r="B61" s="3088" t="s">
        <v>149</v>
      </c>
      <c r="C61" s="3088" t="s">
        <v>59</v>
      </c>
      <c r="D61" s="3088">
        <v>52090662000101</v>
      </c>
      <c r="E61" s="3088"/>
      <c r="F61" s="3088" t="s">
        <v>150</v>
      </c>
      <c r="G61" s="3088" t="s">
        <v>4</v>
      </c>
      <c r="H61" s="3088" t="s">
        <v>5</v>
      </c>
      <c r="I61" s="3088"/>
      <c r="J61" s="3088"/>
      <c r="K61" s="3088"/>
      <c r="L61" s="3088"/>
      <c r="M61" s="3088" t="s">
        <v>379</v>
      </c>
      <c r="N61" s="3088"/>
      <c r="O61" s="3088" t="s">
        <v>351</v>
      </c>
      <c r="P61" s="3088"/>
      <c r="Q61" s="3091"/>
      <c r="R61" s="3091"/>
      <c r="S61" s="3091"/>
      <c r="T61" s="3091"/>
      <c r="U61" s="3092"/>
      <c r="V61" s="3088"/>
      <c r="W61" s="3088"/>
      <c r="X61" s="3056">
        <f>IF(A61="","",IF(LEN(SUBSTITUTE(SUBSTITUTE(SUBSTITUTE(SUBSTITUTE(D61,".",""),"/",""),"-","")," ",""))&lt;&gt;14,"CNPJ INVALIDO","OK"))</f>
      </c>
      <c r="Y61" s="3056">
        <f>IF(A61="","",IF(R61="","REST PENDENTE","REST OK"))</f>
      </c>
      <c r="Z61" s="3056">
        <f>IF(A61="","",IF(AND(R61&lt;&gt;"",COUNTIFS($D$3:$D$164,D61,$R$3:$R$164,"&lt;&gt;")&gt;1),"DUPLICADO","OK"))</f>
      </c>
      <c r="AA61" s="3056">
        <f>IF(A61="","",IF(OR(LEN(Q61)&gt;180,LEN(R61)&gt;180,LEN(S61)&gt;180,LEN(T61)&gt;180),"CAMINHO LONGO","OK"))</f>
      </c>
      <c r="AB61" s="3056">
        <f>IF(A61="","",IF(U61="","",IFERROR(INT(U61-TODAY()),"")))</f>
      </c>
      <c r="AC61" s="3056">
        <f>IF(A61="","",IF(AND(T61="",U61=""),"",IF(T61="","SEM CAMINHO",IF(U61="","SEM DATA",IFERROR(IF(AB61&lt;15,"VERMELHO",IF(AB61&lt;=30,"AMARELO","VERDE")),"DATA INVALIDA")))))</f>
      </c>
      <c r="AD61" s="3056">
        <f>IF(OR(A61="",U61="",NOT(ISNUMBER(AB61))),"",RANK(AB61,$AB$3:$AB$164,1)+COUNTIFS($AB$3:AB61,AB61)-1)</f>
      </c>
      <c r="AE61" s="1736"/>
    </row>
    <row r="62" spans="1:19" ht="22.0" hidden="false" customHeight="true" x14ac:dyDescent="0.25">
      <c r="A62" s="3094" t="s">
        <v>151</v>
      </c>
      <c r="B62" s="3093" t="s">
        <v>149</v>
      </c>
      <c r="C62" s="3093" t="s">
        <v>46</v>
      </c>
      <c r="D62" s="3093" t="s">
        <v>152</v>
      </c>
      <c r="E62" s="3093"/>
      <c r="F62" s="3093" t="s">
        <v>150</v>
      </c>
      <c r="G62" s="3093" t="s">
        <v>13</v>
      </c>
      <c r="H62" s="3093" t="s">
        <v>49</v>
      </c>
      <c r="I62" s="3093"/>
      <c r="J62" s="3093"/>
      <c r="K62" s="3093"/>
      <c r="L62" s="3093"/>
      <c r="M62" s="3093" t="s">
        <v>377</v>
      </c>
      <c r="N62" s="3093"/>
      <c r="O62" s="3093" t="s">
        <v>347</v>
      </c>
      <c r="P62" s="3093"/>
      <c r="Q62" s="3096"/>
      <c r="R62" s="3096"/>
      <c r="S62" s="3096"/>
      <c r="T62" s="3096"/>
      <c r="U62" s="3097"/>
      <c r="V62" s="3093"/>
      <c r="W62" s="3093"/>
      <c r="X62" s="3056">
        <f>IF(A62="","",IF(LEN(SUBSTITUTE(SUBSTITUTE(SUBSTITUTE(SUBSTITUTE(D62,".",""),"/",""),"-","")," ",""))&lt;&gt;14,"CNPJ INVALIDO","OK"))</f>
      </c>
      <c r="Y62" s="3056">
        <f>IF(A62="","",IF(R62="","REST PENDENTE","REST OK"))</f>
      </c>
      <c r="Z62" s="3056">
        <f>IF(A62="","",IF(AND(R62&lt;&gt;"",COUNTIFS($D$3:$D$164,D62,$R$3:$R$164,"&lt;&gt;")&gt;1),"DUPLICADO","OK"))</f>
      </c>
      <c r="AA62" s="3056">
        <f>IF(A62="","",IF(OR(LEN(Q62)&gt;180,LEN(R62)&gt;180,LEN(S62)&gt;180,LEN(T62)&gt;180),"CAMINHO LONGO","OK"))</f>
      </c>
      <c r="AB62" s="3056">
        <f>IF(A62="","",IF(U62="","",IFERROR(INT(U62-TODAY()),"")))</f>
      </c>
      <c r="AC62" s="3056">
        <f>IF(A62="","",IF(AND(T62="",U62=""),"",IF(T62="","SEM CAMINHO",IF(U62="","SEM DATA",IFERROR(IF(AB62&lt;15,"VERMELHO",IF(AB62&lt;=30,"AMARELO","VERDE")),"DATA INVALIDA")))))</f>
      </c>
      <c r="AD62" s="3056">
        <f>IF(OR(A62="",U62="",NOT(ISNUMBER(AB62))),"",RANK(AB62,$AB$3:$AB$164,1)+COUNTIFS($AB$3:AB62,AB62)-1)</f>
      </c>
      <c r="AE62" s="1736"/>
    </row>
    <row r="63" spans="1:19" ht="22.0" hidden="false" customHeight="true" x14ac:dyDescent="0.25">
      <c r="A63" s="3089" t="s">
        <v>153</v>
      </c>
      <c r="B63" s="3088" t="s">
        <v>149</v>
      </c>
      <c r="C63" s="3088" t="s">
        <v>46</v>
      </c>
      <c r="D63" s="3088" t="s">
        <v>154</v>
      </c>
      <c r="E63" s="3088"/>
      <c r="F63" s="3088" t="s">
        <v>150</v>
      </c>
      <c r="G63" s="3088" t="s">
        <v>13</v>
      </c>
      <c r="H63" s="3088" t="s">
        <v>49</v>
      </c>
      <c r="I63" s="3088"/>
      <c r="J63" s="3088"/>
      <c r="K63" s="3088"/>
      <c r="L63" s="3088"/>
      <c r="M63" s="3088" t="s">
        <v>377</v>
      </c>
      <c r="N63" s="3088"/>
      <c r="O63" s="3088" t="s">
        <v>347</v>
      </c>
      <c r="P63" s="3088"/>
      <c r="Q63" s="3091"/>
      <c r="R63" s="3091"/>
      <c r="S63" s="3091"/>
      <c r="T63" s="3091"/>
      <c r="U63" s="3092"/>
      <c r="V63" s="3088"/>
      <c r="W63" s="3088"/>
      <c r="X63" s="3056">
        <f>IF(A63="","",IF(LEN(SUBSTITUTE(SUBSTITUTE(SUBSTITUTE(SUBSTITUTE(D63,".",""),"/",""),"-","")," ",""))&lt;&gt;14,"CNPJ INVALIDO","OK"))</f>
      </c>
      <c r="Y63" s="3056">
        <f>IF(A63="","",IF(R63="","REST PENDENTE","REST OK"))</f>
      </c>
      <c r="Z63" s="3056">
        <f>IF(A63="","",IF(AND(R63&lt;&gt;"",COUNTIFS($D$3:$D$164,D63,$R$3:$R$164,"&lt;&gt;")&gt;1),"DUPLICADO","OK"))</f>
      </c>
      <c r="AA63" s="3056">
        <f>IF(A63="","",IF(OR(LEN(Q63)&gt;180,LEN(R63)&gt;180,LEN(S63)&gt;180,LEN(T63)&gt;180),"CAMINHO LONGO","OK"))</f>
      </c>
      <c r="AB63" s="3056">
        <f>IF(A63="","",IF(U63="","",IFERROR(INT(U63-TODAY()),"")))</f>
      </c>
      <c r="AC63" s="3056">
        <f>IF(A63="","",IF(AND(T63="",U63=""),"",IF(T63="","SEM CAMINHO",IF(U63="","SEM DATA",IFERROR(IF(AB63&lt;15,"VERMELHO",IF(AB63&lt;=30,"AMARELO","VERDE")),"DATA INVALIDA")))))</f>
      </c>
      <c r="AD63" s="3056">
        <f>IF(OR(A63="",U63="",NOT(ISNUMBER(AB63))),"",RANK(AB63,$AB$3:$AB$164,1)+COUNTIFS($AB$3:AB63,AB63)-1)</f>
      </c>
      <c r="AE63" s="1736"/>
    </row>
    <row r="64" spans="1:19" ht="22.0" hidden="false" customHeight="true" x14ac:dyDescent="0.25">
      <c r="A64" s="3094" t="s">
        <v>155</v>
      </c>
      <c r="B64" s="3093" t="s">
        <v>61</v>
      </c>
      <c r="C64" s="3093" t="s">
        <v>62</v>
      </c>
      <c r="D64" s="3093">
        <v>8587897000103</v>
      </c>
      <c r="E64" s="3093"/>
      <c r="F64" s="3093" t="s">
        <v>63</v>
      </c>
      <c r="G64" s="3093" t="s">
        <v>41</v>
      </c>
      <c r="H64" s="3093" t="s">
        <v>5</v>
      </c>
      <c r="I64" s="3093"/>
      <c r="J64" s="3093"/>
      <c r="K64" s="3093"/>
      <c r="L64" s="3093"/>
      <c r="M64" s="3093" t="s">
        <v>379</v>
      </c>
      <c r="N64" s="3093"/>
      <c r="O64" s="3093" t="s">
        <v>351</v>
      </c>
      <c r="P64" s="3093"/>
      <c r="Q64" s="3096"/>
      <c r="R64" s="3096"/>
      <c r="S64" s="3096"/>
      <c r="T64" s="3096"/>
      <c r="U64" s="3097"/>
      <c r="V64" s="3093"/>
      <c r="W64" s="3093"/>
      <c r="X64" s="3056">
        <f>IF(A64="","",IF(LEN(SUBSTITUTE(SUBSTITUTE(SUBSTITUTE(SUBSTITUTE(D64,".",""),"/",""),"-","")," ",""))&lt;&gt;14,"CNPJ INVALIDO","OK"))</f>
      </c>
      <c r="Y64" s="3056">
        <f>IF(A64="","",IF(R64="","REST PENDENTE","REST OK"))</f>
      </c>
      <c r="Z64" s="3056">
        <f>IF(A64="","",IF(AND(R64&lt;&gt;"",COUNTIFS($D$3:$D$164,D64,$R$3:$R$164,"&lt;&gt;")&gt;1),"DUPLICADO","OK"))</f>
      </c>
      <c r="AA64" s="3056">
        <f>IF(A64="","",IF(OR(LEN(Q64)&gt;180,LEN(R64)&gt;180,LEN(S64)&gt;180,LEN(T64)&gt;180),"CAMINHO LONGO","OK"))</f>
      </c>
      <c r="AB64" s="3056">
        <f>IF(A64="","",IF(U64="","",IFERROR(INT(U64-TODAY()),"")))</f>
      </c>
      <c r="AC64" s="3056">
        <f>IF(A64="","",IF(AND(T64="",U64=""),"",IF(T64="","SEM CAMINHO",IF(U64="","SEM DATA",IFERROR(IF(AB64&lt;15,"VERMELHO",IF(AB64&lt;=30,"AMARELO","VERDE")),"DATA INVALIDA")))))</f>
      </c>
      <c r="AD64" s="3056">
        <f>IF(OR(A64="",U64="",NOT(ISNUMBER(AB64))),"",RANK(AB64,$AB$3:$AB$164,1)+COUNTIFS($AB$3:AB64,AB64)-1)</f>
      </c>
      <c r="AE64" s="1736"/>
    </row>
    <row r="65" spans="1:19" ht="22.0" hidden="false" customHeight="true" x14ac:dyDescent="0.25">
      <c r="A65" s="3089" t="s">
        <v>156</v>
      </c>
      <c r="B65" s="3088" t="s">
        <v>61</v>
      </c>
      <c r="C65" s="3088" t="s">
        <v>62</v>
      </c>
      <c r="D65" s="3088">
        <v>17845713000159</v>
      </c>
      <c r="E65" s="3088"/>
      <c r="F65" s="3088" t="s">
        <v>63</v>
      </c>
      <c r="G65" s="3088" t="s">
        <v>41</v>
      </c>
      <c r="H65" s="3088" t="s">
        <v>5</v>
      </c>
      <c r="I65" s="3088"/>
      <c r="J65" s="3088"/>
      <c r="K65" s="3088"/>
      <c r="L65" s="3088"/>
      <c r="M65" s="3088" t="s">
        <v>379</v>
      </c>
      <c r="N65" s="3088"/>
      <c r="O65" s="3088" t="s">
        <v>351</v>
      </c>
      <c r="P65" s="3088"/>
      <c r="Q65" s="3091"/>
      <c r="R65" s="3091"/>
      <c r="S65" s="3091"/>
      <c r="T65" s="3091"/>
      <c r="U65" s="3092"/>
      <c r="V65" s="3088"/>
      <c r="W65" s="3088"/>
      <c r="X65" s="3056">
        <f>IF(A65="","",IF(LEN(SUBSTITUTE(SUBSTITUTE(SUBSTITUTE(SUBSTITUTE(D65,".",""),"/",""),"-","")," ",""))&lt;&gt;14,"CNPJ INVALIDO","OK"))</f>
      </c>
      <c r="Y65" s="3056">
        <f>IF(A65="","",IF(R65="","REST PENDENTE","REST OK"))</f>
      </c>
      <c r="Z65" s="3056">
        <f>IF(A65="","",IF(AND(R65&lt;&gt;"",COUNTIFS($D$3:$D$164,D65,$R$3:$R$164,"&lt;&gt;")&gt;1),"DUPLICADO","OK"))</f>
      </c>
      <c r="AA65" s="3056">
        <f>IF(A65="","",IF(OR(LEN(Q65)&gt;180,LEN(R65)&gt;180,LEN(S65)&gt;180,LEN(T65)&gt;180),"CAMINHO LONGO","OK"))</f>
      </c>
      <c r="AB65" s="3056">
        <f>IF(A65="","",IF(U65="","",IFERROR(INT(U65-TODAY()),"")))</f>
      </c>
      <c r="AC65" s="3056">
        <f>IF(A65="","",IF(AND(T65="",U65=""),"",IF(T65="","SEM CAMINHO",IF(U65="","SEM DATA",IFERROR(IF(AB65&lt;15,"VERMELHO",IF(AB65&lt;=30,"AMARELO","VERDE")),"DATA INVALIDA")))))</f>
      </c>
      <c r="AD65" s="3056">
        <f>IF(OR(A65="",U65="",NOT(ISNUMBER(AB65))),"",RANK(AB65,$AB$3:$AB$164,1)+COUNTIFS($AB$3:AB65,AB65)-1)</f>
      </c>
      <c r="AE65" s="1736"/>
    </row>
    <row r="66" spans="1:19" ht="22.0" hidden="false" customHeight="true" x14ac:dyDescent="0.25">
      <c r="A66" s="3094" t="s">
        <v>157</v>
      </c>
      <c r="B66" s="3093" t="s">
        <v>61</v>
      </c>
      <c r="C66" s="3093" t="s">
        <v>62</v>
      </c>
      <c r="D66" s="3093">
        <v>37646098000169</v>
      </c>
      <c r="E66" s="3093"/>
      <c r="F66" s="3093" t="s">
        <v>63</v>
      </c>
      <c r="G66" s="3093" t="s">
        <v>41</v>
      </c>
      <c r="H66" s="3093" t="s">
        <v>5</v>
      </c>
      <c r="I66" s="3093"/>
      <c r="J66" s="3093"/>
      <c r="K66" s="3093"/>
      <c r="L66" s="3093"/>
      <c r="M66" s="3093" t="s">
        <v>379</v>
      </c>
      <c r="N66" s="3093"/>
      <c r="O66" s="3093" t="s">
        <v>353</v>
      </c>
      <c r="P66" s="3093"/>
      <c r="Q66" s="3096"/>
      <c r="R66" s="3096"/>
      <c r="S66" s="3096"/>
      <c r="T66" s="3096"/>
      <c r="U66" s="3097"/>
      <c r="V66" s="3093"/>
      <c r="W66" s="3093"/>
      <c r="X66" s="3056">
        <f>IF(A66="","",IF(LEN(SUBSTITUTE(SUBSTITUTE(SUBSTITUTE(SUBSTITUTE(D66,".",""),"/",""),"-","")," ",""))&lt;&gt;14,"CNPJ INVALIDO","OK"))</f>
      </c>
      <c r="Y66" s="3056">
        <f>IF(A66="","",IF(R66="","REST PENDENTE","REST OK"))</f>
      </c>
      <c r="Z66" s="3056">
        <f>IF(A66="","",IF(AND(R66&lt;&gt;"",COUNTIFS($D$3:$D$164,D66,$R$3:$R$164,"&lt;&gt;")&gt;1),"DUPLICADO","OK"))</f>
      </c>
      <c r="AA66" s="3056">
        <f>IF(A66="","",IF(OR(LEN(Q66)&gt;180,LEN(R66)&gt;180,LEN(S66)&gt;180,LEN(T66)&gt;180),"CAMINHO LONGO","OK"))</f>
      </c>
      <c r="AB66" s="3056">
        <f>IF(A66="","",IF(U66="","",IFERROR(INT(U66-TODAY()),"")))</f>
      </c>
      <c r="AC66" s="3056">
        <f>IF(A66="","",IF(AND(T66="",U66=""),"",IF(T66="","SEM CAMINHO",IF(U66="","SEM DATA",IFERROR(IF(AB66&lt;15,"VERMELHO",IF(AB66&lt;=30,"AMARELO","VERDE")),"DATA INVALIDA")))))</f>
      </c>
      <c r="AD66" s="3056">
        <f>IF(OR(A66="",U66="",NOT(ISNUMBER(AB66))),"",RANK(AB66,$AB$3:$AB$164,1)+COUNTIFS($AB$3:AB66,AB66)-1)</f>
      </c>
      <c r="AE66" s="1736"/>
    </row>
    <row r="67" spans="1:19" ht="22.0" hidden="false" customHeight="true" x14ac:dyDescent="0.25">
      <c r="A67" s="3089" t="s">
        <v>158</v>
      </c>
      <c r="B67" s="3088" t="s">
        <v>159</v>
      </c>
      <c r="C67" s="3088" t="s">
        <v>62</v>
      </c>
      <c r="D67" s="3088">
        <v>44470328000147</v>
      </c>
      <c r="E67" s="3088"/>
      <c r="F67" s="3088" t="s">
        <v>160</v>
      </c>
      <c r="G67" s="3088" t="s">
        <v>4</v>
      </c>
      <c r="H67" s="3088" t="s">
        <v>5</v>
      </c>
      <c r="I67" s="3088"/>
      <c r="J67" s="3088"/>
      <c r="K67" s="3088"/>
      <c r="L67" s="3088"/>
      <c r="M67" s="3088" t="s">
        <v>377</v>
      </c>
      <c r="N67" s="3088"/>
      <c r="O67" s="3088" t="s">
        <v>347</v>
      </c>
      <c r="P67" s="3088"/>
      <c r="Q67" s="3091"/>
      <c r="R67" s="3091"/>
      <c r="S67" s="3091"/>
      <c r="T67" s="3091"/>
      <c r="U67" s="3092"/>
      <c r="V67" s="3088"/>
      <c r="W67" s="3088"/>
      <c r="X67" s="3056">
        <f>IF(A67="","",IF(LEN(SUBSTITUTE(SUBSTITUTE(SUBSTITUTE(SUBSTITUTE(D67,".",""),"/",""),"-","")," ",""))&lt;&gt;14,"CNPJ INVALIDO","OK"))</f>
      </c>
      <c r="Y67" s="3056">
        <f>IF(A67="","",IF(R67="","REST PENDENTE","REST OK"))</f>
      </c>
      <c r="Z67" s="3056">
        <f>IF(A67="","",IF(AND(R67&lt;&gt;"",COUNTIFS($D$3:$D$164,D67,$R$3:$R$164,"&lt;&gt;")&gt;1),"DUPLICADO","OK"))</f>
      </c>
      <c r="AA67" s="3056">
        <f>IF(A67="","",IF(OR(LEN(Q67)&gt;180,LEN(R67)&gt;180,LEN(S67)&gt;180,LEN(T67)&gt;180),"CAMINHO LONGO","OK"))</f>
      </c>
      <c r="AB67" s="3056">
        <f>IF(A67="","",IF(U67="","",IFERROR(INT(U67-TODAY()),"")))</f>
      </c>
      <c r="AC67" s="3056">
        <f>IF(A67="","",IF(AND(T67="",U67=""),"",IF(T67="","SEM CAMINHO",IF(U67="","SEM DATA",IFERROR(IF(AB67&lt;15,"VERMELHO",IF(AB67&lt;=30,"AMARELO","VERDE")),"DATA INVALIDA")))))</f>
      </c>
      <c r="AD67" s="3056">
        <f>IF(OR(A67="",U67="",NOT(ISNUMBER(AB67))),"",RANK(AB67,$AB$3:$AB$164,1)+COUNTIFS($AB$3:AB67,AB67)-1)</f>
      </c>
      <c r="AE67" s="1736"/>
    </row>
    <row r="68" spans="1:19" ht="22.0" hidden="false" customHeight="true" x14ac:dyDescent="0.25">
      <c r="A68" s="3094" t="s">
        <v>161</v>
      </c>
      <c r="B68" s="3093" t="s">
        <v>162</v>
      </c>
      <c r="C68" s="3093" t="s">
        <v>163</v>
      </c>
      <c r="D68" s="3093" t="s">
        <v>164</v>
      </c>
      <c r="E68" s="3093"/>
      <c r="F68" s="3093"/>
      <c r="G68" s="3093" t="s">
        <v>41</v>
      </c>
      <c r="H68" s="3093" t="s">
        <v>14</v>
      </c>
      <c r="I68" s="3093"/>
      <c r="J68" s="3093"/>
      <c r="K68" s="3093"/>
      <c r="L68" s="3093"/>
      <c r="M68" s="3093" t="s">
        <v>385</v>
      </c>
      <c r="N68" s="3093" t="s">
        <v>362</v>
      </c>
      <c r="O68" s="3093" t="s">
        <v>362</v>
      </c>
      <c r="P68" s="3093"/>
      <c r="Q68" s="3096"/>
      <c r="R68" s="3096"/>
      <c r="S68" s="3096"/>
      <c r="T68" s="3096"/>
      <c r="U68" s="3097"/>
      <c r="V68" s="3093"/>
      <c r="W68" s="3093"/>
      <c r="X68" s="3056">
        <f>IF(A68="","",IF(LEN(SUBSTITUTE(SUBSTITUTE(SUBSTITUTE(SUBSTITUTE(D68,".",""),"/",""),"-","")," ",""))&lt;&gt;14,"CNPJ INVALIDO","OK"))</f>
      </c>
      <c r="Y68" s="3056">
        <f>IF(A68="","",IF(R68="","REST PENDENTE","REST OK"))</f>
      </c>
      <c r="Z68" s="3056">
        <f>IF(A68="","",IF(AND(R68&lt;&gt;"",COUNTIFS($D$3:$D$164,D68,$R$3:$R$164,"&lt;&gt;")&gt;1),"DUPLICADO","OK"))</f>
      </c>
      <c r="AA68" s="3056">
        <f>IF(A68="","",IF(OR(LEN(Q68)&gt;180,LEN(R68)&gt;180,LEN(S68)&gt;180,LEN(T68)&gt;180),"CAMINHO LONGO","OK"))</f>
      </c>
      <c r="AB68" s="3056">
        <f>IF(A68="","",IF(U68="","",IFERROR(INT(U68-TODAY()),"")))</f>
      </c>
      <c r="AC68" s="3056">
        <f>IF(A68="","",IF(AND(T68="",U68=""),"",IF(T68="","SEM CAMINHO",IF(U68="","SEM DATA",IFERROR(IF(AB68&lt;15,"VERMELHO",IF(AB68&lt;=30,"AMARELO","VERDE")),"DATA INVALIDA")))))</f>
      </c>
      <c r="AD68" s="3056">
        <f>IF(OR(A68="",U68="",NOT(ISNUMBER(AB68))),"",RANK(AB68,$AB$3:$AB$164,1)+COUNTIFS($AB$3:AB68,AB68)-1)</f>
      </c>
      <c r="AE68" s="1736"/>
    </row>
    <row r="69" spans="1:19" ht="22.0" hidden="false" customHeight="true" x14ac:dyDescent="0.25">
      <c r="A69" s="3089" t="s">
        <v>165</v>
      </c>
      <c r="B69" s="3088" t="s">
        <v>162</v>
      </c>
      <c r="C69" s="3088" t="s">
        <v>163</v>
      </c>
      <c r="D69" s="3088" t="s">
        <v>166</v>
      </c>
      <c r="E69" s="3088"/>
      <c r="F69" s="3088" t="s">
        <v>167</v>
      </c>
      <c r="G69" s="3088" t="s">
        <v>13</v>
      </c>
      <c r="H69" s="3088" t="s">
        <v>14</v>
      </c>
      <c r="I69" s="3088"/>
      <c r="J69" s="3088"/>
      <c r="K69" s="3088"/>
      <c r="L69" s="3088"/>
      <c r="M69" s="3088" t="s">
        <v>385</v>
      </c>
      <c r="N69" s="3088" t="s">
        <v>362</v>
      </c>
      <c r="O69" s="3088" t="s">
        <v>362</v>
      </c>
      <c r="P69" s="3088"/>
      <c r="Q69" s="3091"/>
      <c r="R69" s="3091"/>
      <c r="S69" s="3091"/>
      <c r="T69" s="3091"/>
      <c r="U69" s="3092"/>
      <c r="V69" s="3088"/>
      <c r="W69" s="3088"/>
      <c r="X69" s="3056">
        <f>IF(A69="","",IF(LEN(SUBSTITUTE(SUBSTITUTE(SUBSTITUTE(SUBSTITUTE(D69,".",""),"/",""),"-","")," ",""))&lt;&gt;14,"CNPJ INVALIDO","OK"))</f>
      </c>
      <c r="Y69" s="3056">
        <f>IF(A69="","",IF(R69="","REST PENDENTE","REST OK"))</f>
      </c>
      <c r="Z69" s="3056">
        <f>IF(A69="","",IF(AND(R69&lt;&gt;"",COUNTIFS($D$3:$D$164,D69,$R$3:$R$164,"&lt;&gt;")&gt;1),"DUPLICADO","OK"))</f>
      </c>
      <c r="AA69" s="3056">
        <f>IF(A69="","",IF(OR(LEN(Q69)&gt;180,LEN(R69)&gt;180,LEN(S69)&gt;180,LEN(T69)&gt;180),"CAMINHO LONGO","OK"))</f>
      </c>
      <c r="AB69" s="3056">
        <f>IF(A69="","",IF(U69="","",IFERROR(INT(U69-TODAY()),"")))</f>
      </c>
      <c r="AC69" s="3056">
        <f>IF(A69="","",IF(AND(T69="",U69=""),"",IF(T69="","SEM CAMINHO",IF(U69="","SEM DATA",IFERROR(IF(AB69&lt;15,"VERMELHO",IF(AB69&lt;=30,"AMARELO","VERDE")),"DATA INVALIDA")))))</f>
      </c>
      <c r="AD69" s="3056">
        <f>IF(OR(A69="",U69="",NOT(ISNUMBER(AB69))),"",RANK(AB69,$AB$3:$AB$164,1)+COUNTIFS($AB$3:AB69,AB69)-1)</f>
      </c>
      <c r="AE69" s="1736"/>
    </row>
    <row r="70" spans="1:19" ht="22.0" hidden="false" customHeight="true" x14ac:dyDescent="0.25">
      <c r="A70" s="3094" t="s">
        <v>168</v>
      </c>
      <c r="B70" s="3093" t="s">
        <v>162</v>
      </c>
      <c r="C70" s="3093" t="s">
        <v>163</v>
      </c>
      <c r="D70" s="3093" t="s">
        <v>169</v>
      </c>
      <c r="E70" s="3093"/>
      <c r="F70" s="3093" t="s">
        <v>167</v>
      </c>
      <c r="G70" s="3093" t="s">
        <v>13</v>
      </c>
      <c r="H70" s="3093" t="s">
        <v>14</v>
      </c>
      <c r="I70" s="3093"/>
      <c r="J70" s="3093"/>
      <c r="K70" s="3093"/>
      <c r="L70" s="3093"/>
      <c r="M70" s="3093" t="s">
        <v>385</v>
      </c>
      <c r="N70" s="3093" t="s">
        <v>362</v>
      </c>
      <c r="O70" s="3093" t="s">
        <v>362</v>
      </c>
      <c r="P70" s="3093"/>
      <c r="Q70" s="3096"/>
      <c r="R70" s="3096"/>
      <c r="S70" s="3096"/>
      <c r="T70" s="3096"/>
      <c r="U70" s="3097"/>
      <c r="V70" s="3093"/>
      <c r="W70" s="3093"/>
      <c r="X70" s="3056">
        <f>IF(A70="","",IF(LEN(SUBSTITUTE(SUBSTITUTE(SUBSTITUTE(SUBSTITUTE(D70,".",""),"/",""),"-","")," ",""))&lt;&gt;14,"CNPJ INVALIDO","OK"))</f>
      </c>
      <c r="Y70" s="3056">
        <f>IF(A70="","",IF(R70="","REST PENDENTE","REST OK"))</f>
      </c>
      <c r="Z70" s="3056">
        <f>IF(A70="","",IF(AND(R70&lt;&gt;"",COUNTIFS($D$3:$D$164,D70,$R$3:$R$164,"&lt;&gt;")&gt;1),"DUPLICADO","OK"))</f>
      </c>
      <c r="AA70" s="3056">
        <f>IF(A70="","",IF(OR(LEN(Q70)&gt;180,LEN(R70)&gt;180,LEN(S70)&gt;180,LEN(T70)&gt;180),"CAMINHO LONGO","OK"))</f>
      </c>
      <c r="AB70" s="3056">
        <f>IF(A70="","",IF(U70="","",IFERROR(INT(U70-TODAY()),"")))</f>
      </c>
      <c r="AC70" s="3056">
        <f>IF(A70="","",IF(AND(T70="",U70=""),"",IF(T70="","SEM CAMINHO",IF(U70="","SEM DATA",IFERROR(IF(AB70&lt;15,"VERMELHO",IF(AB70&lt;=30,"AMARELO","VERDE")),"DATA INVALIDA")))))</f>
      </c>
      <c r="AD70" s="3056">
        <f>IF(OR(A70="",U70="",NOT(ISNUMBER(AB70))),"",RANK(AB70,$AB$3:$AB$164,1)+COUNTIFS($AB$3:AB70,AB70)-1)</f>
      </c>
      <c r="AE70" s="1736"/>
    </row>
    <row r="71" spans="1:19" ht="22.0" hidden="false" customHeight="true" x14ac:dyDescent="0.25">
      <c r="A71" s="3089" t="s">
        <v>170</v>
      </c>
      <c r="B71" s="3088" t="s">
        <v>162</v>
      </c>
      <c r="C71" s="3088" t="s">
        <v>163</v>
      </c>
      <c r="D71" s="3088" t="s">
        <v>171</v>
      </c>
      <c r="E71" s="3088"/>
      <c r="F71" s="3088" t="s">
        <v>167</v>
      </c>
      <c r="G71" s="3088" t="s">
        <v>13</v>
      </c>
      <c r="H71" s="3088" t="s">
        <v>14</v>
      </c>
      <c r="I71" s="3088"/>
      <c r="J71" s="3088"/>
      <c r="K71" s="3088"/>
      <c r="L71" s="3088"/>
      <c r="M71" s="3088" t="s">
        <v>385</v>
      </c>
      <c r="N71" s="3088" t="s">
        <v>362</v>
      </c>
      <c r="O71" s="3088" t="s">
        <v>362</v>
      </c>
      <c r="P71" s="3088"/>
      <c r="Q71" s="3091"/>
      <c r="R71" s="3091"/>
      <c r="S71" s="3091"/>
      <c r="T71" s="3091"/>
      <c r="U71" s="3092"/>
      <c r="V71" s="3088"/>
      <c r="W71" s="3088"/>
      <c r="X71" s="3056">
        <f>IF(A71="","",IF(LEN(SUBSTITUTE(SUBSTITUTE(SUBSTITUTE(SUBSTITUTE(D71,".",""),"/",""),"-","")," ",""))&lt;&gt;14,"CNPJ INVALIDO","OK"))</f>
      </c>
      <c r="Y71" s="3056">
        <f>IF(A71="","",IF(R71="","REST PENDENTE","REST OK"))</f>
      </c>
      <c r="Z71" s="3056">
        <f>IF(A71="","",IF(AND(R71&lt;&gt;"",COUNTIFS($D$3:$D$164,D71,$R$3:$R$164,"&lt;&gt;")&gt;1),"DUPLICADO","OK"))</f>
      </c>
      <c r="AA71" s="3056">
        <f>IF(A71="","",IF(OR(LEN(Q71)&gt;180,LEN(R71)&gt;180,LEN(S71)&gt;180,LEN(T71)&gt;180),"CAMINHO LONGO","OK"))</f>
      </c>
      <c r="AB71" s="3056">
        <f>IF(A71="","",IF(U71="","",IFERROR(INT(U71-TODAY()),"")))</f>
      </c>
      <c r="AC71" s="3056">
        <f>IF(A71="","",IF(AND(T71="",U71=""),"",IF(T71="","SEM CAMINHO",IF(U71="","SEM DATA",IFERROR(IF(AB71&lt;15,"VERMELHO",IF(AB71&lt;=30,"AMARELO","VERDE")),"DATA INVALIDA")))))</f>
      </c>
      <c r="AD71" s="3056">
        <f>IF(OR(A71="",U71="",NOT(ISNUMBER(AB71))),"",RANK(AB71,$AB$3:$AB$164,1)+COUNTIFS($AB$3:AB71,AB71)-1)</f>
      </c>
      <c r="AE71" s="1736"/>
    </row>
    <row r="72" spans="1:19" ht="22.0" hidden="false" customHeight="true" x14ac:dyDescent="0.25">
      <c r="A72" s="3094" t="s">
        <v>172</v>
      </c>
      <c r="B72" s="3093" t="s">
        <v>162</v>
      </c>
      <c r="C72" s="3093" t="s">
        <v>163</v>
      </c>
      <c r="D72" s="3093" t="s">
        <v>173</v>
      </c>
      <c r="E72" s="3093"/>
      <c r="F72" s="3093" t="s">
        <v>167</v>
      </c>
      <c r="G72" s="3093" t="s">
        <v>13</v>
      </c>
      <c r="H72" s="3093" t="s">
        <v>14</v>
      </c>
      <c r="I72" s="3093"/>
      <c r="J72" s="3093"/>
      <c r="K72" s="3093"/>
      <c r="L72" s="3093"/>
      <c r="M72" s="3093" t="s">
        <v>385</v>
      </c>
      <c r="N72" s="3093" t="s">
        <v>362</v>
      </c>
      <c r="O72" s="3093" t="s">
        <v>362</v>
      </c>
      <c r="P72" s="3093"/>
      <c r="Q72" s="3096"/>
      <c r="R72" s="3096"/>
      <c r="S72" s="3096"/>
      <c r="T72" s="3096"/>
      <c r="U72" s="3097"/>
      <c r="V72" s="3093"/>
      <c r="W72" s="3093"/>
      <c r="X72" s="3056">
        <f>IF(A72="","",IF(LEN(SUBSTITUTE(SUBSTITUTE(SUBSTITUTE(SUBSTITUTE(D72,".",""),"/",""),"-","")," ",""))&lt;&gt;14,"CNPJ INVALIDO","OK"))</f>
      </c>
      <c r="Y72" s="3056">
        <f>IF(A72="","",IF(R72="","REST PENDENTE","REST OK"))</f>
      </c>
      <c r="Z72" s="3056">
        <f>IF(A72="","",IF(AND(R72&lt;&gt;"",COUNTIFS($D$3:$D$164,D72,$R$3:$R$164,"&lt;&gt;")&gt;1),"DUPLICADO","OK"))</f>
      </c>
      <c r="AA72" s="3056">
        <f>IF(A72="","",IF(OR(LEN(Q72)&gt;180,LEN(R72)&gt;180,LEN(S72)&gt;180,LEN(T72)&gt;180),"CAMINHO LONGO","OK"))</f>
      </c>
      <c r="AB72" s="3056">
        <f>IF(A72="","",IF(U72="","",IFERROR(INT(U72-TODAY()),"")))</f>
      </c>
      <c r="AC72" s="3056">
        <f>IF(A72="","",IF(AND(T72="",U72=""),"",IF(T72="","SEM CAMINHO",IF(U72="","SEM DATA",IFERROR(IF(AB72&lt;15,"VERMELHO",IF(AB72&lt;=30,"AMARELO","VERDE")),"DATA INVALIDA")))))</f>
      </c>
      <c r="AD72" s="3056">
        <f>IF(OR(A72="",U72="",NOT(ISNUMBER(AB72))),"",RANK(AB72,$AB$3:$AB$164,1)+COUNTIFS($AB$3:AB72,AB72)-1)</f>
      </c>
      <c r="AE72" s="1736"/>
    </row>
    <row r="73" spans="1:19" ht="22.0" hidden="false" customHeight="true" x14ac:dyDescent="0.25">
      <c r="A73" s="3089" t="s">
        <v>174</v>
      </c>
      <c r="B73" s="3088" t="s">
        <v>162</v>
      </c>
      <c r="C73" s="3088" t="s">
        <v>163</v>
      </c>
      <c r="D73" s="3088" t="s">
        <v>175</v>
      </c>
      <c r="E73" s="3088"/>
      <c r="F73" s="3088" t="s">
        <v>167</v>
      </c>
      <c r="G73" s="3088" t="s">
        <v>13</v>
      </c>
      <c r="H73" s="3088" t="s">
        <v>14</v>
      </c>
      <c r="I73" s="3088"/>
      <c r="J73" s="3088"/>
      <c r="K73" s="3088"/>
      <c r="L73" s="3088"/>
      <c r="M73" s="3088" t="s">
        <v>385</v>
      </c>
      <c r="N73" s="3088" t="s">
        <v>362</v>
      </c>
      <c r="O73" s="3088" t="s">
        <v>362</v>
      </c>
      <c r="P73" s="3088"/>
      <c r="Q73" s="3091"/>
      <c r="R73" s="3091"/>
      <c r="S73" s="3091"/>
      <c r="T73" s="3091"/>
      <c r="U73" s="3092"/>
      <c r="V73" s="3088"/>
      <c r="W73" s="3088"/>
      <c r="X73" s="3056">
        <f>IF(A73="","",IF(LEN(SUBSTITUTE(SUBSTITUTE(SUBSTITUTE(SUBSTITUTE(D73,".",""),"/",""),"-","")," ",""))&lt;&gt;14,"CNPJ INVALIDO","OK"))</f>
      </c>
      <c r="Y73" s="3056">
        <f>IF(A73="","",IF(R73="","REST PENDENTE","REST OK"))</f>
      </c>
      <c r="Z73" s="3056">
        <f>IF(A73="","",IF(AND(R73&lt;&gt;"",COUNTIFS($D$3:$D$164,D73,$R$3:$R$164,"&lt;&gt;")&gt;1),"DUPLICADO","OK"))</f>
      </c>
      <c r="AA73" s="3056">
        <f>IF(A73="","",IF(OR(LEN(Q73)&gt;180,LEN(R73)&gt;180,LEN(S73)&gt;180,LEN(T73)&gt;180),"CAMINHO LONGO","OK"))</f>
      </c>
      <c r="AB73" s="3056">
        <f>IF(A73="","",IF(U73="","",IFERROR(INT(U73-TODAY()),"")))</f>
      </c>
      <c r="AC73" s="3056">
        <f>IF(A73="","",IF(AND(T73="",U73=""),"",IF(T73="","SEM CAMINHO",IF(U73="","SEM DATA",IFERROR(IF(AB73&lt;15,"VERMELHO",IF(AB73&lt;=30,"AMARELO","VERDE")),"DATA INVALIDA")))))</f>
      </c>
      <c r="AD73" s="3056">
        <f>IF(OR(A73="",U73="",NOT(ISNUMBER(AB73))),"",RANK(AB73,$AB$3:$AB$164,1)+COUNTIFS($AB$3:AB73,AB73)-1)</f>
      </c>
      <c r="AE73" s="1736"/>
    </row>
    <row r="74" spans="1:19" ht="22.0" hidden="false" customHeight="true" x14ac:dyDescent="0.25">
      <c r="A74" s="3094" t="s">
        <v>176</v>
      </c>
      <c r="B74" s="3093" t="s">
        <v>162</v>
      </c>
      <c r="C74" s="3093" t="s">
        <v>163</v>
      </c>
      <c r="D74" s="3093" t="s">
        <v>177</v>
      </c>
      <c r="E74" s="3093"/>
      <c r="F74" s="3093"/>
      <c r="G74" s="3093" t="s">
        <v>4</v>
      </c>
      <c r="H74" s="3093" t="s">
        <v>14</v>
      </c>
      <c r="I74" s="3093"/>
      <c r="J74" s="3093"/>
      <c r="K74" s="3093"/>
      <c r="L74" s="3093"/>
      <c r="M74" s="3093" t="s">
        <v>385</v>
      </c>
      <c r="N74" s="3093" t="s">
        <v>362</v>
      </c>
      <c r="O74" s="3093" t="s">
        <v>350</v>
      </c>
      <c r="P74" s="3093"/>
      <c r="Q74" s="3096"/>
      <c r="R74" s="3096"/>
      <c r="S74" s="3096"/>
      <c r="T74" s="3096"/>
      <c r="U74" s="3097"/>
      <c r="V74" s="3093"/>
      <c r="W74" s="3093"/>
      <c r="X74" s="3056">
        <f>IF(A74="","",IF(LEN(SUBSTITUTE(SUBSTITUTE(SUBSTITUTE(SUBSTITUTE(D74,".",""),"/",""),"-","")," ",""))&lt;&gt;14,"CNPJ INVALIDO","OK"))</f>
      </c>
      <c r="Y74" s="3056">
        <f>IF(A74="","",IF(R74="","REST PENDENTE","REST OK"))</f>
      </c>
      <c r="Z74" s="3056">
        <f>IF(A74="","",IF(AND(R74&lt;&gt;"",COUNTIFS($D$3:$D$164,D74,$R$3:$R$164,"&lt;&gt;")&gt;1),"DUPLICADO","OK"))</f>
      </c>
      <c r="AA74" s="3056">
        <f>IF(A74="","",IF(OR(LEN(Q74)&gt;180,LEN(R74)&gt;180,LEN(S74)&gt;180,LEN(T74)&gt;180),"CAMINHO LONGO","OK"))</f>
      </c>
      <c r="AB74" s="3056">
        <f>IF(A74="","",IF(U74="","",IFERROR(INT(U74-TODAY()),"")))</f>
      </c>
      <c r="AC74" s="3056">
        <f>IF(A74="","",IF(AND(T74="",U74=""),"",IF(T74="","SEM CAMINHO",IF(U74="","SEM DATA",IFERROR(IF(AB74&lt;15,"VERMELHO",IF(AB74&lt;=30,"AMARELO","VERDE")),"DATA INVALIDA")))))</f>
      </c>
      <c r="AD74" s="3056">
        <f>IF(OR(A74="",U74="",NOT(ISNUMBER(AB74))),"",RANK(AB74,$AB$3:$AB$164,1)+COUNTIFS($AB$3:AB74,AB74)-1)</f>
      </c>
      <c r="AE74" s="1736"/>
    </row>
    <row r="75" spans="1:19" ht="22.0" hidden="false" customHeight="true" x14ac:dyDescent="0.25">
      <c r="A75" s="3089" t="s">
        <v>178</v>
      </c>
      <c r="B75" s="3088" t="s">
        <v>162</v>
      </c>
      <c r="C75" s="3088" t="s">
        <v>163</v>
      </c>
      <c r="D75" s="3088" t="s">
        <v>179</v>
      </c>
      <c r="E75" s="3088"/>
      <c r="F75" s="3088"/>
      <c r="G75" s="3088" t="s">
        <v>4</v>
      </c>
      <c r="H75" s="3088" t="s">
        <v>14</v>
      </c>
      <c r="I75" s="3088"/>
      <c r="J75" s="3088"/>
      <c r="K75" s="3088"/>
      <c r="L75" s="3088"/>
      <c r="M75" s="3088" t="s">
        <v>385</v>
      </c>
      <c r="N75" s="3088" t="s">
        <v>362</v>
      </c>
      <c r="O75" s="3088" t="s">
        <v>350</v>
      </c>
      <c r="P75" s="3088"/>
      <c r="Q75" s="3091"/>
      <c r="R75" s="3091"/>
      <c r="S75" s="3091"/>
      <c r="T75" s="3091"/>
      <c r="U75" s="3092"/>
      <c r="V75" s="3088"/>
      <c r="W75" s="3088"/>
      <c r="X75" s="3056">
        <f>IF(A75="","",IF(LEN(SUBSTITUTE(SUBSTITUTE(SUBSTITUTE(SUBSTITUTE(D75,".",""),"/",""),"-","")," ",""))&lt;&gt;14,"CNPJ INVALIDO","OK"))</f>
      </c>
      <c r="Y75" s="3056">
        <f>IF(A75="","",IF(R75="","REST PENDENTE","REST OK"))</f>
      </c>
      <c r="Z75" s="3056">
        <f>IF(A75="","",IF(AND(R75&lt;&gt;"",COUNTIFS($D$3:$D$164,D75,$R$3:$R$164,"&lt;&gt;")&gt;1),"DUPLICADO","OK"))</f>
      </c>
      <c r="AA75" s="3056">
        <f>IF(A75="","",IF(OR(LEN(Q75)&gt;180,LEN(R75)&gt;180,LEN(S75)&gt;180,LEN(T75)&gt;180),"CAMINHO LONGO","OK"))</f>
      </c>
      <c r="AB75" s="3056">
        <f>IF(A75="","",IF(U75="","",IFERROR(INT(U75-TODAY()),"")))</f>
      </c>
      <c r="AC75" s="3056">
        <f>IF(A75="","",IF(AND(T75="",U75=""),"",IF(T75="","SEM CAMINHO",IF(U75="","SEM DATA",IFERROR(IF(AB75&lt;15,"VERMELHO",IF(AB75&lt;=30,"AMARELO","VERDE")),"DATA INVALIDA")))))</f>
      </c>
      <c r="AD75" s="3056">
        <f>IF(OR(A75="",U75="",NOT(ISNUMBER(AB75))),"",RANK(AB75,$AB$3:$AB$164,1)+COUNTIFS($AB$3:AB75,AB75)-1)</f>
      </c>
      <c r="AE75" s="1736"/>
    </row>
    <row r="76" spans="1:19" ht="22.0" hidden="false" customHeight="true" x14ac:dyDescent="0.25">
      <c r="A76" s="3094" t="s">
        <v>180</v>
      </c>
      <c r="B76" s="3093" t="s">
        <v>9</v>
      </c>
      <c r="C76" s="3093" t="s">
        <v>24</v>
      </c>
      <c r="D76" s="3093">
        <v>10977876000146</v>
      </c>
      <c r="E76" s="3093"/>
      <c r="F76" s="3093" t="s">
        <v>12</v>
      </c>
      <c r="G76" s="3093" t="s">
        <v>4</v>
      </c>
      <c r="H76" s="3093" t="s">
        <v>5</v>
      </c>
      <c r="I76" s="3093"/>
      <c r="J76" s="3093"/>
      <c r="K76" s="3093"/>
      <c r="L76" s="3093"/>
      <c r="M76" s="3093" t="s">
        <v>385</v>
      </c>
      <c r="N76" s="3093"/>
      <c r="O76" s="3093" t="s">
        <v>351</v>
      </c>
      <c r="P76" s="3093"/>
      <c r="Q76" s="3096"/>
      <c r="R76" s="3096"/>
      <c r="S76" s="3096"/>
      <c r="T76" s="3096"/>
      <c r="U76" s="3097"/>
      <c r="V76" s="3093"/>
      <c r="W76" s="3093"/>
      <c r="X76" s="3056">
        <f>IF(A76="","",IF(LEN(SUBSTITUTE(SUBSTITUTE(SUBSTITUTE(SUBSTITUTE(D76,".",""),"/",""),"-","")," ",""))&lt;&gt;14,"CNPJ INVALIDO","OK"))</f>
      </c>
      <c r="Y76" s="3056">
        <f>IF(A76="","",IF(R76="","REST PENDENTE","REST OK"))</f>
      </c>
      <c r="Z76" s="3056">
        <f>IF(A76="","",IF(AND(R76&lt;&gt;"",COUNTIFS($D$3:$D$164,D76,$R$3:$R$164,"&lt;&gt;")&gt;1),"DUPLICADO","OK"))</f>
      </c>
      <c r="AA76" s="3056">
        <f>IF(A76="","",IF(OR(LEN(Q76)&gt;180,LEN(R76)&gt;180,LEN(S76)&gt;180,LEN(T76)&gt;180),"CAMINHO LONGO","OK"))</f>
      </c>
      <c r="AB76" s="3056">
        <f>IF(A76="","",IF(U76="","",IFERROR(INT(U76-TODAY()),"")))</f>
      </c>
      <c r="AC76" s="3056">
        <f>IF(A76="","",IF(AND(T76="",U76=""),"",IF(T76="","SEM CAMINHO",IF(U76="","SEM DATA",IFERROR(IF(AB76&lt;15,"VERMELHO",IF(AB76&lt;=30,"AMARELO","VERDE")),"DATA INVALIDA")))))</f>
      </c>
      <c r="AD76" s="3056">
        <f>IF(OR(A76="",U76="",NOT(ISNUMBER(AB76))),"",RANK(AB76,$AB$3:$AB$164,1)+COUNTIFS($AB$3:AB76,AB76)-1)</f>
      </c>
      <c r="AE76" s="1736"/>
    </row>
    <row r="77" spans="1:19" ht="22.0" hidden="false" customHeight="true" x14ac:dyDescent="0.25">
      <c r="A77" s="3089" t="s">
        <v>181</v>
      </c>
      <c r="B77" s="3088" t="s">
        <v>182</v>
      </c>
      <c r="C77" s="3088" t="s">
        <v>79</v>
      </c>
      <c r="D77" s="3088" t="s">
        <v>183</v>
      </c>
      <c r="E77" s="3088"/>
      <c r="F77" s="3088" t="s">
        <v>184</v>
      </c>
      <c r="G77" s="3088" t="s">
        <v>13</v>
      </c>
      <c r="H77" s="3088" t="s">
        <v>5</v>
      </c>
      <c r="I77" s="3088"/>
      <c r="J77" s="3088"/>
      <c r="K77" s="3088"/>
      <c r="L77" s="3088"/>
      <c r="M77" s="3088" t="s">
        <v>375</v>
      </c>
      <c r="N77" s="3088"/>
      <c r="O77" s="3088" t="s">
        <v>351</v>
      </c>
      <c r="P77" s="3088"/>
      <c r="Q77" s="3091"/>
      <c r="R77" s="3091"/>
      <c r="S77" s="3091"/>
      <c r="T77" s="3091"/>
      <c r="U77" s="3092"/>
      <c r="V77" s="3088"/>
      <c r="W77" s="3088"/>
      <c r="X77" s="3056">
        <f>IF(A77="","",IF(LEN(SUBSTITUTE(SUBSTITUTE(SUBSTITUTE(SUBSTITUTE(D77,".",""),"/",""),"-","")," ",""))&lt;&gt;14,"CNPJ INVALIDO","OK"))</f>
      </c>
      <c r="Y77" s="3056">
        <f>IF(A77="","",IF(R77="","REST PENDENTE","REST OK"))</f>
      </c>
      <c r="Z77" s="3056">
        <f>IF(A77="","",IF(AND(R77&lt;&gt;"",COUNTIFS($D$3:$D$164,D77,$R$3:$R$164,"&lt;&gt;")&gt;1),"DUPLICADO","OK"))</f>
      </c>
      <c r="AA77" s="3056">
        <f>IF(A77="","",IF(OR(LEN(Q77)&gt;180,LEN(R77)&gt;180,LEN(S77)&gt;180,LEN(T77)&gt;180),"CAMINHO LONGO","OK"))</f>
      </c>
      <c r="AB77" s="3056">
        <f>IF(A77="","",IF(U77="","",IFERROR(INT(U77-TODAY()),"")))</f>
      </c>
      <c r="AC77" s="3056">
        <f>IF(A77="","",IF(AND(T77="",U77=""),"",IF(T77="","SEM CAMINHO",IF(U77="","SEM DATA",IFERROR(IF(AB77&lt;15,"VERMELHO",IF(AB77&lt;=30,"AMARELO","VERDE")),"DATA INVALIDA")))))</f>
      </c>
      <c r="AD77" s="3056">
        <f>IF(OR(A77="",U77="",NOT(ISNUMBER(AB77))),"",RANK(AB77,$AB$3:$AB$164,1)+COUNTIFS($AB$3:AB77,AB77)-1)</f>
      </c>
      <c r="AE77" s="1736"/>
    </row>
    <row r="78" spans="1:19" ht="22.0" hidden="false" customHeight="true" x14ac:dyDescent="0.25">
      <c r="A78" s="3094" t="s">
        <v>185</v>
      </c>
      <c r="B78" s="3093" t="s">
        <v>182</v>
      </c>
      <c r="C78" s="3093" t="s">
        <v>79</v>
      </c>
      <c r="D78" s="3093" t="s">
        <v>186</v>
      </c>
      <c r="E78" s="3093"/>
      <c r="F78" s="3093" t="s">
        <v>184</v>
      </c>
      <c r="G78" s="3093" t="s">
        <v>13</v>
      </c>
      <c r="H78" s="3093" t="s">
        <v>14</v>
      </c>
      <c r="I78" s="3093"/>
      <c r="J78" s="3093"/>
      <c r="K78" s="3093"/>
      <c r="L78" s="3093"/>
      <c r="M78" s="3093" t="s">
        <v>355</v>
      </c>
      <c r="N78" s="3093"/>
      <c r="O78" s="3093" t="s">
        <v>354</v>
      </c>
      <c r="P78" s="3093"/>
      <c r="Q78" s="3096"/>
      <c r="R78" s="3096"/>
      <c r="S78" s="3096"/>
      <c r="T78" s="3096"/>
      <c r="U78" s="3097"/>
      <c r="V78" s="3093"/>
      <c r="W78" s="3093"/>
      <c r="X78" s="3056">
        <f>IF(A78="","",IF(LEN(SUBSTITUTE(SUBSTITUTE(SUBSTITUTE(SUBSTITUTE(D78,".",""),"/",""),"-","")," ",""))&lt;&gt;14,"CNPJ INVALIDO","OK"))</f>
      </c>
      <c r="Y78" s="3056">
        <f>IF(A78="","",IF(R78="","REST PENDENTE","REST OK"))</f>
      </c>
      <c r="Z78" s="3056">
        <f>IF(A78="","",IF(AND(R78&lt;&gt;"",COUNTIFS($D$3:$D$164,D78,$R$3:$R$164,"&lt;&gt;")&gt;1),"DUPLICADO","OK"))</f>
      </c>
      <c r="AA78" s="3056">
        <f>IF(A78="","",IF(OR(LEN(Q78)&gt;180,LEN(R78)&gt;180,LEN(S78)&gt;180,LEN(T78)&gt;180),"CAMINHO LONGO","OK"))</f>
      </c>
      <c r="AB78" s="3056">
        <f>IF(A78="","",IF(U78="","",IFERROR(INT(U78-TODAY()),"")))</f>
      </c>
      <c r="AC78" s="3056">
        <f>IF(A78="","",IF(AND(T78="",U78=""),"",IF(T78="","SEM CAMINHO",IF(U78="","SEM DATA",IFERROR(IF(AB78&lt;15,"VERMELHO",IF(AB78&lt;=30,"AMARELO","VERDE")),"DATA INVALIDA")))))</f>
      </c>
      <c r="AD78" s="3056">
        <f>IF(OR(A78="",U78="",NOT(ISNUMBER(AB78))),"",RANK(AB78,$AB$3:$AB$164,1)+COUNTIFS($AB$3:AB78,AB78)-1)</f>
      </c>
      <c r="AE78" s="1736"/>
    </row>
    <row r="79" spans="1:19" ht="22.0" hidden="false" customHeight="true" x14ac:dyDescent="0.25">
      <c r="A79" s="3089" t="s">
        <v>187</v>
      </c>
      <c r="B79" s="3088" t="s">
        <v>188</v>
      </c>
      <c r="C79" s="3088" t="s">
        <v>62</v>
      </c>
      <c r="D79" s="3088">
        <v>40920539000183</v>
      </c>
      <c r="E79" s="3088"/>
      <c r="F79" s="3088" t="s">
        <v>189</v>
      </c>
      <c r="G79" s="3088" t="s">
        <v>4</v>
      </c>
      <c r="H79" s="3088" t="s">
        <v>5</v>
      </c>
      <c r="I79" s="3088"/>
      <c r="J79" s="3088"/>
      <c r="K79" s="3088"/>
      <c r="L79" s="3088"/>
      <c r="M79" s="3088" t="s">
        <v>385</v>
      </c>
      <c r="N79" s="3088"/>
      <c r="O79" s="3088"/>
      <c r="P79" s="3088"/>
      <c r="Q79" s="3091"/>
      <c r="R79" s="3091"/>
      <c r="S79" s="3091"/>
      <c r="T79" s="3091"/>
      <c r="U79" s="3092"/>
      <c r="V79" s="3088"/>
      <c r="W79" s="3088"/>
      <c r="X79" s="3056">
        <f>IF(A79="","",IF(LEN(SUBSTITUTE(SUBSTITUTE(SUBSTITUTE(SUBSTITUTE(D79,".",""),"/",""),"-","")," ",""))&lt;&gt;14,"CNPJ INVALIDO","OK"))</f>
      </c>
      <c r="Y79" s="3056">
        <f>IF(A79="","",IF(R79="","REST PENDENTE","REST OK"))</f>
      </c>
      <c r="Z79" s="3056">
        <f>IF(A79="","",IF(AND(R79&lt;&gt;"",COUNTIFS($D$3:$D$164,D79,$R$3:$R$164,"&lt;&gt;")&gt;1),"DUPLICADO","OK"))</f>
      </c>
      <c r="AA79" s="3056">
        <f>IF(A79="","",IF(OR(LEN(Q79)&gt;180,LEN(R79)&gt;180,LEN(S79)&gt;180,LEN(T79)&gt;180),"CAMINHO LONGO","OK"))</f>
      </c>
      <c r="AB79" s="3056">
        <f>IF(A79="","",IF(U79="","",IFERROR(INT(U79-TODAY()),"")))</f>
      </c>
      <c r="AC79" s="3056">
        <f>IF(A79="","",IF(AND(T79="",U79=""),"",IF(T79="","SEM CAMINHO",IF(U79="","SEM DATA",IFERROR(IF(AB79&lt;15,"VERMELHO",IF(AB79&lt;=30,"AMARELO","VERDE")),"DATA INVALIDA")))))</f>
      </c>
      <c r="AD79" s="3056">
        <f>IF(OR(A79="",U79="",NOT(ISNUMBER(AB79))),"",RANK(AB79,$AB$3:$AB$164,1)+COUNTIFS($AB$3:AB79,AB79)-1)</f>
      </c>
      <c r="AE79" s="1736"/>
    </row>
    <row r="80" spans="1:19" ht="22.0" hidden="false" customHeight="true" x14ac:dyDescent="0.25">
      <c r="A80" s="3094" t="s">
        <v>190</v>
      </c>
      <c r="B80" s="3093" t="s">
        <v>188</v>
      </c>
      <c r="C80" s="3093" t="s">
        <v>69</v>
      </c>
      <c r="D80" s="3093" t="s">
        <v>191</v>
      </c>
      <c r="E80" s="3093"/>
      <c r="F80" s="3093" t="s">
        <v>189</v>
      </c>
      <c r="G80" s="3093" t="s">
        <v>41</v>
      </c>
      <c r="H80" s="3093" t="s">
        <v>5</v>
      </c>
      <c r="I80" s="3093"/>
      <c r="J80" s="3093"/>
      <c r="K80" s="3093"/>
      <c r="L80" s="3093"/>
      <c r="M80" s="3093" t="s">
        <v>379</v>
      </c>
      <c r="N80" s="3093"/>
      <c r="O80" s="3093" t="s">
        <v>350</v>
      </c>
      <c r="P80" s="3093"/>
      <c r="Q80" s="3096"/>
      <c r="R80" s="3096"/>
      <c r="S80" s="3096"/>
      <c r="T80" s="3096"/>
      <c r="U80" s="3097"/>
      <c r="V80" s="3093"/>
      <c r="W80" s="3093"/>
      <c r="X80" s="3056">
        <f>IF(A80="","",IF(LEN(SUBSTITUTE(SUBSTITUTE(SUBSTITUTE(SUBSTITUTE(D80,".",""),"/",""),"-","")," ",""))&lt;&gt;14,"CNPJ INVALIDO","OK"))</f>
      </c>
      <c r="Y80" s="3056">
        <f>IF(A80="","",IF(R80="","REST PENDENTE","REST OK"))</f>
      </c>
      <c r="Z80" s="3056">
        <f>IF(A80="","",IF(AND(R80&lt;&gt;"",COUNTIFS($D$3:$D$164,D80,$R$3:$R$164,"&lt;&gt;")&gt;1),"DUPLICADO","OK"))</f>
      </c>
      <c r="AA80" s="3056">
        <f>IF(A80="","",IF(OR(LEN(Q80)&gt;180,LEN(R80)&gt;180,LEN(S80)&gt;180,LEN(T80)&gt;180),"CAMINHO LONGO","OK"))</f>
      </c>
      <c r="AB80" s="3056">
        <f>IF(A80="","",IF(U80="","",IFERROR(INT(U80-TODAY()),"")))</f>
      </c>
      <c r="AC80" s="3056">
        <f>IF(A80="","",IF(AND(T80="",U80=""),"",IF(T80="","SEM CAMINHO",IF(U80="","SEM DATA",IFERROR(IF(AB80&lt;15,"VERMELHO",IF(AB80&lt;=30,"AMARELO","VERDE")),"DATA INVALIDA")))))</f>
      </c>
      <c r="AD80" s="3056">
        <f>IF(OR(A80="",U80="",NOT(ISNUMBER(AB80))),"",RANK(AB80,$AB$3:$AB$164,1)+COUNTIFS($AB$3:AB80,AB80)-1)</f>
      </c>
      <c r="AE80" s="1736"/>
    </row>
    <row r="81" spans="1:19" ht="22.0" hidden="false" customHeight="true" x14ac:dyDescent="0.25">
      <c r="A81" s="3089" t="s">
        <v>192</v>
      </c>
      <c r="B81" s="3088" t="s">
        <v>188</v>
      </c>
      <c r="C81" s="3088" t="s">
        <v>69</v>
      </c>
      <c r="D81" s="3088" t="s">
        <v>193</v>
      </c>
      <c r="E81" s="3088"/>
      <c r="F81" s="3088" t="s">
        <v>189</v>
      </c>
      <c r="G81" s="3088" t="s">
        <v>13</v>
      </c>
      <c r="H81" s="3088" t="s">
        <v>14</v>
      </c>
      <c r="I81" s="3088"/>
      <c r="J81" s="3088"/>
      <c r="K81" s="3088"/>
      <c r="L81" s="3088"/>
      <c r="M81" s="3088" t="s">
        <v>386</v>
      </c>
      <c r="N81" s="3088"/>
      <c r="O81" s="3088" t="s">
        <v>347</v>
      </c>
      <c r="P81" s="3088"/>
      <c r="Q81" s="3091"/>
      <c r="R81" s="3091"/>
      <c r="S81" s="3091"/>
      <c r="T81" s="3091"/>
      <c r="U81" s="3092"/>
      <c r="V81" s="3088"/>
      <c r="W81" s="3088"/>
      <c r="X81" s="3056">
        <f>IF(A81="","",IF(LEN(SUBSTITUTE(SUBSTITUTE(SUBSTITUTE(SUBSTITUTE(D81,".",""),"/",""),"-","")," ",""))&lt;&gt;14,"CNPJ INVALIDO","OK"))</f>
      </c>
      <c r="Y81" s="3056">
        <f>IF(A81="","",IF(R81="","REST PENDENTE","REST OK"))</f>
      </c>
      <c r="Z81" s="3056">
        <f>IF(A81="","",IF(AND(R81&lt;&gt;"",COUNTIFS($D$3:$D$164,D81,$R$3:$R$164,"&lt;&gt;")&gt;1),"DUPLICADO","OK"))</f>
      </c>
      <c r="AA81" s="3056">
        <f>IF(A81="","",IF(OR(LEN(Q81)&gt;180,LEN(R81)&gt;180,LEN(S81)&gt;180,LEN(T81)&gt;180),"CAMINHO LONGO","OK"))</f>
      </c>
      <c r="AB81" s="3056">
        <f>IF(A81="","",IF(U81="","",IFERROR(INT(U81-TODAY()),"")))</f>
      </c>
      <c r="AC81" s="3056">
        <f>IF(A81="","",IF(AND(T81="",U81=""),"",IF(T81="","SEM CAMINHO",IF(U81="","SEM DATA",IFERROR(IF(AB81&lt;15,"VERMELHO",IF(AB81&lt;=30,"AMARELO","VERDE")),"DATA INVALIDA")))))</f>
      </c>
      <c r="AD81" s="3056">
        <f>IF(OR(A81="",U81="",NOT(ISNUMBER(AB81))),"",RANK(AB81,$AB$3:$AB$164,1)+COUNTIFS($AB$3:AB81,AB81)-1)</f>
      </c>
      <c r="AE81" s="1736"/>
    </row>
    <row r="82" spans="1:19" ht="22.0" hidden="false" customHeight="true" x14ac:dyDescent="0.25">
      <c r="A82" s="3094" t="s">
        <v>194</v>
      </c>
      <c r="B82" s="3093" t="s">
        <v>1</v>
      </c>
      <c r="C82" s="3093" t="s">
        <v>195</v>
      </c>
      <c r="D82" s="3093" t="s">
        <v>196</v>
      </c>
      <c r="E82" s="3093"/>
      <c r="F82" s="3093" t="s">
        <v>3</v>
      </c>
      <c r="G82" s="3093" t="s">
        <v>197</v>
      </c>
      <c r="H82" s="3093" t="s">
        <v>49</v>
      </c>
      <c r="I82" s="3093"/>
      <c r="J82" s="3093"/>
      <c r="K82" s="3093"/>
      <c r="L82" s="3093"/>
      <c r="M82" s="3093" t="s">
        <v>376</v>
      </c>
      <c r="N82" s="3093" t="s">
        <v>361</v>
      </c>
      <c r="O82" s="3093" t="s">
        <v>351</v>
      </c>
      <c r="P82" s="3093"/>
      <c r="Q82" s="3096"/>
      <c r="R82" s="3096"/>
      <c r="S82" s="3096"/>
      <c r="T82" s="3096"/>
      <c r="U82" s="3097"/>
      <c r="V82" s="3093"/>
      <c r="W82" s="3093"/>
      <c r="X82" s="3056">
        <f>IF(A82="","",IF(LEN(SUBSTITUTE(SUBSTITUTE(SUBSTITUTE(SUBSTITUTE(D82,".",""),"/",""),"-","")," ",""))&lt;&gt;14,"CNPJ INVALIDO","OK"))</f>
      </c>
      <c r="Y82" s="3056">
        <f>IF(A82="","",IF(R82="","REST PENDENTE","REST OK"))</f>
      </c>
      <c r="Z82" s="3056">
        <f>IF(A82="","",IF(AND(R82&lt;&gt;"",COUNTIFS($D$3:$D$164,D82,$R$3:$R$164,"&lt;&gt;")&gt;1),"DUPLICADO","OK"))</f>
      </c>
      <c r="AA82" s="3056">
        <f>IF(A82="","",IF(OR(LEN(Q82)&gt;180,LEN(R82)&gt;180,LEN(S82)&gt;180,LEN(T82)&gt;180),"CAMINHO LONGO","OK"))</f>
      </c>
      <c r="AB82" s="3056">
        <f>IF(A82="","",IF(U82="","",IFERROR(INT(U82-TODAY()),"")))</f>
      </c>
      <c r="AC82" s="3056">
        <f>IF(A82="","",IF(AND(T82="",U82=""),"",IF(T82="","SEM CAMINHO",IF(U82="","SEM DATA",IFERROR(IF(AB82&lt;15,"VERMELHO",IF(AB82&lt;=30,"AMARELO","VERDE")),"DATA INVALIDA")))))</f>
      </c>
      <c r="AD82" s="3056">
        <f>IF(OR(A82="",U82="",NOT(ISNUMBER(AB82))),"",RANK(AB82,$AB$3:$AB$164,1)+COUNTIFS($AB$3:AB82,AB82)-1)</f>
      </c>
      <c r="AE82" s="1736"/>
    </row>
    <row r="83" spans="1:19" ht="22.0" hidden="false" customHeight="true" x14ac:dyDescent="0.25">
      <c r="A83" s="3089" t="s">
        <v>198</v>
      </c>
      <c r="B83" s="3088" t="s">
        <v>1</v>
      </c>
      <c r="C83" s="3088" t="s">
        <v>195</v>
      </c>
      <c r="D83" s="3088" t="s">
        <v>199</v>
      </c>
      <c r="E83" s="3088"/>
      <c r="F83" s="3088" t="s">
        <v>3</v>
      </c>
      <c r="G83" s="3088" t="s">
        <v>4</v>
      </c>
      <c r="H83" s="3088" t="s">
        <v>49</v>
      </c>
      <c r="I83" s="3088"/>
      <c r="J83" s="3088"/>
      <c r="K83" s="3088"/>
      <c r="L83" s="3088"/>
      <c r="M83" s="3088" t="s">
        <v>376</v>
      </c>
      <c r="N83" s="3088" t="s">
        <v>361</v>
      </c>
      <c r="O83" s="3088" t="s">
        <v>351</v>
      </c>
      <c r="P83" s="3088"/>
      <c r="Q83" s="3091"/>
      <c r="R83" s="3091"/>
      <c r="S83" s="3091"/>
      <c r="T83" s="3091"/>
      <c r="U83" s="3092"/>
      <c r="V83" s="3088"/>
      <c r="W83" s="3088"/>
      <c r="X83" s="3056">
        <f>IF(A83="","",IF(LEN(SUBSTITUTE(SUBSTITUTE(SUBSTITUTE(SUBSTITUTE(D83,".",""),"/",""),"-","")," ",""))&lt;&gt;14,"CNPJ INVALIDO","OK"))</f>
      </c>
      <c r="Y83" s="3056">
        <f>IF(A83="","",IF(R83="","REST PENDENTE","REST OK"))</f>
      </c>
      <c r="Z83" s="3056">
        <f>IF(A83="","",IF(AND(R83&lt;&gt;"",COUNTIFS($D$3:$D$164,D83,$R$3:$R$164,"&lt;&gt;")&gt;1),"DUPLICADO","OK"))</f>
      </c>
      <c r="AA83" s="3056">
        <f>IF(A83="","",IF(OR(LEN(Q83)&gt;180,LEN(R83)&gt;180,LEN(S83)&gt;180,LEN(T83)&gt;180),"CAMINHO LONGO","OK"))</f>
      </c>
      <c r="AB83" s="3056">
        <f>IF(A83="","",IF(U83="","",IFERROR(INT(U83-TODAY()),"")))</f>
      </c>
      <c r="AC83" s="3056">
        <f>IF(A83="","",IF(AND(T83="",U83=""),"",IF(T83="","SEM CAMINHO",IF(U83="","SEM DATA",IFERROR(IF(AB83&lt;15,"VERMELHO",IF(AB83&lt;=30,"AMARELO","VERDE")),"DATA INVALIDA")))))</f>
      </c>
      <c r="AD83" s="3056">
        <f>IF(OR(A83="",U83="",NOT(ISNUMBER(AB83))),"",RANK(AB83,$AB$3:$AB$164,1)+COUNTIFS($AB$3:AB83,AB83)-1)</f>
      </c>
      <c r="AE83" s="1736"/>
    </row>
    <row r="84" spans="1:19" ht="22.0" hidden="false" customHeight="true" x14ac:dyDescent="0.25">
      <c r="A84" s="3094" t="s">
        <v>200</v>
      </c>
      <c r="B84" s="3093" t="s">
        <v>1</v>
      </c>
      <c r="C84" s="3093" t="s">
        <v>195</v>
      </c>
      <c r="D84" s="3093" t="s">
        <v>201</v>
      </c>
      <c r="E84" s="3093"/>
      <c r="F84" s="3093" t="s">
        <v>3</v>
      </c>
      <c r="G84" s="3093" t="s">
        <v>4</v>
      </c>
      <c r="H84" s="3093" t="s">
        <v>49</v>
      </c>
      <c r="I84" s="3093"/>
      <c r="J84" s="3093"/>
      <c r="K84" s="3093"/>
      <c r="L84" s="3093"/>
      <c r="M84" s="3093" t="s">
        <v>376</v>
      </c>
      <c r="N84" s="3093" t="s">
        <v>361</v>
      </c>
      <c r="O84" s="3093" t="s">
        <v>351</v>
      </c>
      <c r="P84" s="3093"/>
      <c r="Q84" s="3096"/>
      <c r="R84" s="3096"/>
      <c r="S84" s="3096"/>
      <c r="T84" s="3096"/>
      <c r="U84" s="3097"/>
      <c r="V84" s="3093"/>
      <c r="W84" s="3093"/>
      <c r="X84" s="3056">
        <f>IF(A84="","",IF(LEN(SUBSTITUTE(SUBSTITUTE(SUBSTITUTE(SUBSTITUTE(D84,".",""),"/",""),"-","")," ",""))&lt;&gt;14,"CNPJ INVALIDO","OK"))</f>
      </c>
      <c r="Y84" s="3056">
        <f>IF(A84="","",IF(R84="","REST PENDENTE","REST OK"))</f>
      </c>
      <c r="Z84" s="3056">
        <f>IF(A84="","",IF(AND(R84&lt;&gt;"",COUNTIFS($D$3:$D$164,D84,$R$3:$R$164,"&lt;&gt;")&gt;1),"DUPLICADO","OK"))</f>
      </c>
      <c r="AA84" s="3056">
        <f>IF(A84="","",IF(OR(LEN(Q84)&gt;180,LEN(R84)&gt;180,LEN(S84)&gt;180,LEN(T84)&gt;180),"CAMINHO LONGO","OK"))</f>
      </c>
      <c r="AB84" s="3056">
        <f>IF(A84="","",IF(U84="","",IFERROR(INT(U84-TODAY()),"")))</f>
      </c>
      <c r="AC84" s="3056">
        <f>IF(A84="","",IF(AND(T84="",U84=""),"",IF(T84="","SEM CAMINHO",IF(U84="","SEM DATA",IFERROR(IF(AB84&lt;15,"VERMELHO",IF(AB84&lt;=30,"AMARELO","VERDE")),"DATA INVALIDA")))))</f>
      </c>
      <c r="AD84" s="3056">
        <f>IF(OR(A84="",U84="",NOT(ISNUMBER(AB84))),"",RANK(AB84,$AB$3:$AB$164,1)+COUNTIFS($AB$3:AB84,AB84)-1)</f>
      </c>
      <c r="AE84" s="1736"/>
    </row>
    <row r="85" spans="1:19" ht="22.0" hidden="false" customHeight="true" x14ac:dyDescent="0.25">
      <c r="A85" s="3089" t="s">
        <v>202</v>
      </c>
      <c r="B85" s="3088" t="s">
        <v>203</v>
      </c>
      <c r="C85" s="3088" t="s">
        <v>204</v>
      </c>
      <c r="D85" s="3088">
        <v>48579725000102</v>
      </c>
      <c r="E85" s="3088"/>
      <c r="F85" s="3088" t="s">
        <v>205</v>
      </c>
      <c r="G85" s="3088" t="s">
        <v>13</v>
      </c>
      <c r="H85" s="3088" t="s">
        <v>5</v>
      </c>
      <c r="I85" s="3088"/>
      <c r="J85" s="3088"/>
      <c r="K85" s="3088"/>
      <c r="L85" s="3088"/>
      <c r="M85" s="3088" t="s">
        <v>379</v>
      </c>
      <c r="N85" s="3088"/>
      <c r="O85" s="3088" t="s">
        <v>356</v>
      </c>
      <c r="P85" s="3088"/>
      <c r="Q85" s="3091"/>
      <c r="R85" s="3091"/>
      <c r="S85" s="3091"/>
      <c r="T85" s="3091"/>
      <c r="U85" s="3092"/>
      <c r="V85" s="3088"/>
      <c r="W85" s="3088"/>
      <c r="X85" s="3056">
        <f>IF(A85="","",IF(LEN(SUBSTITUTE(SUBSTITUTE(SUBSTITUTE(SUBSTITUTE(D85,".",""),"/",""),"-","")," ",""))&lt;&gt;14,"CNPJ INVALIDO","OK"))</f>
      </c>
      <c r="Y85" s="3056">
        <f>IF(A85="","",IF(R85="","REST PENDENTE","REST OK"))</f>
      </c>
      <c r="Z85" s="3056">
        <f>IF(A85="","",IF(AND(R85&lt;&gt;"",COUNTIFS($D$3:$D$164,D85,$R$3:$R$164,"&lt;&gt;")&gt;1),"DUPLICADO","OK"))</f>
      </c>
      <c r="AA85" s="3056">
        <f>IF(A85="","",IF(OR(LEN(Q85)&gt;180,LEN(R85)&gt;180,LEN(S85)&gt;180,LEN(T85)&gt;180),"CAMINHO LONGO","OK"))</f>
      </c>
      <c r="AB85" s="3056">
        <f>IF(A85="","",IF(U85="","",IFERROR(INT(U85-TODAY()),"")))</f>
      </c>
      <c r="AC85" s="3056">
        <f>IF(A85="","",IF(AND(T85="",U85=""),"",IF(T85="","SEM CAMINHO",IF(U85="","SEM DATA",IFERROR(IF(AB85&lt;15,"VERMELHO",IF(AB85&lt;=30,"AMARELO","VERDE")),"DATA INVALIDA")))))</f>
      </c>
      <c r="AD85" s="3056">
        <f>IF(OR(A85="",U85="",NOT(ISNUMBER(AB85))),"",RANK(AB85,$AB$3:$AB$164,1)+COUNTIFS($AB$3:AB85,AB85)-1)</f>
      </c>
      <c r="AE85" s="1736"/>
    </row>
    <row r="86" spans="1:19" ht="22.0" hidden="false" customHeight="true" x14ac:dyDescent="0.25">
      <c r="A86" s="3094" t="s">
        <v>206</v>
      </c>
      <c r="B86" s="3093" t="s">
        <v>207</v>
      </c>
      <c r="C86" s="3093" t="s">
        <v>62</v>
      </c>
      <c r="D86" s="3093">
        <v>21879417000146</v>
      </c>
      <c r="E86" s="3093"/>
      <c r="F86" s="3093" t="s">
        <v>208</v>
      </c>
      <c r="G86" s="3093" t="s">
        <v>41</v>
      </c>
      <c r="H86" s="3093" t="s">
        <v>5</v>
      </c>
      <c r="I86" s="3093"/>
      <c r="J86" s="3093"/>
      <c r="K86" s="3093"/>
      <c r="L86" s="3093"/>
      <c r="M86" s="3093" t="s">
        <v>379</v>
      </c>
      <c r="N86" s="3093"/>
      <c r="O86" s="3093" t="s">
        <v>349</v>
      </c>
      <c r="P86" s="3093"/>
      <c r="Q86" s="3096"/>
      <c r="R86" s="3096"/>
      <c r="S86" s="3096"/>
      <c r="T86" s="3096"/>
      <c r="U86" s="3097"/>
      <c r="V86" s="3093"/>
      <c r="W86" s="3093"/>
      <c r="X86" s="3056">
        <f>IF(A86="","",IF(LEN(SUBSTITUTE(SUBSTITUTE(SUBSTITUTE(SUBSTITUTE(D86,".",""),"/",""),"-","")," ",""))&lt;&gt;14,"CNPJ INVALIDO","OK"))</f>
      </c>
      <c r="Y86" s="3056">
        <f>IF(A86="","",IF(R86="","REST PENDENTE","REST OK"))</f>
      </c>
      <c r="Z86" s="3056">
        <f>IF(A86="","",IF(AND(R86&lt;&gt;"",COUNTIFS($D$3:$D$164,D86,$R$3:$R$164,"&lt;&gt;")&gt;1),"DUPLICADO","OK"))</f>
      </c>
      <c r="AA86" s="3056">
        <f>IF(A86="","",IF(OR(LEN(Q86)&gt;180,LEN(R86)&gt;180,LEN(S86)&gt;180,LEN(T86)&gt;180),"CAMINHO LONGO","OK"))</f>
      </c>
      <c r="AB86" s="3056">
        <f>IF(A86="","",IF(U86="","",IFERROR(INT(U86-TODAY()),"")))</f>
      </c>
      <c r="AC86" s="3056">
        <f>IF(A86="","",IF(AND(T86="",U86=""),"",IF(T86="","SEM CAMINHO",IF(U86="","SEM DATA",IFERROR(IF(AB86&lt;15,"VERMELHO",IF(AB86&lt;=30,"AMARELO","VERDE")),"DATA INVALIDA")))))</f>
      </c>
      <c r="AD86" s="3056">
        <f>IF(OR(A86="",U86="",NOT(ISNUMBER(AB86))),"",RANK(AB86,$AB$3:$AB$164,1)+COUNTIFS($AB$3:AB86,AB86)-1)</f>
      </c>
      <c r="AE86" s="1736"/>
    </row>
    <row r="87" spans="1:19" ht="22.0" hidden="false" customHeight="true" x14ac:dyDescent="0.25">
      <c r="A87" s="3089" t="s">
        <v>209</v>
      </c>
      <c r="B87" s="3088" t="s">
        <v>207</v>
      </c>
      <c r="C87" s="3088" t="s">
        <v>62</v>
      </c>
      <c r="D87" s="3088" t="s">
        <v>388</v>
      </c>
      <c r="E87" s="3088"/>
      <c r="F87" s="3088" t="s">
        <v>208</v>
      </c>
      <c r="G87" s="3088" t="s">
        <v>4</v>
      </c>
      <c r="H87" s="3088" t="s">
        <v>5</v>
      </c>
      <c r="I87" s="3088"/>
      <c r="J87" s="3088"/>
      <c r="K87" s="3088"/>
      <c r="L87" s="3088"/>
      <c r="M87" s="3088" t="s">
        <v>379</v>
      </c>
      <c r="N87" s="3088"/>
      <c r="O87" s="3088" t="s">
        <v>349</v>
      </c>
      <c r="P87" s="3088"/>
      <c r="Q87" s="3091"/>
      <c r="R87" s="3091"/>
      <c r="S87" s="3091"/>
      <c r="T87" s="3091"/>
      <c r="U87" s="3092"/>
      <c r="V87" s="3088"/>
      <c r="W87" s="3088"/>
      <c r="X87" s="3056">
        <f>IF(A87="","",IF(LEN(SUBSTITUTE(SUBSTITUTE(SUBSTITUTE(SUBSTITUTE(D87,".",""),"/",""),"-","")," ",""))&lt;&gt;14,"CNPJ INVALIDO","OK"))</f>
      </c>
      <c r="Y87" s="3056">
        <f>IF(A87="","",IF(R87="","REST PENDENTE","REST OK"))</f>
      </c>
      <c r="Z87" s="3056">
        <f>IF(A87="","",IF(AND(R87&lt;&gt;"",COUNTIFS($D$3:$D$164,D87,$R$3:$R$164,"&lt;&gt;")&gt;1),"DUPLICADO","OK"))</f>
      </c>
      <c r="AA87" s="3056">
        <f>IF(A87="","",IF(OR(LEN(Q87)&gt;180,LEN(R87)&gt;180,LEN(S87)&gt;180,LEN(T87)&gt;180),"CAMINHO LONGO","OK"))</f>
      </c>
      <c r="AB87" s="3056">
        <f>IF(A87="","",IF(U87="","",IFERROR(INT(U87-TODAY()),"")))</f>
      </c>
      <c r="AC87" s="3056">
        <f>IF(A87="","",IF(AND(T87="",U87=""),"",IF(T87="","SEM CAMINHO",IF(U87="","SEM DATA",IFERROR(IF(AB87&lt;15,"VERMELHO",IF(AB87&lt;=30,"AMARELO","VERDE")),"DATA INVALIDA")))))</f>
      </c>
      <c r="AD87" s="3056">
        <f>IF(OR(A87="",U87="",NOT(ISNUMBER(AB87))),"",RANK(AB87,$AB$3:$AB$164,1)+COUNTIFS($AB$3:AB87,AB87)-1)</f>
      </c>
      <c r="AE87" s="1736"/>
    </row>
    <row r="88" spans="1:19" ht="22.0" hidden="false" customHeight="true" x14ac:dyDescent="0.25">
      <c r="A88" s="3094" t="s">
        <v>210</v>
      </c>
      <c r="B88" s="3093" t="s">
        <v>211</v>
      </c>
      <c r="C88" s="3093" t="s">
        <v>69</v>
      </c>
      <c r="D88" s="3093" t="s">
        <v>387</v>
      </c>
      <c r="E88" s="3093"/>
      <c r="F88" s="3093"/>
      <c r="G88" s="3093" t="s">
        <v>4</v>
      </c>
      <c r="H88" s="3093" t="s">
        <v>49</v>
      </c>
      <c r="I88" s="3093"/>
      <c r="J88" s="3093"/>
      <c r="K88" s="3093"/>
      <c r="L88" s="3093"/>
      <c r="M88" s="3093" t="s">
        <v>379</v>
      </c>
      <c r="N88" s="3093"/>
      <c r="O88" s="3093" t="s">
        <v>349</v>
      </c>
      <c r="P88" s="3093"/>
      <c r="Q88" s="3096"/>
      <c r="R88" s="3096"/>
      <c r="S88" s="3096"/>
      <c r="T88" s="3096"/>
      <c r="U88" s="3097"/>
      <c r="V88" s="3093"/>
      <c r="W88" s="3093"/>
      <c r="X88" s="3056">
        <f>IF(A88="","",IF(LEN(SUBSTITUTE(SUBSTITUTE(SUBSTITUTE(SUBSTITUTE(D88,".",""),"/",""),"-","")," ",""))&lt;&gt;14,"CNPJ INVALIDO","OK"))</f>
      </c>
      <c r="Y88" s="3056">
        <f>IF(A88="","",IF(R88="","REST PENDENTE","REST OK"))</f>
      </c>
      <c r="Z88" s="3056">
        <f>IF(A88="","",IF(AND(R88&lt;&gt;"",COUNTIFS($D$3:$D$164,D88,$R$3:$R$164,"&lt;&gt;")&gt;1),"DUPLICADO","OK"))</f>
      </c>
      <c r="AA88" s="3056">
        <f>IF(A88="","",IF(OR(LEN(Q88)&gt;180,LEN(R88)&gt;180,LEN(S88)&gt;180,LEN(T88)&gt;180),"CAMINHO LONGO","OK"))</f>
      </c>
      <c r="AB88" s="3056">
        <f>IF(A88="","",IF(U88="","",IFERROR(INT(U88-TODAY()),"")))</f>
      </c>
      <c r="AC88" s="3056">
        <f>IF(A88="","",IF(AND(T88="",U88=""),"",IF(T88="","SEM CAMINHO",IF(U88="","SEM DATA",IFERROR(IF(AB88&lt;15,"VERMELHO",IF(AB88&lt;=30,"AMARELO","VERDE")),"DATA INVALIDA")))))</f>
      </c>
      <c r="AD88" s="3056">
        <f>IF(OR(A88="",U88="",NOT(ISNUMBER(AB88))),"",RANK(AB88,$AB$3:$AB$164,1)+COUNTIFS($AB$3:AB88,AB88)-1)</f>
      </c>
      <c r="AE88" s="1736"/>
    </row>
    <row r="89" spans="1:19" ht="22.0" hidden="false" customHeight="true" x14ac:dyDescent="0.25">
      <c r="A89" s="3089" t="s">
        <v>212</v>
      </c>
      <c r="B89" s="3088" t="s">
        <v>211</v>
      </c>
      <c r="C89" s="3088" t="s">
        <v>69</v>
      </c>
      <c r="D89" s="3088"/>
      <c r="E89" s="3088"/>
      <c r="F89" s="3088"/>
      <c r="G89" s="3088" t="s">
        <v>4</v>
      </c>
      <c r="H89" s="3088" t="s">
        <v>49</v>
      </c>
      <c r="I89" s="3088"/>
      <c r="J89" s="3088"/>
      <c r="K89" s="3088"/>
      <c r="L89" s="3088"/>
      <c r="M89" s="3088" t="s">
        <v>379</v>
      </c>
      <c r="N89" s="3088"/>
      <c r="O89" s="3088" t="s">
        <v>349</v>
      </c>
      <c r="P89" s="3088"/>
      <c r="Q89" s="3091"/>
      <c r="R89" s="3091"/>
      <c r="S89" s="3091"/>
      <c r="T89" s="3091"/>
      <c r="U89" s="3092"/>
      <c r="V89" s="3088"/>
      <c r="W89" s="3088"/>
      <c r="X89" s="3056">
        <f>IF(A89="","",IF(LEN(SUBSTITUTE(SUBSTITUTE(SUBSTITUTE(SUBSTITUTE(D89,".",""),"/",""),"-","")," ",""))&lt;&gt;14,"CNPJ INVALIDO","OK"))</f>
      </c>
      <c r="Y89" s="3056">
        <f>IF(A89="","",IF(R89="","REST PENDENTE","REST OK"))</f>
      </c>
      <c r="Z89" s="3056">
        <f>IF(A89="","",IF(AND(R89&lt;&gt;"",COUNTIFS($D$3:$D$164,D89,$R$3:$R$164,"&lt;&gt;")&gt;1),"DUPLICADO","OK"))</f>
      </c>
      <c r="AA89" s="3056">
        <f>IF(A89="","",IF(OR(LEN(Q89)&gt;180,LEN(R89)&gt;180,LEN(S89)&gt;180,LEN(T89)&gt;180),"CAMINHO LONGO","OK"))</f>
      </c>
      <c r="AB89" s="3056">
        <f>IF(A89="","",IF(U89="","",IFERROR(INT(U89-TODAY()),"")))</f>
      </c>
      <c r="AC89" s="3056">
        <f>IF(A89="","",IF(AND(T89="",U89=""),"",IF(T89="","SEM CAMINHO",IF(U89="","SEM DATA",IFERROR(IF(AB89&lt;15,"VERMELHO",IF(AB89&lt;=30,"AMARELO","VERDE")),"DATA INVALIDA")))))</f>
      </c>
      <c r="AD89" s="3056">
        <f>IF(OR(A89="",U89="",NOT(ISNUMBER(AB89))),"",RANK(AB89,$AB$3:$AB$164,1)+COUNTIFS($AB$3:AB89,AB89)-1)</f>
      </c>
      <c r="AE89" s="1736"/>
    </row>
    <row r="90" spans="1:19" ht="22.0" hidden="false" customHeight="true" x14ac:dyDescent="0.25">
      <c r="A90" s="3094" t="s">
        <v>213</v>
      </c>
      <c r="B90" s="3093" t="s">
        <v>214</v>
      </c>
      <c r="C90" s="3093" t="s">
        <v>62</v>
      </c>
      <c r="D90" s="3093">
        <v>44868733000118</v>
      </c>
      <c r="E90" s="3093"/>
      <c r="F90" s="3093" t="s">
        <v>215</v>
      </c>
      <c r="G90" s="3093" t="s">
        <v>4</v>
      </c>
      <c r="H90" s="3093" t="s">
        <v>5</v>
      </c>
      <c r="I90" s="3093"/>
      <c r="J90" s="3093"/>
      <c r="K90" s="3093"/>
      <c r="L90" s="3093"/>
      <c r="M90" s="3093" t="s">
        <v>379</v>
      </c>
      <c r="N90" s="3093"/>
      <c r="O90" s="3093" t="s">
        <v>350</v>
      </c>
      <c r="P90" s="3093"/>
      <c r="Q90" s="3096"/>
      <c r="R90" s="3096"/>
      <c r="S90" s="3096"/>
      <c r="T90" s="3096"/>
      <c r="U90" s="3097"/>
      <c r="V90" s="3093"/>
      <c r="W90" s="3093"/>
      <c r="X90" s="3056">
        <f>IF(A90="","",IF(LEN(SUBSTITUTE(SUBSTITUTE(SUBSTITUTE(SUBSTITUTE(D90,".",""),"/",""),"-","")," ",""))&lt;&gt;14,"CNPJ INVALIDO","OK"))</f>
      </c>
      <c r="Y90" s="3056">
        <f>IF(A90="","",IF(R90="","REST PENDENTE","REST OK"))</f>
      </c>
      <c r="Z90" s="3056">
        <f>IF(A90="","",IF(AND(R90&lt;&gt;"",COUNTIFS($D$3:$D$164,D90,$R$3:$R$164,"&lt;&gt;")&gt;1),"DUPLICADO","OK"))</f>
      </c>
      <c r="AA90" s="3056">
        <f>IF(A90="","",IF(OR(LEN(Q90)&gt;180,LEN(R90)&gt;180,LEN(S90)&gt;180,LEN(T90)&gt;180),"CAMINHO LONGO","OK"))</f>
      </c>
      <c r="AB90" s="3056">
        <f>IF(A90="","",IF(U90="","",IFERROR(INT(U90-TODAY()),"")))</f>
      </c>
      <c r="AC90" s="3056">
        <f>IF(A90="","",IF(AND(T90="",U90=""),"",IF(T90="","SEM CAMINHO",IF(U90="","SEM DATA",IFERROR(IF(AB90&lt;15,"VERMELHO",IF(AB90&lt;=30,"AMARELO","VERDE")),"DATA INVALIDA")))))</f>
      </c>
      <c r="AD90" s="3056">
        <f>IF(OR(A90="",U90="",NOT(ISNUMBER(AB90))),"",RANK(AB90,$AB$3:$AB$164,1)+COUNTIFS($AB$3:AB90,AB90)-1)</f>
      </c>
      <c r="AE90" s="1736"/>
    </row>
    <row r="91" spans="1:19" ht="22.0" hidden="false" customHeight="true" x14ac:dyDescent="0.25">
      <c r="A91" s="3089" t="s">
        <v>216</v>
      </c>
      <c r="B91" s="3088" t="s">
        <v>9</v>
      </c>
      <c r="C91" s="3088" t="s">
        <v>69</v>
      </c>
      <c r="D91" s="3088" t="s">
        <v>217</v>
      </c>
      <c r="E91" s="3088"/>
      <c r="F91" s="3088" t="s">
        <v>12</v>
      </c>
      <c r="G91" s="3088" t="s">
        <v>13</v>
      </c>
      <c r="H91" s="3088" t="s">
        <v>49</v>
      </c>
      <c r="I91" s="3088"/>
      <c r="J91" s="3088"/>
      <c r="K91" s="3088"/>
      <c r="L91" s="3088"/>
      <c r="M91" s="3088" t="s">
        <v>379</v>
      </c>
      <c r="N91" s="3088"/>
      <c r="O91" s="3088" t="s">
        <v>349</v>
      </c>
      <c r="P91" s="3088"/>
      <c r="Q91" s="3091"/>
      <c r="R91" s="3091"/>
      <c r="S91" s="3091"/>
      <c r="T91" s="3091"/>
      <c r="U91" s="3092"/>
      <c r="V91" s="3088"/>
      <c r="W91" s="3088"/>
      <c r="X91" s="3056">
        <f>IF(A91="","",IF(LEN(SUBSTITUTE(SUBSTITUTE(SUBSTITUTE(SUBSTITUTE(D91,".",""),"/",""),"-","")," ",""))&lt;&gt;14,"CNPJ INVALIDO","OK"))</f>
      </c>
      <c r="Y91" s="3056">
        <f>IF(A91="","",IF(R91="","REST PENDENTE","REST OK"))</f>
      </c>
      <c r="Z91" s="3056">
        <f>IF(A91="","",IF(AND(R91&lt;&gt;"",COUNTIFS($D$3:$D$164,D91,$R$3:$R$164,"&lt;&gt;")&gt;1),"DUPLICADO","OK"))</f>
      </c>
      <c r="AA91" s="3056">
        <f>IF(A91="","",IF(OR(LEN(Q91)&gt;180,LEN(R91)&gt;180,LEN(S91)&gt;180,LEN(T91)&gt;180),"CAMINHO LONGO","OK"))</f>
      </c>
      <c r="AB91" s="3056">
        <f>IF(A91="","",IF(U91="","",IFERROR(INT(U91-TODAY()),"")))</f>
      </c>
      <c r="AC91" s="3056">
        <f>IF(A91="","",IF(AND(T91="",U91=""),"",IF(T91="","SEM CAMINHO",IF(U91="","SEM DATA",IFERROR(IF(AB91&lt;15,"VERMELHO",IF(AB91&lt;=30,"AMARELO","VERDE")),"DATA INVALIDA")))))</f>
      </c>
      <c r="AD91" s="3056">
        <f>IF(OR(A91="",U91="",NOT(ISNUMBER(AB91))),"",RANK(AB91,$AB$3:$AB$164,1)+COUNTIFS($AB$3:AB91,AB91)-1)</f>
      </c>
      <c r="AE91" s="1736"/>
    </row>
    <row r="92" spans="1:19" ht="22.0" hidden="false" customHeight="true" x14ac:dyDescent="0.25">
      <c r="A92" s="3094" t="s">
        <v>218</v>
      </c>
      <c r="B92" s="3093" t="s">
        <v>219</v>
      </c>
      <c r="C92" s="3093" t="s">
        <v>62</v>
      </c>
      <c r="D92" s="3093">
        <v>51987426000111</v>
      </c>
      <c r="E92" s="3093"/>
      <c r="F92" s="3093" t="s">
        <v>220</v>
      </c>
      <c r="G92" s="3093" t="s">
        <v>4</v>
      </c>
      <c r="H92" s="3093" t="s">
        <v>5</v>
      </c>
      <c r="I92" s="3093"/>
      <c r="J92" s="3093"/>
      <c r="K92" s="3093"/>
      <c r="L92" s="3093"/>
      <c r="M92" s="3093" t="s">
        <v>389</v>
      </c>
      <c r="N92" s="3093"/>
      <c r="O92" s="3093" t="s">
        <v>350</v>
      </c>
      <c r="P92" s="3093"/>
      <c r="Q92" s="3096"/>
      <c r="R92" s="3096"/>
      <c r="S92" s="3096"/>
      <c r="T92" s="3096"/>
      <c r="U92" s="3097"/>
      <c r="V92" s="3093"/>
      <c r="W92" s="3093"/>
      <c r="X92" s="3056">
        <f>IF(A92="","",IF(LEN(SUBSTITUTE(SUBSTITUTE(SUBSTITUTE(SUBSTITUTE(D92,".",""),"/",""),"-","")," ",""))&lt;&gt;14,"CNPJ INVALIDO","OK"))</f>
      </c>
      <c r="Y92" s="3056">
        <f>IF(A92="","",IF(R92="","REST PENDENTE","REST OK"))</f>
      </c>
      <c r="Z92" s="3056">
        <f>IF(A92="","",IF(AND(R92&lt;&gt;"",COUNTIFS($D$3:$D$164,D92,$R$3:$R$164,"&lt;&gt;")&gt;1),"DUPLICADO","OK"))</f>
      </c>
      <c r="AA92" s="3056">
        <f>IF(A92="","",IF(OR(LEN(Q92)&gt;180,LEN(R92)&gt;180,LEN(S92)&gt;180,LEN(T92)&gt;180),"CAMINHO LONGO","OK"))</f>
      </c>
      <c r="AB92" s="3056">
        <f>IF(A92="","",IF(U92="","",IFERROR(INT(U92-TODAY()),"")))</f>
      </c>
      <c r="AC92" s="3056">
        <f>IF(A92="","",IF(AND(T92="",U92=""),"",IF(T92="","SEM CAMINHO",IF(U92="","SEM DATA",IFERROR(IF(AB92&lt;15,"VERMELHO",IF(AB92&lt;=30,"AMARELO","VERDE")),"DATA INVALIDA")))))</f>
      </c>
      <c r="AD92" s="3056">
        <f>IF(OR(A92="",U92="",NOT(ISNUMBER(AB92))),"",RANK(AB92,$AB$3:$AB$164,1)+COUNTIFS($AB$3:AB92,AB92)-1)</f>
      </c>
      <c r="AE92" s="1736"/>
    </row>
    <row r="93" spans="1:19" ht="22.0" hidden="false" customHeight="true" x14ac:dyDescent="0.25">
      <c r="A93" s="3089" t="s">
        <v>221</v>
      </c>
      <c r="B93" s="3088" t="s">
        <v>222</v>
      </c>
      <c r="C93" s="3088" t="s">
        <v>62</v>
      </c>
      <c r="D93" s="3088" t="s">
        <v>390</v>
      </c>
      <c r="E93" s="3088"/>
      <c r="F93" s="3088" t="s">
        <v>223</v>
      </c>
      <c r="G93" s="3088" t="s">
        <v>13</v>
      </c>
      <c r="H93" s="3088" t="s">
        <v>49</v>
      </c>
      <c r="I93" s="3088"/>
      <c r="J93" s="3088"/>
      <c r="K93" s="3088"/>
      <c r="L93" s="3088"/>
      <c r="M93" s="3088" t="s">
        <v>389</v>
      </c>
      <c r="N93" s="3088"/>
      <c r="O93" s="3088" t="s">
        <v>350</v>
      </c>
      <c r="P93" s="3088"/>
      <c r="Q93" s="3091"/>
      <c r="R93" s="3091"/>
      <c r="S93" s="3091"/>
      <c r="T93" s="3091"/>
      <c r="U93" s="3092"/>
      <c r="V93" s="3088"/>
      <c r="W93" s="3088"/>
      <c r="X93" s="3056">
        <f>IF(A93="","",IF(LEN(SUBSTITUTE(SUBSTITUTE(SUBSTITUTE(SUBSTITUTE(D93,".",""),"/",""),"-","")," ",""))&lt;&gt;14,"CNPJ INVALIDO","OK"))</f>
      </c>
      <c r="Y93" s="3056">
        <f>IF(A93="","",IF(R93="","REST PENDENTE","REST OK"))</f>
      </c>
      <c r="Z93" s="3056">
        <f>IF(A93="","",IF(AND(R93&lt;&gt;"",COUNTIFS($D$3:$D$164,D93,$R$3:$R$164,"&lt;&gt;")&gt;1),"DUPLICADO","OK"))</f>
      </c>
      <c r="AA93" s="3056">
        <f>IF(A93="","",IF(OR(LEN(Q93)&gt;180,LEN(R93)&gt;180,LEN(S93)&gt;180,LEN(T93)&gt;180),"CAMINHO LONGO","OK"))</f>
      </c>
      <c r="AB93" s="3056">
        <f>IF(A93="","",IF(U93="","",IFERROR(INT(U93-TODAY()),"")))</f>
      </c>
      <c r="AC93" s="3056">
        <f>IF(A93="","",IF(AND(T93="",U93=""),"",IF(T93="","SEM CAMINHO",IF(U93="","SEM DATA",IFERROR(IF(AB93&lt;15,"VERMELHO",IF(AB93&lt;=30,"AMARELO","VERDE")),"DATA INVALIDA")))))</f>
      </c>
      <c r="AD93" s="3056">
        <f>IF(OR(A93="",U93="",NOT(ISNUMBER(AB93))),"",RANK(AB93,$AB$3:$AB$164,1)+COUNTIFS($AB$3:AB93,AB93)-1)</f>
      </c>
      <c r="AE93" s="1736"/>
    </row>
    <row r="94" spans="1:19" ht="22.0" hidden="false" customHeight="true" x14ac:dyDescent="0.25">
      <c r="A94" s="3094" t="s">
        <v>224</v>
      </c>
      <c r="B94" s="3093" t="s">
        <v>182</v>
      </c>
      <c r="C94" s="3093" t="s">
        <v>83</v>
      </c>
      <c r="D94" s="3093">
        <v>21371431000134</v>
      </c>
      <c r="E94" s="3093"/>
      <c r="F94" s="3093" t="s">
        <v>225</v>
      </c>
      <c r="G94" s="3093" t="s">
        <v>4</v>
      </c>
      <c r="H94" s="3093" t="s">
        <v>5</v>
      </c>
      <c r="I94" s="3093"/>
      <c r="J94" s="3093"/>
      <c r="K94" s="3093"/>
      <c r="L94" s="3093"/>
      <c r="M94" s="3093" t="s">
        <v>375</v>
      </c>
      <c r="N94" s="3093"/>
      <c r="O94" s="3093" t="s">
        <v>357</v>
      </c>
      <c r="P94" s="3093"/>
      <c r="Q94" s="3096"/>
      <c r="R94" s="3096"/>
      <c r="S94" s="3096"/>
      <c r="T94" s="3096"/>
      <c r="U94" s="3097"/>
      <c r="V94" s="3093"/>
      <c r="W94" s="3093"/>
      <c r="X94" s="3056">
        <f>IF(A94="","",IF(LEN(SUBSTITUTE(SUBSTITUTE(SUBSTITUTE(SUBSTITUTE(D94,".",""),"/",""),"-","")," ",""))&lt;&gt;14,"CNPJ INVALIDO","OK"))</f>
      </c>
      <c r="Y94" s="3056">
        <f>IF(A94="","",IF(R94="","REST PENDENTE","REST OK"))</f>
      </c>
      <c r="Z94" s="3056">
        <f>IF(A94="","",IF(AND(R94&lt;&gt;"",COUNTIFS($D$3:$D$164,D94,$R$3:$R$164,"&lt;&gt;")&gt;1),"DUPLICADO","OK"))</f>
      </c>
      <c r="AA94" s="3056">
        <f>IF(A94="","",IF(OR(LEN(Q94)&gt;180,LEN(R94)&gt;180,LEN(S94)&gt;180,LEN(T94)&gt;180),"CAMINHO LONGO","OK"))</f>
      </c>
      <c r="AB94" s="3056">
        <f>IF(A94="","",IF(U94="","",IFERROR(INT(U94-TODAY()),"")))</f>
      </c>
      <c r="AC94" s="3056">
        <f>IF(A94="","",IF(AND(T94="",U94=""),"",IF(T94="","SEM CAMINHO",IF(U94="","SEM DATA",IFERROR(IF(AB94&lt;15,"VERMELHO",IF(AB94&lt;=30,"AMARELO","VERDE")),"DATA INVALIDA")))))</f>
      </c>
      <c r="AD94" s="3056">
        <f>IF(OR(A94="",U94="",NOT(ISNUMBER(AB94))),"",RANK(AB94,$AB$3:$AB$164,1)+COUNTIFS($AB$3:AB94,AB94)-1)</f>
      </c>
      <c r="AE94" s="1736"/>
    </row>
    <row r="95" spans="1:19" ht="22.0" hidden="false" customHeight="true" x14ac:dyDescent="0.25">
      <c r="A95" s="3089" t="s">
        <v>226</v>
      </c>
      <c r="B95" s="3088" t="s">
        <v>227</v>
      </c>
      <c r="C95" s="3088" t="s">
        <v>122</v>
      </c>
      <c r="D95" s="3088">
        <v>9421791000106</v>
      </c>
      <c r="E95" s="3088"/>
      <c r="F95" s="3088" t="s">
        <v>228</v>
      </c>
      <c r="G95" s="3088" t="s">
        <v>4</v>
      </c>
      <c r="H95" s="3088" t="s">
        <v>5</v>
      </c>
      <c r="I95" s="3088"/>
      <c r="J95" s="3088"/>
      <c r="K95" s="3088"/>
      <c r="L95" s="3088"/>
      <c r="M95" s="3088" t="s">
        <v>379</v>
      </c>
      <c r="N95" s="3088"/>
      <c r="O95" s="3088" t="s">
        <v>349</v>
      </c>
      <c r="P95" s="3088"/>
      <c r="Q95" s="3091"/>
      <c r="R95" s="3091"/>
      <c r="S95" s="3091"/>
      <c r="T95" s="3091"/>
      <c r="U95" s="3092"/>
      <c r="V95" s="3088"/>
      <c r="W95" s="3088"/>
      <c r="X95" s="3056">
        <f>IF(A95="","",IF(LEN(SUBSTITUTE(SUBSTITUTE(SUBSTITUTE(SUBSTITUTE(D95,".",""),"/",""),"-","")," ",""))&lt;&gt;14,"CNPJ INVALIDO","OK"))</f>
      </c>
      <c r="Y95" s="3056">
        <f>IF(A95="","",IF(R95="","REST PENDENTE","REST OK"))</f>
      </c>
      <c r="Z95" s="3056">
        <f>IF(A95="","",IF(AND(R95&lt;&gt;"",COUNTIFS($D$3:$D$164,D95,$R$3:$R$164,"&lt;&gt;")&gt;1),"DUPLICADO","OK"))</f>
      </c>
      <c r="AA95" s="3056">
        <f>IF(A95="","",IF(OR(LEN(Q95)&gt;180,LEN(R95)&gt;180,LEN(S95)&gt;180,LEN(T95)&gt;180),"CAMINHO LONGO","OK"))</f>
      </c>
      <c r="AB95" s="3056">
        <f>IF(A95="","",IF(U95="","",IFERROR(INT(U95-TODAY()),"")))</f>
      </c>
      <c r="AC95" s="3056">
        <f>IF(A95="","",IF(AND(T95="",U95=""),"",IF(T95="","SEM CAMINHO",IF(U95="","SEM DATA",IFERROR(IF(AB95&lt;15,"VERMELHO",IF(AB95&lt;=30,"AMARELO","VERDE")),"DATA INVALIDA")))))</f>
      </c>
      <c r="AD95" s="3056">
        <f>IF(OR(A95="",U95="",NOT(ISNUMBER(AB95))),"",RANK(AB95,$AB$3:$AB$164,1)+COUNTIFS($AB$3:AB95,AB95)-1)</f>
      </c>
      <c r="AE95" s="1736"/>
    </row>
    <row r="96" spans="1:19" ht="22.0" hidden="false" customHeight="true" x14ac:dyDescent="0.25">
      <c r="A96" s="3094" t="s">
        <v>229</v>
      </c>
      <c r="B96" s="3093" t="s">
        <v>96</v>
      </c>
      <c r="C96" s="3093" t="s">
        <v>230</v>
      </c>
      <c r="D96" s="3093" t="s">
        <v>391</v>
      </c>
      <c r="E96" s="3093"/>
      <c r="F96" s="3093" t="s">
        <v>99</v>
      </c>
      <c r="G96" s="3093" t="s">
        <v>4</v>
      </c>
      <c r="H96" s="3093" t="s">
        <v>14</v>
      </c>
      <c r="I96" s="3093"/>
      <c r="J96" s="3093"/>
      <c r="K96" s="3093"/>
      <c r="L96" s="3093"/>
      <c r="M96" s="3093" t="s">
        <v>376</v>
      </c>
      <c r="N96" s="3093"/>
      <c r="O96" s="3093" t="s">
        <v>349</v>
      </c>
      <c r="P96" s="3093"/>
      <c r="Q96" s="3096"/>
      <c r="R96" s="3096"/>
      <c r="S96" s="3096"/>
      <c r="T96" s="3096"/>
      <c r="U96" s="3097"/>
      <c r="V96" s="3093"/>
      <c r="W96" s="3093"/>
      <c r="X96" s="3056">
        <f>IF(A96="","",IF(LEN(SUBSTITUTE(SUBSTITUTE(SUBSTITUTE(SUBSTITUTE(D96,".",""),"/",""),"-","")," ",""))&lt;&gt;14,"CNPJ INVALIDO","OK"))</f>
      </c>
      <c r="Y96" s="3056">
        <f>IF(A96="","",IF(R96="","REST PENDENTE","REST OK"))</f>
      </c>
      <c r="Z96" s="3056">
        <f>IF(A96="","",IF(AND(R96&lt;&gt;"",COUNTIFS($D$3:$D$164,D96,$R$3:$R$164,"&lt;&gt;")&gt;1),"DUPLICADO","OK"))</f>
      </c>
      <c r="AA96" s="3056">
        <f>IF(A96="","",IF(OR(LEN(Q96)&gt;180,LEN(R96)&gt;180,LEN(S96)&gt;180,LEN(T96)&gt;180),"CAMINHO LONGO","OK"))</f>
      </c>
      <c r="AB96" s="3056">
        <f>IF(A96="","",IF(U96="","",IFERROR(INT(U96-TODAY()),"")))</f>
      </c>
      <c r="AC96" s="3056">
        <f>IF(A96="","",IF(AND(T96="",U96=""),"",IF(T96="","SEM CAMINHO",IF(U96="","SEM DATA",IFERROR(IF(AB96&lt;15,"VERMELHO",IF(AB96&lt;=30,"AMARELO","VERDE")),"DATA INVALIDA")))))</f>
      </c>
      <c r="AD96" s="3056">
        <f>IF(OR(A96="",U96="",NOT(ISNUMBER(AB96))),"",RANK(AB96,$AB$3:$AB$164,1)+COUNTIFS($AB$3:AB96,AB96)-1)</f>
      </c>
      <c r="AE96" s="1736"/>
    </row>
    <row r="97" spans="1:19" ht="22.0" hidden="false" customHeight="true" x14ac:dyDescent="0.25">
      <c r="A97" s="3089" t="s">
        <v>231</v>
      </c>
      <c r="B97" s="3088" t="s">
        <v>211</v>
      </c>
      <c r="C97" s="3088" t="s">
        <v>69</v>
      </c>
      <c r="D97" s="3088" t="s">
        <v>232</v>
      </c>
      <c r="E97" s="3088"/>
      <c r="F97" s="3088"/>
      <c r="G97" s="3088" t="s">
        <v>4</v>
      </c>
      <c r="H97" s="3088" t="s">
        <v>49</v>
      </c>
      <c r="I97" s="3088"/>
      <c r="J97" s="3088"/>
      <c r="K97" s="3088"/>
      <c r="L97" s="3088"/>
      <c r="M97" s="3088" t="s">
        <v>379</v>
      </c>
      <c r="N97" s="3088"/>
      <c r="O97" s="3088" t="s">
        <v>349</v>
      </c>
      <c r="P97" s="3088"/>
      <c r="Q97" s="3091"/>
      <c r="R97" s="3091"/>
      <c r="S97" s="3091"/>
      <c r="T97" s="3091"/>
      <c r="U97" s="3092"/>
      <c r="V97" s="3088"/>
      <c r="W97" s="3088"/>
      <c r="X97" s="3056">
        <f>IF(A97="","",IF(LEN(SUBSTITUTE(SUBSTITUTE(SUBSTITUTE(SUBSTITUTE(D97,".",""),"/",""),"-","")," ",""))&lt;&gt;14,"CNPJ INVALIDO","OK"))</f>
      </c>
      <c r="Y97" s="3056">
        <f>IF(A97="","",IF(R97="","REST PENDENTE","REST OK"))</f>
      </c>
      <c r="Z97" s="3056">
        <f>IF(A97="","",IF(AND(R97&lt;&gt;"",COUNTIFS($D$3:$D$164,D97,$R$3:$R$164,"&lt;&gt;")&gt;1),"DUPLICADO","OK"))</f>
      </c>
      <c r="AA97" s="3056">
        <f>IF(A97="","",IF(OR(LEN(Q97)&gt;180,LEN(R97)&gt;180,LEN(S97)&gt;180,LEN(T97)&gt;180),"CAMINHO LONGO","OK"))</f>
      </c>
      <c r="AB97" s="3056">
        <f>IF(A97="","",IF(U97="","",IFERROR(INT(U97-TODAY()),"")))</f>
      </c>
      <c r="AC97" s="3056">
        <f>IF(A97="","",IF(AND(T97="",U97=""),"",IF(T97="","SEM CAMINHO",IF(U97="","SEM DATA",IFERROR(IF(AB97&lt;15,"VERMELHO",IF(AB97&lt;=30,"AMARELO","VERDE")),"DATA INVALIDA")))))</f>
      </c>
      <c r="AD97" s="3056">
        <f>IF(OR(A97="",U97="",NOT(ISNUMBER(AB97))),"",RANK(AB97,$AB$3:$AB$164,1)+COUNTIFS($AB$3:AB97,AB97)-1)</f>
      </c>
      <c r="AE97" s="1736"/>
    </row>
    <row r="98" spans="1:19" ht="22.0" hidden="false" customHeight="true" x14ac:dyDescent="0.25">
      <c r="A98" s="3094" t="s">
        <v>233</v>
      </c>
      <c r="B98" s="3093" t="s">
        <v>134</v>
      </c>
      <c r="C98" s="3093" t="s">
        <v>116</v>
      </c>
      <c r="D98" s="3093" t="s">
        <v>234</v>
      </c>
      <c r="E98" s="3093"/>
      <c r="F98" s="3093" t="s">
        <v>138</v>
      </c>
      <c r="G98" s="3093" t="s">
        <v>13</v>
      </c>
      <c r="H98" s="3093" t="s">
        <v>14</v>
      </c>
      <c r="I98" s="3093"/>
      <c r="J98" s="3093"/>
      <c r="K98" s="3093"/>
      <c r="L98" s="3093"/>
      <c r="M98" s="3093" t="s">
        <v>359</v>
      </c>
      <c r="N98" s="3093"/>
      <c r="O98" s="3093" t="s">
        <v>358</v>
      </c>
      <c r="P98" s="3093"/>
      <c r="Q98" s="3096"/>
      <c r="R98" s="3096"/>
      <c r="S98" s="3096"/>
      <c r="T98" s="3096"/>
      <c r="U98" s="3097"/>
      <c r="V98" s="3093"/>
      <c r="W98" s="3093"/>
      <c r="X98" s="3056">
        <f>IF(A98="","",IF(LEN(SUBSTITUTE(SUBSTITUTE(SUBSTITUTE(SUBSTITUTE(D98,".",""),"/",""),"-","")," ",""))&lt;&gt;14,"CNPJ INVALIDO","OK"))</f>
      </c>
      <c r="Y98" s="3056">
        <f>IF(A98="","",IF(R98="","REST PENDENTE","REST OK"))</f>
      </c>
      <c r="Z98" s="3056">
        <f>IF(A98="","",IF(AND(R98&lt;&gt;"",COUNTIFS($D$3:$D$164,D98,$R$3:$R$164,"&lt;&gt;")&gt;1),"DUPLICADO","OK"))</f>
      </c>
      <c r="AA98" s="3056">
        <f>IF(A98="","",IF(OR(LEN(Q98)&gt;180,LEN(R98)&gt;180,LEN(S98)&gt;180,LEN(T98)&gt;180),"CAMINHO LONGO","OK"))</f>
      </c>
      <c r="AB98" s="3056">
        <f>IF(A98="","",IF(U98="","",IFERROR(INT(U98-TODAY()),"")))</f>
      </c>
      <c r="AC98" s="3056">
        <f>IF(A98="","",IF(AND(T98="",U98=""),"",IF(T98="","SEM CAMINHO",IF(U98="","SEM DATA",IFERROR(IF(AB98&lt;15,"VERMELHO",IF(AB98&lt;=30,"AMARELO","VERDE")),"DATA INVALIDA")))))</f>
      </c>
      <c r="AD98" s="3056">
        <f>IF(OR(A98="",U98="",NOT(ISNUMBER(AB98))),"",RANK(AB98,$AB$3:$AB$164,1)+COUNTIFS($AB$3:AB98,AB98)-1)</f>
      </c>
      <c r="AE98" s="1736"/>
    </row>
    <row r="99" spans="1:19" ht="22.0" hidden="false" customHeight="true" x14ac:dyDescent="0.25">
      <c r="A99" s="3089" t="s">
        <v>235</v>
      </c>
      <c r="B99" s="3088" t="s">
        <v>134</v>
      </c>
      <c r="C99" s="3088" t="s">
        <v>116</v>
      </c>
      <c r="D99" s="3088" t="s">
        <v>236</v>
      </c>
      <c r="E99" s="3088"/>
      <c r="F99" s="3088" t="s">
        <v>138</v>
      </c>
      <c r="G99" s="3088" t="s">
        <v>13</v>
      </c>
      <c r="H99" s="3088" t="s">
        <v>14</v>
      </c>
      <c r="I99" s="3088"/>
      <c r="J99" s="3088"/>
      <c r="K99" s="3088"/>
      <c r="L99" s="3088"/>
      <c r="M99" s="3088" t="s">
        <v>359</v>
      </c>
      <c r="N99" s="3088"/>
      <c r="O99" s="3088" t="s">
        <v>358</v>
      </c>
      <c r="P99" s="3088"/>
      <c r="Q99" s="3091"/>
      <c r="R99" s="3091"/>
      <c r="S99" s="3091"/>
      <c r="T99" s="3091"/>
      <c r="U99" s="3092"/>
      <c r="V99" s="3088"/>
      <c r="W99" s="3088"/>
      <c r="X99" s="3056">
        <f>IF(A99="","",IF(LEN(SUBSTITUTE(SUBSTITUTE(SUBSTITUTE(SUBSTITUTE(D99,".",""),"/",""),"-","")," ",""))&lt;&gt;14,"CNPJ INVALIDO","OK"))</f>
      </c>
      <c r="Y99" s="3056">
        <f>IF(A99="","",IF(R99="","REST PENDENTE","REST OK"))</f>
      </c>
      <c r="Z99" s="3056">
        <f>IF(A99="","",IF(AND(R99&lt;&gt;"",COUNTIFS($D$3:$D$164,D99,$R$3:$R$164,"&lt;&gt;")&gt;1),"DUPLICADO","OK"))</f>
      </c>
      <c r="AA99" s="3056">
        <f>IF(A99="","",IF(OR(LEN(Q99)&gt;180,LEN(R99)&gt;180,LEN(S99)&gt;180,LEN(T99)&gt;180),"CAMINHO LONGO","OK"))</f>
      </c>
      <c r="AB99" s="3056">
        <f>IF(A99="","",IF(U99="","",IFERROR(INT(U99-TODAY()),"")))</f>
      </c>
      <c r="AC99" s="3056">
        <f>IF(A99="","",IF(AND(T99="",U99=""),"",IF(T99="","SEM CAMINHO",IF(U99="","SEM DATA",IFERROR(IF(AB99&lt;15,"VERMELHO",IF(AB99&lt;=30,"AMARELO","VERDE")),"DATA INVALIDA")))))</f>
      </c>
      <c r="AD99" s="3056">
        <f>IF(OR(A99="",U99="",NOT(ISNUMBER(AB99))),"",RANK(AB99,$AB$3:$AB$164,1)+COUNTIFS($AB$3:AB99,AB99)-1)</f>
      </c>
      <c r="AE99" s="1736"/>
    </row>
    <row r="100" spans="1:19" ht="22.0" hidden="false" customHeight="true" x14ac:dyDescent="0.25">
      <c r="A100" s="3094" t="s">
        <v>237</v>
      </c>
      <c r="B100" s="3093" t="s">
        <v>134</v>
      </c>
      <c r="C100" s="3093" t="s">
        <v>116</v>
      </c>
      <c r="D100" s="3093" t="s">
        <v>238</v>
      </c>
      <c r="E100" s="3093"/>
      <c r="F100" s="3093" t="s">
        <v>138</v>
      </c>
      <c r="G100" s="3093" t="s">
        <v>13</v>
      </c>
      <c r="H100" s="3093" t="s">
        <v>14</v>
      </c>
      <c r="I100" s="3093"/>
      <c r="J100" s="3093"/>
      <c r="K100" s="3093"/>
      <c r="L100" s="3093"/>
      <c r="M100" s="3093" t="s">
        <v>359</v>
      </c>
      <c r="N100" s="3093"/>
      <c r="O100" s="3093" t="s">
        <v>358</v>
      </c>
      <c r="P100" s="3093"/>
      <c r="Q100" s="3096"/>
      <c r="R100" s="3096"/>
      <c r="S100" s="3096"/>
      <c r="T100" s="3096"/>
      <c r="U100" s="3097"/>
      <c r="V100" s="3093"/>
      <c r="W100" s="3093"/>
      <c r="X100" s="3056">
        <f>IF(A100="","",IF(LEN(SUBSTITUTE(SUBSTITUTE(SUBSTITUTE(SUBSTITUTE(D100,".",""),"/",""),"-","")," ",""))&lt;&gt;14,"CNPJ INVALIDO","OK"))</f>
      </c>
      <c r="Y100" s="3056">
        <f>IF(A100="","",IF(R100="","REST PENDENTE","REST OK"))</f>
      </c>
      <c r="Z100" s="3056">
        <f>IF(A100="","",IF(AND(R100&lt;&gt;"",COUNTIFS($D$3:$D$164,D100,$R$3:$R$164,"&lt;&gt;")&gt;1),"DUPLICADO","OK"))</f>
      </c>
      <c r="AA100" s="3056">
        <f>IF(A100="","",IF(OR(LEN(Q100)&gt;180,LEN(R100)&gt;180,LEN(S100)&gt;180,LEN(T100)&gt;180),"CAMINHO LONGO","OK"))</f>
      </c>
      <c r="AB100" s="3056">
        <f>IF(A100="","",IF(U100="","",IFERROR(INT(U100-TODAY()),"")))</f>
      </c>
      <c r="AC100" s="3056">
        <f>IF(A100="","",IF(AND(T100="",U100=""),"",IF(T100="","SEM CAMINHO",IF(U100="","SEM DATA",IFERROR(IF(AB100&lt;15,"VERMELHO",IF(AB100&lt;=30,"AMARELO","VERDE")),"DATA INVALIDA")))))</f>
      </c>
      <c r="AD100" s="3056">
        <f>IF(OR(A100="",U100="",NOT(ISNUMBER(AB100))),"",RANK(AB100,$AB$3:$AB$164,1)+COUNTIFS($AB$3:AB100,AB100)-1)</f>
      </c>
      <c r="AE100" s="1736"/>
    </row>
    <row r="101" spans="1:19" ht="22.0" hidden="false" customHeight="true" x14ac:dyDescent="0.25">
      <c r="A101" s="3089" t="s">
        <v>239</v>
      </c>
      <c r="B101" s="3088" t="s">
        <v>55</v>
      </c>
      <c r="C101" s="3088" t="s">
        <v>56</v>
      </c>
      <c r="D101" s="3088" t="s">
        <v>240</v>
      </c>
      <c r="E101" s="3088"/>
      <c r="F101" s="3088" t="s">
        <v>57</v>
      </c>
      <c r="G101" s="3088" t="s">
        <v>13</v>
      </c>
      <c r="H101" s="3088" t="s">
        <v>5</v>
      </c>
      <c r="I101" s="3088"/>
      <c r="J101" s="3088"/>
      <c r="K101" s="3088"/>
      <c r="L101" s="3088"/>
      <c r="M101" s="3088" t="s">
        <v>376</v>
      </c>
      <c r="N101" s="3088" t="s">
        <v>361</v>
      </c>
      <c r="O101" s="3088" t="s">
        <v>349</v>
      </c>
      <c r="P101" s="3088"/>
      <c r="Q101" s="3091"/>
      <c r="R101" s="3091"/>
      <c r="S101" s="3091"/>
      <c r="T101" s="3091"/>
      <c r="U101" s="3092"/>
      <c r="V101" s="3088"/>
      <c r="W101" s="3088"/>
      <c r="X101" s="3056">
        <f>IF(A101="","",IF(LEN(SUBSTITUTE(SUBSTITUTE(SUBSTITUTE(SUBSTITUTE(D101,".",""),"/",""),"-","")," ",""))&lt;&gt;14,"CNPJ INVALIDO","OK"))</f>
      </c>
      <c r="Y101" s="3056">
        <f>IF(A101="","",IF(R101="","REST PENDENTE","REST OK"))</f>
      </c>
      <c r="Z101" s="3056">
        <f>IF(A101="","",IF(AND(R101&lt;&gt;"",COUNTIFS($D$3:$D$164,D101,$R$3:$R$164,"&lt;&gt;")&gt;1),"DUPLICADO","OK"))</f>
      </c>
      <c r="AA101" s="3056">
        <f>IF(A101="","",IF(OR(LEN(Q101)&gt;180,LEN(R101)&gt;180,LEN(S101)&gt;180,LEN(T101)&gt;180),"CAMINHO LONGO","OK"))</f>
      </c>
      <c r="AB101" s="3056">
        <f>IF(A101="","",IF(U101="","",IFERROR(INT(U101-TODAY()),"")))</f>
      </c>
      <c r="AC101" s="3056">
        <f>IF(A101="","",IF(AND(T101="",U101=""),"",IF(T101="","SEM CAMINHO",IF(U101="","SEM DATA",IFERROR(IF(AB101&lt;15,"VERMELHO",IF(AB101&lt;=30,"AMARELO","VERDE")),"DATA INVALIDA")))))</f>
      </c>
      <c r="AD101" s="3056">
        <f>IF(OR(A101="",U101="",NOT(ISNUMBER(AB101))),"",RANK(AB101,$AB$3:$AB$164,1)+COUNTIFS($AB$3:AB101,AB101)-1)</f>
      </c>
      <c r="AE101" s="1736"/>
    </row>
    <row r="102" spans="1:19" ht="22.0" hidden="false" customHeight="true" x14ac:dyDescent="0.25">
      <c r="A102" s="3094" t="s">
        <v>241</v>
      </c>
      <c r="B102" s="3093" t="s">
        <v>55</v>
      </c>
      <c r="C102" s="3093" t="s">
        <v>242</v>
      </c>
      <c r="D102" s="3093" t="s">
        <v>243</v>
      </c>
      <c r="E102" s="3093"/>
      <c r="F102" s="3093" t="s">
        <v>57</v>
      </c>
      <c r="G102" s="3093" t="s">
        <v>13</v>
      </c>
      <c r="H102" s="3093" t="s">
        <v>5</v>
      </c>
      <c r="I102" s="3093"/>
      <c r="J102" s="3093"/>
      <c r="K102" s="3093"/>
      <c r="L102" s="3093"/>
      <c r="M102" s="3093" t="s">
        <v>376</v>
      </c>
      <c r="N102" s="3093" t="s">
        <v>372</v>
      </c>
      <c r="O102" s="3093" t="s">
        <v>349</v>
      </c>
      <c r="P102" s="3093"/>
      <c r="Q102" s="3096"/>
      <c r="R102" s="3096"/>
      <c r="S102" s="3096"/>
      <c r="T102" s="3096"/>
      <c r="U102" s="3097"/>
      <c r="V102" s="3093"/>
      <c r="W102" s="3093"/>
      <c r="X102" s="3056">
        <f>IF(A102="","",IF(LEN(SUBSTITUTE(SUBSTITUTE(SUBSTITUTE(SUBSTITUTE(D102,".",""),"/",""),"-","")," ",""))&lt;&gt;14,"CNPJ INVALIDO","OK"))</f>
      </c>
      <c r="Y102" s="3056">
        <f>IF(A102="","",IF(R102="","REST PENDENTE","REST OK"))</f>
      </c>
      <c r="Z102" s="3056">
        <f>IF(A102="","",IF(AND(R102&lt;&gt;"",COUNTIFS($D$3:$D$164,D102,$R$3:$R$164,"&lt;&gt;")&gt;1),"DUPLICADO","OK"))</f>
      </c>
      <c r="AA102" s="3056">
        <f>IF(A102="","",IF(OR(LEN(Q102)&gt;180,LEN(R102)&gt;180,LEN(S102)&gt;180,LEN(T102)&gt;180),"CAMINHO LONGO","OK"))</f>
      </c>
      <c r="AB102" s="3056">
        <f>IF(A102="","",IF(U102="","",IFERROR(INT(U102-TODAY()),"")))</f>
      </c>
      <c r="AC102" s="3056">
        <f>IF(A102="","",IF(AND(T102="",U102=""),"",IF(T102="","SEM CAMINHO",IF(U102="","SEM DATA",IFERROR(IF(AB102&lt;15,"VERMELHO",IF(AB102&lt;=30,"AMARELO","VERDE")),"DATA INVALIDA")))))</f>
      </c>
      <c r="AD102" s="3056">
        <f>IF(OR(A102="",U102="",NOT(ISNUMBER(AB102))),"",RANK(AB102,$AB$3:$AB$164,1)+COUNTIFS($AB$3:AB102,AB102)-1)</f>
      </c>
      <c r="AE102" s="1736"/>
    </row>
    <row r="103" spans="1:19" ht="22.0" hidden="false" customHeight="true" x14ac:dyDescent="0.25">
      <c r="A103" s="3089" t="s">
        <v>244</v>
      </c>
      <c r="B103" s="3088" t="s">
        <v>55</v>
      </c>
      <c r="C103" s="3088" t="s">
        <v>245</v>
      </c>
      <c r="D103" s="3088" t="s">
        <v>246</v>
      </c>
      <c r="E103" s="3088"/>
      <c r="F103" s="3088" t="s">
        <v>57</v>
      </c>
      <c r="G103" s="3088" t="s">
        <v>13</v>
      </c>
      <c r="H103" s="3088" t="s">
        <v>5</v>
      </c>
      <c r="I103" s="3088"/>
      <c r="J103" s="3088"/>
      <c r="K103" s="3088"/>
      <c r="L103" s="3088"/>
      <c r="M103" s="3088" t="s">
        <v>376</v>
      </c>
      <c r="N103" s="3088" t="s">
        <v>361</v>
      </c>
      <c r="O103" s="3088" t="s">
        <v>349</v>
      </c>
      <c r="P103" s="3088"/>
      <c r="Q103" s="3091"/>
      <c r="R103" s="3091"/>
      <c r="S103" s="3091"/>
      <c r="T103" s="3091"/>
      <c r="U103" s="3092"/>
      <c r="V103" s="3088"/>
      <c r="W103" s="3088"/>
      <c r="X103" s="3056">
        <f>IF(A103="","",IF(LEN(SUBSTITUTE(SUBSTITUTE(SUBSTITUTE(SUBSTITUTE(D103,".",""),"/",""),"-","")," ",""))&lt;&gt;14,"CNPJ INVALIDO","OK"))</f>
      </c>
      <c r="Y103" s="3056">
        <f>IF(A103="","",IF(R103="","REST PENDENTE","REST OK"))</f>
      </c>
      <c r="Z103" s="3056">
        <f>IF(A103="","",IF(AND(R103&lt;&gt;"",COUNTIFS($D$3:$D$164,D103,$R$3:$R$164,"&lt;&gt;")&gt;1),"DUPLICADO","OK"))</f>
      </c>
      <c r="AA103" s="3056">
        <f>IF(A103="","",IF(OR(LEN(Q103)&gt;180,LEN(R103)&gt;180,LEN(S103)&gt;180,LEN(T103)&gt;180),"CAMINHO LONGO","OK"))</f>
      </c>
      <c r="AB103" s="3056">
        <f>IF(A103="","",IF(U103="","",IFERROR(INT(U103-TODAY()),"")))</f>
      </c>
      <c r="AC103" s="3056">
        <f>IF(A103="","",IF(AND(T103="",U103=""),"",IF(T103="","SEM CAMINHO",IF(U103="","SEM DATA",IFERROR(IF(AB103&lt;15,"VERMELHO",IF(AB103&lt;=30,"AMARELO","VERDE")),"DATA INVALIDA")))))</f>
      </c>
      <c r="AD103" s="3056">
        <f>IF(OR(A103="",U103="",NOT(ISNUMBER(AB103))),"",RANK(AB103,$AB$3:$AB$164,1)+COUNTIFS($AB$3:AB103,AB103)-1)</f>
      </c>
      <c r="AE103" s="1736"/>
    </row>
    <row r="104" spans="1:19" ht="22.0" hidden="false" customHeight="true" x14ac:dyDescent="0.25">
      <c r="A104" s="3094" t="s">
        <v>247</v>
      </c>
      <c r="B104" s="3093" t="s">
        <v>55</v>
      </c>
      <c r="C104" s="3093" t="s">
        <v>248</v>
      </c>
      <c r="D104" s="3093" t="s">
        <v>249</v>
      </c>
      <c r="E104" s="3093"/>
      <c r="F104" s="3093" t="s">
        <v>57</v>
      </c>
      <c r="G104" s="3093" t="s">
        <v>13</v>
      </c>
      <c r="H104" s="3093" t="s">
        <v>49</v>
      </c>
      <c r="I104" s="3093"/>
      <c r="J104" s="3093"/>
      <c r="K104" s="3093"/>
      <c r="L104" s="3093"/>
      <c r="M104" s="3093" t="s">
        <v>376</v>
      </c>
      <c r="N104" s="3093" t="s">
        <v>373</v>
      </c>
      <c r="O104" s="3093" t="s">
        <v>349</v>
      </c>
      <c r="P104" s="3093"/>
      <c r="Q104" s="3096"/>
      <c r="R104" s="3096"/>
      <c r="S104" s="3096"/>
      <c r="T104" s="3096"/>
      <c r="U104" s="3097"/>
      <c r="V104" s="3093"/>
      <c r="W104" s="3093"/>
      <c r="X104" s="3056">
        <f>IF(A104="","",IF(LEN(SUBSTITUTE(SUBSTITUTE(SUBSTITUTE(SUBSTITUTE(D104,".",""),"/",""),"-","")," ",""))&lt;&gt;14,"CNPJ INVALIDO","OK"))</f>
      </c>
      <c r="Y104" s="3056">
        <f>IF(A104="","",IF(R104="","REST PENDENTE","REST OK"))</f>
      </c>
      <c r="Z104" s="3056">
        <f>IF(A104="","",IF(AND(R104&lt;&gt;"",COUNTIFS($D$3:$D$164,D104,$R$3:$R$164,"&lt;&gt;")&gt;1),"DUPLICADO","OK"))</f>
      </c>
      <c r="AA104" s="3056">
        <f>IF(A104="","",IF(OR(LEN(Q104)&gt;180,LEN(R104)&gt;180,LEN(S104)&gt;180,LEN(T104)&gt;180),"CAMINHO LONGO","OK"))</f>
      </c>
      <c r="AB104" s="3056">
        <f>IF(A104="","",IF(U104="","",IFERROR(INT(U104-TODAY()),"")))</f>
      </c>
      <c r="AC104" s="3056">
        <f>IF(A104="","",IF(AND(T104="",U104=""),"",IF(T104="","SEM CAMINHO",IF(U104="","SEM DATA",IFERROR(IF(AB104&lt;15,"VERMELHO",IF(AB104&lt;=30,"AMARELO","VERDE")),"DATA INVALIDA")))))</f>
      </c>
      <c r="AD104" s="3056">
        <f>IF(OR(A104="",U104="",NOT(ISNUMBER(AB104))),"",RANK(AB104,$AB$3:$AB$164,1)+COUNTIFS($AB$3:AB104,AB104)-1)</f>
      </c>
      <c r="AE104" s="1736"/>
    </row>
    <row r="105" spans="1:19" ht="22.0" hidden="false" customHeight="true" x14ac:dyDescent="0.25">
      <c r="A105" s="3089" t="s">
        <v>250</v>
      </c>
      <c r="B105" s="3088" t="s">
        <v>1</v>
      </c>
      <c r="C105" s="3088" t="s">
        <v>2</v>
      </c>
      <c r="D105" s="3088" t="s">
        <v>251</v>
      </c>
      <c r="E105" s="3088"/>
      <c r="F105" s="3088" t="s">
        <v>252</v>
      </c>
      <c r="G105" s="3088" t="s">
        <v>4</v>
      </c>
      <c r="H105" s="3088" t="s">
        <v>49</v>
      </c>
      <c r="I105" s="3088"/>
      <c r="J105" s="3088"/>
      <c r="K105" s="3088"/>
      <c r="L105" s="3088"/>
      <c r="M105" s="3088" t="s">
        <v>371</v>
      </c>
      <c r="N105" s="3088" t="s">
        <v>361</v>
      </c>
      <c r="O105" s="3088" t="s">
        <v>349</v>
      </c>
      <c r="P105" s="3088"/>
      <c r="Q105" s="3091"/>
      <c r="R105" s="3091"/>
      <c r="S105" s="3091"/>
      <c r="T105" s="3091"/>
      <c r="U105" s="3092"/>
      <c r="V105" s="3088"/>
      <c r="W105" s="3088"/>
      <c r="X105" s="3056">
        <f>IF(A105="","",IF(LEN(SUBSTITUTE(SUBSTITUTE(SUBSTITUTE(SUBSTITUTE(D105,".",""),"/",""),"-","")," ",""))&lt;&gt;14,"CNPJ INVALIDO","OK"))</f>
      </c>
      <c r="Y105" s="3056">
        <f>IF(A105="","",IF(R105="","REST PENDENTE","REST OK"))</f>
      </c>
      <c r="Z105" s="3056">
        <f>IF(A105="","",IF(AND(R105&lt;&gt;"",COUNTIFS($D$3:$D$164,D105,$R$3:$R$164,"&lt;&gt;")&gt;1),"DUPLICADO","OK"))</f>
      </c>
      <c r="AA105" s="3056">
        <f>IF(A105="","",IF(OR(LEN(Q105)&gt;180,LEN(R105)&gt;180,LEN(S105)&gt;180,LEN(T105)&gt;180),"CAMINHO LONGO","OK"))</f>
      </c>
      <c r="AB105" s="3056">
        <f>IF(A105="","",IF(U105="","",IFERROR(INT(U105-TODAY()),"")))</f>
      </c>
      <c r="AC105" s="3056">
        <f>IF(A105="","",IF(AND(T105="",U105=""),"",IF(T105="","SEM CAMINHO",IF(U105="","SEM DATA",IFERROR(IF(AB105&lt;15,"VERMELHO",IF(AB105&lt;=30,"AMARELO","VERDE")),"DATA INVALIDA")))))</f>
      </c>
      <c r="AD105" s="3056">
        <f>IF(OR(A105="",U105="",NOT(ISNUMBER(AB105))),"",RANK(AB105,$AB$3:$AB$164,1)+COUNTIFS($AB$3:AB105,AB105)-1)</f>
      </c>
      <c r="AE105" s="1736"/>
    </row>
    <row r="106" spans="1:19" ht="22.0" hidden="false" customHeight="true" x14ac:dyDescent="0.25">
      <c r="A106" s="3094" t="s">
        <v>253</v>
      </c>
      <c r="B106" s="3093" t="s">
        <v>214</v>
      </c>
      <c r="C106" s="3093" t="s">
        <v>62</v>
      </c>
      <c r="D106" s="3093" t="s">
        <v>392</v>
      </c>
      <c r="E106" s="3093"/>
      <c r="F106" s="3093" t="s">
        <v>254</v>
      </c>
      <c r="G106" s="3093" t="s">
        <v>13</v>
      </c>
      <c r="H106" s="3093" t="s">
        <v>5</v>
      </c>
      <c r="I106" s="3093"/>
      <c r="J106" s="3093"/>
      <c r="K106" s="3093"/>
      <c r="L106" s="3093"/>
      <c r="M106" s="3093" t="s">
        <v>376</v>
      </c>
      <c r="N106" s="3093"/>
      <c r="O106" s="3093" t="s">
        <v>349</v>
      </c>
      <c r="P106" s="3093"/>
      <c r="Q106" s="3096"/>
      <c r="R106" s="3096"/>
      <c r="S106" s="3096"/>
      <c r="T106" s="3096"/>
      <c r="U106" s="3097"/>
      <c r="V106" s="3093"/>
      <c r="W106" s="3093"/>
      <c r="X106" s="3056">
        <f>IF(A106="","",IF(LEN(SUBSTITUTE(SUBSTITUTE(SUBSTITUTE(SUBSTITUTE(D106,".",""),"/",""),"-","")," ",""))&lt;&gt;14,"CNPJ INVALIDO","OK"))</f>
      </c>
      <c r="Y106" s="3056">
        <f>IF(A106="","",IF(R106="","REST PENDENTE","REST OK"))</f>
      </c>
      <c r="Z106" s="3056">
        <f>IF(A106="","",IF(AND(R106&lt;&gt;"",COUNTIFS($D$3:$D$164,D106,$R$3:$R$164,"&lt;&gt;")&gt;1),"DUPLICADO","OK"))</f>
      </c>
      <c r="AA106" s="3056">
        <f>IF(A106="","",IF(OR(LEN(Q106)&gt;180,LEN(R106)&gt;180,LEN(S106)&gt;180,LEN(T106)&gt;180),"CAMINHO LONGO","OK"))</f>
      </c>
      <c r="AB106" s="3056">
        <f>IF(A106="","",IF(U106="","",IFERROR(INT(U106-TODAY()),"")))</f>
      </c>
      <c r="AC106" s="3056">
        <f>IF(A106="","",IF(AND(T106="",U106=""),"",IF(T106="","SEM CAMINHO",IF(U106="","SEM DATA",IFERROR(IF(AB106&lt;15,"VERMELHO",IF(AB106&lt;=30,"AMARELO","VERDE")),"DATA INVALIDA")))))</f>
      </c>
      <c r="AD106" s="3056">
        <f>IF(OR(A106="",U106="",NOT(ISNUMBER(AB106))),"",RANK(AB106,$AB$3:$AB$164,1)+COUNTIFS($AB$3:AB106,AB106)-1)</f>
      </c>
      <c r="AE106" s="1736"/>
    </row>
    <row r="107" spans="1:19" ht="22.0" hidden="false" customHeight="true" x14ac:dyDescent="0.25">
      <c r="A107" s="3089" t="s">
        <v>255</v>
      </c>
      <c r="B107" s="3088" t="s">
        <v>214</v>
      </c>
      <c r="C107" s="3088" t="s">
        <v>62</v>
      </c>
      <c r="D107" s="3088" t="s">
        <v>393</v>
      </c>
      <c r="E107" s="3088"/>
      <c r="F107" s="3088" t="s">
        <v>254</v>
      </c>
      <c r="G107" s="3088" t="s">
        <v>13</v>
      </c>
      <c r="H107" s="3088" t="s">
        <v>49</v>
      </c>
      <c r="I107" s="3088"/>
      <c r="J107" s="3088"/>
      <c r="K107" s="3088"/>
      <c r="L107" s="3088"/>
      <c r="M107" s="3088" t="s">
        <v>389</v>
      </c>
      <c r="N107" s="3088"/>
      <c r="O107" s="3088" t="s">
        <v>349</v>
      </c>
      <c r="P107" s="3088"/>
      <c r="Q107" s="3091"/>
      <c r="R107" s="3091"/>
      <c r="S107" s="3091"/>
      <c r="T107" s="3091"/>
      <c r="U107" s="3092"/>
      <c r="V107" s="3088"/>
      <c r="W107" s="3088"/>
      <c r="X107" s="3056">
        <f>IF(A107="","",IF(LEN(SUBSTITUTE(SUBSTITUTE(SUBSTITUTE(SUBSTITUTE(D107,".",""),"/",""),"-","")," ",""))&lt;&gt;14,"CNPJ INVALIDO","OK"))</f>
      </c>
      <c r="Y107" s="3056">
        <f>IF(A107="","",IF(R107="","REST PENDENTE","REST OK"))</f>
      </c>
      <c r="Z107" s="3056">
        <f>IF(A107="","",IF(AND(R107&lt;&gt;"",COUNTIFS($D$3:$D$164,D107,$R$3:$R$164,"&lt;&gt;")&gt;1),"DUPLICADO","OK"))</f>
      </c>
      <c r="AA107" s="3056">
        <f>IF(A107="","",IF(OR(LEN(Q107)&gt;180,LEN(R107)&gt;180,LEN(S107)&gt;180,LEN(T107)&gt;180),"CAMINHO LONGO","OK"))</f>
      </c>
      <c r="AB107" s="3056">
        <f>IF(A107="","",IF(U107="","",IFERROR(INT(U107-TODAY()),"")))</f>
      </c>
      <c r="AC107" s="3056">
        <f>IF(A107="","",IF(AND(T107="",U107=""),"",IF(T107="","SEM CAMINHO",IF(U107="","SEM DATA",IFERROR(IF(AB107&lt;15,"VERMELHO",IF(AB107&lt;=30,"AMARELO","VERDE")),"DATA INVALIDA")))))</f>
      </c>
      <c r="AD107" s="3056">
        <f>IF(OR(A107="",U107="",NOT(ISNUMBER(AB107))),"",RANK(AB107,$AB$3:$AB$164,1)+COUNTIFS($AB$3:AB107,AB107)-1)</f>
      </c>
      <c r="AE107" s="1736"/>
    </row>
    <row r="108" spans="1:19" ht="22.0" hidden="false" customHeight="true" x14ac:dyDescent="0.25">
      <c r="A108" s="3094" t="s">
        <v>256</v>
      </c>
      <c r="B108" s="3093" t="s">
        <v>214</v>
      </c>
      <c r="C108" s="3093" t="s">
        <v>62</v>
      </c>
      <c r="D108" s="3093" t="s">
        <v>394</v>
      </c>
      <c r="E108" s="3093"/>
      <c r="F108" s="3093" t="s">
        <v>257</v>
      </c>
      <c r="G108" s="3093" t="s">
        <v>4</v>
      </c>
      <c r="H108" s="3093" t="s">
        <v>5</v>
      </c>
      <c r="I108" s="3093"/>
      <c r="J108" s="3093"/>
      <c r="K108" s="3093"/>
      <c r="L108" s="3093"/>
      <c r="M108" s="3093" t="s">
        <v>379</v>
      </c>
      <c r="N108" s="3093"/>
      <c r="O108" s="3093" t="s">
        <v>349</v>
      </c>
      <c r="P108" s="3093"/>
      <c r="Q108" s="3096"/>
      <c r="R108" s="3096"/>
      <c r="S108" s="3096"/>
      <c r="T108" s="3096"/>
      <c r="U108" s="3097"/>
      <c r="V108" s="3093"/>
      <c r="W108" s="3093"/>
      <c r="X108" s="3056">
        <f>IF(A108="","",IF(LEN(SUBSTITUTE(SUBSTITUTE(SUBSTITUTE(SUBSTITUTE(D108,".",""),"/",""),"-","")," ",""))&lt;&gt;14,"CNPJ INVALIDO","OK"))</f>
      </c>
      <c r="Y108" s="3056">
        <f>IF(A108="","",IF(R108="","REST PENDENTE","REST OK"))</f>
      </c>
      <c r="Z108" s="3056">
        <f>IF(A108="","",IF(AND(R108&lt;&gt;"",COUNTIFS($D$3:$D$164,D108,$R$3:$R$164,"&lt;&gt;")&gt;1),"DUPLICADO","OK"))</f>
      </c>
      <c r="AA108" s="3056">
        <f>IF(A108="","",IF(OR(LEN(Q108)&gt;180,LEN(R108)&gt;180,LEN(S108)&gt;180,LEN(T108)&gt;180),"CAMINHO LONGO","OK"))</f>
      </c>
      <c r="AB108" s="3056">
        <f>IF(A108="","",IF(U108="","",IFERROR(INT(U108-TODAY()),"")))</f>
      </c>
      <c r="AC108" s="3056">
        <f>IF(A108="","",IF(AND(T108="",U108=""),"",IF(T108="","SEM CAMINHO",IF(U108="","SEM DATA",IFERROR(IF(AB108&lt;15,"VERMELHO",IF(AB108&lt;=30,"AMARELO","VERDE")),"DATA INVALIDA")))))</f>
      </c>
      <c r="AD108" s="3056">
        <f>IF(OR(A108="",U108="",NOT(ISNUMBER(AB108))),"",RANK(AB108,$AB$3:$AB$164,1)+COUNTIFS($AB$3:AB108,AB108)-1)</f>
      </c>
      <c r="AE108" s="1736"/>
    </row>
    <row r="109" spans="1:19" ht="22.0" hidden="false" customHeight="true" x14ac:dyDescent="0.25">
      <c r="A109" s="3089" t="s">
        <v>258</v>
      </c>
      <c r="B109" s="3088" t="s">
        <v>259</v>
      </c>
      <c r="C109" s="3088" t="s">
        <v>69</v>
      </c>
      <c r="D109" s="3088" t="s">
        <v>260</v>
      </c>
      <c r="E109" s="3088"/>
      <c r="F109" s="3088" t="s">
        <v>261</v>
      </c>
      <c r="G109" s="3088" t="s">
        <v>4</v>
      </c>
      <c r="H109" s="3088" t="s">
        <v>5</v>
      </c>
      <c r="I109" s="3088"/>
      <c r="J109" s="3088"/>
      <c r="K109" s="3088"/>
      <c r="L109" s="3088"/>
      <c r="M109" s="3088" t="s">
        <v>371</v>
      </c>
      <c r="N109" s="3088"/>
      <c r="O109" s="3088"/>
      <c r="P109" s="3088"/>
      <c r="Q109" s="3091"/>
      <c r="R109" s="3091"/>
      <c r="S109" s="3091"/>
      <c r="T109" s="3091"/>
      <c r="U109" s="3092"/>
      <c r="V109" s="3088"/>
      <c r="W109" s="3088"/>
      <c r="X109" s="3056">
        <f>IF(A109="","",IF(LEN(SUBSTITUTE(SUBSTITUTE(SUBSTITUTE(SUBSTITUTE(D109,".",""),"/",""),"-","")," ",""))&lt;&gt;14,"CNPJ INVALIDO","OK"))</f>
      </c>
      <c r="Y109" s="3056">
        <f>IF(A109="","",IF(R109="","REST PENDENTE","REST OK"))</f>
      </c>
      <c r="Z109" s="3056">
        <f>IF(A109="","",IF(AND(R109&lt;&gt;"",COUNTIFS($D$3:$D$164,D109,$R$3:$R$164,"&lt;&gt;")&gt;1),"DUPLICADO","OK"))</f>
      </c>
      <c r="AA109" s="3056">
        <f>IF(A109="","",IF(OR(LEN(Q109)&gt;180,LEN(R109)&gt;180,LEN(S109)&gt;180,LEN(T109)&gt;180),"CAMINHO LONGO","OK"))</f>
      </c>
      <c r="AB109" s="3056">
        <f>IF(A109="","",IF(U109="","",IFERROR(INT(U109-TODAY()),"")))</f>
      </c>
      <c r="AC109" s="3056">
        <f>IF(A109="","",IF(AND(T109="",U109=""),"",IF(T109="","SEM CAMINHO",IF(U109="","SEM DATA",IFERROR(IF(AB109&lt;15,"VERMELHO",IF(AB109&lt;=30,"AMARELO","VERDE")),"DATA INVALIDA")))))</f>
      </c>
      <c r="AD109" s="3056">
        <f>IF(OR(A109="",U109="",NOT(ISNUMBER(AB109))),"",RANK(AB109,$AB$3:$AB$164,1)+COUNTIFS($AB$3:AB109,AB109)-1)</f>
      </c>
      <c r="AE109" s="1736"/>
    </row>
    <row r="110" spans="1:19" ht="22.0" hidden="false" customHeight="true" x14ac:dyDescent="0.25">
      <c r="A110" s="3094" t="s">
        <v>262</v>
      </c>
      <c r="B110" s="3093" t="s">
        <v>259</v>
      </c>
      <c r="C110" s="3093" t="s">
        <v>69</v>
      </c>
      <c r="D110" s="3093" t="s">
        <v>263</v>
      </c>
      <c r="E110" s="3093"/>
      <c r="F110" s="3093" t="s">
        <v>261</v>
      </c>
      <c r="G110" s="3093" t="s">
        <v>13</v>
      </c>
      <c r="H110" s="3093" t="s">
        <v>5</v>
      </c>
      <c r="I110" s="3093"/>
      <c r="J110" s="3093"/>
      <c r="K110" s="3093"/>
      <c r="L110" s="3093"/>
      <c r="M110" s="3093" t="s">
        <v>371</v>
      </c>
      <c r="N110" s="3093"/>
      <c r="O110" s="3093"/>
      <c r="P110" s="3093"/>
      <c r="Q110" s="3096"/>
      <c r="R110" s="3096"/>
      <c r="S110" s="3096"/>
      <c r="T110" s="3096"/>
      <c r="U110" s="3097"/>
      <c r="V110" s="3093"/>
      <c r="W110" s="3093"/>
      <c r="X110" s="3056">
        <f>IF(A110="","",IF(LEN(SUBSTITUTE(SUBSTITUTE(SUBSTITUTE(SUBSTITUTE(D110,".",""),"/",""),"-","")," ",""))&lt;&gt;14,"CNPJ INVALIDO","OK"))</f>
      </c>
      <c r="Y110" s="3056">
        <f>IF(A110="","",IF(R110="","REST PENDENTE","REST OK"))</f>
      </c>
      <c r="Z110" s="3056">
        <f>IF(A110="","",IF(AND(R110&lt;&gt;"",COUNTIFS($D$3:$D$164,D110,$R$3:$R$164,"&lt;&gt;")&gt;1),"DUPLICADO","OK"))</f>
      </c>
      <c r="AA110" s="3056">
        <f>IF(A110="","",IF(OR(LEN(Q110)&gt;180,LEN(R110)&gt;180,LEN(S110)&gt;180,LEN(T110)&gt;180),"CAMINHO LONGO","OK"))</f>
      </c>
      <c r="AB110" s="3056">
        <f>IF(A110="","",IF(U110="","",IFERROR(INT(U110-TODAY()),"")))</f>
      </c>
      <c r="AC110" s="3056">
        <f>IF(A110="","",IF(AND(T110="",U110=""),"",IF(T110="","SEM CAMINHO",IF(U110="","SEM DATA",IFERROR(IF(AB110&lt;15,"VERMELHO",IF(AB110&lt;=30,"AMARELO","VERDE")),"DATA INVALIDA")))))</f>
      </c>
      <c r="AD110" s="3056">
        <f>IF(OR(A110="",U110="",NOT(ISNUMBER(AB110))),"",RANK(AB110,$AB$3:$AB$164,1)+COUNTIFS($AB$3:AB110,AB110)-1)</f>
      </c>
      <c r="AE110" s="1736"/>
    </row>
    <row r="111" spans="1:19" ht="22.0" hidden="false" customHeight="true" x14ac:dyDescent="0.25">
      <c r="A111" s="3089" t="s">
        <v>264</v>
      </c>
      <c r="B111" s="3088" t="s">
        <v>159</v>
      </c>
      <c r="C111" s="3088" t="s">
        <v>69</v>
      </c>
      <c r="D111" s="3088" t="s">
        <v>265</v>
      </c>
      <c r="E111" s="3088"/>
      <c r="F111" s="3088" t="s">
        <v>266</v>
      </c>
      <c r="G111" s="3088" t="s">
        <v>13</v>
      </c>
      <c r="H111" s="3088" t="s">
        <v>5</v>
      </c>
      <c r="I111" s="3088"/>
      <c r="J111" s="3088"/>
      <c r="K111" s="3088"/>
      <c r="L111" s="3088"/>
      <c r="M111" s="3088" t="s">
        <v>389</v>
      </c>
      <c r="N111" s="3088"/>
      <c r="O111" s="3088" t="s">
        <v>363</v>
      </c>
      <c r="P111" s="3088"/>
      <c r="Q111" s="3091"/>
      <c r="R111" s="3091"/>
      <c r="S111" s="3091"/>
      <c r="T111" s="3091"/>
      <c r="U111" s="3092"/>
      <c r="V111" s="3088"/>
      <c r="W111" s="3088"/>
      <c r="X111" s="3056">
        <f>IF(A111="","",IF(LEN(SUBSTITUTE(SUBSTITUTE(SUBSTITUTE(SUBSTITUTE(D111,".",""),"/",""),"-","")," ",""))&lt;&gt;14,"CNPJ INVALIDO","OK"))</f>
      </c>
      <c r="Y111" s="3056">
        <f>IF(A111="","",IF(R111="","REST PENDENTE","REST OK"))</f>
      </c>
      <c r="Z111" s="3056">
        <f>IF(A111="","",IF(AND(R111&lt;&gt;"",COUNTIFS($D$3:$D$164,D111,$R$3:$R$164,"&lt;&gt;")&gt;1),"DUPLICADO","OK"))</f>
      </c>
      <c r="AA111" s="3056">
        <f>IF(A111="","",IF(OR(LEN(Q111)&gt;180,LEN(R111)&gt;180,LEN(S111)&gt;180,LEN(T111)&gt;180),"CAMINHO LONGO","OK"))</f>
      </c>
      <c r="AB111" s="3056">
        <f>IF(A111="","",IF(U111="","",IFERROR(INT(U111-TODAY()),"")))</f>
      </c>
      <c r="AC111" s="3056">
        <f>IF(A111="","",IF(AND(T111="",U111=""),"",IF(T111="","SEM CAMINHO",IF(U111="","SEM DATA",IFERROR(IF(AB111&lt;15,"VERMELHO",IF(AB111&lt;=30,"AMARELO","VERDE")),"DATA INVALIDA")))))</f>
      </c>
      <c r="AD111" s="3056">
        <f>IF(OR(A111="",U111="",NOT(ISNUMBER(AB111))),"",RANK(AB111,$AB$3:$AB$164,1)+COUNTIFS($AB$3:AB111,AB111)-1)</f>
      </c>
      <c r="AE111" s="1736"/>
    </row>
    <row r="112" spans="1:19" ht="22.0" hidden="false" customHeight="true" x14ac:dyDescent="0.25">
      <c r="A112" s="3094" t="s">
        <v>267</v>
      </c>
      <c r="B112" s="3093" t="s">
        <v>159</v>
      </c>
      <c r="C112" s="3093" t="s">
        <v>268</v>
      </c>
      <c r="D112" s="3093" t="s">
        <v>269</v>
      </c>
      <c r="E112" s="3093"/>
      <c r="F112" s="3093" t="s">
        <v>266</v>
      </c>
      <c r="G112" s="3093" t="s">
        <v>13</v>
      </c>
      <c r="H112" s="3093" t="s">
        <v>14</v>
      </c>
      <c r="I112" s="3093"/>
      <c r="J112" s="3093"/>
      <c r="K112" s="3093"/>
      <c r="L112" s="3093"/>
      <c r="M112" s="3093" t="s">
        <v>376</v>
      </c>
      <c r="N112" s="3093"/>
      <c r="O112" s="3093" t="s">
        <v>349</v>
      </c>
      <c r="P112" s="3093"/>
      <c r="Q112" s="3096"/>
      <c r="R112" s="3096"/>
      <c r="S112" s="3096"/>
      <c r="T112" s="3096"/>
      <c r="U112" s="3097"/>
      <c r="V112" s="3093"/>
      <c r="W112" s="3093"/>
      <c r="X112" s="3056">
        <f>IF(A112="","",IF(LEN(SUBSTITUTE(SUBSTITUTE(SUBSTITUTE(SUBSTITUTE(D112,".",""),"/",""),"-","")," ",""))&lt;&gt;14,"CNPJ INVALIDO","OK"))</f>
      </c>
      <c r="Y112" s="3056">
        <f>IF(A112="","",IF(R112="","REST PENDENTE","REST OK"))</f>
      </c>
      <c r="Z112" s="3056">
        <f>IF(A112="","",IF(AND(R112&lt;&gt;"",COUNTIFS($D$3:$D$164,D112,$R$3:$R$164,"&lt;&gt;")&gt;1),"DUPLICADO","OK"))</f>
      </c>
      <c r="AA112" s="3056">
        <f>IF(A112="","",IF(OR(LEN(Q112)&gt;180,LEN(R112)&gt;180,LEN(S112)&gt;180,LEN(T112)&gt;180),"CAMINHO LONGO","OK"))</f>
      </c>
      <c r="AB112" s="3056">
        <f>IF(A112="","",IF(U112="","",IFERROR(INT(U112-TODAY()),"")))</f>
      </c>
      <c r="AC112" s="3056">
        <f>IF(A112="","",IF(AND(T112="",U112=""),"",IF(T112="","SEM CAMINHO",IF(U112="","SEM DATA",IFERROR(IF(AB112&lt;15,"VERMELHO",IF(AB112&lt;=30,"AMARELO","VERDE")),"DATA INVALIDA")))))</f>
      </c>
      <c r="AD112" s="3056">
        <f>IF(OR(A112="",U112="",NOT(ISNUMBER(AB112))),"",RANK(AB112,$AB$3:$AB$164,1)+COUNTIFS($AB$3:AB112,AB112)-1)</f>
      </c>
      <c r="AE112" s="1736"/>
    </row>
    <row r="113" spans="1:19" ht="22.0" hidden="false" customHeight="true" x14ac:dyDescent="0.25">
      <c r="A113" s="3089" t="s">
        <v>270</v>
      </c>
      <c r="B113" s="3088" t="s">
        <v>271</v>
      </c>
      <c r="C113" s="3088"/>
      <c r="D113" s="3088" t="s">
        <v>272</v>
      </c>
      <c r="E113" s="3088"/>
      <c r="F113" s="3088" t="s">
        <v>273</v>
      </c>
      <c r="G113" s="3088" t="s">
        <v>41</v>
      </c>
      <c r="H113" s="3088" t="s">
        <v>49</v>
      </c>
      <c r="I113" s="3088"/>
      <c r="J113" s="3088"/>
      <c r="K113" s="3088"/>
      <c r="L113" s="3088"/>
      <c r="M113" s="3088" t="s">
        <v>379</v>
      </c>
      <c r="N113" s="3088"/>
      <c r="O113" s="3088" t="s">
        <v>364</v>
      </c>
      <c r="P113" s="3088"/>
      <c r="Q113" s="3091"/>
      <c r="R113" s="3091"/>
      <c r="S113" s="3091"/>
      <c r="T113" s="3091"/>
      <c r="U113" s="3092"/>
      <c r="V113" s="3088"/>
      <c r="W113" s="3088"/>
      <c r="X113" s="3056">
        <f>IF(A113="","",IF(LEN(SUBSTITUTE(SUBSTITUTE(SUBSTITUTE(SUBSTITUTE(D113,".",""),"/",""),"-","")," ",""))&lt;&gt;14,"CNPJ INVALIDO","OK"))</f>
      </c>
      <c r="Y113" s="3056">
        <f>IF(A113="","",IF(R113="","REST PENDENTE","REST OK"))</f>
      </c>
      <c r="Z113" s="3056">
        <f>IF(A113="","",IF(AND(R113&lt;&gt;"",COUNTIFS($D$3:$D$164,D113,$R$3:$R$164,"&lt;&gt;")&gt;1),"DUPLICADO","OK"))</f>
      </c>
      <c r="AA113" s="3056">
        <f>IF(A113="","",IF(OR(LEN(Q113)&gt;180,LEN(R113)&gt;180,LEN(S113)&gt;180,LEN(T113)&gt;180),"CAMINHO LONGO","OK"))</f>
      </c>
      <c r="AB113" s="3056">
        <f>IF(A113="","",IF(U113="","",IFERROR(INT(U113-TODAY()),"")))</f>
      </c>
      <c r="AC113" s="3056">
        <f>IF(A113="","",IF(AND(T113="",U113=""),"",IF(T113="","SEM CAMINHO",IF(U113="","SEM DATA",IFERROR(IF(AB113&lt;15,"VERMELHO",IF(AB113&lt;=30,"AMARELO","VERDE")),"DATA INVALIDA")))))</f>
      </c>
      <c r="AD113" s="3056">
        <f>IF(OR(A113="",U113="",NOT(ISNUMBER(AB113))),"",RANK(AB113,$AB$3:$AB$164,1)+COUNTIFS($AB$3:AB113,AB113)-1)</f>
      </c>
      <c r="AE113" s="1736"/>
    </row>
    <row r="114" spans="1:19" ht="22.0" hidden="false" customHeight="true" x14ac:dyDescent="0.25">
      <c r="A114" s="3094" t="s">
        <v>274</v>
      </c>
      <c r="B114" s="3093" t="s">
        <v>134</v>
      </c>
      <c r="C114" s="3093" t="s">
        <v>122</v>
      </c>
      <c r="D114" s="3093" t="s">
        <v>395</v>
      </c>
      <c r="E114" s="3093"/>
      <c r="F114" s="3093" t="s">
        <v>275</v>
      </c>
      <c r="G114" s="3093" t="s">
        <v>4</v>
      </c>
      <c r="H114" s="3093" t="s">
        <v>5</v>
      </c>
      <c r="I114" s="3093"/>
      <c r="J114" s="3093"/>
      <c r="K114" s="3093"/>
      <c r="L114" s="3093"/>
      <c r="M114" s="3093" t="s">
        <v>379</v>
      </c>
      <c r="N114" s="3093"/>
      <c r="O114" s="3093" t="s">
        <v>365</v>
      </c>
      <c r="P114" s="3093"/>
      <c r="Q114" s="3096"/>
      <c r="R114" s="3096"/>
      <c r="S114" s="3096"/>
      <c r="T114" s="3096"/>
      <c r="U114" s="3097"/>
      <c r="V114" s="3093"/>
      <c r="W114" s="3093"/>
      <c r="X114" s="3056">
        <f>IF(A114="","",IF(LEN(SUBSTITUTE(SUBSTITUTE(SUBSTITUTE(SUBSTITUTE(D114,".",""),"/",""),"-","")," ",""))&lt;&gt;14,"CNPJ INVALIDO","OK"))</f>
      </c>
      <c r="Y114" s="3056">
        <f>IF(A114="","",IF(R114="","REST PENDENTE","REST OK"))</f>
      </c>
      <c r="Z114" s="3056">
        <f>IF(A114="","",IF(AND(R114&lt;&gt;"",COUNTIFS($D$3:$D$164,D114,$R$3:$R$164,"&lt;&gt;")&gt;1),"DUPLICADO","OK"))</f>
      </c>
      <c r="AA114" s="3056">
        <f>IF(A114="","",IF(OR(LEN(Q114)&gt;180,LEN(R114)&gt;180,LEN(S114)&gt;180,LEN(T114)&gt;180),"CAMINHO LONGO","OK"))</f>
      </c>
      <c r="AB114" s="3056">
        <f>IF(A114="","",IF(U114="","",IFERROR(INT(U114-TODAY()),"")))</f>
      </c>
      <c r="AC114" s="3056">
        <f>IF(A114="","",IF(AND(T114="",U114=""),"",IF(T114="","SEM CAMINHO",IF(U114="","SEM DATA",IFERROR(IF(AB114&lt;15,"VERMELHO",IF(AB114&lt;=30,"AMARELO","VERDE")),"DATA INVALIDA")))))</f>
      </c>
      <c r="AD114" s="3056">
        <f>IF(OR(A114="",U114="",NOT(ISNUMBER(AB114))),"",RANK(AB114,$AB$3:$AB$164,1)+COUNTIFS($AB$3:AB114,AB114)-1)</f>
      </c>
      <c r="AE114" s="1736"/>
    </row>
    <row r="115" spans="1:19" ht="22.0" hidden="false" customHeight="true" x14ac:dyDescent="0.25">
      <c r="A115" s="3089" t="s">
        <v>276</v>
      </c>
      <c r="B115" s="3088" t="s">
        <v>182</v>
      </c>
      <c r="C115" s="3088" t="s">
        <v>83</v>
      </c>
      <c r="D115" s="3088" t="s">
        <v>396</v>
      </c>
      <c r="E115" s="3088"/>
      <c r="F115" s="3088" t="s">
        <v>225</v>
      </c>
      <c r="G115" s="3088" t="s">
        <v>4</v>
      </c>
      <c r="H115" s="3088" t="s">
        <v>5</v>
      </c>
      <c r="I115" s="3088"/>
      <c r="J115" s="3088"/>
      <c r="K115" s="3088"/>
      <c r="L115" s="3088"/>
      <c r="M115" s="3088" t="s">
        <v>376</v>
      </c>
      <c r="N115" s="3088"/>
      <c r="O115" s="3088" t="s">
        <v>365</v>
      </c>
      <c r="P115" s="3088"/>
      <c r="Q115" s="3091"/>
      <c r="R115" s="3091"/>
      <c r="S115" s="3091"/>
      <c r="T115" s="3091"/>
      <c r="U115" s="3092"/>
      <c r="V115" s="3088"/>
      <c r="W115" s="3088"/>
      <c r="X115" s="3056">
        <f>IF(A115="","",IF(LEN(SUBSTITUTE(SUBSTITUTE(SUBSTITUTE(SUBSTITUTE(D115,".",""),"/",""),"-","")," ",""))&lt;&gt;14,"CNPJ INVALIDO","OK"))</f>
      </c>
      <c r="Y115" s="3056">
        <f>IF(A115="","",IF(R115="","REST PENDENTE","REST OK"))</f>
      </c>
      <c r="Z115" s="3056">
        <f>IF(A115="","",IF(AND(R115&lt;&gt;"",COUNTIFS($D$3:$D$164,D115,$R$3:$R$164,"&lt;&gt;")&gt;1),"DUPLICADO","OK"))</f>
      </c>
      <c r="AA115" s="3056">
        <f>IF(A115="","",IF(OR(LEN(Q115)&gt;180,LEN(R115)&gt;180,LEN(S115)&gt;180,LEN(T115)&gt;180),"CAMINHO LONGO","OK"))</f>
      </c>
      <c r="AB115" s="3056">
        <f>IF(A115="","",IF(U115="","",IFERROR(INT(U115-TODAY()),"")))</f>
      </c>
      <c r="AC115" s="3056">
        <f>IF(A115="","",IF(AND(T115="",U115=""),"",IF(T115="","SEM CAMINHO",IF(U115="","SEM DATA",IFERROR(IF(AB115&lt;15,"VERMELHO",IF(AB115&lt;=30,"AMARELO","VERDE")),"DATA INVALIDA")))))</f>
      </c>
      <c r="AD115" s="3056">
        <f>IF(OR(A115="",U115="",NOT(ISNUMBER(AB115))),"",RANK(AB115,$AB$3:$AB$164,1)+COUNTIFS($AB$3:AB115,AB115)-1)</f>
      </c>
      <c r="AE115" s="1736"/>
    </row>
    <row r="116" spans="1:19" ht="22.0" hidden="false" customHeight="true" x14ac:dyDescent="0.25">
      <c r="A116" s="3094" t="s">
        <v>277</v>
      </c>
      <c r="B116" s="3093" t="s">
        <v>211</v>
      </c>
      <c r="C116" s="3093" t="s">
        <v>69</v>
      </c>
      <c r="D116" s="3093" t="s">
        <v>278</v>
      </c>
      <c r="E116" s="3093"/>
      <c r="F116" s="3093" t="s">
        <v>279</v>
      </c>
      <c r="G116" s="3093" t="s">
        <v>13</v>
      </c>
      <c r="H116" s="3093" t="s">
        <v>49</v>
      </c>
      <c r="I116" s="3093">
        <v>46147</v>
      </c>
      <c r="J116" s="3093"/>
      <c r="K116" s="3093"/>
      <c r="L116" s="3093"/>
      <c r="M116" s="3093" t="s">
        <v>366</v>
      </c>
      <c r="N116" s="3093"/>
      <c r="O116" s="3093" t="s">
        <v>363</v>
      </c>
      <c r="P116" s="3093"/>
      <c r="Q116" s="3096"/>
      <c r="R116" s="3096"/>
      <c r="S116" s="3096"/>
      <c r="T116" s="3096"/>
      <c r="U116" s="3097"/>
      <c r="V116" s="3093"/>
      <c r="W116" s="3093"/>
      <c r="X116" s="3056">
        <f>IF(A116="","",IF(LEN(SUBSTITUTE(SUBSTITUTE(SUBSTITUTE(SUBSTITUTE(D116,".",""),"/",""),"-","")," ",""))&lt;&gt;14,"CNPJ INVALIDO","OK"))</f>
      </c>
      <c r="Y116" s="3056">
        <f>IF(A116="","",IF(R116="","REST PENDENTE","REST OK"))</f>
      </c>
      <c r="Z116" s="3056">
        <f>IF(A116="","",IF(AND(R116&lt;&gt;"",COUNTIFS($D$3:$D$164,D116,$R$3:$R$164,"&lt;&gt;")&gt;1),"DUPLICADO","OK"))</f>
      </c>
      <c r="AA116" s="3056">
        <f>IF(A116="","",IF(OR(LEN(Q116)&gt;180,LEN(R116)&gt;180,LEN(S116)&gt;180,LEN(T116)&gt;180),"CAMINHO LONGO","OK"))</f>
      </c>
      <c r="AB116" s="3056">
        <f>IF(A116="","",IF(U116="","",IFERROR(INT(U116-TODAY()),"")))</f>
      </c>
      <c r="AC116" s="3056">
        <f>IF(A116="","",IF(AND(T116="",U116=""),"",IF(T116="","SEM CAMINHO",IF(U116="","SEM DATA",IFERROR(IF(AB116&lt;15,"VERMELHO",IF(AB116&lt;=30,"AMARELO","VERDE")),"DATA INVALIDA")))))</f>
      </c>
      <c r="AD116" s="3056">
        <f>IF(OR(A116="",U116="",NOT(ISNUMBER(AB116))),"",RANK(AB116,$AB$3:$AB$164,1)+COUNTIFS($AB$3:AB116,AB116)-1)</f>
      </c>
      <c r="AE116" s="1736"/>
    </row>
    <row r="117" spans="1:19" ht="22.0" hidden="false" customHeight="true" x14ac:dyDescent="0.25">
      <c r="A117" s="3089" t="s">
        <v>280</v>
      </c>
      <c r="B117" s="3088" t="s">
        <v>162</v>
      </c>
      <c r="C117" s="3088" t="s">
        <v>281</v>
      </c>
      <c r="D117" s="3088" t="s">
        <v>282</v>
      </c>
      <c r="E117" s="3088"/>
      <c r="F117" s="3088"/>
      <c r="G117" s="3088" t="s">
        <v>4</v>
      </c>
      <c r="H117" s="3088" t="s">
        <v>49</v>
      </c>
      <c r="I117" s="3088"/>
      <c r="J117" s="3088"/>
      <c r="K117" s="3088"/>
      <c r="L117" s="3088"/>
      <c r="M117" s="3088" t="s">
        <v>376</v>
      </c>
      <c r="N117" s="3088" t="s">
        <v>362</v>
      </c>
      <c r="O117" s="3088" t="s">
        <v>365</v>
      </c>
      <c r="P117" s="3088"/>
      <c r="Q117" s="3091"/>
      <c r="R117" s="3091"/>
      <c r="S117" s="3091"/>
      <c r="T117" s="3091"/>
      <c r="U117" s="3092"/>
      <c r="V117" s="3088"/>
      <c r="W117" s="3088"/>
      <c r="X117" s="3056">
        <f>IF(A117="","",IF(LEN(SUBSTITUTE(SUBSTITUTE(SUBSTITUTE(SUBSTITUTE(D117,".",""),"/",""),"-","")," ",""))&lt;&gt;14,"CNPJ INVALIDO","OK"))</f>
      </c>
      <c r="Y117" s="3056">
        <f>IF(A117="","",IF(R117="","REST PENDENTE","REST OK"))</f>
      </c>
      <c r="Z117" s="3056">
        <f>IF(A117="","",IF(AND(R117&lt;&gt;"",COUNTIFS($D$3:$D$164,D117,$R$3:$R$164,"&lt;&gt;")&gt;1),"DUPLICADO","OK"))</f>
      </c>
      <c r="AA117" s="3056">
        <f>IF(A117="","",IF(OR(LEN(Q117)&gt;180,LEN(R117)&gt;180,LEN(S117)&gt;180,LEN(T117)&gt;180),"CAMINHO LONGO","OK"))</f>
      </c>
      <c r="AB117" s="3056">
        <f>IF(A117="","",IF(U117="","",IFERROR(INT(U117-TODAY()),"")))</f>
      </c>
      <c r="AC117" s="3056">
        <f>IF(A117="","",IF(AND(T117="",U117=""),"",IF(T117="","SEM CAMINHO",IF(U117="","SEM DATA",IFERROR(IF(AB117&lt;15,"VERMELHO",IF(AB117&lt;=30,"AMARELO","VERDE")),"DATA INVALIDA")))))</f>
      </c>
      <c r="AD117" s="3056">
        <f>IF(OR(A117="",U117="",NOT(ISNUMBER(AB117))),"",RANK(AB117,$AB$3:$AB$164,1)+COUNTIFS($AB$3:AB117,AB117)-1)</f>
      </c>
      <c r="AE117" s="1736"/>
    </row>
    <row r="118" spans="1:19" ht="22.0" hidden="false" customHeight="true" x14ac:dyDescent="0.25">
      <c r="A118" s="3094" t="s">
        <v>283</v>
      </c>
      <c r="B118" s="3093" t="s">
        <v>75</v>
      </c>
      <c r="C118" s="3093" t="s">
        <v>62</v>
      </c>
      <c r="D118" s="3093" t="s">
        <v>397</v>
      </c>
      <c r="E118" s="3093"/>
      <c r="F118" s="3093" t="s">
        <v>284</v>
      </c>
      <c r="G118" s="3093" t="s">
        <v>4</v>
      </c>
      <c r="H118" s="3093" t="s">
        <v>14</v>
      </c>
      <c r="I118" s="3093"/>
      <c r="J118" s="3093"/>
      <c r="K118" s="3093"/>
      <c r="L118" s="3093"/>
      <c r="M118" s="3093" t="s">
        <v>389</v>
      </c>
      <c r="N118" s="3093"/>
      <c r="O118" s="3093" t="s">
        <v>365</v>
      </c>
      <c r="P118" s="3093"/>
      <c r="Q118" s="3096"/>
      <c r="R118" s="3096"/>
      <c r="S118" s="3096"/>
      <c r="T118" s="3096"/>
      <c r="U118" s="3097"/>
      <c r="V118" s="3093"/>
      <c r="W118" s="3093"/>
      <c r="X118" s="3056">
        <f>IF(A118="","",IF(LEN(SUBSTITUTE(SUBSTITUTE(SUBSTITUTE(SUBSTITUTE(D118,".",""),"/",""),"-","")," ",""))&lt;&gt;14,"CNPJ INVALIDO","OK"))</f>
      </c>
      <c r="Y118" s="3056">
        <f>IF(A118="","",IF(R118="","REST PENDENTE","REST OK"))</f>
      </c>
      <c r="Z118" s="3056">
        <f>IF(A118="","",IF(AND(R118&lt;&gt;"",COUNTIFS($D$3:$D$164,D118,$R$3:$R$164,"&lt;&gt;")&gt;1),"DUPLICADO","OK"))</f>
      </c>
      <c r="AA118" s="3056">
        <f>IF(A118="","",IF(OR(LEN(Q118)&gt;180,LEN(R118)&gt;180,LEN(S118)&gt;180,LEN(T118)&gt;180),"CAMINHO LONGO","OK"))</f>
      </c>
      <c r="AB118" s="3056">
        <f>IF(A118="","",IF(U118="","",IFERROR(INT(U118-TODAY()),"")))</f>
      </c>
      <c r="AC118" s="3056">
        <f>IF(A118="","",IF(AND(T118="",U118=""),"",IF(T118="","SEM CAMINHO",IF(U118="","SEM DATA",IFERROR(IF(AB118&lt;15,"VERMELHO",IF(AB118&lt;=30,"AMARELO","VERDE")),"DATA INVALIDA")))))</f>
      </c>
      <c r="AD118" s="3056">
        <f>IF(OR(A118="",U118="",NOT(ISNUMBER(AB118))),"",RANK(AB118,$AB$3:$AB$164,1)+COUNTIFS($AB$3:AB118,AB118)-1)</f>
      </c>
      <c r="AE118" s="1736"/>
    </row>
    <row r="119" spans="1:19" ht="22.0" hidden="false" customHeight="true" x14ac:dyDescent="0.25">
      <c r="A119" s="3089" t="s">
        <v>285</v>
      </c>
      <c r="B119" s="3088" t="s">
        <v>286</v>
      </c>
      <c r="C119" s="3088"/>
      <c r="D119" s="3088" t="s">
        <v>398</v>
      </c>
      <c r="E119" s="3088"/>
      <c r="F119" s="3088" t="s">
        <v>287</v>
      </c>
      <c r="G119" s="3088" t="s">
        <v>4</v>
      </c>
      <c r="H119" s="3088" t="s">
        <v>49</v>
      </c>
      <c r="I119" s="3088"/>
      <c r="J119" s="3088"/>
      <c r="K119" s="3088"/>
      <c r="L119" s="3088"/>
      <c r="M119" s="3088" t="s">
        <v>379</v>
      </c>
      <c r="N119" s="3088"/>
      <c r="O119" s="3088" t="s">
        <v>365</v>
      </c>
      <c r="P119" s="3088"/>
      <c r="Q119" s="3091"/>
      <c r="R119" s="3091"/>
      <c r="S119" s="3091"/>
      <c r="T119" s="3091"/>
      <c r="U119" s="3092"/>
      <c r="V119" s="3088"/>
      <c r="W119" s="3088"/>
      <c r="X119" s="3056">
        <f>IF(A119="","",IF(LEN(SUBSTITUTE(SUBSTITUTE(SUBSTITUTE(SUBSTITUTE(D119,".",""),"/",""),"-","")," ",""))&lt;&gt;14,"CNPJ INVALIDO","OK"))</f>
      </c>
      <c r="Y119" s="3056">
        <f>IF(A119="","",IF(R119="","REST PENDENTE","REST OK"))</f>
      </c>
      <c r="Z119" s="3056">
        <f>IF(A119="","",IF(AND(R119&lt;&gt;"",COUNTIFS($D$3:$D$164,D119,$R$3:$R$164,"&lt;&gt;")&gt;1),"DUPLICADO","OK"))</f>
      </c>
      <c r="AA119" s="3056">
        <f>IF(A119="","",IF(OR(LEN(Q119)&gt;180,LEN(R119)&gt;180,LEN(S119)&gt;180,LEN(T119)&gt;180),"CAMINHO LONGO","OK"))</f>
      </c>
      <c r="AB119" s="3056">
        <f>IF(A119="","",IF(U119="","",IFERROR(INT(U119-TODAY()),"")))</f>
      </c>
      <c r="AC119" s="3056">
        <f>IF(A119="","",IF(AND(T119="",U119=""),"",IF(T119="","SEM CAMINHO",IF(U119="","SEM DATA",IFERROR(IF(AB119&lt;15,"VERMELHO",IF(AB119&lt;=30,"AMARELO","VERDE")),"DATA INVALIDA")))))</f>
      </c>
      <c r="AD119" s="3056">
        <f>IF(OR(A119="",U119="",NOT(ISNUMBER(AB119))),"",RANK(AB119,$AB$3:$AB$164,1)+COUNTIFS($AB$3:AB119,AB119)-1)</f>
      </c>
      <c r="AE119" s="1736"/>
    </row>
    <row r="120" spans="1:19" ht="22.0" hidden="false" customHeight="true" x14ac:dyDescent="0.25">
      <c r="A120" s="3094" t="s">
        <v>288</v>
      </c>
      <c r="B120" s="3093" t="s">
        <v>286</v>
      </c>
      <c r="C120" s="3093" t="s">
        <v>69</v>
      </c>
      <c r="D120" s="3093" t="s">
        <v>289</v>
      </c>
      <c r="E120" s="3093"/>
      <c r="F120" s="3093" t="s">
        <v>290</v>
      </c>
      <c r="G120" s="3093" t="s">
        <v>13</v>
      </c>
      <c r="H120" s="3093" t="s">
        <v>49</v>
      </c>
      <c r="I120" s="3093"/>
      <c r="J120" s="3093"/>
      <c r="K120" s="3093"/>
      <c r="L120" s="3093"/>
      <c r="M120" s="3093" t="s">
        <v>376</v>
      </c>
      <c r="N120" s="3093"/>
      <c r="O120" s="3093" t="s">
        <v>365</v>
      </c>
      <c r="P120" s="3093"/>
      <c r="Q120" s="3096"/>
      <c r="R120" s="3096"/>
      <c r="S120" s="3096"/>
      <c r="T120" s="3096"/>
      <c r="U120" s="3097"/>
      <c r="V120" s="3093"/>
      <c r="W120" s="3093"/>
      <c r="X120" s="3056">
        <f>IF(A120="","",IF(LEN(SUBSTITUTE(SUBSTITUTE(SUBSTITUTE(SUBSTITUTE(D120,".",""),"/",""),"-","")," ",""))&lt;&gt;14,"CNPJ INVALIDO","OK"))</f>
      </c>
      <c r="Y120" s="3056">
        <f>IF(A120="","",IF(R120="","REST PENDENTE","REST OK"))</f>
      </c>
      <c r="Z120" s="3056">
        <f>IF(A120="","",IF(AND(R120&lt;&gt;"",COUNTIFS($D$3:$D$164,D120,$R$3:$R$164,"&lt;&gt;")&gt;1),"DUPLICADO","OK"))</f>
      </c>
      <c r="AA120" s="3056">
        <f>IF(A120="","",IF(OR(LEN(Q120)&gt;180,LEN(R120)&gt;180,LEN(S120)&gt;180,LEN(T120)&gt;180),"CAMINHO LONGO","OK"))</f>
      </c>
      <c r="AB120" s="3056">
        <f>IF(A120="","",IF(U120="","",IFERROR(INT(U120-TODAY()),"")))</f>
      </c>
      <c r="AC120" s="3056">
        <f>IF(A120="","",IF(AND(T120="",U120=""),"",IF(T120="","SEM CAMINHO",IF(U120="","SEM DATA",IFERROR(IF(AB120&lt;15,"VERMELHO",IF(AB120&lt;=30,"AMARELO","VERDE")),"DATA INVALIDA")))))</f>
      </c>
      <c r="AD120" s="3056">
        <f>IF(OR(A120="",U120="",NOT(ISNUMBER(AB120))),"",RANK(AB120,$AB$3:$AB$164,1)+COUNTIFS($AB$3:AB120,AB120)-1)</f>
      </c>
      <c r="AE120" s="1736"/>
    </row>
    <row r="121" spans="1:19" ht="22.0" hidden="false" customHeight="true" x14ac:dyDescent="0.25">
      <c r="A121" s="3089" t="s">
        <v>291</v>
      </c>
      <c r="B121" s="3088" t="s">
        <v>75</v>
      </c>
      <c r="C121" s="3088" t="s">
        <v>69</v>
      </c>
      <c r="D121" s="3088" t="s">
        <v>292</v>
      </c>
      <c r="E121" s="3088"/>
      <c r="F121" s="3088"/>
      <c r="G121" s="3088"/>
      <c r="H121" s="3088"/>
      <c r="I121" s="3088"/>
      <c r="J121" s="3088"/>
      <c r="K121" s="3088"/>
      <c r="L121" s="3088"/>
      <c r="M121" s="3088" t="s">
        <v>371</v>
      </c>
      <c r="N121" s="3088"/>
      <c r="O121" s="3088"/>
      <c r="P121" s="3088"/>
      <c r="Q121" s="3091"/>
      <c r="R121" s="3091"/>
      <c r="S121" s="3091"/>
      <c r="T121" s="3091"/>
      <c r="U121" s="3092"/>
      <c r="V121" s="3088"/>
      <c r="W121" s="3088"/>
      <c r="X121" s="3056">
        <f>IF(A121="","",IF(LEN(SUBSTITUTE(SUBSTITUTE(SUBSTITUTE(SUBSTITUTE(D121,".",""),"/",""),"-","")," ",""))&lt;&gt;14,"CNPJ INVALIDO","OK"))</f>
      </c>
      <c r="Y121" s="3056">
        <f>IF(A121="","",IF(R121="","REST PENDENTE","REST OK"))</f>
      </c>
      <c r="Z121" s="3056">
        <f>IF(A121="","",IF(AND(R121&lt;&gt;"",COUNTIFS($D$3:$D$164,D121,$R$3:$R$164,"&lt;&gt;")&gt;1),"DUPLICADO","OK"))</f>
      </c>
      <c r="AA121" s="3056">
        <f>IF(A121="","",IF(OR(LEN(Q121)&gt;180,LEN(R121)&gt;180,LEN(S121)&gt;180,LEN(T121)&gt;180),"CAMINHO LONGO","OK"))</f>
      </c>
      <c r="AB121" s="3056">
        <f>IF(A121="","",IF(U121="","",IFERROR(INT(U121-TODAY()),"")))</f>
      </c>
      <c r="AC121" s="3056">
        <f>IF(A121="","",IF(AND(T121="",U121=""),"",IF(T121="","SEM CAMINHO",IF(U121="","SEM DATA",IFERROR(IF(AB121&lt;15,"VERMELHO",IF(AB121&lt;=30,"AMARELO","VERDE")),"DATA INVALIDA")))))</f>
      </c>
      <c r="AD121" s="3056">
        <f>IF(OR(A121="",U121="",NOT(ISNUMBER(AB121))),"",RANK(AB121,$AB$3:$AB$164,1)+COUNTIFS($AB$3:AB121,AB121)-1)</f>
      </c>
      <c r="AE121" s="1736"/>
    </row>
    <row r="122" spans="1:19" ht="22.0" hidden="false" customHeight="true" x14ac:dyDescent="0.25">
      <c r="A122" s="3094" t="s">
        <v>293</v>
      </c>
      <c r="B122" s="3093" t="s">
        <v>227</v>
      </c>
      <c r="C122" s="3093" t="s">
        <v>116</v>
      </c>
      <c r="D122" s="3093" t="s">
        <v>294</v>
      </c>
      <c r="E122" s="3093"/>
      <c r="F122" s="3093" t="s">
        <v>228</v>
      </c>
      <c r="G122" s="3093" t="s">
        <v>13</v>
      </c>
      <c r="H122" s="3093" t="s">
        <v>14</v>
      </c>
      <c r="I122" s="3093"/>
      <c r="J122" s="3093"/>
      <c r="K122" s="3093"/>
      <c r="L122" s="3093"/>
      <c r="M122" s="3093" t="s">
        <v>368</v>
      </c>
      <c r="N122" s="3093"/>
      <c r="O122" s="3093" t="s">
        <v>369</v>
      </c>
      <c r="P122" s="3093"/>
      <c r="Q122" s="3096"/>
      <c r="R122" s="3096"/>
      <c r="S122" s="3096"/>
      <c r="T122" s="3096"/>
      <c r="U122" s="3097"/>
      <c r="V122" s="3093"/>
      <c r="W122" s="3093"/>
      <c r="X122" s="3056">
        <f>IF(A122="","",IF(LEN(SUBSTITUTE(SUBSTITUTE(SUBSTITUTE(SUBSTITUTE(D122,".",""),"/",""),"-","")," ",""))&lt;&gt;14,"CNPJ INVALIDO","OK"))</f>
      </c>
      <c r="Y122" s="3056">
        <f>IF(A122="","",IF(R122="","REST PENDENTE","REST OK"))</f>
      </c>
      <c r="Z122" s="3056">
        <f>IF(A122="","",IF(AND(R122&lt;&gt;"",COUNTIFS($D$3:$D$164,D122,$R$3:$R$164,"&lt;&gt;")&gt;1),"DUPLICADO","OK"))</f>
      </c>
      <c r="AA122" s="3056">
        <f>IF(A122="","",IF(OR(LEN(Q122)&gt;180,LEN(R122)&gt;180,LEN(S122)&gt;180,LEN(T122)&gt;180),"CAMINHO LONGO","OK"))</f>
      </c>
      <c r="AB122" s="3056">
        <f>IF(A122="","",IF(U122="","",IFERROR(INT(U122-TODAY()),"")))</f>
      </c>
      <c r="AC122" s="3056">
        <f>IF(A122="","",IF(AND(T122="",U122=""),"",IF(T122="","SEM CAMINHO",IF(U122="","SEM DATA",IFERROR(IF(AB122&lt;15,"VERMELHO",IF(AB122&lt;=30,"AMARELO","VERDE")),"DATA INVALIDA")))))</f>
      </c>
      <c r="AD122" s="3056">
        <f>IF(OR(A122="",U122="",NOT(ISNUMBER(AB122))),"",RANK(AB122,$AB$3:$AB$164,1)+COUNTIFS($AB$3:AB122,AB122)-1)</f>
      </c>
      <c r="AE122" s="1736"/>
    </row>
    <row r="123" spans="1:19" ht="22.0" hidden="false" customHeight="true" x14ac:dyDescent="0.25">
      <c r="A123" s="3089" t="s">
        <v>295</v>
      </c>
      <c r="B123" s="3088" t="s">
        <v>45</v>
      </c>
      <c r="C123" s="3088" t="s">
        <v>296</v>
      </c>
      <c r="D123" s="3088" t="s">
        <v>297</v>
      </c>
      <c r="E123" s="3088"/>
      <c r="F123" s="3088" t="s">
        <v>48</v>
      </c>
      <c r="G123" s="3088" t="s">
        <v>13</v>
      </c>
      <c r="H123" s="3088" t="s">
        <v>14</v>
      </c>
      <c r="I123" s="3088"/>
      <c r="J123" s="3088"/>
      <c r="K123" s="3088"/>
      <c r="L123" s="3088"/>
      <c r="M123" s="3088" t="s">
        <v>371</v>
      </c>
      <c r="N123" s="3088"/>
      <c r="O123" s="3088" t="s">
        <v>367</v>
      </c>
      <c r="P123" s="3088"/>
      <c r="Q123" s="3091"/>
      <c r="R123" s="3091"/>
      <c r="S123" s="3091"/>
      <c r="T123" s="3091"/>
      <c r="U123" s="3092"/>
      <c r="V123" s="3088"/>
      <c r="W123" s="3088"/>
      <c r="X123" s="3056">
        <f>IF(A123="","",IF(LEN(SUBSTITUTE(SUBSTITUTE(SUBSTITUTE(SUBSTITUTE(D123,".",""),"/",""),"-","")," ",""))&lt;&gt;14,"CNPJ INVALIDO","OK"))</f>
      </c>
      <c r="Y123" s="3056">
        <f>IF(A123="","",IF(R123="","REST PENDENTE","REST OK"))</f>
      </c>
      <c r="Z123" s="3056">
        <f>IF(A123="","",IF(AND(R123&lt;&gt;"",COUNTIFS($D$3:$D$164,D123,$R$3:$R$164,"&lt;&gt;")&gt;1),"DUPLICADO","OK"))</f>
      </c>
      <c r="AA123" s="3056">
        <f>IF(A123="","",IF(OR(LEN(Q123)&gt;180,LEN(R123)&gt;180,LEN(S123)&gt;180,LEN(T123)&gt;180),"CAMINHO LONGO","OK"))</f>
      </c>
      <c r="AB123" s="3056">
        <f>IF(A123="","",IF(U123="","",IFERROR(INT(U123-TODAY()),"")))</f>
      </c>
      <c r="AC123" s="3056">
        <f>IF(A123="","",IF(AND(T123="",U123=""),"",IF(T123="","SEM CAMINHO",IF(U123="","SEM DATA",IFERROR(IF(AB123&lt;15,"VERMELHO",IF(AB123&lt;=30,"AMARELO","VERDE")),"DATA INVALIDA")))))</f>
      </c>
      <c r="AD123" s="3056">
        <f>IF(OR(A123="",U123="",NOT(ISNUMBER(AB123))),"",RANK(AB123,$AB$3:$AB$164,1)+COUNTIFS($AB$3:AB123,AB123)-1)</f>
      </c>
      <c r="AE123" s="1736"/>
    </row>
    <row r="124" spans="1:19" ht="22.0" hidden="false" customHeight="true" x14ac:dyDescent="0.25">
      <c r="A124" s="3094" t="s">
        <v>298</v>
      </c>
      <c r="B124" s="3093" t="s">
        <v>299</v>
      </c>
      <c r="C124" s="3093" t="s">
        <v>16</v>
      </c>
      <c r="D124" s="3093" t="s">
        <v>300</v>
      </c>
      <c r="E124" s="3093"/>
      <c r="F124" s="3093" t="s">
        <v>109</v>
      </c>
      <c r="G124" s="3093" t="s">
        <v>4</v>
      </c>
      <c r="H124" s="3093" t="s">
        <v>49</v>
      </c>
      <c r="I124" s="3093"/>
      <c r="J124" s="3093"/>
      <c r="K124" s="3093"/>
      <c r="L124" s="3093"/>
      <c r="M124" s="3093" t="s">
        <v>379</v>
      </c>
      <c r="N124" s="3093"/>
      <c r="O124" s="3093" t="s">
        <v>365</v>
      </c>
      <c r="P124" s="3093"/>
      <c r="Q124" s="3096"/>
      <c r="R124" s="3096"/>
      <c r="S124" s="3096"/>
      <c r="T124" s="3096"/>
      <c r="U124" s="3097"/>
      <c r="V124" s="3093"/>
      <c r="W124" s="3093"/>
      <c r="X124" s="3056">
        <f>IF(A124="","",IF(LEN(SUBSTITUTE(SUBSTITUTE(SUBSTITUTE(SUBSTITUTE(D124,".",""),"/",""),"-","")," ",""))&lt;&gt;14,"CNPJ INVALIDO","OK"))</f>
      </c>
      <c r="Y124" s="3056">
        <f>IF(A124="","",IF(R124="","REST PENDENTE","REST OK"))</f>
      </c>
      <c r="Z124" s="3056">
        <f>IF(A124="","",IF(AND(R124&lt;&gt;"",COUNTIFS($D$3:$D$164,D124,$R$3:$R$164,"&lt;&gt;")&gt;1),"DUPLICADO","OK"))</f>
      </c>
      <c r="AA124" s="3056">
        <f>IF(A124="","",IF(OR(LEN(Q124)&gt;180,LEN(R124)&gt;180,LEN(S124)&gt;180,LEN(T124)&gt;180),"CAMINHO LONGO","OK"))</f>
      </c>
      <c r="AB124" s="3056">
        <f>IF(A124="","",IF(U124="","",IFERROR(INT(U124-TODAY()),"")))</f>
      </c>
      <c r="AC124" s="3056">
        <f>IF(A124="","",IF(AND(T124="",U124=""),"",IF(T124="","SEM CAMINHO",IF(U124="","SEM DATA",IFERROR(IF(AB124&lt;15,"VERMELHO",IF(AB124&lt;=30,"AMARELO","VERDE")),"DATA INVALIDA")))))</f>
      </c>
      <c r="AD124" s="3056">
        <f>IF(OR(A124="",U124="",NOT(ISNUMBER(AB124))),"",RANK(AB124,$AB$3:$AB$164,1)+COUNTIFS($AB$3:AB124,AB124)-1)</f>
      </c>
      <c r="AE124" s="1736"/>
    </row>
    <row r="125" spans="1:19" ht="22.0" hidden="false" customHeight="true" x14ac:dyDescent="0.25">
      <c r="A125" s="3089" t="s">
        <v>301</v>
      </c>
      <c r="B125" s="3088" t="s">
        <v>302</v>
      </c>
      <c r="C125" s="3088" t="s">
        <v>69</v>
      </c>
      <c r="D125" s="3088" t="s">
        <v>303</v>
      </c>
      <c r="E125" s="3088"/>
      <c r="F125" s="3088"/>
      <c r="G125" s="3088" t="s">
        <v>4</v>
      </c>
      <c r="H125" s="3088" t="s">
        <v>49</v>
      </c>
      <c r="I125" s="3088"/>
      <c r="J125" s="3088"/>
      <c r="K125" s="3088"/>
      <c r="L125" s="3088"/>
      <c r="M125" s="3088" t="s">
        <v>379</v>
      </c>
      <c r="N125" s="3088"/>
      <c r="O125" s="3088" t="s">
        <v>365</v>
      </c>
      <c r="P125" s="3088"/>
      <c r="Q125" s="3091"/>
      <c r="R125" s="3091"/>
      <c r="S125" s="3091"/>
      <c r="T125" s="3091"/>
      <c r="U125" s="3092"/>
      <c r="V125" s="3088"/>
      <c r="W125" s="3088"/>
      <c r="X125" s="3056">
        <f>IF(A125="","",IF(LEN(SUBSTITUTE(SUBSTITUTE(SUBSTITUTE(SUBSTITUTE(D125,".",""),"/",""),"-","")," ",""))&lt;&gt;14,"CNPJ INVALIDO","OK"))</f>
      </c>
      <c r="Y125" s="3056">
        <f>IF(A125="","",IF(R125="","REST PENDENTE","REST OK"))</f>
      </c>
      <c r="Z125" s="3056">
        <f>IF(A125="","",IF(AND(R125&lt;&gt;"",COUNTIFS($D$3:$D$164,D125,$R$3:$R$164,"&lt;&gt;")&gt;1),"DUPLICADO","OK"))</f>
      </c>
      <c r="AA125" s="3056">
        <f>IF(A125="","",IF(OR(LEN(Q125)&gt;180,LEN(R125)&gt;180,LEN(S125)&gt;180,LEN(T125)&gt;180),"CAMINHO LONGO","OK"))</f>
      </c>
      <c r="AB125" s="3056">
        <f>IF(A125="","",IF(U125="","",IFERROR(INT(U125-TODAY()),"")))</f>
      </c>
      <c r="AC125" s="3056">
        <f>IF(A125="","",IF(AND(T125="",U125=""),"",IF(T125="","SEM CAMINHO",IF(U125="","SEM DATA",IFERROR(IF(AB125&lt;15,"VERMELHO",IF(AB125&lt;=30,"AMARELO","VERDE")),"DATA INVALIDA")))))</f>
      </c>
      <c r="AD125" s="3056">
        <f>IF(OR(A125="",U125="",NOT(ISNUMBER(AB125))),"",RANK(AB125,$AB$3:$AB$164,1)+COUNTIFS($AB$3:AB125,AB125)-1)</f>
      </c>
      <c r="AE125" s="1736"/>
    </row>
    <row r="126" spans="1:19" ht="22.0" hidden="false" customHeight="true" x14ac:dyDescent="0.25">
      <c r="A126" s="3094" t="s">
        <v>304</v>
      </c>
      <c r="B126" s="3093" t="s">
        <v>305</v>
      </c>
      <c r="C126" s="3093"/>
      <c r="D126" s="3093"/>
      <c r="E126" s="3093"/>
      <c r="F126" s="3093" t="s">
        <v>306</v>
      </c>
      <c r="G126" s="3093" t="s">
        <v>13</v>
      </c>
      <c r="H126" s="3093"/>
      <c r="I126" s="3093"/>
      <c r="J126" s="3093"/>
      <c r="K126" s="3093"/>
      <c r="L126" s="3093"/>
      <c r="M126" s="3093" t="s">
        <v>371</v>
      </c>
      <c r="N126" s="3093"/>
      <c r="O126" s="3093" t="s">
        <v>363</v>
      </c>
      <c r="P126" s="3093"/>
      <c r="Q126" s="3096"/>
      <c r="R126" s="3096"/>
      <c r="S126" s="3096"/>
      <c r="T126" s="3096"/>
      <c r="U126" s="3097"/>
      <c r="V126" s="3093"/>
      <c r="W126" s="3093"/>
      <c r="X126" s="3056">
        <f>IF(A126="","",IF(LEN(SUBSTITUTE(SUBSTITUTE(SUBSTITUTE(SUBSTITUTE(D126,".",""),"/",""),"-","")," ",""))&lt;&gt;14,"CNPJ INVALIDO","OK"))</f>
      </c>
      <c r="Y126" s="3056">
        <f>IF(A126="","",IF(R126="","REST PENDENTE","REST OK"))</f>
      </c>
      <c r="Z126" s="3056">
        <f>IF(A126="","",IF(AND(R126&lt;&gt;"",COUNTIFS($D$3:$D$164,D126,$R$3:$R$164,"&lt;&gt;")&gt;1),"DUPLICADO","OK"))</f>
      </c>
      <c r="AA126" s="3056">
        <f>IF(A126="","",IF(OR(LEN(Q126)&gt;180,LEN(R126)&gt;180,LEN(S126)&gt;180,LEN(T126)&gt;180),"CAMINHO LONGO","OK"))</f>
      </c>
      <c r="AB126" s="3056">
        <f>IF(A126="","",IF(U126="","",IFERROR(INT(U126-TODAY()),"")))</f>
      </c>
      <c r="AC126" s="3056">
        <f>IF(A126="","",IF(AND(T126="",U126=""),"",IF(T126="","SEM CAMINHO",IF(U126="","SEM DATA",IFERROR(IF(AB126&lt;15,"VERMELHO",IF(AB126&lt;=30,"AMARELO","VERDE")),"DATA INVALIDA")))))</f>
      </c>
      <c r="AD126" s="3056">
        <f>IF(OR(A126="",U126="",NOT(ISNUMBER(AB126))),"",RANK(AB126,$AB$3:$AB$164,1)+COUNTIFS($AB$3:AB126,AB126)-1)</f>
      </c>
      <c r="AE126" s="1736"/>
    </row>
    <row r="127" spans="1:19" ht="22.0" hidden="false" customHeight="true" x14ac:dyDescent="0.25">
      <c r="A127" s="3089" t="s">
        <v>307</v>
      </c>
      <c r="B127" s="3088" t="s">
        <v>305</v>
      </c>
      <c r="C127" s="3088"/>
      <c r="D127" s="3088"/>
      <c r="E127" s="3088"/>
      <c r="F127" s="3088" t="s">
        <v>306</v>
      </c>
      <c r="G127" s="3088" t="s">
        <v>308</v>
      </c>
      <c r="H127" s="3088"/>
      <c r="I127" s="3088"/>
      <c r="J127" s="3088"/>
      <c r="K127" s="3088"/>
      <c r="L127" s="3088"/>
      <c r="M127" s="3088" t="s">
        <v>371</v>
      </c>
      <c r="N127" s="3088"/>
      <c r="O127" s="3088" t="s">
        <v>363</v>
      </c>
      <c r="P127" s="3088"/>
      <c r="Q127" s="3091"/>
      <c r="R127" s="3091"/>
      <c r="S127" s="3091"/>
      <c r="T127" s="3091"/>
      <c r="U127" s="3092"/>
      <c r="V127" s="3088"/>
      <c r="W127" s="3088"/>
      <c r="X127" s="3056">
        <f>IF(A127="","",IF(LEN(SUBSTITUTE(SUBSTITUTE(SUBSTITUTE(SUBSTITUTE(D127,".",""),"/",""),"-","")," ",""))&lt;&gt;14,"CNPJ INVALIDO","OK"))</f>
      </c>
      <c r="Y127" s="3056">
        <f>IF(A127="","",IF(R127="","REST PENDENTE","REST OK"))</f>
      </c>
      <c r="Z127" s="3056">
        <f>IF(A127="","",IF(AND(R127&lt;&gt;"",COUNTIFS($D$3:$D$164,D127,$R$3:$R$164,"&lt;&gt;")&gt;1),"DUPLICADO","OK"))</f>
      </c>
      <c r="AA127" s="3056">
        <f>IF(A127="","",IF(OR(LEN(Q127)&gt;180,LEN(R127)&gt;180,LEN(S127)&gt;180,LEN(T127)&gt;180),"CAMINHO LONGO","OK"))</f>
      </c>
      <c r="AB127" s="3056">
        <f>IF(A127="","",IF(U127="","",IFERROR(INT(U127-TODAY()),"")))</f>
      </c>
      <c r="AC127" s="3056">
        <f>IF(A127="","",IF(AND(T127="",U127=""),"",IF(T127="","SEM CAMINHO",IF(U127="","SEM DATA",IFERROR(IF(AB127&lt;15,"VERMELHO",IF(AB127&lt;=30,"AMARELO","VERDE")),"DATA INVALIDA")))))</f>
      </c>
      <c r="AD127" s="3056">
        <f>IF(OR(A127="",U127="",NOT(ISNUMBER(AB127))),"",RANK(AB127,$AB$3:$AB$164,1)+COUNTIFS($AB$3:AB127,AB127)-1)</f>
      </c>
      <c r="AE127" s="1736"/>
    </row>
    <row r="128" spans="1:19" ht="22.0" hidden="false" customHeight="true" x14ac:dyDescent="0.25">
      <c r="A128" s="3094" t="s">
        <v>309</v>
      </c>
      <c r="B128" s="3093" t="s">
        <v>9</v>
      </c>
      <c r="C128" s="3093" t="s">
        <v>69</v>
      </c>
      <c r="D128" s="3093" t="s">
        <v>310</v>
      </c>
      <c r="E128" s="3093"/>
      <c r="F128" s="3093" t="s">
        <v>311</v>
      </c>
      <c r="G128" s="3093" t="s">
        <v>13</v>
      </c>
      <c r="H128" s="3093" t="s">
        <v>49</v>
      </c>
      <c r="I128" s="3093"/>
      <c r="J128" s="3093"/>
      <c r="K128" s="3093"/>
      <c r="L128" s="3093"/>
      <c r="M128" s="3093" t="s">
        <v>376</v>
      </c>
      <c r="N128" s="3093"/>
      <c r="O128" s="3093" t="s">
        <v>365</v>
      </c>
      <c r="P128" s="3093"/>
      <c r="Q128" s="3096"/>
      <c r="R128" s="3096"/>
      <c r="S128" s="3096"/>
      <c r="T128" s="3096"/>
      <c r="U128" s="3097"/>
      <c r="V128" s="3093"/>
      <c r="W128" s="3093"/>
      <c r="X128" s="3056">
        <f>IF(A128="","",IF(LEN(SUBSTITUTE(SUBSTITUTE(SUBSTITUTE(SUBSTITUTE(D128,".",""),"/",""),"-","")," ",""))&lt;&gt;14,"CNPJ INVALIDO","OK"))</f>
      </c>
      <c r="Y128" s="3056">
        <f>IF(A128="","",IF(R128="","REST PENDENTE","REST OK"))</f>
      </c>
      <c r="Z128" s="3056">
        <f>IF(A128="","",IF(AND(R128&lt;&gt;"",COUNTIFS($D$3:$D$164,D128,$R$3:$R$164,"&lt;&gt;")&gt;1),"DUPLICADO","OK"))</f>
      </c>
      <c r="AA128" s="3056">
        <f>IF(A128="","",IF(OR(LEN(Q128)&gt;180,LEN(R128)&gt;180,LEN(S128)&gt;180,LEN(T128)&gt;180),"CAMINHO LONGO","OK"))</f>
      </c>
      <c r="AB128" s="3056">
        <f>IF(A128="","",IF(U128="","",IFERROR(INT(U128-TODAY()),"")))</f>
      </c>
      <c r="AC128" s="3056">
        <f>IF(A128="","",IF(AND(T128="",U128=""),"",IF(T128="","SEM CAMINHO",IF(U128="","SEM DATA",IFERROR(IF(AB128&lt;15,"VERMELHO",IF(AB128&lt;=30,"AMARELO","VERDE")),"DATA INVALIDA")))))</f>
      </c>
      <c r="AD128" s="3056">
        <f>IF(OR(A128="",U128="",NOT(ISNUMBER(AB128))),"",RANK(AB128,$AB$3:$AB$164,1)+COUNTIFS($AB$3:AB128,AB128)-1)</f>
      </c>
      <c r="AE128" s="1736"/>
    </row>
    <row r="129" spans="1:19" ht="22.0" hidden="false" customHeight="true" x14ac:dyDescent="0.25">
      <c r="A129" s="3089" t="s">
        <v>312</v>
      </c>
      <c r="B129" s="3088" t="s">
        <v>75</v>
      </c>
      <c r="C129" s="3088" t="s">
        <v>69</v>
      </c>
      <c r="D129" s="3088" t="s">
        <v>313</v>
      </c>
      <c r="E129" s="3088"/>
      <c r="F129" s="3088" t="s">
        <v>314</v>
      </c>
      <c r="G129" s="3088" t="s">
        <v>4</v>
      </c>
      <c r="H129" s="3088" t="s">
        <v>49</v>
      </c>
      <c r="I129" s="3088"/>
      <c r="J129" s="3088"/>
      <c r="K129" s="3088"/>
      <c r="L129" s="3088"/>
      <c r="M129" s="3088" t="s">
        <v>379</v>
      </c>
      <c r="N129" s="3088"/>
      <c r="O129" s="3088" t="s">
        <v>370</v>
      </c>
      <c r="P129" s="3088"/>
      <c r="Q129" s="3091"/>
      <c r="R129" s="3091"/>
      <c r="S129" s="3091"/>
      <c r="T129" s="3091"/>
      <c r="U129" s="3092"/>
      <c r="V129" s="3088"/>
      <c r="W129" s="3088"/>
      <c r="X129" s="3056">
        <f>IF(A129="","",IF(LEN(SUBSTITUTE(SUBSTITUTE(SUBSTITUTE(SUBSTITUTE(D129,".",""),"/",""),"-","")," ",""))&lt;&gt;14,"CNPJ INVALIDO","OK"))</f>
      </c>
      <c r="Y129" s="3056">
        <f>IF(A129="","",IF(R129="","REST PENDENTE","REST OK"))</f>
      </c>
      <c r="Z129" s="3056">
        <f>IF(A129="","",IF(AND(R129&lt;&gt;"",COUNTIFS($D$3:$D$164,D129,$R$3:$R$164,"&lt;&gt;")&gt;1),"DUPLICADO","OK"))</f>
      </c>
      <c r="AA129" s="3056">
        <f>IF(A129="","",IF(OR(LEN(Q129)&gt;180,LEN(R129)&gt;180,LEN(S129)&gt;180,LEN(T129)&gt;180),"CAMINHO LONGO","OK"))</f>
      </c>
      <c r="AB129" s="3056">
        <f>IF(A129="","",IF(U129="","",IFERROR(INT(U129-TODAY()),"")))</f>
      </c>
      <c r="AC129" s="3056">
        <f>IF(A129="","",IF(AND(T129="",U129=""),"",IF(T129="","SEM CAMINHO",IF(U129="","SEM DATA",IFERROR(IF(AB129&lt;15,"VERMELHO",IF(AB129&lt;=30,"AMARELO","VERDE")),"DATA INVALIDA")))))</f>
      </c>
      <c r="AD129" s="3056">
        <f>IF(OR(A129="",U129="",NOT(ISNUMBER(AB129))),"",RANK(AB129,$AB$3:$AB$164,1)+COUNTIFS($AB$3:AB129,AB129)-1)</f>
      </c>
      <c r="AE129" s="1736"/>
    </row>
    <row r="130" spans="1:19" ht="22.0" hidden="false" customHeight="true" x14ac:dyDescent="0.25">
      <c r="A130" s="3094" t="s">
        <v>315</v>
      </c>
      <c r="B130" s="3093" t="s">
        <v>45</v>
      </c>
      <c r="C130" s="3093" t="s">
        <v>316</v>
      </c>
      <c r="D130" s="3093" t="s">
        <v>317</v>
      </c>
      <c r="E130" s="3093"/>
      <c r="F130" s="3093"/>
      <c r="G130" s="3093" t="s">
        <v>13</v>
      </c>
      <c r="H130" s="3093"/>
      <c r="I130" s="3093"/>
      <c r="J130" s="3093"/>
      <c r="K130" s="3093"/>
      <c r="L130" s="3093"/>
      <c r="M130" s="3093" t="s">
        <v>399</v>
      </c>
      <c r="N130" s="3093" t="s">
        <v>374</v>
      </c>
      <c r="O130" s="3093" t="s">
        <v>367</v>
      </c>
      <c r="P130" s="3093"/>
      <c r="Q130" s="3096"/>
      <c r="R130" s="3096"/>
      <c r="S130" s="3096"/>
      <c r="T130" s="3096"/>
      <c r="U130" s="3097"/>
      <c r="V130" s="3093"/>
      <c r="W130" s="3093"/>
      <c r="X130" s="3056">
        <f>IF(A130="","",IF(LEN(SUBSTITUTE(SUBSTITUTE(SUBSTITUTE(SUBSTITUTE(D130,".",""),"/",""),"-","")," ",""))&lt;&gt;14,"CNPJ INVALIDO","OK"))</f>
      </c>
      <c r="Y130" s="3056">
        <f>IF(A130="","",IF(R130="","REST PENDENTE","REST OK"))</f>
      </c>
      <c r="Z130" s="3056">
        <f>IF(A130="","",IF(AND(R130&lt;&gt;"",COUNTIFS($D$3:$D$164,D130,$R$3:$R$164,"&lt;&gt;")&gt;1),"DUPLICADO","OK"))</f>
      </c>
      <c r="AA130" s="3056">
        <f>IF(A130="","",IF(OR(LEN(Q130)&gt;180,LEN(R130)&gt;180,LEN(S130)&gt;180,LEN(T130)&gt;180),"CAMINHO LONGO","OK"))</f>
      </c>
      <c r="AB130" s="3056">
        <f>IF(A130="","",IF(U130="","",IFERROR(INT(U130-TODAY()),"")))</f>
      </c>
      <c r="AC130" s="3056">
        <f>IF(A130="","",IF(AND(T130="",U130=""),"",IF(T130="","SEM CAMINHO",IF(U130="","SEM DATA",IFERROR(IF(AB130&lt;15,"VERMELHO",IF(AB130&lt;=30,"AMARELO","VERDE")),"DATA INVALIDA")))))</f>
      </c>
      <c r="AD130" s="3056">
        <f>IF(OR(A130="",U130="",NOT(ISNUMBER(AB130))),"",RANK(AB130,$AB$3:$AB$164,1)+COUNTIFS($AB$3:AB130,AB130)-1)</f>
      </c>
      <c r="AE130" s="1736"/>
    </row>
    <row r="131" spans="1:19" ht="22.0" hidden="false" customHeight="true" x14ac:dyDescent="0.25">
      <c r="A131" s="3089" t="s">
        <v>318</v>
      </c>
      <c r="B131" s="3088" t="s">
        <v>45</v>
      </c>
      <c r="C131" s="3088" t="s">
        <v>316</v>
      </c>
      <c r="D131" s="3088" t="s">
        <v>319</v>
      </c>
      <c r="E131" s="3088"/>
      <c r="F131" s="3088" t="s">
        <v>48</v>
      </c>
      <c r="G131" s="3088" t="s">
        <v>320</v>
      </c>
      <c r="H131" s="3088"/>
      <c r="I131" s="3088"/>
      <c r="J131" s="3088"/>
      <c r="K131" s="3088"/>
      <c r="L131" s="3088"/>
      <c r="M131" s="3088" t="s">
        <v>399</v>
      </c>
      <c r="N131" s="3088" t="s">
        <v>374</v>
      </c>
      <c r="O131" s="3088" t="s">
        <v>371</v>
      </c>
      <c r="P131" s="3088"/>
      <c r="Q131" s="3091"/>
      <c r="R131" s="3091"/>
      <c r="S131" s="3091"/>
      <c r="T131" s="3091"/>
      <c r="U131" s="3092"/>
      <c r="V131" s="3088"/>
      <c r="W131" s="3088"/>
      <c r="X131" s="3056">
        <f>IF(A131="","",IF(LEN(SUBSTITUTE(SUBSTITUTE(SUBSTITUTE(SUBSTITUTE(D131,".",""),"/",""),"-","")," ",""))&lt;&gt;14,"CNPJ INVALIDO","OK"))</f>
      </c>
      <c r="Y131" s="3056">
        <f>IF(A131="","",IF(R131="","REST PENDENTE","REST OK"))</f>
      </c>
      <c r="Z131" s="3056">
        <f>IF(A131="","",IF(AND(R131&lt;&gt;"",COUNTIFS($D$3:$D$164,D131,$R$3:$R$164,"&lt;&gt;")&gt;1),"DUPLICADO","OK"))</f>
      </c>
      <c r="AA131" s="3056">
        <f>IF(A131="","",IF(OR(LEN(Q131)&gt;180,LEN(R131)&gt;180,LEN(S131)&gt;180,LEN(T131)&gt;180),"CAMINHO LONGO","OK"))</f>
      </c>
      <c r="AB131" s="3056">
        <f>IF(A131="","",IF(U131="","",IFERROR(INT(U131-TODAY()),"")))</f>
      </c>
      <c r="AC131" s="3056">
        <f>IF(A131="","",IF(AND(T131="",U131=""),"",IF(T131="","SEM CAMINHO",IF(U131="","SEM DATA",IFERROR(IF(AB131&lt;15,"VERMELHO",IF(AB131&lt;=30,"AMARELO","VERDE")),"DATA INVALIDA")))))</f>
      </c>
      <c r="AD131" s="3056">
        <f>IF(OR(A131="",U131="",NOT(ISNUMBER(AB131))),"",RANK(AB131,$AB$3:$AB$164,1)+COUNTIFS($AB$3:AB131,AB131)-1)</f>
      </c>
      <c r="AE131" s="1736"/>
    </row>
    <row r="132" spans="1:19" ht="22.0" hidden="false" customHeight="true" x14ac:dyDescent="0.25">
      <c r="A132" s="3094" t="s">
        <v>321</v>
      </c>
      <c r="B132" s="3093" t="s">
        <v>45</v>
      </c>
      <c r="C132" s="3093" t="s">
        <v>316</v>
      </c>
      <c r="D132" s="3093" t="s">
        <v>322</v>
      </c>
      <c r="E132" s="3093"/>
      <c r="F132" s="3093" t="s">
        <v>48</v>
      </c>
      <c r="G132" s="3093" t="s">
        <v>320</v>
      </c>
      <c r="H132" s="3093"/>
      <c r="I132" s="3093"/>
      <c r="J132" s="3093"/>
      <c r="K132" s="3093"/>
      <c r="L132" s="3093"/>
      <c r="M132" s="3093" t="s">
        <v>379</v>
      </c>
      <c r="N132" s="3093" t="s">
        <v>374</v>
      </c>
      <c r="O132" s="3093" t="s">
        <v>370</v>
      </c>
      <c r="P132" s="3093"/>
      <c r="Q132" s="3096"/>
      <c r="R132" s="3096"/>
      <c r="S132" s="3096"/>
      <c r="T132" s="3096"/>
      <c r="U132" s="3097"/>
      <c r="V132" s="3093"/>
      <c r="W132" s="3093"/>
      <c r="X132" s="3056">
        <f>IF(A132="","",IF(LEN(SUBSTITUTE(SUBSTITUTE(SUBSTITUTE(SUBSTITUTE(D132,".",""),"/",""),"-","")," ",""))&lt;&gt;14,"CNPJ INVALIDO","OK"))</f>
      </c>
      <c r="Y132" s="3056">
        <f>IF(A132="","",IF(R132="","REST PENDENTE","REST OK"))</f>
      </c>
      <c r="Z132" s="3056">
        <f>IF(A132="","",IF(AND(R132&lt;&gt;"",COUNTIFS($D$3:$D$164,D132,$R$3:$R$164,"&lt;&gt;")&gt;1),"DUPLICADO","OK"))</f>
      </c>
      <c r="AA132" s="3056">
        <f>IF(A132="","",IF(OR(LEN(Q132)&gt;180,LEN(R132)&gt;180,LEN(S132)&gt;180,LEN(T132)&gt;180),"CAMINHO LONGO","OK"))</f>
      </c>
      <c r="AB132" s="3056">
        <f>IF(A132="","",IF(U132="","",IFERROR(INT(U132-TODAY()),"")))</f>
      </c>
      <c r="AC132" s="3056">
        <f>IF(A132="","",IF(AND(T132="",U132=""),"",IF(T132="","SEM CAMINHO",IF(U132="","SEM DATA",IFERROR(IF(AB132&lt;15,"VERMELHO",IF(AB132&lt;=30,"AMARELO","VERDE")),"DATA INVALIDA")))))</f>
      </c>
      <c r="AD132" s="3056">
        <f>IF(OR(A132="",U132="",NOT(ISNUMBER(AB132))),"",RANK(AB132,$AB$3:$AB$164,1)+COUNTIFS($AB$3:AB132,AB132)-1)</f>
      </c>
      <c r="AE132" s="1736"/>
    </row>
    <row r="133" spans="1:19" ht="22.0" hidden="false" customHeight="true" x14ac:dyDescent="0.25">
      <c r="A133" s="3089" t="s">
        <v>323</v>
      </c>
      <c r="B133" s="3088" t="s">
        <v>305</v>
      </c>
      <c r="C133" s="3088"/>
      <c r="D133" s="3088"/>
      <c r="E133" s="3088"/>
      <c r="F133" s="3088" t="s">
        <v>306</v>
      </c>
      <c r="G133" s="3088" t="s">
        <v>4</v>
      </c>
      <c r="H133" s="3088"/>
      <c r="I133" s="3088"/>
      <c r="J133" s="3088"/>
      <c r="K133" s="3088"/>
      <c r="L133" s="3088"/>
      <c r="M133" s="3088" t="s">
        <v>371</v>
      </c>
      <c r="N133" s="3088"/>
      <c r="O133" s="3088" t="s">
        <v>365</v>
      </c>
      <c r="P133" s="3088"/>
      <c r="Q133" s="3091"/>
      <c r="R133" s="3091"/>
      <c r="S133" s="3091"/>
      <c r="T133" s="3091"/>
      <c r="U133" s="3092"/>
      <c r="V133" s="3088"/>
      <c r="W133" s="3088"/>
      <c r="X133" s="3056">
        <f>IF(A133="","",IF(LEN(SUBSTITUTE(SUBSTITUTE(SUBSTITUTE(SUBSTITUTE(D133,".",""),"/",""),"-","")," ",""))&lt;&gt;14,"CNPJ INVALIDO","OK"))</f>
      </c>
      <c r="Y133" s="3056">
        <f>IF(A133="","",IF(R133="","REST PENDENTE","REST OK"))</f>
      </c>
      <c r="Z133" s="3056">
        <f>IF(A133="","",IF(AND(R133&lt;&gt;"",COUNTIFS($D$3:$D$164,D133,$R$3:$R$164,"&lt;&gt;")&gt;1),"DUPLICADO","OK"))</f>
      </c>
      <c r="AA133" s="3056">
        <f>IF(A133="","",IF(OR(LEN(Q133)&gt;180,LEN(R133)&gt;180,LEN(S133)&gt;180,LEN(T133)&gt;180),"CAMINHO LONGO","OK"))</f>
      </c>
      <c r="AB133" s="3056">
        <f>IF(A133="","",IF(U133="","",IFERROR(INT(U133-TODAY()),"")))</f>
      </c>
      <c r="AC133" s="3056">
        <f>IF(A133="","",IF(AND(T133="",U133=""),"",IF(T133="","SEM CAMINHO",IF(U133="","SEM DATA",IFERROR(IF(AB133&lt;15,"VERMELHO",IF(AB133&lt;=30,"AMARELO","VERDE")),"DATA INVALIDA")))))</f>
      </c>
      <c r="AD133" s="3056">
        <f>IF(OR(A133="",U133="",NOT(ISNUMBER(AB133))),"",RANK(AB133,$AB$3:$AB$164,1)+COUNTIFS($AB$3:AB133,AB133)-1)</f>
      </c>
      <c r="AE133" s="1736"/>
    </row>
    <row r="134" spans="1:19" ht="22.0" hidden="false" customHeight="true" x14ac:dyDescent="0.25">
      <c r="A134" s="3094" t="s">
        <v>324</v>
      </c>
      <c r="B134" s="3093" t="s">
        <v>75</v>
      </c>
      <c r="C134" s="3093"/>
      <c r="D134" s="3093"/>
      <c r="E134" s="3093"/>
      <c r="F134" s="3093"/>
      <c r="G134" s="3093"/>
      <c r="H134" s="3093"/>
      <c r="I134" s="3093"/>
      <c r="J134" s="3093"/>
      <c r="K134" s="3093"/>
      <c r="L134" s="3093"/>
      <c r="M134" s="3093" t="s">
        <v>371</v>
      </c>
      <c r="N134" s="3093"/>
      <c r="O134" s="3093" t="s">
        <v>371</v>
      </c>
      <c r="P134" s="3093"/>
      <c r="Q134" s="3096"/>
      <c r="R134" s="3096"/>
      <c r="S134" s="3096"/>
      <c r="T134" s="3096"/>
      <c r="U134" s="3097"/>
      <c r="V134" s="3093"/>
      <c r="W134" s="3093"/>
      <c r="X134" s="3056">
        <f>IF(A134="","",IF(LEN(SUBSTITUTE(SUBSTITUTE(SUBSTITUTE(SUBSTITUTE(D134,".",""),"/",""),"-","")," ",""))&lt;&gt;14,"CNPJ INVALIDO","OK"))</f>
      </c>
      <c r="Y134" s="3056">
        <f>IF(A134="","",IF(R134="","REST PENDENTE","REST OK"))</f>
      </c>
      <c r="Z134" s="3056">
        <f>IF(A134="","",IF(AND(R134&lt;&gt;"",COUNTIFS($D$3:$D$164,D134,$R$3:$R$164,"&lt;&gt;")&gt;1),"DUPLICADO","OK"))</f>
      </c>
      <c r="AA134" s="3056">
        <f>IF(A134="","",IF(OR(LEN(Q134)&gt;180,LEN(R134)&gt;180,LEN(S134)&gt;180,LEN(T134)&gt;180),"CAMINHO LONGO","OK"))</f>
      </c>
      <c r="AB134" s="3056">
        <f>IF(A134="","",IF(U134="","",IFERROR(INT(U134-TODAY()),"")))</f>
      </c>
      <c r="AC134" s="3056">
        <f>IF(A134="","",IF(AND(T134="",U134=""),"",IF(T134="","SEM CAMINHO",IF(U134="","SEM DATA",IFERROR(IF(AB134&lt;15,"VERMELHO",IF(AB134&lt;=30,"AMARELO","VERDE")),"DATA INVALIDA")))))</f>
      </c>
      <c r="AD134" s="3056">
        <f>IF(OR(A134="",U134="",NOT(ISNUMBER(AB134))),"",RANK(AB134,$AB$3:$AB$164,1)+COUNTIFS($AB$3:AB134,AB134)-1)</f>
      </c>
      <c r="AE134" s="1736"/>
    </row>
    <row r="135" ht="22.0" customHeight="true" hidden="false">
      <c r="A135" s="3089"/>
      <c r="B135" s="3088"/>
      <c r="C135" s="3088"/>
      <c r="D135" s="3088"/>
      <c r="E135" s="3088"/>
      <c r="F135" s="3088"/>
      <c r="G135" s="3088"/>
      <c r="H135" s="3088"/>
      <c r="I135" s="3088"/>
      <c r="J135" s="3088"/>
      <c r="K135" s="3088"/>
      <c r="L135" s="3088"/>
      <c r="M135" s="3088"/>
      <c r="N135" s="3088"/>
      <c r="O135" s="3088"/>
      <c r="P135" s="3088"/>
      <c r="Q135" s="3091"/>
      <c r="R135" s="3091"/>
      <c r="S135" s="3091"/>
      <c r="T135" s="3091"/>
      <c r="U135" s="3092"/>
      <c r="V135" s="3088"/>
      <c r="W135" s="3088"/>
      <c r="X135" s="3056">
        <f>IF(A135="","",IF(LEN(SUBSTITUTE(SUBSTITUTE(SUBSTITUTE(SUBSTITUTE(D135,".",""),"/",""),"-","")," ",""))&lt;&gt;14,"CNPJ INVALIDO","OK"))</f>
      </c>
      <c r="Y135" s="3056">
        <f>IF(A135="","",IF(R135="","REST PENDENTE","REST OK"))</f>
      </c>
      <c r="Z135" s="3056">
        <f>IF(A135="","",IF(AND(R135&lt;&gt;"",COUNTIFS($D$3:$D$164,D135,$R$3:$R$164,"&lt;&gt;")&gt;1),"DUPLICADO","OK"))</f>
      </c>
      <c r="AA135" s="3056">
        <f>IF(A135="","",IF(OR(LEN(Q135)&gt;180,LEN(R135)&gt;180,LEN(S135)&gt;180,LEN(T135)&gt;180),"CAMINHO LONGO","OK"))</f>
      </c>
      <c r="AB135" s="3056">
        <f>IF(A135="","",IF(U135="","",IFERROR(INT(U135-TODAY()),"")))</f>
      </c>
      <c r="AC135" s="3056">
        <f>IF(A135="","",IF(AND(T135="",U135=""),"",IF(T135="","SEM CAMINHO",IF(U135="","SEM DATA",IFERROR(IF(AB135&lt;15,"VERMELHO",IF(AB135&lt;=30,"AMARELO","VERDE")),"DATA INVALIDA")))))</f>
      </c>
      <c r="AD135" s="3056">
        <f>IF(OR(A135="",U135="",NOT(ISNUMBER(AB135))),"",RANK(AB135,$AB$3:$AB$164,1)+COUNTIFS($AB$3:AB135,AB135)-1)</f>
      </c>
      <c r="AE135" s="1736"/>
    </row>
    <row r="136" ht="22.0" customHeight="true" hidden="false">
      <c r="A136" s="3094"/>
      <c r="B136" s="3093"/>
      <c r="C136" s="3093"/>
      <c r="D136" s="3093"/>
      <c r="E136" s="3093"/>
      <c r="F136" s="3093"/>
      <c r="G136" s="3093"/>
      <c r="H136" s="3093"/>
      <c r="I136" s="3093"/>
      <c r="J136" s="3093"/>
      <c r="K136" s="3093"/>
      <c r="L136" s="3093"/>
      <c r="M136" s="3093"/>
      <c r="N136" s="3093"/>
      <c r="O136" s="3093"/>
      <c r="P136" s="3093"/>
      <c r="Q136" s="3096"/>
      <c r="R136" s="3096"/>
      <c r="S136" s="3096"/>
      <c r="T136" s="3096"/>
      <c r="U136" s="3097"/>
      <c r="V136" s="3093"/>
      <c r="W136" s="3093"/>
      <c r="X136" s="3056">
        <f>IF(A136="","",IF(LEN(SUBSTITUTE(SUBSTITUTE(SUBSTITUTE(SUBSTITUTE(D136,".",""),"/",""),"-","")," ",""))&lt;&gt;14,"CNPJ INVALIDO","OK"))</f>
      </c>
      <c r="Y136" s="3056">
        <f>IF(A136="","",IF(R136="","REST PENDENTE","REST OK"))</f>
      </c>
      <c r="Z136" s="3056">
        <f>IF(A136="","",IF(AND(R136&lt;&gt;"",COUNTIFS($D$3:$D$164,D136,$R$3:$R$164,"&lt;&gt;")&gt;1),"DUPLICADO","OK"))</f>
      </c>
      <c r="AA136" s="3056">
        <f>IF(A136="","",IF(OR(LEN(Q136)&gt;180,LEN(R136)&gt;180,LEN(S136)&gt;180,LEN(T136)&gt;180),"CAMINHO LONGO","OK"))</f>
      </c>
      <c r="AB136" s="3056">
        <f>IF(A136="","",IF(U136="","",IFERROR(INT(U136-TODAY()),"")))</f>
      </c>
      <c r="AC136" s="3056">
        <f>IF(A136="","",IF(AND(T136="",U136=""),"",IF(T136="","SEM CAMINHO",IF(U136="","SEM DATA",IFERROR(IF(AB136&lt;15,"VERMELHO",IF(AB136&lt;=30,"AMARELO","VERDE")),"DATA INVALIDA")))))</f>
      </c>
      <c r="AD136" s="3056">
        <f>IF(OR(A136="",U136="",NOT(ISNUMBER(AB136))),"",RANK(AB136,$AB$3:$AB$164,1)+COUNTIFS($AB$3:AB136,AB136)-1)</f>
      </c>
      <c r="AE136" s="1736"/>
    </row>
    <row r="137" ht="22.0" customHeight="true" hidden="false">
      <c r="A137" s="3089"/>
      <c r="B137" s="3088"/>
      <c r="C137" s="3088"/>
      <c r="D137" s="3088"/>
      <c r="E137" s="3088"/>
      <c r="F137" s="3088"/>
      <c r="G137" s="3088"/>
      <c r="H137" s="3088"/>
      <c r="I137" s="3088"/>
      <c r="J137" s="3088"/>
      <c r="K137" s="3088"/>
      <c r="L137" s="3088"/>
      <c r="M137" s="3088"/>
      <c r="N137" s="3088"/>
      <c r="O137" s="3088"/>
      <c r="P137" s="3088"/>
      <c r="Q137" s="3091"/>
      <c r="R137" s="3091"/>
      <c r="S137" s="3091"/>
      <c r="T137" s="3091"/>
      <c r="U137" s="3092"/>
      <c r="V137" s="3088"/>
      <c r="W137" s="3088"/>
      <c r="X137" s="3056">
        <f>IF(A137="","",IF(LEN(SUBSTITUTE(SUBSTITUTE(SUBSTITUTE(SUBSTITUTE(D137,".",""),"/",""),"-","")," ",""))&lt;&gt;14,"CNPJ INVALIDO","OK"))</f>
      </c>
      <c r="Y137" s="3056">
        <f>IF(A137="","",IF(R137="","REST PENDENTE","REST OK"))</f>
      </c>
      <c r="Z137" s="3056">
        <f>IF(A137="","",IF(AND(R137&lt;&gt;"",COUNTIFS($D$3:$D$164,D137,$R$3:$R$164,"&lt;&gt;")&gt;1),"DUPLICADO","OK"))</f>
      </c>
      <c r="AA137" s="3056">
        <f>IF(A137="","",IF(OR(LEN(Q137)&gt;180,LEN(R137)&gt;180,LEN(S137)&gt;180,LEN(T137)&gt;180),"CAMINHO LONGO","OK"))</f>
      </c>
      <c r="AB137" s="3056">
        <f>IF(A137="","",IF(U137="","",IFERROR(INT(U137-TODAY()),"")))</f>
      </c>
      <c r="AC137" s="3056">
        <f>IF(A137="","",IF(AND(T137="",U137=""),"",IF(T137="","SEM CAMINHO",IF(U137="","SEM DATA",IFERROR(IF(AB137&lt;15,"VERMELHO",IF(AB137&lt;=30,"AMARELO","VERDE")),"DATA INVALIDA")))))</f>
      </c>
      <c r="AD137" s="3056">
        <f>IF(OR(A137="",U137="",NOT(ISNUMBER(AB137))),"",RANK(AB137,$AB$3:$AB$164,1)+COUNTIFS($AB$3:AB137,AB137)-1)</f>
      </c>
      <c r="AE137" s="1736"/>
    </row>
    <row r="138" ht="22.0" customHeight="true" hidden="false">
      <c r="A138" s="3094"/>
      <c r="B138" s="3093"/>
      <c r="C138" s="3093"/>
      <c r="D138" s="3093"/>
      <c r="E138" s="3093"/>
      <c r="F138" s="3093"/>
      <c r="G138" s="3093"/>
      <c r="H138" s="3093"/>
      <c r="I138" s="3093"/>
      <c r="J138" s="3093"/>
      <c r="K138" s="3093"/>
      <c r="L138" s="3093"/>
      <c r="M138" s="3093"/>
      <c r="N138" s="3093"/>
      <c r="O138" s="3093"/>
      <c r="P138" s="3093"/>
      <c r="Q138" s="3096"/>
      <c r="R138" s="3096"/>
      <c r="S138" s="3096"/>
      <c r="T138" s="3096"/>
      <c r="U138" s="3097"/>
      <c r="V138" s="3093"/>
      <c r="W138" s="3093"/>
      <c r="X138" s="3056">
        <f>IF(A138="","",IF(LEN(SUBSTITUTE(SUBSTITUTE(SUBSTITUTE(SUBSTITUTE(D138,".",""),"/",""),"-","")," ",""))&lt;&gt;14,"CNPJ INVALIDO","OK"))</f>
      </c>
      <c r="Y138" s="3056">
        <f>IF(A138="","",IF(R138="","REST PENDENTE","REST OK"))</f>
      </c>
      <c r="Z138" s="3056">
        <f>IF(A138="","",IF(AND(R138&lt;&gt;"",COUNTIFS($D$3:$D$164,D138,$R$3:$R$164,"&lt;&gt;")&gt;1),"DUPLICADO","OK"))</f>
      </c>
      <c r="AA138" s="3056">
        <f>IF(A138="","",IF(OR(LEN(Q138)&gt;180,LEN(R138)&gt;180,LEN(S138)&gt;180,LEN(T138)&gt;180),"CAMINHO LONGO","OK"))</f>
      </c>
      <c r="AB138" s="3056">
        <f>IF(A138="","",IF(U138="","",IFERROR(INT(U138-TODAY()),"")))</f>
      </c>
      <c r="AC138" s="3056">
        <f>IF(A138="","",IF(AND(T138="",U138=""),"",IF(T138="","SEM CAMINHO",IF(U138="","SEM DATA",IFERROR(IF(AB138&lt;15,"VERMELHO",IF(AB138&lt;=30,"AMARELO","VERDE")),"DATA INVALIDA")))))</f>
      </c>
      <c r="AD138" s="3056">
        <f>IF(OR(A138="",U138="",NOT(ISNUMBER(AB138))),"",RANK(AB138,$AB$3:$AB$164,1)+COUNTIFS($AB$3:AB138,AB138)-1)</f>
      </c>
      <c r="AE138" s="1736"/>
    </row>
    <row r="139" ht="22.0" customHeight="true" hidden="false">
      <c r="A139" s="3089"/>
      <c r="B139" s="3088"/>
      <c r="C139" s="3088"/>
      <c r="D139" s="3088"/>
      <c r="E139" s="3088"/>
      <c r="F139" s="3088"/>
      <c r="G139" s="3088"/>
      <c r="H139" s="3088"/>
      <c r="I139" s="3088"/>
      <c r="J139" s="3088"/>
      <c r="K139" s="3088"/>
      <c r="L139" s="3088"/>
      <c r="M139" s="3088"/>
      <c r="N139" s="3088"/>
      <c r="O139" s="3088"/>
      <c r="P139" s="3088"/>
      <c r="Q139" s="3091"/>
      <c r="R139" s="3091"/>
      <c r="S139" s="3091"/>
      <c r="T139" s="3091"/>
      <c r="U139" s="3092"/>
      <c r="V139" s="3088"/>
      <c r="W139" s="3088"/>
      <c r="X139" s="3056">
        <f>IF(A139="","",IF(LEN(SUBSTITUTE(SUBSTITUTE(SUBSTITUTE(SUBSTITUTE(D139,".",""),"/",""),"-","")," ",""))&lt;&gt;14,"CNPJ INVALIDO","OK"))</f>
      </c>
      <c r="Y139" s="3056">
        <f>IF(A139="","",IF(R139="","REST PENDENTE","REST OK"))</f>
      </c>
      <c r="Z139" s="3056">
        <f>IF(A139="","",IF(AND(R139&lt;&gt;"",COUNTIFS($D$3:$D$164,D139,$R$3:$R$164,"&lt;&gt;")&gt;1),"DUPLICADO","OK"))</f>
      </c>
      <c r="AA139" s="3056">
        <f>IF(A139="","",IF(OR(LEN(Q139)&gt;180,LEN(R139)&gt;180,LEN(S139)&gt;180,LEN(T139)&gt;180),"CAMINHO LONGO","OK"))</f>
      </c>
      <c r="AB139" s="3056">
        <f>IF(A139="","",IF(U139="","",IFERROR(INT(U139-TODAY()),"")))</f>
      </c>
      <c r="AC139" s="3056">
        <f>IF(A139="","",IF(AND(T139="",U139=""),"",IF(T139="","SEM CAMINHO",IF(U139="","SEM DATA",IFERROR(IF(AB139&lt;15,"VERMELHO",IF(AB139&lt;=30,"AMARELO","VERDE")),"DATA INVALIDA")))))</f>
      </c>
      <c r="AD139" s="3056">
        <f>IF(OR(A139="",U139="",NOT(ISNUMBER(AB139))),"",RANK(AB139,$AB$3:$AB$164,1)+COUNTIFS($AB$3:AB139,AB139)-1)</f>
      </c>
      <c r="AE139" s="1736"/>
    </row>
    <row r="140" ht="22.0" customHeight="true" hidden="false">
      <c r="A140" s="3094"/>
      <c r="B140" s="3093"/>
      <c r="C140" s="3093"/>
      <c r="D140" s="3093"/>
      <c r="E140" s="3093"/>
      <c r="F140" s="3093"/>
      <c r="G140" s="3093"/>
      <c r="H140" s="3093"/>
      <c r="I140" s="3093"/>
      <c r="J140" s="3093"/>
      <c r="K140" s="3093"/>
      <c r="L140" s="3093"/>
      <c r="M140" s="3093"/>
      <c r="N140" s="3093"/>
      <c r="O140" s="3093"/>
      <c r="P140" s="3093"/>
      <c r="Q140" s="3096"/>
      <c r="R140" s="3096"/>
      <c r="S140" s="3096"/>
      <c r="T140" s="3096"/>
      <c r="U140" s="3097"/>
      <c r="V140" s="3093"/>
      <c r="W140" s="3093"/>
      <c r="X140" s="3056">
        <f>IF(A140="","",IF(LEN(SUBSTITUTE(SUBSTITUTE(SUBSTITUTE(SUBSTITUTE(D140,".",""),"/",""),"-","")," ",""))&lt;&gt;14,"CNPJ INVALIDO","OK"))</f>
      </c>
      <c r="Y140" s="3056">
        <f>IF(A140="","",IF(R140="","REST PENDENTE","REST OK"))</f>
      </c>
      <c r="Z140" s="3056">
        <f>IF(A140="","",IF(AND(R140&lt;&gt;"",COUNTIFS($D$3:$D$164,D140,$R$3:$R$164,"&lt;&gt;")&gt;1),"DUPLICADO","OK"))</f>
      </c>
      <c r="AA140" s="3056">
        <f>IF(A140="","",IF(OR(LEN(Q140)&gt;180,LEN(R140)&gt;180,LEN(S140)&gt;180,LEN(T140)&gt;180),"CAMINHO LONGO","OK"))</f>
      </c>
      <c r="AB140" s="3056">
        <f>IF(A140="","",IF(U140="","",IFERROR(INT(U140-TODAY()),"")))</f>
      </c>
      <c r="AC140" s="3056">
        <f>IF(A140="","",IF(AND(T140="",U140=""),"",IF(T140="","SEM CAMINHO",IF(U140="","SEM DATA",IFERROR(IF(AB140&lt;15,"VERMELHO",IF(AB140&lt;=30,"AMARELO","VERDE")),"DATA INVALIDA")))))</f>
      </c>
      <c r="AD140" s="3056">
        <f>IF(OR(A140="",U140="",NOT(ISNUMBER(AB140))),"",RANK(AB140,$AB$3:$AB$164,1)+COUNTIFS($AB$3:AB140,AB140)-1)</f>
      </c>
      <c r="AE140" s="1736"/>
    </row>
    <row r="141" ht="22.0" customHeight="true" hidden="false">
      <c r="A141" s="3089"/>
      <c r="B141" s="3088"/>
      <c r="C141" s="3088"/>
      <c r="D141" s="3088"/>
      <c r="E141" s="3088"/>
      <c r="F141" s="3088"/>
      <c r="G141" s="3088"/>
      <c r="H141" s="3088"/>
      <c r="I141" s="3088"/>
      <c r="J141" s="3088"/>
      <c r="K141" s="3088"/>
      <c r="L141" s="3088"/>
      <c r="M141" s="3088"/>
      <c r="N141" s="3088"/>
      <c r="O141" s="3088"/>
      <c r="P141" s="3088"/>
      <c r="Q141" s="3091"/>
      <c r="R141" s="3091"/>
      <c r="S141" s="3091"/>
      <c r="T141" s="3091"/>
      <c r="U141" s="3092"/>
      <c r="V141" s="3088"/>
      <c r="W141" s="3088"/>
      <c r="X141" s="3056">
        <f>IF(A141="","",IF(LEN(SUBSTITUTE(SUBSTITUTE(SUBSTITUTE(SUBSTITUTE(D141,".",""),"/",""),"-","")," ",""))&lt;&gt;14,"CNPJ INVALIDO","OK"))</f>
      </c>
      <c r="Y141" s="3056">
        <f>IF(A141="","",IF(R141="","REST PENDENTE","REST OK"))</f>
      </c>
      <c r="Z141" s="3056">
        <f>IF(A141="","",IF(AND(R141&lt;&gt;"",COUNTIFS($D$3:$D$164,D141,$R$3:$R$164,"&lt;&gt;")&gt;1),"DUPLICADO","OK"))</f>
      </c>
      <c r="AA141" s="3056">
        <f>IF(A141="","",IF(OR(LEN(Q141)&gt;180,LEN(R141)&gt;180,LEN(S141)&gt;180,LEN(T141)&gt;180),"CAMINHO LONGO","OK"))</f>
      </c>
      <c r="AB141" s="3056">
        <f>IF(A141="","",IF(U141="","",IFERROR(INT(U141-TODAY()),"")))</f>
      </c>
      <c r="AC141" s="3056">
        <f>IF(A141="","",IF(AND(T141="",U141=""),"",IF(T141="","SEM CAMINHO",IF(U141="","SEM DATA",IFERROR(IF(AB141&lt;15,"VERMELHO",IF(AB141&lt;=30,"AMARELO","VERDE")),"DATA INVALIDA")))))</f>
      </c>
      <c r="AD141" s="3056">
        <f>IF(OR(A141="",U141="",NOT(ISNUMBER(AB141))),"",RANK(AB141,$AB$3:$AB$164,1)+COUNTIFS($AB$3:AB141,AB141)-1)</f>
      </c>
      <c r="AE141" s="1736"/>
    </row>
    <row r="142" ht="22.0" customHeight="true" hidden="false">
      <c r="A142" s="3094"/>
      <c r="B142" s="3093"/>
      <c r="C142" s="3093"/>
      <c r="D142" s="3093"/>
      <c r="E142" s="3093"/>
      <c r="F142" s="3093"/>
      <c r="G142" s="3093"/>
      <c r="H142" s="3093"/>
      <c r="I142" s="3093"/>
      <c r="J142" s="3093"/>
      <c r="K142" s="3093"/>
      <c r="L142" s="3093"/>
      <c r="M142" s="3093"/>
      <c r="N142" s="3093"/>
      <c r="O142" s="3093"/>
      <c r="P142" s="3093"/>
      <c r="Q142" s="3096"/>
      <c r="R142" s="3096"/>
      <c r="S142" s="3096"/>
      <c r="T142" s="3096"/>
      <c r="U142" s="3097"/>
      <c r="V142" s="3093"/>
      <c r="W142" s="3093"/>
      <c r="X142" s="3056">
        <f>IF(A142="","",IF(LEN(SUBSTITUTE(SUBSTITUTE(SUBSTITUTE(SUBSTITUTE(D142,".",""),"/",""),"-","")," ",""))&lt;&gt;14,"CNPJ INVALIDO","OK"))</f>
      </c>
      <c r="Y142" s="3056">
        <f>IF(A142="","",IF(R142="","REST PENDENTE","REST OK"))</f>
      </c>
      <c r="Z142" s="3056">
        <f>IF(A142="","",IF(AND(R142&lt;&gt;"",COUNTIFS($D$3:$D$164,D142,$R$3:$R$164,"&lt;&gt;")&gt;1),"DUPLICADO","OK"))</f>
      </c>
      <c r="AA142" s="3056">
        <f>IF(A142="","",IF(OR(LEN(Q142)&gt;180,LEN(R142)&gt;180,LEN(S142)&gt;180,LEN(T142)&gt;180),"CAMINHO LONGO","OK"))</f>
      </c>
      <c r="AB142" s="3056">
        <f>IF(A142="","",IF(U142="","",IFERROR(INT(U142-TODAY()),"")))</f>
      </c>
      <c r="AC142" s="3056">
        <f>IF(A142="","",IF(AND(T142="",U142=""),"",IF(T142="","SEM CAMINHO",IF(U142="","SEM DATA",IFERROR(IF(AB142&lt;15,"VERMELHO",IF(AB142&lt;=30,"AMARELO","VERDE")),"DATA INVALIDA")))))</f>
      </c>
      <c r="AD142" s="3056">
        <f>IF(OR(A142="",U142="",NOT(ISNUMBER(AB142))),"",RANK(AB142,$AB$3:$AB$164,1)+COUNTIFS($AB$3:AB142,AB142)-1)</f>
      </c>
      <c r="AE142" s="1736"/>
    </row>
    <row r="143" ht="22.0" customHeight="true" hidden="false">
      <c r="A143" s="3089"/>
      <c r="B143" s="3088"/>
      <c r="C143" s="3088"/>
      <c r="D143" s="3088"/>
      <c r="E143" s="3088"/>
      <c r="F143" s="3088"/>
      <c r="G143" s="3088"/>
      <c r="H143" s="3088"/>
      <c r="I143" s="3088"/>
      <c r="J143" s="3088"/>
      <c r="K143" s="3088"/>
      <c r="L143" s="3088"/>
      <c r="M143" s="3088"/>
      <c r="N143" s="3088"/>
      <c r="O143" s="3088"/>
      <c r="P143" s="3088"/>
      <c r="Q143" s="3091"/>
      <c r="R143" s="3091"/>
      <c r="S143" s="3091"/>
      <c r="T143" s="3091"/>
      <c r="U143" s="3092"/>
      <c r="V143" s="3088"/>
      <c r="W143" s="3088"/>
      <c r="X143" s="3056">
        <f>IF(A143="","",IF(LEN(SUBSTITUTE(SUBSTITUTE(SUBSTITUTE(SUBSTITUTE(D143,".",""),"/",""),"-","")," ",""))&lt;&gt;14,"CNPJ INVALIDO","OK"))</f>
      </c>
      <c r="Y143" s="3056">
        <f>IF(A143="","",IF(R143="","REST PENDENTE","REST OK"))</f>
      </c>
      <c r="Z143" s="3056">
        <f>IF(A143="","",IF(AND(R143&lt;&gt;"",COUNTIFS($D$3:$D$164,D143,$R$3:$R$164,"&lt;&gt;")&gt;1),"DUPLICADO","OK"))</f>
      </c>
      <c r="AA143" s="3056">
        <f>IF(A143="","",IF(OR(LEN(Q143)&gt;180,LEN(R143)&gt;180,LEN(S143)&gt;180,LEN(T143)&gt;180),"CAMINHO LONGO","OK"))</f>
      </c>
      <c r="AB143" s="3056">
        <f>IF(A143="","",IF(U143="","",IFERROR(INT(U143-TODAY()),"")))</f>
      </c>
      <c r="AC143" s="3056">
        <f>IF(A143="","",IF(AND(T143="",U143=""),"",IF(T143="","SEM CAMINHO",IF(U143="","SEM DATA",IFERROR(IF(AB143&lt;15,"VERMELHO",IF(AB143&lt;=30,"AMARELO","VERDE")),"DATA INVALIDA")))))</f>
      </c>
      <c r="AD143" s="3056">
        <f>IF(OR(A143="",U143="",NOT(ISNUMBER(AB143))),"",RANK(AB143,$AB$3:$AB$164,1)+COUNTIFS($AB$3:AB143,AB143)-1)</f>
      </c>
      <c r="AE143" s="1736"/>
    </row>
    <row r="144" ht="22.0" customHeight="true" hidden="false">
      <c r="A144" s="3094"/>
      <c r="B144" s="3093"/>
      <c r="C144" s="3093"/>
      <c r="D144" s="3093"/>
      <c r="E144" s="3093"/>
      <c r="F144" s="3093"/>
      <c r="G144" s="3093"/>
      <c r="H144" s="3093"/>
      <c r="I144" s="3093"/>
      <c r="J144" s="3093"/>
      <c r="K144" s="3093"/>
      <c r="L144" s="3093"/>
      <c r="M144" s="3093"/>
      <c r="N144" s="3093"/>
      <c r="O144" s="3093"/>
      <c r="P144" s="3093"/>
      <c r="Q144" s="3096"/>
      <c r="R144" s="3096"/>
      <c r="S144" s="3096"/>
      <c r="T144" s="3096"/>
      <c r="U144" s="3097"/>
      <c r="V144" s="3093"/>
      <c r="W144" s="3093"/>
      <c r="X144" s="3056">
        <f>IF(A144="","",IF(LEN(SUBSTITUTE(SUBSTITUTE(SUBSTITUTE(SUBSTITUTE(D144,".",""),"/",""),"-","")," ",""))&lt;&gt;14,"CNPJ INVALIDO","OK"))</f>
      </c>
      <c r="Y144" s="3056">
        <f>IF(A144="","",IF(R144="","REST PENDENTE","REST OK"))</f>
      </c>
      <c r="Z144" s="3056">
        <f>IF(A144="","",IF(AND(R144&lt;&gt;"",COUNTIFS($D$3:$D$164,D144,$R$3:$R$164,"&lt;&gt;")&gt;1),"DUPLICADO","OK"))</f>
      </c>
      <c r="AA144" s="3056">
        <f>IF(A144="","",IF(OR(LEN(Q144)&gt;180,LEN(R144)&gt;180,LEN(S144)&gt;180,LEN(T144)&gt;180),"CAMINHO LONGO","OK"))</f>
      </c>
      <c r="AB144" s="3056">
        <f>IF(A144="","",IF(U144="","",IFERROR(INT(U144-TODAY()),"")))</f>
      </c>
      <c r="AC144" s="3056">
        <f>IF(A144="","",IF(AND(T144="",U144=""),"",IF(T144="","SEM CAMINHO",IF(U144="","SEM DATA",IFERROR(IF(AB144&lt;15,"VERMELHO",IF(AB144&lt;=30,"AMARELO","VERDE")),"DATA INVALIDA")))))</f>
      </c>
      <c r="AD144" s="3056">
        <f>IF(OR(A144="",U144="",NOT(ISNUMBER(AB144))),"",RANK(AB144,$AB$3:$AB$164,1)+COUNTIFS($AB$3:AB144,AB144)-1)</f>
      </c>
      <c r="AE144" s="1736"/>
    </row>
    <row r="145" ht="22.0" customHeight="true" hidden="false">
      <c r="A145" s="3089"/>
      <c r="B145" s="3088"/>
      <c r="C145" s="3088"/>
      <c r="D145" s="3088"/>
      <c r="E145" s="3088"/>
      <c r="F145" s="3088"/>
      <c r="G145" s="3088"/>
      <c r="H145" s="3088"/>
      <c r="I145" s="3088"/>
      <c r="J145" s="3088"/>
      <c r="K145" s="3088"/>
      <c r="L145" s="3088"/>
      <c r="M145" s="3088"/>
      <c r="N145" s="3088"/>
      <c r="O145" s="3088"/>
      <c r="P145" s="3088"/>
      <c r="Q145" s="3091"/>
      <c r="R145" s="3091"/>
      <c r="S145" s="3091"/>
      <c r="T145" s="3091"/>
      <c r="U145" s="3092"/>
      <c r="V145" s="3088"/>
      <c r="W145" s="3088"/>
      <c r="X145" s="3056">
        <f>IF(A145="","",IF(LEN(SUBSTITUTE(SUBSTITUTE(SUBSTITUTE(SUBSTITUTE(D145,".",""),"/",""),"-","")," ",""))&lt;&gt;14,"CNPJ INVALIDO","OK"))</f>
      </c>
      <c r="Y145" s="3056">
        <f>IF(A145="","",IF(R145="","REST PENDENTE","REST OK"))</f>
      </c>
      <c r="Z145" s="3056">
        <f>IF(A145="","",IF(AND(R145&lt;&gt;"",COUNTIFS($D$3:$D$164,D145,$R$3:$R$164,"&lt;&gt;")&gt;1),"DUPLICADO","OK"))</f>
      </c>
      <c r="AA145" s="3056">
        <f>IF(A145="","",IF(OR(LEN(Q145)&gt;180,LEN(R145)&gt;180,LEN(S145)&gt;180,LEN(T145)&gt;180),"CAMINHO LONGO","OK"))</f>
      </c>
      <c r="AB145" s="3056">
        <f>IF(A145="","",IF(U145="","",IFERROR(INT(U145-TODAY()),"")))</f>
      </c>
      <c r="AC145" s="3056">
        <f>IF(A145="","",IF(AND(T145="",U145=""),"",IF(T145="","SEM CAMINHO",IF(U145="","SEM DATA",IFERROR(IF(AB145&lt;15,"VERMELHO",IF(AB145&lt;=30,"AMARELO","VERDE")),"DATA INVALIDA")))))</f>
      </c>
      <c r="AD145" s="3056">
        <f>IF(OR(A145="",U145="",NOT(ISNUMBER(AB145))),"",RANK(AB145,$AB$3:$AB$164,1)+COUNTIFS($AB$3:AB145,AB145)-1)</f>
      </c>
      <c r="AE145" s="1736"/>
    </row>
    <row r="146" ht="22.0" customHeight="true" hidden="false">
      <c r="A146" s="3094"/>
      <c r="B146" s="3093"/>
      <c r="C146" s="3093"/>
      <c r="D146" s="3093"/>
      <c r="E146" s="3093"/>
      <c r="F146" s="3093"/>
      <c r="G146" s="3093"/>
      <c r="H146" s="3093"/>
      <c r="I146" s="3093"/>
      <c r="J146" s="3093"/>
      <c r="K146" s="3093"/>
      <c r="L146" s="3093"/>
      <c r="M146" s="3093"/>
      <c r="N146" s="3093"/>
      <c r="O146" s="3093"/>
      <c r="P146" s="3093"/>
      <c r="Q146" s="3096"/>
      <c r="R146" s="3096"/>
      <c r="S146" s="3096"/>
      <c r="T146" s="3096"/>
      <c r="U146" s="3097"/>
      <c r="V146" s="3093"/>
      <c r="W146" s="3093"/>
      <c r="X146" s="3056">
        <f>IF(A146="","",IF(LEN(SUBSTITUTE(SUBSTITUTE(SUBSTITUTE(SUBSTITUTE(D146,".",""),"/",""),"-","")," ",""))&lt;&gt;14,"CNPJ INVALIDO","OK"))</f>
      </c>
      <c r="Y146" s="3056">
        <f>IF(A146="","",IF(R146="","REST PENDENTE","REST OK"))</f>
      </c>
      <c r="Z146" s="3056">
        <f>IF(A146="","",IF(AND(R146&lt;&gt;"",COUNTIFS($D$3:$D$164,D146,$R$3:$R$164,"&lt;&gt;")&gt;1),"DUPLICADO","OK"))</f>
      </c>
      <c r="AA146" s="3056">
        <f>IF(A146="","",IF(OR(LEN(Q146)&gt;180,LEN(R146)&gt;180,LEN(S146)&gt;180,LEN(T146)&gt;180),"CAMINHO LONGO","OK"))</f>
      </c>
      <c r="AB146" s="3056">
        <f>IF(A146="","",IF(U146="","",IFERROR(INT(U146-TODAY()),"")))</f>
      </c>
      <c r="AC146" s="3056">
        <f>IF(A146="","",IF(AND(T146="",U146=""),"",IF(T146="","SEM CAMINHO",IF(U146="","SEM DATA",IFERROR(IF(AB146&lt;15,"VERMELHO",IF(AB146&lt;=30,"AMARELO","VERDE")),"DATA INVALIDA")))))</f>
      </c>
      <c r="AD146" s="3056">
        <f>IF(OR(A146="",U146="",NOT(ISNUMBER(AB146))),"",RANK(AB146,$AB$3:$AB$164,1)+COUNTIFS($AB$3:AB146,AB146)-1)</f>
      </c>
      <c r="AE146" s="1736"/>
    </row>
    <row r="147" ht="22.0" customHeight="true" hidden="false">
      <c r="A147" s="3089"/>
      <c r="B147" s="3088"/>
      <c r="C147" s="3088"/>
      <c r="D147" s="3088"/>
      <c r="E147" s="3088"/>
      <c r="F147" s="3088"/>
      <c r="G147" s="3088"/>
      <c r="H147" s="3088"/>
      <c r="I147" s="3088"/>
      <c r="J147" s="3088"/>
      <c r="K147" s="3088"/>
      <c r="L147" s="3088"/>
      <c r="M147" s="3088"/>
      <c r="N147" s="3088"/>
      <c r="O147" s="3088"/>
      <c r="P147" s="3088"/>
      <c r="Q147" s="3091"/>
      <c r="R147" s="3091"/>
      <c r="S147" s="3091"/>
      <c r="T147" s="3091"/>
      <c r="U147" s="3092"/>
      <c r="V147" s="3088"/>
      <c r="W147" s="3088"/>
      <c r="X147" s="3056">
        <f>IF(A147="","",IF(LEN(SUBSTITUTE(SUBSTITUTE(SUBSTITUTE(SUBSTITUTE(D147,".",""),"/",""),"-","")," ",""))&lt;&gt;14,"CNPJ INVALIDO","OK"))</f>
      </c>
      <c r="Y147" s="3056">
        <f>IF(A147="","",IF(R147="","REST PENDENTE","REST OK"))</f>
      </c>
      <c r="Z147" s="3056">
        <f>IF(A147="","",IF(AND(R147&lt;&gt;"",COUNTIFS($D$3:$D$164,D147,$R$3:$R$164,"&lt;&gt;")&gt;1),"DUPLICADO","OK"))</f>
      </c>
      <c r="AA147" s="3056">
        <f>IF(A147="","",IF(OR(LEN(Q147)&gt;180,LEN(R147)&gt;180,LEN(S147)&gt;180,LEN(T147)&gt;180),"CAMINHO LONGO","OK"))</f>
      </c>
      <c r="AB147" s="3056">
        <f>IF(A147="","",IF(U147="","",IFERROR(INT(U147-TODAY()),"")))</f>
      </c>
      <c r="AC147" s="3056">
        <f>IF(A147="","",IF(AND(T147="",U147=""),"",IF(T147="","SEM CAMINHO",IF(U147="","SEM DATA",IFERROR(IF(AB147&lt;15,"VERMELHO",IF(AB147&lt;=30,"AMARELO","VERDE")),"DATA INVALIDA")))))</f>
      </c>
      <c r="AD147" s="3056">
        <f>IF(OR(A147="",U147="",NOT(ISNUMBER(AB147))),"",RANK(AB147,$AB$3:$AB$164,1)+COUNTIFS($AB$3:AB147,AB147)-1)</f>
      </c>
      <c r="AE147" s="1736"/>
    </row>
    <row r="148" ht="22.0" customHeight="true" hidden="false">
      <c r="A148" s="3094"/>
      <c r="B148" s="3093"/>
      <c r="C148" s="3093"/>
      <c r="D148" s="3093"/>
      <c r="E148" s="3093"/>
      <c r="F148" s="3093"/>
      <c r="G148" s="3093"/>
      <c r="H148" s="3093"/>
      <c r="I148" s="3093"/>
      <c r="J148" s="3093"/>
      <c r="K148" s="3093"/>
      <c r="L148" s="3093"/>
      <c r="M148" s="3093"/>
      <c r="N148" s="3093"/>
      <c r="O148" s="3093"/>
      <c r="P148" s="3093"/>
      <c r="Q148" s="3096"/>
      <c r="R148" s="3096"/>
      <c r="S148" s="3096"/>
      <c r="T148" s="3096"/>
      <c r="U148" s="3097"/>
      <c r="V148" s="3093"/>
      <c r="W148" s="3093"/>
      <c r="X148" s="3056">
        <f>IF(A148="","",IF(LEN(SUBSTITUTE(SUBSTITUTE(SUBSTITUTE(SUBSTITUTE(D148,".",""),"/",""),"-","")," ",""))&lt;&gt;14,"CNPJ INVALIDO","OK"))</f>
      </c>
      <c r="Y148" s="3056">
        <f>IF(A148="","",IF(R148="","REST PENDENTE","REST OK"))</f>
      </c>
      <c r="Z148" s="3056">
        <f>IF(A148="","",IF(AND(R148&lt;&gt;"",COUNTIFS($D$3:$D$164,D148,$R$3:$R$164,"&lt;&gt;")&gt;1),"DUPLICADO","OK"))</f>
      </c>
      <c r="AA148" s="3056">
        <f>IF(A148="","",IF(OR(LEN(Q148)&gt;180,LEN(R148)&gt;180,LEN(S148)&gt;180,LEN(T148)&gt;180),"CAMINHO LONGO","OK"))</f>
      </c>
      <c r="AB148" s="3056">
        <f>IF(A148="","",IF(U148="","",IFERROR(INT(U148-TODAY()),"")))</f>
      </c>
      <c r="AC148" s="3056">
        <f>IF(A148="","",IF(AND(T148="",U148=""),"",IF(T148="","SEM CAMINHO",IF(U148="","SEM DATA",IFERROR(IF(AB148&lt;15,"VERMELHO",IF(AB148&lt;=30,"AMARELO","VERDE")),"DATA INVALIDA")))))</f>
      </c>
      <c r="AD148" s="3056">
        <f>IF(OR(A148="",U148="",NOT(ISNUMBER(AB148))),"",RANK(AB148,$AB$3:$AB$164,1)+COUNTIFS($AB$3:AB148,AB148)-1)</f>
      </c>
      <c r="AE148" s="1736"/>
    </row>
    <row r="149" ht="22.0" customHeight="true" hidden="false">
      <c r="A149" s="3089"/>
      <c r="B149" s="3088"/>
      <c r="C149" s="3088"/>
      <c r="D149" s="3088"/>
      <c r="E149" s="3088"/>
      <c r="F149" s="3088"/>
      <c r="G149" s="3088"/>
      <c r="H149" s="3088"/>
      <c r="I149" s="3088"/>
      <c r="J149" s="3088"/>
      <c r="K149" s="3088"/>
      <c r="L149" s="3088"/>
      <c r="M149" s="3088"/>
      <c r="N149" s="3088"/>
      <c r="O149" s="3088"/>
      <c r="P149" s="3088"/>
      <c r="Q149" s="3091"/>
      <c r="R149" s="3091"/>
      <c r="S149" s="3091"/>
      <c r="T149" s="3091"/>
      <c r="U149" s="3092"/>
      <c r="V149" s="3088"/>
      <c r="W149" s="3088"/>
      <c r="X149" s="3056">
        <f>IF(A149="","",IF(LEN(SUBSTITUTE(SUBSTITUTE(SUBSTITUTE(SUBSTITUTE(D149,".",""),"/",""),"-","")," ",""))&lt;&gt;14,"CNPJ INVALIDO","OK"))</f>
      </c>
      <c r="Y149" s="3056">
        <f>IF(A149="","",IF(R149="","REST PENDENTE","REST OK"))</f>
      </c>
      <c r="Z149" s="3056">
        <f>IF(A149="","",IF(AND(R149&lt;&gt;"",COUNTIFS($D$3:$D$164,D149,$R$3:$R$164,"&lt;&gt;")&gt;1),"DUPLICADO","OK"))</f>
      </c>
      <c r="AA149" s="3056">
        <f>IF(A149="","",IF(OR(LEN(Q149)&gt;180,LEN(R149)&gt;180,LEN(S149)&gt;180,LEN(T149)&gt;180),"CAMINHO LONGO","OK"))</f>
      </c>
      <c r="AB149" s="3056">
        <f>IF(A149="","",IF(U149="","",IFERROR(INT(U149-TODAY()),"")))</f>
      </c>
      <c r="AC149" s="3056">
        <f>IF(A149="","",IF(AND(T149="",U149=""),"",IF(T149="","SEM CAMINHO",IF(U149="","SEM DATA",IFERROR(IF(AB149&lt;15,"VERMELHO",IF(AB149&lt;=30,"AMARELO","VERDE")),"DATA INVALIDA")))))</f>
      </c>
      <c r="AD149" s="3056">
        <f>IF(OR(A149="",U149="",NOT(ISNUMBER(AB149))),"",RANK(AB149,$AB$3:$AB$164,1)+COUNTIFS($AB$3:AB149,AB149)-1)</f>
      </c>
      <c r="AE149" s="1736"/>
    </row>
    <row r="150" ht="22.0" customHeight="true" hidden="false">
      <c r="A150" s="3094"/>
      <c r="B150" s="3093"/>
      <c r="C150" s="3093"/>
      <c r="D150" s="3093"/>
      <c r="E150" s="3093"/>
      <c r="F150" s="3093"/>
      <c r="G150" s="3093"/>
      <c r="H150" s="3093"/>
      <c r="I150" s="3093"/>
      <c r="J150" s="3093"/>
      <c r="K150" s="3093"/>
      <c r="L150" s="3093"/>
      <c r="M150" s="3093"/>
      <c r="N150" s="3093"/>
      <c r="O150" s="3093"/>
      <c r="P150" s="3093"/>
      <c r="Q150" s="3096"/>
      <c r="R150" s="3096"/>
      <c r="S150" s="3096"/>
      <c r="T150" s="3096"/>
      <c r="U150" s="3097"/>
      <c r="V150" s="3093"/>
      <c r="W150" s="3093"/>
      <c r="X150" s="3056">
        <f>IF(A150="","",IF(LEN(SUBSTITUTE(SUBSTITUTE(SUBSTITUTE(SUBSTITUTE(D150,".",""),"/",""),"-","")," ",""))&lt;&gt;14,"CNPJ INVALIDO","OK"))</f>
      </c>
      <c r="Y150" s="3056">
        <f>IF(A150="","",IF(R150="","REST PENDENTE","REST OK"))</f>
      </c>
      <c r="Z150" s="3056">
        <f>IF(A150="","",IF(AND(R150&lt;&gt;"",COUNTIFS($D$3:$D$164,D150,$R$3:$R$164,"&lt;&gt;")&gt;1),"DUPLICADO","OK"))</f>
      </c>
      <c r="AA150" s="3056">
        <f>IF(A150="","",IF(OR(LEN(Q150)&gt;180,LEN(R150)&gt;180,LEN(S150)&gt;180,LEN(T150)&gt;180),"CAMINHO LONGO","OK"))</f>
      </c>
      <c r="AB150" s="3056">
        <f>IF(A150="","",IF(U150="","",IFERROR(INT(U150-TODAY()),"")))</f>
      </c>
      <c r="AC150" s="3056">
        <f>IF(A150="","",IF(AND(T150="",U150=""),"",IF(T150="","SEM CAMINHO",IF(U150="","SEM DATA",IFERROR(IF(AB150&lt;15,"VERMELHO",IF(AB150&lt;=30,"AMARELO","VERDE")),"DATA INVALIDA")))))</f>
      </c>
      <c r="AD150" s="3056">
        <f>IF(OR(A150="",U150="",NOT(ISNUMBER(AB150))),"",RANK(AB150,$AB$3:$AB$164,1)+COUNTIFS($AB$3:AB150,AB150)-1)</f>
      </c>
      <c r="AE150" s="1736"/>
    </row>
    <row r="151" ht="22.0" customHeight="true" hidden="false">
      <c r="A151" s="3089"/>
      <c r="B151" s="3088"/>
      <c r="C151" s="3088"/>
      <c r="D151" s="3088"/>
      <c r="E151" s="3088"/>
      <c r="F151" s="3088"/>
      <c r="G151" s="3088"/>
      <c r="H151" s="3088"/>
      <c r="I151" s="3088"/>
      <c r="J151" s="3088"/>
      <c r="K151" s="3088"/>
      <c r="L151" s="3088"/>
      <c r="M151" s="3088"/>
      <c r="N151" s="3088"/>
      <c r="O151" s="3088"/>
      <c r="P151" s="3088"/>
      <c r="Q151" s="3091"/>
      <c r="R151" s="3091"/>
      <c r="S151" s="3091"/>
      <c r="T151" s="3091"/>
      <c r="U151" s="3092"/>
      <c r="V151" s="3088"/>
      <c r="W151" s="3088"/>
      <c r="X151" s="3056">
        <f>IF(A151="","",IF(LEN(SUBSTITUTE(SUBSTITUTE(SUBSTITUTE(SUBSTITUTE(D151,".",""),"/",""),"-","")," ",""))&lt;&gt;14,"CNPJ INVALIDO","OK"))</f>
      </c>
      <c r="Y151" s="3056">
        <f>IF(A151="","",IF(R151="","REST PENDENTE","REST OK"))</f>
      </c>
      <c r="Z151" s="3056">
        <f>IF(A151="","",IF(AND(R151&lt;&gt;"",COUNTIFS($D$3:$D$164,D151,$R$3:$R$164,"&lt;&gt;")&gt;1),"DUPLICADO","OK"))</f>
      </c>
      <c r="AA151" s="3056">
        <f>IF(A151="","",IF(OR(LEN(Q151)&gt;180,LEN(R151)&gt;180,LEN(S151)&gt;180,LEN(T151)&gt;180),"CAMINHO LONGO","OK"))</f>
      </c>
      <c r="AB151" s="3056">
        <f>IF(A151="","",IF(U151="","",IFERROR(INT(U151-TODAY()),"")))</f>
      </c>
      <c r="AC151" s="3056">
        <f>IF(A151="","",IF(AND(T151="",U151=""),"",IF(T151="","SEM CAMINHO",IF(U151="","SEM DATA",IFERROR(IF(AB151&lt;15,"VERMELHO",IF(AB151&lt;=30,"AMARELO","VERDE")),"DATA INVALIDA")))))</f>
      </c>
      <c r="AD151" s="3056">
        <f>IF(OR(A151="",U151="",NOT(ISNUMBER(AB151))),"",RANK(AB151,$AB$3:$AB$164,1)+COUNTIFS($AB$3:AB151,AB151)-1)</f>
      </c>
      <c r="AE151" s="1736"/>
    </row>
    <row r="152" ht="22.0" customHeight="true" hidden="false">
      <c r="A152" s="3094"/>
      <c r="B152" s="3093"/>
      <c r="C152" s="3093"/>
      <c r="D152" s="3093"/>
      <c r="E152" s="3093"/>
      <c r="F152" s="3093"/>
      <c r="G152" s="3093"/>
      <c r="H152" s="3093"/>
      <c r="I152" s="3093"/>
      <c r="J152" s="3093"/>
      <c r="K152" s="3093"/>
      <c r="L152" s="3093"/>
      <c r="M152" s="3093"/>
      <c r="N152" s="3093"/>
      <c r="O152" s="3093"/>
      <c r="P152" s="3093"/>
      <c r="Q152" s="3096"/>
      <c r="R152" s="3096"/>
      <c r="S152" s="3096"/>
      <c r="T152" s="3096"/>
      <c r="U152" s="3097"/>
      <c r="V152" s="3093"/>
      <c r="W152" s="3093"/>
      <c r="X152" s="3056">
        <f>IF(A152="","",IF(LEN(SUBSTITUTE(SUBSTITUTE(SUBSTITUTE(SUBSTITUTE(D152,".",""),"/",""),"-","")," ",""))&lt;&gt;14,"CNPJ INVALIDO","OK"))</f>
      </c>
      <c r="Y152" s="3056">
        <f>IF(A152="","",IF(R152="","REST PENDENTE","REST OK"))</f>
      </c>
      <c r="Z152" s="3056">
        <f>IF(A152="","",IF(AND(R152&lt;&gt;"",COUNTIFS($D$3:$D$164,D152,$R$3:$R$164,"&lt;&gt;")&gt;1),"DUPLICADO","OK"))</f>
      </c>
      <c r="AA152" s="3056">
        <f>IF(A152="","",IF(OR(LEN(Q152)&gt;180,LEN(R152)&gt;180,LEN(S152)&gt;180,LEN(T152)&gt;180),"CAMINHO LONGO","OK"))</f>
      </c>
      <c r="AB152" s="3056">
        <f>IF(A152="","",IF(U152="","",IFERROR(INT(U152-TODAY()),"")))</f>
      </c>
      <c r="AC152" s="3056">
        <f>IF(A152="","",IF(AND(T152="",U152=""),"",IF(T152="","SEM CAMINHO",IF(U152="","SEM DATA",IFERROR(IF(AB152&lt;15,"VERMELHO",IF(AB152&lt;=30,"AMARELO","VERDE")),"DATA INVALIDA")))))</f>
      </c>
      <c r="AD152" s="3056">
        <f>IF(OR(A152="",U152="",NOT(ISNUMBER(AB152))),"",RANK(AB152,$AB$3:$AB$164,1)+COUNTIFS($AB$3:AB152,AB152)-1)</f>
      </c>
      <c r="AE152" s="1736"/>
    </row>
    <row r="153" ht="22.0" customHeight="true" hidden="false">
      <c r="A153" s="3089"/>
      <c r="B153" s="3088"/>
      <c r="C153" s="3088"/>
      <c r="D153" s="3088"/>
      <c r="E153" s="3088"/>
      <c r="F153" s="3088"/>
      <c r="G153" s="3088"/>
      <c r="H153" s="3088"/>
      <c r="I153" s="3088"/>
      <c r="J153" s="3088"/>
      <c r="K153" s="3088"/>
      <c r="L153" s="3088"/>
      <c r="M153" s="3088"/>
      <c r="N153" s="3088"/>
      <c r="O153" s="3088"/>
      <c r="P153" s="3088"/>
      <c r="Q153" s="3091"/>
      <c r="R153" s="3091"/>
      <c r="S153" s="3091"/>
      <c r="T153" s="3091"/>
      <c r="U153" s="3092"/>
      <c r="V153" s="3088"/>
      <c r="W153" s="3088"/>
      <c r="X153" s="3056">
        <f>IF(A153="","",IF(LEN(SUBSTITUTE(SUBSTITUTE(SUBSTITUTE(SUBSTITUTE(D153,".",""),"/",""),"-","")," ",""))&lt;&gt;14,"CNPJ INVALIDO","OK"))</f>
      </c>
      <c r="Y153" s="3056">
        <f>IF(A153="","",IF(R153="","REST PENDENTE","REST OK"))</f>
      </c>
      <c r="Z153" s="3056">
        <f>IF(A153="","",IF(AND(R153&lt;&gt;"",COUNTIFS($D$3:$D$164,D153,$R$3:$R$164,"&lt;&gt;")&gt;1),"DUPLICADO","OK"))</f>
      </c>
      <c r="AA153" s="3056">
        <f>IF(A153="","",IF(OR(LEN(Q153)&gt;180,LEN(R153)&gt;180,LEN(S153)&gt;180,LEN(T153)&gt;180),"CAMINHO LONGO","OK"))</f>
      </c>
      <c r="AB153" s="3056">
        <f>IF(A153="","",IF(U153="","",IFERROR(INT(U153-TODAY()),"")))</f>
      </c>
      <c r="AC153" s="3056">
        <f>IF(A153="","",IF(AND(T153="",U153=""),"",IF(T153="","SEM CAMINHO",IF(U153="","SEM DATA",IFERROR(IF(AB153&lt;15,"VERMELHO",IF(AB153&lt;=30,"AMARELO","VERDE")),"DATA INVALIDA")))))</f>
      </c>
      <c r="AD153" s="3056">
        <f>IF(OR(A153="",U153="",NOT(ISNUMBER(AB153))),"",RANK(AB153,$AB$3:$AB$164,1)+COUNTIFS($AB$3:AB153,AB153)-1)</f>
      </c>
      <c r="AE153" s="1736"/>
    </row>
    <row r="154" ht="22.0" customHeight="true" hidden="false">
      <c r="A154" s="3094"/>
      <c r="B154" s="3093"/>
      <c r="C154" s="3093"/>
      <c r="D154" s="3093"/>
      <c r="E154" s="3093"/>
      <c r="F154" s="3093"/>
      <c r="G154" s="3093"/>
      <c r="H154" s="3093"/>
      <c r="I154" s="3093"/>
      <c r="J154" s="3093"/>
      <c r="K154" s="3093"/>
      <c r="L154" s="3093"/>
      <c r="M154" s="3093"/>
      <c r="N154" s="3093"/>
      <c r="O154" s="3093"/>
      <c r="P154" s="3093"/>
      <c r="Q154" s="3096"/>
      <c r="R154" s="3096"/>
      <c r="S154" s="3096"/>
      <c r="T154" s="3096"/>
      <c r="U154" s="3097"/>
      <c r="V154" s="3093"/>
      <c r="W154" s="3093"/>
      <c r="X154" s="3056">
        <f>IF(A154="","",IF(LEN(SUBSTITUTE(SUBSTITUTE(SUBSTITUTE(SUBSTITUTE(D154,".",""),"/",""),"-","")," ",""))&lt;&gt;14,"CNPJ INVALIDO","OK"))</f>
      </c>
      <c r="Y154" s="3056">
        <f>IF(A154="","",IF(R154="","REST PENDENTE","REST OK"))</f>
      </c>
      <c r="Z154" s="3056">
        <f>IF(A154="","",IF(AND(R154&lt;&gt;"",COUNTIFS($D$3:$D$164,D154,$R$3:$R$164,"&lt;&gt;")&gt;1),"DUPLICADO","OK"))</f>
      </c>
      <c r="AA154" s="3056">
        <f>IF(A154="","",IF(OR(LEN(Q154)&gt;180,LEN(R154)&gt;180,LEN(S154)&gt;180,LEN(T154)&gt;180),"CAMINHO LONGO","OK"))</f>
      </c>
      <c r="AB154" s="3056">
        <f>IF(A154="","",IF(U154="","",IFERROR(INT(U154-TODAY()),"")))</f>
      </c>
      <c r="AC154" s="3056">
        <f>IF(A154="","",IF(AND(T154="",U154=""),"",IF(T154="","SEM CAMINHO",IF(U154="","SEM DATA",IFERROR(IF(AB154&lt;15,"VERMELHO",IF(AB154&lt;=30,"AMARELO","VERDE")),"DATA INVALIDA")))))</f>
      </c>
      <c r="AD154" s="3056">
        <f>IF(OR(A154="",U154="",NOT(ISNUMBER(AB154))),"",RANK(AB154,$AB$3:$AB$164,1)+COUNTIFS($AB$3:AB154,AB154)-1)</f>
      </c>
      <c r="AE154" s="1736"/>
    </row>
    <row r="155" ht="22.0" customHeight="true" hidden="false">
      <c r="A155" s="3089"/>
      <c r="B155" s="3088"/>
      <c r="C155" s="3088"/>
      <c r="D155" s="3088"/>
      <c r="E155" s="3088"/>
      <c r="F155" s="3088"/>
      <c r="G155" s="3088"/>
      <c r="H155" s="3088"/>
      <c r="I155" s="3088"/>
      <c r="J155" s="3088"/>
      <c r="K155" s="3088"/>
      <c r="L155" s="3088"/>
      <c r="M155" s="3088"/>
      <c r="N155" s="3088"/>
      <c r="O155" s="3088"/>
      <c r="P155" s="3088"/>
      <c r="Q155" s="3091"/>
      <c r="R155" s="3091"/>
      <c r="S155" s="3091"/>
      <c r="T155" s="3091"/>
      <c r="U155" s="3092"/>
      <c r="V155" s="3088"/>
      <c r="W155" s="3088"/>
      <c r="X155" s="3056">
        <f>IF(A155="","",IF(LEN(SUBSTITUTE(SUBSTITUTE(SUBSTITUTE(SUBSTITUTE(D155,".",""),"/",""),"-","")," ",""))&lt;&gt;14,"CNPJ INVALIDO","OK"))</f>
      </c>
      <c r="Y155" s="3056">
        <f>IF(A155="","",IF(R155="","REST PENDENTE","REST OK"))</f>
      </c>
      <c r="Z155" s="3056">
        <f>IF(A155="","",IF(AND(R155&lt;&gt;"",COUNTIFS($D$3:$D$164,D155,$R$3:$R$164,"&lt;&gt;")&gt;1),"DUPLICADO","OK"))</f>
      </c>
      <c r="AA155" s="3056">
        <f>IF(A155="","",IF(OR(LEN(Q155)&gt;180,LEN(R155)&gt;180,LEN(S155)&gt;180,LEN(T155)&gt;180),"CAMINHO LONGO","OK"))</f>
      </c>
      <c r="AB155" s="3056">
        <f>IF(A155="","",IF(U155="","",IFERROR(INT(U155-TODAY()),"")))</f>
      </c>
      <c r="AC155" s="3056">
        <f>IF(A155="","",IF(AND(T155="",U155=""),"",IF(T155="","SEM CAMINHO",IF(U155="","SEM DATA",IFERROR(IF(AB155&lt;15,"VERMELHO",IF(AB155&lt;=30,"AMARELO","VERDE")),"DATA INVALIDA")))))</f>
      </c>
      <c r="AD155" s="3056">
        <f>IF(OR(A155="",U155="",NOT(ISNUMBER(AB155))),"",RANK(AB155,$AB$3:$AB$164,1)+COUNTIFS($AB$3:AB155,AB155)-1)</f>
      </c>
      <c r="AE155" s="1736"/>
    </row>
    <row r="156" ht="22.0" customHeight="true" hidden="false">
      <c r="A156" s="3094"/>
      <c r="B156" s="3093"/>
      <c r="C156" s="3093"/>
      <c r="D156" s="3093"/>
      <c r="E156" s="3093"/>
      <c r="F156" s="3093"/>
      <c r="G156" s="3093"/>
      <c r="H156" s="3093"/>
      <c r="I156" s="3093"/>
      <c r="J156" s="3093"/>
      <c r="K156" s="3093"/>
      <c r="L156" s="3093"/>
      <c r="M156" s="3093"/>
      <c r="N156" s="3093"/>
      <c r="O156" s="3093"/>
      <c r="P156" s="3093"/>
      <c r="Q156" s="3096"/>
      <c r="R156" s="3096"/>
      <c r="S156" s="3096"/>
      <c r="T156" s="3096"/>
      <c r="U156" s="3097"/>
      <c r="V156" s="3093"/>
      <c r="W156" s="3093"/>
      <c r="X156" s="3056">
        <f>IF(A156="","",IF(LEN(SUBSTITUTE(SUBSTITUTE(SUBSTITUTE(SUBSTITUTE(D156,".",""),"/",""),"-","")," ",""))&lt;&gt;14,"CNPJ INVALIDO","OK"))</f>
      </c>
      <c r="Y156" s="3056">
        <f>IF(A156="","",IF(R156="","REST PENDENTE","REST OK"))</f>
      </c>
      <c r="Z156" s="3056">
        <f>IF(A156="","",IF(AND(R156&lt;&gt;"",COUNTIFS($D$3:$D$164,D156,$R$3:$R$164,"&lt;&gt;")&gt;1),"DUPLICADO","OK"))</f>
      </c>
      <c r="AA156" s="3056">
        <f>IF(A156="","",IF(OR(LEN(Q156)&gt;180,LEN(R156)&gt;180,LEN(S156)&gt;180,LEN(T156)&gt;180),"CAMINHO LONGO","OK"))</f>
      </c>
      <c r="AB156" s="3056">
        <f>IF(A156="","",IF(U156="","",IFERROR(INT(U156-TODAY()),"")))</f>
      </c>
      <c r="AC156" s="3056">
        <f>IF(A156="","",IF(AND(T156="",U156=""),"",IF(T156="","SEM CAMINHO",IF(U156="","SEM DATA",IFERROR(IF(AB156&lt;15,"VERMELHO",IF(AB156&lt;=30,"AMARELO","VERDE")),"DATA INVALIDA")))))</f>
      </c>
      <c r="AD156" s="3056">
        <f>IF(OR(A156="",U156="",NOT(ISNUMBER(AB156))),"",RANK(AB156,$AB$3:$AB$164,1)+COUNTIFS($AB$3:AB156,AB156)-1)</f>
      </c>
      <c r="AE156" s="1736"/>
    </row>
    <row r="157" ht="22.0" customHeight="true" hidden="false">
      <c r="A157" s="3089"/>
      <c r="B157" s="3088"/>
      <c r="C157" s="3088"/>
      <c r="D157" s="3088"/>
      <c r="E157" s="3088"/>
      <c r="F157" s="3088"/>
      <c r="G157" s="3088"/>
      <c r="H157" s="3088"/>
      <c r="I157" s="3088"/>
      <c r="J157" s="3088"/>
      <c r="K157" s="3088"/>
      <c r="L157" s="3088"/>
      <c r="M157" s="3088"/>
      <c r="N157" s="3088"/>
      <c r="O157" s="3088"/>
      <c r="P157" s="3088"/>
      <c r="Q157" s="3091"/>
      <c r="R157" s="3091"/>
      <c r="S157" s="3091"/>
      <c r="T157" s="3091"/>
      <c r="U157" s="3092"/>
      <c r="V157" s="3088"/>
      <c r="W157" s="3088"/>
      <c r="X157" s="3056">
        <f>IF(A157="","",IF(LEN(SUBSTITUTE(SUBSTITUTE(SUBSTITUTE(SUBSTITUTE(D157,".",""),"/",""),"-","")," ",""))&lt;&gt;14,"CNPJ INVALIDO","OK"))</f>
      </c>
      <c r="Y157" s="3056">
        <f>IF(A157="","",IF(R157="","REST PENDENTE","REST OK"))</f>
      </c>
      <c r="Z157" s="3056">
        <f>IF(A157="","",IF(AND(R157&lt;&gt;"",COUNTIFS($D$3:$D$164,D157,$R$3:$R$164,"&lt;&gt;")&gt;1),"DUPLICADO","OK"))</f>
      </c>
      <c r="AA157" s="3056">
        <f>IF(A157="","",IF(OR(LEN(Q157)&gt;180,LEN(R157)&gt;180,LEN(S157)&gt;180,LEN(T157)&gt;180),"CAMINHO LONGO","OK"))</f>
      </c>
      <c r="AB157" s="3056">
        <f>IF(A157="","",IF(U157="","",IFERROR(INT(U157-TODAY()),"")))</f>
      </c>
      <c r="AC157" s="3056">
        <f>IF(A157="","",IF(AND(T157="",U157=""),"",IF(T157="","SEM CAMINHO",IF(U157="","SEM DATA",IFERROR(IF(AB157&lt;15,"VERMELHO",IF(AB157&lt;=30,"AMARELO","VERDE")),"DATA INVALIDA")))))</f>
      </c>
      <c r="AD157" s="3056">
        <f>IF(OR(A157="",U157="",NOT(ISNUMBER(AB157))),"",RANK(AB157,$AB$3:$AB$164,1)+COUNTIFS($AB$3:AB157,AB157)-1)</f>
      </c>
      <c r="AE157" s="1736"/>
    </row>
    <row r="158" ht="22.0" customHeight="true" hidden="false">
      <c r="A158" s="3094"/>
      <c r="B158" s="3093"/>
      <c r="C158" s="3093"/>
      <c r="D158" s="3093"/>
      <c r="E158" s="3093"/>
      <c r="F158" s="3093"/>
      <c r="G158" s="3093"/>
      <c r="H158" s="3093"/>
      <c r="I158" s="3093"/>
      <c r="J158" s="3093"/>
      <c r="K158" s="3093"/>
      <c r="L158" s="3093"/>
      <c r="M158" s="3093"/>
      <c r="N158" s="3093"/>
      <c r="O158" s="3093"/>
      <c r="P158" s="3093"/>
      <c r="Q158" s="3096"/>
      <c r="R158" s="3096"/>
      <c r="S158" s="3096"/>
      <c r="T158" s="3096"/>
      <c r="U158" s="3097"/>
      <c r="V158" s="3093"/>
      <c r="W158" s="3093"/>
      <c r="X158" s="3056">
        <f>IF(A158="","",IF(LEN(SUBSTITUTE(SUBSTITUTE(SUBSTITUTE(SUBSTITUTE(D158,".",""),"/",""),"-","")," ",""))&lt;&gt;14,"CNPJ INVALIDO","OK"))</f>
      </c>
      <c r="Y158" s="3056">
        <f>IF(A158="","",IF(R158="","REST PENDENTE","REST OK"))</f>
      </c>
      <c r="Z158" s="3056">
        <f>IF(A158="","",IF(AND(R158&lt;&gt;"",COUNTIFS($D$3:$D$164,D158,$R$3:$R$164,"&lt;&gt;")&gt;1),"DUPLICADO","OK"))</f>
      </c>
      <c r="AA158" s="3056">
        <f>IF(A158="","",IF(OR(LEN(Q158)&gt;180,LEN(R158)&gt;180,LEN(S158)&gt;180,LEN(T158)&gt;180),"CAMINHO LONGO","OK"))</f>
      </c>
      <c r="AB158" s="3056">
        <f>IF(A158="","",IF(U158="","",IFERROR(INT(U158-TODAY()),"")))</f>
      </c>
      <c r="AC158" s="3056">
        <f>IF(A158="","",IF(AND(T158="",U158=""),"",IF(T158="","SEM CAMINHO",IF(U158="","SEM DATA",IFERROR(IF(AB158&lt;15,"VERMELHO",IF(AB158&lt;=30,"AMARELO","VERDE")),"DATA INVALIDA")))))</f>
      </c>
      <c r="AD158" s="3056">
        <f>IF(OR(A158="",U158="",NOT(ISNUMBER(AB158))),"",RANK(AB158,$AB$3:$AB$164,1)+COUNTIFS($AB$3:AB158,AB158)-1)</f>
      </c>
      <c r="AE158" s="1736"/>
    </row>
    <row r="159" ht="22.0" customHeight="true" hidden="false">
      <c r="A159" s="3089"/>
      <c r="B159" s="3088"/>
      <c r="C159" s="3088"/>
      <c r="D159" s="3088"/>
      <c r="E159" s="3088"/>
      <c r="F159" s="3088"/>
      <c r="G159" s="3088"/>
      <c r="H159" s="3088"/>
      <c r="I159" s="3088"/>
      <c r="J159" s="3088"/>
      <c r="K159" s="3088"/>
      <c r="L159" s="3088"/>
      <c r="M159" s="3088"/>
      <c r="N159" s="3088"/>
      <c r="O159" s="3088"/>
      <c r="P159" s="3088"/>
      <c r="Q159" s="3091"/>
      <c r="R159" s="3091"/>
      <c r="S159" s="3091"/>
      <c r="T159" s="3091"/>
      <c r="U159" s="3092"/>
      <c r="V159" s="3088"/>
      <c r="W159" s="3088"/>
      <c r="X159" s="3056">
        <f>IF(A159="","",IF(LEN(SUBSTITUTE(SUBSTITUTE(SUBSTITUTE(SUBSTITUTE(D159,".",""),"/",""),"-","")," ",""))&lt;&gt;14,"CNPJ INVALIDO","OK"))</f>
      </c>
      <c r="Y159" s="3056">
        <f>IF(A159="","",IF(R159="","REST PENDENTE","REST OK"))</f>
      </c>
      <c r="Z159" s="3056">
        <f>IF(A159="","",IF(AND(R159&lt;&gt;"",COUNTIFS($D$3:$D$164,D159,$R$3:$R$164,"&lt;&gt;")&gt;1),"DUPLICADO","OK"))</f>
      </c>
      <c r="AA159" s="3056">
        <f>IF(A159="","",IF(OR(LEN(Q159)&gt;180,LEN(R159)&gt;180,LEN(S159)&gt;180,LEN(T159)&gt;180),"CAMINHO LONGO","OK"))</f>
      </c>
      <c r="AB159" s="3056">
        <f>IF(A159="","",IF(U159="","",IFERROR(INT(U159-TODAY()),"")))</f>
      </c>
      <c r="AC159" s="3056">
        <f>IF(A159="","",IF(AND(T159="",U159=""),"",IF(T159="","SEM CAMINHO",IF(U159="","SEM DATA",IFERROR(IF(AB159&lt;15,"VERMELHO",IF(AB159&lt;=30,"AMARELO","VERDE")),"DATA INVALIDA")))))</f>
      </c>
      <c r="AD159" s="3056">
        <f>IF(OR(A159="",U159="",NOT(ISNUMBER(AB159))),"",RANK(AB159,$AB$3:$AB$164,1)+COUNTIFS($AB$3:AB159,AB159)-1)</f>
      </c>
      <c r="AE159" s="1736"/>
    </row>
    <row r="160" ht="22.0" customHeight="true" hidden="false">
      <c r="A160" s="3094"/>
      <c r="B160" s="3093"/>
      <c r="C160" s="3093"/>
      <c r="D160" s="3093"/>
      <c r="E160" s="3093"/>
      <c r="F160" s="3093"/>
      <c r="G160" s="3093"/>
      <c r="H160" s="3093"/>
      <c r="I160" s="3093"/>
      <c r="J160" s="3093"/>
      <c r="K160" s="3093"/>
      <c r="L160" s="3093"/>
      <c r="M160" s="3093"/>
      <c r="N160" s="3093"/>
      <c r="O160" s="3093"/>
      <c r="P160" s="3093"/>
      <c r="Q160" s="3096"/>
      <c r="R160" s="3096"/>
      <c r="S160" s="3096"/>
      <c r="T160" s="3096"/>
      <c r="U160" s="3097"/>
      <c r="V160" s="3093"/>
      <c r="W160" s="3093"/>
      <c r="X160" s="3056">
        <f>IF(A160="","",IF(LEN(SUBSTITUTE(SUBSTITUTE(SUBSTITUTE(SUBSTITUTE(D160,".",""),"/",""),"-","")," ",""))&lt;&gt;14,"CNPJ INVALIDO","OK"))</f>
      </c>
      <c r="Y160" s="3056">
        <f>IF(A160="","",IF(R160="","REST PENDENTE","REST OK"))</f>
      </c>
      <c r="Z160" s="3056">
        <f>IF(A160="","",IF(AND(R160&lt;&gt;"",COUNTIFS($D$3:$D$164,D160,$R$3:$R$164,"&lt;&gt;")&gt;1),"DUPLICADO","OK"))</f>
      </c>
      <c r="AA160" s="3056">
        <f>IF(A160="","",IF(OR(LEN(Q160)&gt;180,LEN(R160)&gt;180,LEN(S160)&gt;180,LEN(T160)&gt;180),"CAMINHO LONGO","OK"))</f>
      </c>
      <c r="AB160" s="3056">
        <f>IF(A160="","",IF(U160="","",IFERROR(INT(U160-TODAY()),"")))</f>
      </c>
      <c r="AC160" s="3056">
        <f>IF(A160="","",IF(AND(T160="",U160=""),"",IF(T160="","SEM CAMINHO",IF(U160="","SEM DATA",IFERROR(IF(AB160&lt;15,"VERMELHO",IF(AB160&lt;=30,"AMARELO","VERDE")),"DATA INVALIDA")))))</f>
      </c>
      <c r="AD160" s="3056">
        <f>IF(OR(A160="",U160="",NOT(ISNUMBER(AB160))),"",RANK(AB160,$AB$3:$AB$164,1)+COUNTIFS($AB$3:AB160,AB160)-1)</f>
      </c>
      <c r="AE160" s="1736"/>
    </row>
    <row r="161" ht="22.0" customHeight="true" hidden="false">
      <c r="A161" s="3089"/>
      <c r="B161" s="3088"/>
      <c r="C161" s="3088"/>
      <c r="D161" s="3088"/>
      <c r="E161" s="3088"/>
      <c r="F161" s="3088"/>
      <c r="G161" s="3088"/>
      <c r="H161" s="3088"/>
      <c r="I161" s="3088"/>
      <c r="J161" s="3088"/>
      <c r="K161" s="3088"/>
      <c r="L161" s="3088"/>
      <c r="M161" s="3088"/>
      <c r="N161" s="3088"/>
      <c r="O161" s="3088"/>
      <c r="P161" s="3088"/>
      <c r="Q161" s="3091"/>
      <c r="R161" s="3091"/>
      <c r="S161" s="3091"/>
      <c r="T161" s="3091"/>
      <c r="U161" s="3092"/>
      <c r="V161" s="3088"/>
      <c r="W161" s="3088"/>
      <c r="X161" s="3056">
        <f>IF(A161="","",IF(LEN(SUBSTITUTE(SUBSTITUTE(SUBSTITUTE(SUBSTITUTE(D161,".",""),"/",""),"-","")," ",""))&lt;&gt;14,"CNPJ INVALIDO","OK"))</f>
      </c>
      <c r="Y161" s="3056">
        <f>IF(A161="","",IF(R161="","REST PENDENTE","REST OK"))</f>
      </c>
      <c r="Z161" s="3056">
        <f>IF(A161="","",IF(AND(R161&lt;&gt;"",COUNTIFS($D$3:$D$164,D161,$R$3:$R$164,"&lt;&gt;")&gt;1),"DUPLICADO","OK"))</f>
      </c>
      <c r="AA161" s="3056">
        <f>IF(A161="","",IF(OR(LEN(Q161)&gt;180,LEN(R161)&gt;180,LEN(S161)&gt;180,LEN(T161)&gt;180),"CAMINHO LONGO","OK"))</f>
      </c>
      <c r="AB161" s="3056">
        <f>IF(A161="","",IF(U161="","",IFERROR(INT(U161-TODAY()),"")))</f>
      </c>
      <c r="AC161" s="3056">
        <f>IF(A161="","",IF(AND(T161="",U161=""),"",IF(T161="","SEM CAMINHO",IF(U161="","SEM DATA",IFERROR(IF(AB161&lt;15,"VERMELHO",IF(AB161&lt;=30,"AMARELO","VERDE")),"DATA INVALIDA")))))</f>
      </c>
      <c r="AD161" s="3056">
        <f>IF(OR(A161="",U161="",NOT(ISNUMBER(AB161))),"",RANK(AB161,$AB$3:$AB$164,1)+COUNTIFS($AB$3:AB161,AB161)-1)</f>
      </c>
      <c r="AE161" s="1736"/>
    </row>
    <row r="162" ht="22.0" customHeight="true" hidden="false">
      <c r="A162" s="3094"/>
      <c r="B162" s="3093"/>
      <c r="C162" s="3093"/>
      <c r="D162" s="3093"/>
      <c r="E162" s="3093"/>
      <c r="F162" s="3093"/>
      <c r="G162" s="3093"/>
      <c r="H162" s="3093"/>
      <c r="I162" s="3093"/>
      <c r="J162" s="3093"/>
      <c r="K162" s="3093"/>
      <c r="L162" s="3093"/>
      <c r="M162" s="3093"/>
      <c r="N162" s="3093"/>
      <c r="O162" s="3093"/>
      <c r="P162" s="3093"/>
      <c r="Q162" s="3096"/>
      <c r="R162" s="3096"/>
      <c r="S162" s="3096"/>
      <c r="T162" s="3096"/>
      <c r="U162" s="3097"/>
      <c r="V162" s="3093"/>
      <c r="W162" s="3093"/>
      <c r="X162" s="3056">
        <f>IF(A162="","",IF(LEN(SUBSTITUTE(SUBSTITUTE(SUBSTITUTE(SUBSTITUTE(D162,".",""),"/",""),"-","")," ",""))&lt;&gt;14,"CNPJ INVALIDO","OK"))</f>
      </c>
      <c r="Y162" s="3056">
        <f>IF(A162="","",IF(R162="","REST PENDENTE","REST OK"))</f>
      </c>
      <c r="Z162" s="3056">
        <f>IF(A162="","",IF(AND(R162&lt;&gt;"",COUNTIFS($D$3:$D$164,D162,$R$3:$R$164,"&lt;&gt;")&gt;1),"DUPLICADO","OK"))</f>
      </c>
      <c r="AA162" s="3056">
        <f>IF(A162="","",IF(OR(LEN(Q162)&gt;180,LEN(R162)&gt;180,LEN(S162)&gt;180,LEN(T162)&gt;180),"CAMINHO LONGO","OK"))</f>
      </c>
      <c r="AB162" s="3056">
        <f>IF(A162="","",IF(U162="","",IFERROR(INT(U162-TODAY()),"")))</f>
      </c>
      <c r="AC162" s="3056">
        <f>IF(A162="","",IF(AND(T162="",U162=""),"",IF(T162="","SEM CAMINHO",IF(U162="","SEM DATA",IFERROR(IF(AB162&lt;15,"VERMELHO",IF(AB162&lt;=30,"AMARELO","VERDE")),"DATA INVALIDA")))))</f>
      </c>
      <c r="AD162" s="3056">
        <f>IF(OR(A162="",U162="",NOT(ISNUMBER(AB162))),"",RANK(AB162,$AB$3:$AB$164,1)+COUNTIFS($AB$3:AB162,AB162)-1)</f>
      </c>
      <c r="AE162" s="1736"/>
    </row>
    <row r="163" ht="22.0" customHeight="true" hidden="false">
      <c r="A163" s="3089"/>
      <c r="B163" s="3088"/>
      <c r="C163" s="3088"/>
      <c r="D163" s="3088"/>
      <c r="E163" s="3088"/>
      <c r="F163" s="3088"/>
      <c r="G163" s="3088"/>
      <c r="H163" s="3088"/>
      <c r="I163" s="3088"/>
      <c r="J163" s="3088"/>
      <c r="K163" s="3088"/>
      <c r="L163" s="3088"/>
      <c r="M163" s="3088"/>
      <c r="N163" s="3088"/>
      <c r="O163" s="3088"/>
      <c r="P163" s="3088"/>
      <c r="Q163" s="3091"/>
      <c r="R163" s="3091"/>
      <c r="S163" s="3091"/>
      <c r="T163" s="3091"/>
      <c r="U163" s="3092"/>
      <c r="V163" s="3088"/>
      <c r="W163" s="3088"/>
      <c r="X163" s="3056">
        <f>IF(A163="","",IF(LEN(SUBSTITUTE(SUBSTITUTE(SUBSTITUTE(SUBSTITUTE(D163,".",""),"/",""),"-","")," ",""))&lt;&gt;14,"CNPJ INVALIDO","OK"))</f>
      </c>
      <c r="Y163" s="3056">
        <f>IF(A163="","",IF(R163="","REST PENDENTE","REST OK"))</f>
      </c>
      <c r="Z163" s="3056">
        <f>IF(A163="","",IF(AND(R163&lt;&gt;"",COUNTIFS($D$3:$D$164,D163,$R$3:$R$164,"&lt;&gt;")&gt;1),"DUPLICADO","OK"))</f>
      </c>
      <c r="AA163" s="3056">
        <f>IF(A163="","",IF(OR(LEN(Q163)&gt;180,LEN(R163)&gt;180,LEN(S163)&gt;180,LEN(T163)&gt;180),"CAMINHO LONGO","OK"))</f>
      </c>
      <c r="AB163" s="3056">
        <f>IF(A163="","",IF(U163="","",IFERROR(INT(U163-TODAY()),"")))</f>
      </c>
      <c r="AC163" s="3056">
        <f>IF(A163="","",IF(AND(T163="",U163=""),"",IF(T163="","SEM CAMINHO",IF(U163="","SEM DATA",IFERROR(IF(AB163&lt;15,"VERMELHO",IF(AB163&lt;=30,"AMARELO","VERDE")),"DATA INVALIDA")))))</f>
      </c>
      <c r="AD163" s="3056">
        <f>IF(OR(A163="",U163="",NOT(ISNUMBER(AB163))),"",RANK(AB163,$AB$3:$AB$164,1)+COUNTIFS($AB$3:AB163,AB163)-1)</f>
      </c>
      <c r="AE163" s="1736"/>
    </row>
    <row r="164" ht="22.0" customHeight="true" hidden="false">
      <c r="A164" s="3094"/>
      <c r="B164" s="3093"/>
      <c r="C164" s="3093"/>
      <c r="D164" s="3093"/>
      <c r="E164" s="3093"/>
      <c r="F164" s="3093"/>
      <c r="G164" s="3093"/>
      <c r="H164" s="3093"/>
      <c r="I164" s="3093"/>
      <c r="J164" s="3093"/>
      <c r="K164" s="3093"/>
      <c r="L164" s="3093"/>
      <c r="M164" s="3093"/>
      <c r="N164" s="3093"/>
      <c r="O164" s="3093"/>
      <c r="P164" s="3093"/>
      <c r="Q164" s="3096"/>
      <c r="R164" s="3096"/>
      <c r="S164" s="3096"/>
      <c r="T164" s="3096"/>
      <c r="U164" s="3097"/>
      <c r="V164" s="3093"/>
      <c r="W164" s="3093"/>
      <c r="X164" s="3056">
        <f>IF(A164="","",IF(LEN(SUBSTITUTE(SUBSTITUTE(SUBSTITUTE(SUBSTITUTE(D164,".",""),"/",""),"-","")," ",""))&lt;&gt;14,"CNPJ INVALIDO","OK"))</f>
      </c>
      <c r="Y164" s="3056">
        <f>IF(A164="","",IF(R164="","REST PENDENTE","REST OK"))</f>
      </c>
      <c r="Z164" s="3056">
        <f>IF(A164="","",IF(AND(R164&lt;&gt;"",COUNTIFS($D$3:$D$164,D164,$R$3:$R$164,"&lt;&gt;")&gt;1),"DUPLICADO","OK"))</f>
      </c>
      <c r="AA164" s="3056">
        <f>IF(A164="","",IF(OR(LEN(Q164)&gt;180,LEN(R164)&gt;180,LEN(S164)&gt;180,LEN(T164)&gt;180),"CAMINHO LONGO","OK"))</f>
      </c>
      <c r="AB164" s="3056">
        <f>IF(A164="","",IF(U164="","",IFERROR(INT(U164-TODAY()),"")))</f>
      </c>
      <c r="AC164" s="3056">
        <f>IF(A164="","",IF(AND(T164="",U164=""),"",IF(T164="","SEM CAMINHO",IF(U164="","SEM DATA",IFERROR(IF(AB164&lt;15,"VERMELHO",IF(AB164&lt;=30,"AMARELO","VERDE")),"DATA INVALIDA")))))</f>
      </c>
      <c r="AD164" s="3056">
        <f>IF(OR(A164="",U164="",NOT(ISNUMBER(AB164))),"",RANK(AB164,$AB$3:$AB$164,1)+COUNTIFS($AB$3:AB164,AB164)-1)</f>
      </c>
      <c r="AE164" s="1736"/>
    </row>
  </sheetData>
  <autoFilter ref="A2:W164"/>
  <mergeCells count="1">
    <mergeCell ref="A1:W1"/>
  </mergeCells>
  <phoneticPr fontId="6" type="noConversion"/>
  <printOptions gridLines="false"/>
  <pageMargins left="0.511811024" right="0.511811024" top="0.78740157499999996" bottom="0.78740157499999996" header="0.31496062000000002" footer="0.31496062000000002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664CF-DAE5-4396-BA73-B978C471E6A7}">
  <sheetPr codeName="Planilha1" filterMode="1"/>
  <dimension ref="A1:AE164"/>
  <sheetViews>
    <sheetView tabSelected="false" workbookViewId="0" showGridLines="false" zoomScale="90">
      <pane ySplit="2.0" topLeftCell="A3" activePane="bottomLeft" state="frozen"/>
      <selection pane="bottomLeft"/>
    </sheetView>
  </sheetViews>
  <sheetFormatPr defaultRowHeight="15" x14ac:dyDescent="0.25"/>
  <cols>
    <col min="1" max="1" customWidth="true" hidden="false" width="52.0"/>
    <col min="2" max="2" customWidth="true" hidden="false" width="22.0"/>
    <col min="3" max="3" customWidth="true" hidden="false" width="26.0"/>
    <col min="4" max="4" customWidth="true" hidden="false" width="20.0"/>
    <col min="5" max="5" customWidth="true" hidden="false" width="17.7109375"/>
    <col min="6" max="6" customWidth="true" hidden="false" width="18.0"/>
    <col min="7" max="7" customWidth="true" hidden="false" width="20.0"/>
    <col min="8" max="8" customWidth="true" hidden="false" width="8.7109375"/>
    <col min="9" max="9" customWidth="true" hidden="false" width="16.7109375"/>
    <col min="10" max="10" customWidth="true" hidden="false" width="10.85546875"/>
    <col min="11" max="11" customWidth="true" hidden="false" width="16.7109375"/>
    <col min="12" max="12" customWidth="true" hidden="false" width="11.7109375"/>
    <col min="13" max="13" customWidth="true" hidden="false" width="16.7109375"/>
    <col min="14" max="14" customWidth="true" hidden="false" width="10.28515625"/>
    <col min="15" max="15" customWidth="true" hidden="false" width="16.7109375"/>
    <col min="16" max="16" customWidth="true" hidden="false" width="13.7109375"/>
    <col min="17" max="17" customWidth="true" hidden="false" width="44.0"/>
    <col min="18" max="18" customWidth="true" hidden="false" width="62.0"/>
    <col min="19" max="19" customWidth="true" hidden="false" width="42.0"/>
    <col min="20" max="20" customWidth="true" hidden="false" width="48.0"/>
    <col min="21" max="21" customWidth="true" hidden="false" width="18.0"/>
    <col min="22" max="22" customWidth="true" hidden="false" width="24.0"/>
    <col min="23" max="23" customWidth="true" hidden="false" width="18.0"/>
    <col min="24" max="24" customWidth="true" hidden="true" width="22.0"/>
    <col min="25" max="25" customWidth="true" hidden="true" width="22.0"/>
    <col min="26" max="26" customWidth="true" hidden="true" width="22.0"/>
    <col min="27" max="27" customWidth="true" hidden="true" width="22.0"/>
    <col min="28" max="28" customWidth="true" hidden="true" width="22.0"/>
    <col min="29" max="29" customWidth="true" hidden="true" width="22.0"/>
    <col min="30" max="30" customWidth="true" hidden="true" width="22.0"/>
    <col min="31" max="31" customWidth="true" hidden="true" width="22.0"/>
  </cols>
  <sheetData>
    <row r="1" spans="1:19" ht="42.0" customHeight="true" x14ac:dyDescent="0.25">
      <c r="A1" s="3037" t="s">
        <v>407</v>
      </c>
      <c r="B1" s="3037"/>
      <c r="C1" s="3037"/>
      <c r="D1" s="3037"/>
      <c r="E1" s="3037"/>
      <c r="F1" s="3037"/>
      <c r="G1" s="3037"/>
      <c r="H1" s="3037"/>
      <c r="I1" s="3037"/>
      <c r="J1" s="3037"/>
      <c r="K1" s="3037"/>
      <c r="L1" s="3037"/>
      <c r="M1" s="3037"/>
      <c r="N1" s="3037"/>
      <c r="O1" s="3037"/>
      <c r="P1" s="3037"/>
      <c r="Q1" s="3037"/>
      <c r="R1" s="3037"/>
      <c r="S1" s="3037"/>
      <c r="T1" s="3037"/>
      <c r="U1" s="3037"/>
      <c r="V1" s="3037"/>
      <c r="W1" s="3037"/>
      <c r="X1" s="1716"/>
      <c r="AE1" s="0"/>
    </row>
    <row r="2" spans="1:19" ht="32.0" customHeight="true" thickBot="1" x14ac:dyDescent="0.3">
      <c r="A2" s="3038" t="s">
        <v>325</v>
      </c>
      <c r="B2" s="3038" t="s">
        <v>326</v>
      </c>
      <c r="C2" s="3038" t="s">
        <v>408</v>
      </c>
      <c r="D2" s="3038" t="s">
        <v>328</v>
      </c>
      <c r="E2" s="3038" t="s">
        <v>329</v>
      </c>
      <c r="F2" s="3038" t="s">
        <v>330</v>
      </c>
      <c r="G2" s="3038" t="s">
        <v>331</v>
      </c>
      <c r="H2" s="3038" t="s">
        <v>332</v>
      </c>
      <c r="I2" s="3038" t="s">
        <v>333</v>
      </c>
      <c r="J2" s="3038" t="s">
        <v>334</v>
      </c>
      <c r="K2" s="3038" t="s">
        <v>335</v>
      </c>
      <c r="L2" s="3038" t="s">
        <v>336</v>
      </c>
      <c r="M2" s="3038" t="s">
        <v>337</v>
      </c>
      <c r="N2" s="3038" t="s">
        <v>338</v>
      </c>
      <c r="O2" s="3038" t="s">
        <v>339</v>
      </c>
      <c r="P2" s="3038" t="s">
        <v>340</v>
      </c>
      <c r="Q2" s="3039" t="s">
        <v>409</v>
      </c>
      <c r="R2" s="3040" t="s">
        <v>410</v>
      </c>
      <c r="S2" s="3041" t="s">
        <v>523</v>
      </c>
      <c r="T2" s="3042" t="s">
        <v>470</v>
      </c>
      <c r="U2" s="3043" t="s">
        <v>471</v>
      </c>
      <c r="V2" s="3044" t="s">
        <v>472</v>
      </c>
      <c r="W2" s="3045" t="s">
        <v>412</v>
      </c>
      <c r="X2" s="3038" t="s">
        <v>413</v>
      </c>
      <c r="Y2" s="3038" t="s">
        <v>414</v>
      </c>
      <c r="Z2" s="3038" t="s">
        <v>415</v>
      </c>
      <c r="AA2" s="3038" t="s">
        <v>416</v>
      </c>
      <c r="AB2" s="3038" t="s">
        <v>473</v>
      </c>
      <c r="AC2" s="3038" t="s">
        <v>474</v>
      </c>
      <c r="AD2" s="3038" t="s">
        <v>475</v>
      </c>
      <c r="AE2" s="1717"/>
    </row>
    <row r="3" spans="1:19" ht="22.0" hidden="false" customHeight="true" thickTop="1" x14ac:dyDescent="0.25">
      <c r="A3" s="3099" t="s">
        <v>0</v>
      </c>
      <c r="B3" s="3098" t="s">
        <v>1</v>
      </c>
      <c r="C3" s="3098" t="s">
        <v>2</v>
      </c>
      <c r="D3" s="3098">
        <v>35381421000194</v>
      </c>
      <c r="E3" s="3098"/>
      <c r="F3" s="3098" t="s">
        <v>3</v>
      </c>
      <c r="G3" s="3098" t="s">
        <v>4</v>
      </c>
      <c r="H3" s="3098" t="s">
        <v>5</v>
      </c>
      <c r="I3" s="3098" t="s">
        <v>344</v>
      </c>
      <c r="J3" s="3098"/>
      <c r="K3" s="3098"/>
      <c r="L3" s="3098"/>
      <c r="M3" s="3098"/>
      <c r="N3" s="3098"/>
      <c r="O3" s="3098"/>
      <c r="P3" s="3098"/>
      <c r="Q3" s="3101"/>
      <c r="R3" s="3101"/>
      <c r="S3" s="3101"/>
      <c r="T3" s="3101"/>
      <c r="U3" s="3102"/>
      <c r="V3" s="3098"/>
      <c r="W3" s="3098" t="s">
        <v>417</v>
      </c>
      <c r="X3" s="3056">
        <f>IF(A3="","",IF(LEN(SUBSTITUTE(SUBSTITUTE(SUBSTITUTE(SUBSTITUTE(D3,".",""),"/",""),"-","")," ",""))&lt;&gt;14,"CNPJ INVALIDO","OK"))</f>
      </c>
      <c r="Y3" s="3056">
        <f>IF(A3="","",IF(R3="","REST PENDENTE","REST OK"))</f>
      </c>
      <c r="Z3" s="3056">
        <f>IF(A3="","",IF(AND(R3&lt;&gt;"",COUNTIFS($D$3:$D$164,D3,$R$3:$R$164,"&lt;&gt;")&gt;1),"DUPLICADO","OK"))</f>
      </c>
      <c r="AA3" s="3056">
        <f>IF(A3="","",IF(OR(LEN(Q3)&gt;180,LEN(R3)&gt;180,LEN(S3)&gt;180,LEN(T3)&gt;180),"CAMINHO LONGO","OK"))</f>
      </c>
      <c r="AB3" s="3056">
        <f>IF(A3="","",IF(U3="","",IFERROR(INT(U3-TODAY()),"")))</f>
      </c>
      <c r="AC3" s="3056">
        <f>IF(A3="","",IF(AND(T3="",U3=""),"",IF(T3="","SEM CAMINHO",IF(U3="","SEM DATA",IFERROR(IF(AB3&lt;15,"VERMELHO",IF(AB3&lt;=30,"AMARELO","VERDE")),"DATA INVALIDA")))))</f>
      </c>
      <c r="AD3" s="3056">
        <f>IF(OR(A3="",U3="",NOT(ISNUMBER(AB3))),"",RANK(AB3,$AB$3:$AB$164,1)+COUNTIFS($AB$3:AB3,AB3)-1)</f>
      </c>
      <c r="AE3" s="1736"/>
    </row>
    <row r="4" spans="1:19" ht="22.0" hidden="false" customHeight="true" x14ac:dyDescent="0.25">
      <c r="A4" s="3104" t="s">
        <v>6</v>
      </c>
      <c r="B4" s="3103" t="s">
        <v>1</v>
      </c>
      <c r="C4" s="3103" t="s">
        <v>2</v>
      </c>
      <c r="D4" s="3103" t="s">
        <v>7</v>
      </c>
      <c r="E4" s="3103"/>
      <c r="F4" s="3103" t="s">
        <v>3</v>
      </c>
      <c r="G4" s="3103" t="s">
        <v>4</v>
      </c>
      <c r="H4" s="3103" t="s">
        <v>5</v>
      </c>
      <c r="I4" s="3103" t="s">
        <v>344</v>
      </c>
      <c r="J4" s="3103"/>
      <c r="K4" s="3103"/>
      <c r="L4" s="3103"/>
      <c r="M4" s="3103"/>
      <c r="N4" s="3103"/>
      <c r="O4" s="3103"/>
      <c r="P4" s="3103"/>
      <c r="Q4" s="3106"/>
      <c r="R4" s="3106"/>
      <c r="S4" s="3106"/>
      <c r="T4" s="3106"/>
      <c r="U4" s="3107"/>
      <c r="V4" s="3103"/>
      <c r="W4" s="3103"/>
      <c r="X4" s="3056">
        <f>IF(A4="","",IF(LEN(SUBSTITUTE(SUBSTITUTE(SUBSTITUTE(SUBSTITUTE(D4,".",""),"/",""),"-","")," ",""))&lt;&gt;14,"CNPJ INVALIDO","OK"))</f>
      </c>
      <c r="Y4" s="3056">
        <f>IF(A4="","",IF(R4="","REST PENDENTE","REST OK"))</f>
      </c>
      <c r="Z4" s="3056">
        <f>IF(A4="","",IF(AND(R4&lt;&gt;"",COUNTIFS($D$3:$D$164,D4,$R$3:$R$164,"&lt;&gt;")&gt;1),"DUPLICADO","OK"))</f>
      </c>
      <c r="AA4" s="3056">
        <f>IF(A4="","",IF(OR(LEN(Q4)&gt;180,LEN(R4)&gt;180,LEN(S4)&gt;180,LEN(T4)&gt;180),"CAMINHO LONGO","OK"))</f>
      </c>
      <c r="AB4" s="3056">
        <f>IF(A4="","",IF(U4="","",IFERROR(INT(U4-TODAY()),"")))</f>
      </c>
      <c r="AC4" s="3056">
        <f>IF(A4="","",IF(AND(T4="",U4=""),"",IF(T4="","SEM CAMINHO",IF(U4="","SEM DATA",IFERROR(IF(AB4&lt;15,"VERMELHO",IF(AB4&lt;=30,"AMARELO","VERDE")),"DATA INVALIDA")))))</f>
      </c>
      <c r="AD4" s="3056">
        <f>IF(OR(A4="",U4="",NOT(ISNUMBER(AB4))),"",RANK(AB4,$AB$3:$AB$164,1)+COUNTIFS($AB$3:AB4,AB4)-1)</f>
      </c>
      <c r="AE4" s="1736"/>
    </row>
    <row r="5" spans="1:19" ht="22.0" hidden="false" customHeight="true" x14ac:dyDescent="0.25">
      <c r="A5" s="3099" t="s">
        <v>8</v>
      </c>
      <c r="B5" s="3098" t="s">
        <v>9</v>
      </c>
      <c r="C5" s="3098" t="s">
        <v>10</v>
      </c>
      <c r="D5" s="3098" t="s">
        <v>11</v>
      </c>
      <c r="E5" s="3098"/>
      <c r="F5" s="3098" t="s">
        <v>12</v>
      </c>
      <c r="G5" s="3098" t="s">
        <v>13</v>
      </c>
      <c r="H5" s="3098" t="s">
        <v>14</v>
      </c>
      <c r="I5" s="3098" t="s">
        <v>344</v>
      </c>
      <c r="J5" s="3098"/>
      <c r="K5" s="3098"/>
      <c r="L5" s="3098"/>
      <c r="M5" s="3098"/>
      <c r="N5" s="3098"/>
      <c r="O5" s="3098"/>
      <c r="P5" s="3098"/>
      <c r="Q5" s="3101"/>
      <c r="R5" s="3101"/>
      <c r="S5" s="3101"/>
      <c r="T5" s="3101"/>
      <c r="U5" s="3102"/>
      <c r="V5" s="3098"/>
      <c r="W5" s="3098"/>
      <c r="X5" s="3056">
        <f>IF(A5="","",IF(LEN(SUBSTITUTE(SUBSTITUTE(SUBSTITUTE(SUBSTITUTE(D5,".",""),"/",""),"-","")," ",""))&lt;&gt;14,"CNPJ INVALIDO","OK"))</f>
      </c>
      <c r="Y5" s="3056">
        <f>IF(A5="","",IF(R5="","REST PENDENTE","REST OK"))</f>
      </c>
      <c r="Z5" s="3056">
        <f>IF(A5="","",IF(AND(R5&lt;&gt;"",COUNTIFS($D$3:$D$164,D5,$R$3:$R$164,"&lt;&gt;")&gt;1),"DUPLICADO","OK"))</f>
      </c>
      <c r="AA5" s="3056">
        <f>IF(A5="","",IF(OR(LEN(Q5)&gt;180,LEN(R5)&gt;180,LEN(S5)&gt;180,LEN(T5)&gt;180),"CAMINHO LONGO","OK"))</f>
      </c>
      <c r="AB5" s="3056">
        <f>IF(A5="","",IF(U5="","",IFERROR(INT(U5-TODAY()),"")))</f>
      </c>
      <c r="AC5" s="3056">
        <f>IF(A5="","",IF(AND(T5="",U5=""),"",IF(T5="","SEM CAMINHO",IF(U5="","SEM DATA",IFERROR(IF(AB5&lt;15,"VERMELHO",IF(AB5&lt;=30,"AMARELO","VERDE")),"DATA INVALIDA")))))</f>
      </c>
      <c r="AD5" s="3056">
        <f>IF(OR(A5="",U5="",NOT(ISNUMBER(AB5))),"",RANK(AB5,$AB$3:$AB$164,1)+COUNTIFS($AB$3:AB5,AB5)-1)</f>
      </c>
      <c r="AE5" s="1736"/>
    </row>
    <row r="6" spans="1:19" ht="22.0" hidden="false" customHeight="true" x14ac:dyDescent="0.25">
      <c r="A6" s="3104" t="s">
        <v>15</v>
      </c>
      <c r="B6" s="3103" t="s">
        <v>9</v>
      </c>
      <c r="C6" s="3103" t="s">
        <v>16</v>
      </c>
      <c r="D6" s="3103" t="s">
        <v>17</v>
      </c>
      <c r="E6" s="3103"/>
      <c r="F6" s="3103" t="s">
        <v>12</v>
      </c>
      <c r="G6" s="3103" t="s">
        <v>13</v>
      </c>
      <c r="H6" s="3103" t="s">
        <v>14</v>
      </c>
      <c r="I6" s="3103" t="s">
        <v>344</v>
      </c>
      <c r="J6" s="3103" t="s">
        <v>344</v>
      </c>
      <c r="K6" s="3103" t="s">
        <v>344</v>
      </c>
      <c r="L6" s="3103" t="s">
        <v>344</v>
      </c>
      <c r="M6" s="3103" t="s">
        <v>344</v>
      </c>
      <c r="N6" s="3103" t="s">
        <v>344</v>
      </c>
      <c r="O6" s="3103" t="s">
        <v>344</v>
      </c>
      <c r="P6" s="3103" t="s">
        <v>344</v>
      </c>
      <c r="Q6" s="3106"/>
      <c r="R6" s="3106"/>
      <c r="S6" s="3106"/>
      <c r="T6" s="3106"/>
      <c r="U6" s="3107"/>
      <c r="V6" s="3103"/>
      <c r="W6" s="3103"/>
      <c r="X6" s="3056">
        <f>IF(A6="","",IF(LEN(SUBSTITUTE(SUBSTITUTE(SUBSTITUTE(SUBSTITUTE(D6,".",""),"/",""),"-","")," ",""))&lt;&gt;14,"CNPJ INVALIDO","OK"))</f>
      </c>
      <c r="Y6" s="3056">
        <f>IF(A6="","",IF(R6="","REST PENDENTE","REST OK"))</f>
      </c>
      <c r="Z6" s="3056">
        <f>IF(A6="","",IF(AND(R6&lt;&gt;"",COUNTIFS($D$3:$D$164,D6,$R$3:$R$164,"&lt;&gt;")&gt;1),"DUPLICADO","OK"))</f>
      </c>
      <c r="AA6" s="3056">
        <f>IF(A6="","",IF(OR(LEN(Q6)&gt;180,LEN(R6)&gt;180,LEN(S6)&gt;180,LEN(T6)&gt;180),"CAMINHO LONGO","OK"))</f>
      </c>
      <c r="AB6" s="3056">
        <f>IF(A6="","",IF(U6="","",IFERROR(INT(U6-TODAY()),"")))</f>
      </c>
      <c r="AC6" s="3056">
        <f>IF(A6="","",IF(AND(T6="",U6=""),"",IF(T6="","SEM CAMINHO",IF(U6="","SEM DATA",IFERROR(IF(AB6&lt;15,"VERMELHO",IF(AB6&lt;=30,"AMARELO","VERDE")),"DATA INVALIDA")))))</f>
      </c>
      <c r="AD6" s="3056">
        <f>IF(OR(A6="",U6="",NOT(ISNUMBER(AB6))),"",RANK(AB6,$AB$3:$AB$164,1)+COUNTIFS($AB$3:AB6,AB6)-1)</f>
      </c>
      <c r="AE6" s="1736"/>
    </row>
    <row r="7" spans="1:19" ht="22.0" hidden="false" customHeight="true" x14ac:dyDescent="0.25">
      <c r="A7" s="3099" t="s">
        <v>18</v>
      </c>
      <c r="B7" s="3098" t="s">
        <v>9</v>
      </c>
      <c r="C7" s="3098" t="s">
        <v>19</v>
      </c>
      <c r="D7" s="3098" t="s">
        <v>20</v>
      </c>
      <c r="E7" s="3098"/>
      <c r="F7" s="3098" t="s">
        <v>12</v>
      </c>
      <c r="G7" s="3098" t="s">
        <v>13</v>
      </c>
      <c r="H7" s="3098" t="s">
        <v>14</v>
      </c>
      <c r="I7" s="3098" t="s">
        <v>344</v>
      </c>
      <c r="J7" s="3098" t="s">
        <v>344</v>
      </c>
      <c r="K7" s="3098" t="s">
        <v>344</v>
      </c>
      <c r="L7" s="3098" t="s">
        <v>344</v>
      </c>
      <c r="M7" s="3098" t="s">
        <v>344</v>
      </c>
      <c r="N7" s="3098" t="s">
        <v>344</v>
      </c>
      <c r="O7" s="3098" t="s">
        <v>344</v>
      </c>
      <c r="P7" s="3098" t="s">
        <v>344</v>
      </c>
      <c r="Q7" s="3101"/>
      <c r="R7" s="3101"/>
      <c r="S7" s="3101"/>
      <c r="T7" s="3101"/>
      <c r="U7" s="3102"/>
      <c r="V7" s="3098"/>
      <c r="W7" s="3098"/>
      <c r="X7" s="3056">
        <f>IF(A7="","",IF(LEN(SUBSTITUTE(SUBSTITUTE(SUBSTITUTE(SUBSTITUTE(D7,".",""),"/",""),"-","")," ",""))&lt;&gt;14,"CNPJ INVALIDO","OK"))</f>
      </c>
      <c r="Y7" s="3056">
        <f>IF(A7="","",IF(R7="","REST PENDENTE","REST OK"))</f>
      </c>
      <c r="Z7" s="3056">
        <f>IF(A7="","",IF(AND(R7&lt;&gt;"",COUNTIFS($D$3:$D$164,D7,$R$3:$R$164,"&lt;&gt;")&gt;1),"DUPLICADO","OK"))</f>
      </c>
      <c r="AA7" s="3056">
        <f>IF(A7="","",IF(OR(LEN(Q7)&gt;180,LEN(R7)&gt;180,LEN(S7)&gt;180,LEN(T7)&gt;180),"CAMINHO LONGO","OK"))</f>
      </c>
      <c r="AB7" s="3056">
        <f>IF(A7="","",IF(U7="","",IFERROR(INT(U7-TODAY()),"")))</f>
      </c>
      <c r="AC7" s="3056">
        <f>IF(A7="","",IF(AND(T7="",U7=""),"",IF(T7="","SEM CAMINHO",IF(U7="","SEM DATA",IFERROR(IF(AB7&lt;15,"VERMELHO",IF(AB7&lt;=30,"AMARELO","VERDE")),"DATA INVALIDA")))))</f>
      </c>
      <c r="AD7" s="3056">
        <f>IF(OR(A7="",U7="",NOT(ISNUMBER(AB7))),"",RANK(AB7,$AB$3:$AB$164,1)+COUNTIFS($AB$3:AB7,AB7)-1)</f>
      </c>
      <c r="AE7" s="1736"/>
    </row>
    <row r="8" spans="1:19" ht="22.0" hidden="false" customHeight="true" x14ac:dyDescent="0.25">
      <c r="A8" s="3104" t="s">
        <v>21</v>
      </c>
      <c r="B8" s="3103" t="s">
        <v>9</v>
      </c>
      <c r="C8" s="3103" t="s">
        <v>19</v>
      </c>
      <c r="D8" s="3103" t="s">
        <v>22</v>
      </c>
      <c r="E8" s="3103"/>
      <c r="F8" s="3103" t="s">
        <v>12</v>
      </c>
      <c r="G8" s="3103" t="s">
        <v>13</v>
      </c>
      <c r="H8" s="3103" t="s">
        <v>14</v>
      </c>
      <c r="I8" s="3103" t="s">
        <v>344</v>
      </c>
      <c r="J8" s="3103" t="s">
        <v>344</v>
      </c>
      <c r="K8" s="3103" t="s">
        <v>344</v>
      </c>
      <c r="L8" s="3103" t="s">
        <v>344</v>
      </c>
      <c r="M8" s="3103" t="s">
        <v>344</v>
      </c>
      <c r="N8" s="3103" t="s">
        <v>344</v>
      </c>
      <c r="O8" s="3103" t="s">
        <v>344</v>
      </c>
      <c r="P8" s="3103" t="s">
        <v>344</v>
      </c>
      <c r="Q8" s="3106"/>
      <c r="R8" s="3106"/>
      <c r="S8" s="3106"/>
      <c r="T8" s="3106"/>
      <c r="U8" s="3107"/>
      <c r="V8" s="3103"/>
      <c r="W8" s="3103"/>
      <c r="X8" s="3056">
        <f>IF(A8="","",IF(LEN(SUBSTITUTE(SUBSTITUTE(SUBSTITUTE(SUBSTITUTE(D8,".",""),"/",""),"-","")," ",""))&lt;&gt;14,"CNPJ INVALIDO","OK"))</f>
      </c>
      <c r="Y8" s="3056">
        <f>IF(A8="","",IF(R8="","REST PENDENTE","REST OK"))</f>
      </c>
      <c r="Z8" s="3056">
        <f>IF(A8="","",IF(AND(R8&lt;&gt;"",COUNTIFS($D$3:$D$164,D8,$R$3:$R$164,"&lt;&gt;")&gt;1),"DUPLICADO","OK"))</f>
      </c>
      <c r="AA8" s="3056">
        <f>IF(A8="","",IF(OR(LEN(Q8)&gt;180,LEN(R8)&gt;180,LEN(S8)&gt;180,LEN(T8)&gt;180),"CAMINHO LONGO","OK"))</f>
      </c>
      <c r="AB8" s="3056">
        <f>IF(A8="","",IF(U8="","",IFERROR(INT(U8-TODAY()),"")))</f>
      </c>
      <c r="AC8" s="3056">
        <f>IF(A8="","",IF(AND(T8="",U8=""),"",IF(T8="","SEM CAMINHO",IF(U8="","SEM DATA",IFERROR(IF(AB8&lt;15,"VERMELHO",IF(AB8&lt;=30,"AMARELO","VERDE")),"DATA INVALIDA")))))</f>
      </c>
      <c r="AD8" s="3056">
        <f>IF(OR(A8="",U8="",NOT(ISNUMBER(AB8))),"",RANK(AB8,$AB$3:$AB$164,1)+COUNTIFS($AB$3:AB8,AB8)-1)</f>
      </c>
      <c r="AE8" s="1736"/>
    </row>
    <row r="9" spans="1:19" ht="22.0" hidden="false" customHeight="true" x14ac:dyDescent="0.25">
      <c r="A9" s="3099" t="s">
        <v>23</v>
      </c>
      <c r="B9" s="3098" t="s">
        <v>9</v>
      </c>
      <c r="C9" s="3098" t="s">
        <v>24</v>
      </c>
      <c r="D9" s="3098" t="s">
        <v>25</v>
      </c>
      <c r="E9" s="3098"/>
      <c r="F9" s="3098" t="s">
        <v>12</v>
      </c>
      <c r="G9" s="3098" t="s">
        <v>13</v>
      </c>
      <c r="H9" s="3098" t="s">
        <v>14</v>
      </c>
      <c r="I9" s="3098" t="s">
        <v>344</v>
      </c>
      <c r="J9" s="3098" t="s">
        <v>344</v>
      </c>
      <c r="K9" s="3098" t="s">
        <v>344</v>
      </c>
      <c r="L9" s="3098" t="s">
        <v>344</v>
      </c>
      <c r="M9" s="3098" t="s">
        <v>344</v>
      </c>
      <c r="N9" s="3098" t="s">
        <v>344</v>
      </c>
      <c r="O9" s="3098" t="s">
        <v>344</v>
      </c>
      <c r="P9" s="3098" t="s">
        <v>344</v>
      </c>
      <c r="Q9" s="3101"/>
      <c r="R9" s="3101"/>
      <c r="S9" s="3101"/>
      <c r="T9" s="3101"/>
      <c r="U9" s="3102"/>
      <c r="V9" s="3098"/>
      <c r="W9" s="3098"/>
      <c r="X9" s="3056">
        <f>IF(A9="","",IF(LEN(SUBSTITUTE(SUBSTITUTE(SUBSTITUTE(SUBSTITUTE(D9,".",""),"/",""),"-","")," ",""))&lt;&gt;14,"CNPJ INVALIDO","OK"))</f>
      </c>
      <c r="Y9" s="3056">
        <f>IF(A9="","",IF(R9="","REST PENDENTE","REST OK"))</f>
      </c>
      <c r="Z9" s="3056">
        <f>IF(A9="","",IF(AND(R9&lt;&gt;"",COUNTIFS($D$3:$D$164,D9,$R$3:$R$164,"&lt;&gt;")&gt;1),"DUPLICADO","OK"))</f>
      </c>
      <c r="AA9" s="3056">
        <f>IF(A9="","",IF(OR(LEN(Q9)&gt;180,LEN(R9)&gt;180,LEN(S9)&gt;180,LEN(T9)&gt;180),"CAMINHO LONGO","OK"))</f>
      </c>
      <c r="AB9" s="3056">
        <f>IF(A9="","",IF(U9="","",IFERROR(INT(U9-TODAY()),"")))</f>
      </c>
      <c r="AC9" s="3056">
        <f>IF(A9="","",IF(AND(T9="",U9=""),"",IF(T9="","SEM CAMINHO",IF(U9="","SEM DATA",IFERROR(IF(AB9&lt;15,"VERMELHO",IF(AB9&lt;=30,"AMARELO","VERDE")),"DATA INVALIDA")))))</f>
      </c>
      <c r="AD9" s="3056">
        <f>IF(OR(A9="",U9="",NOT(ISNUMBER(AB9))),"",RANK(AB9,$AB$3:$AB$164,1)+COUNTIFS($AB$3:AB9,AB9)-1)</f>
      </c>
      <c r="AE9" s="1736"/>
    </row>
    <row r="10" spans="1:19" ht="22.0" hidden="false" customHeight="true" x14ac:dyDescent="0.25">
      <c r="A10" s="3104" t="s">
        <v>26</v>
      </c>
      <c r="B10" s="3103" t="s">
        <v>9</v>
      </c>
      <c r="C10" s="3103" t="s">
        <v>27</v>
      </c>
      <c r="D10" s="3103" t="s">
        <v>28</v>
      </c>
      <c r="E10" s="3103"/>
      <c r="F10" s="3103" t="s">
        <v>12</v>
      </c>
      <c r="G10" s="3103" t="s">
        <v>13</v>
      </c>
      <c r="H10" s="3103" t="s">
        <v>14</v>
      </c>
      <c r="I10" s="3103" t="s">
        <v>344</v>
      </c>
      <c r="J10" s="3103" t="s">
        <v>344</v>
      </c>
      <c r="K10" s="3103" t="s">
        <v>344</v>
      </c>
      <c r="L10" s="3103" t="s">
        <v>344</v>
      </c>
      <c r="M10" s="3103" t="s">
        <v>344</v>
      </c>
      <c r="N10" s="3103" t="s">
        <v>344</v>
      </c>
      <c r="O10" s="3103" t="s">
        <v>344</v>
      </c>
      <c r="P10" s="3103" t="s">
        <v>344</v>
      </c>
      <c r="Q10" s="3106"/>
      <c r="R10" s="3106"/>
      <c r="S10" s="3106"/>
      <c r="T10" s="3106"/>
      <c r="U10" s="3107"/>
      <c r="V10" s="3103"/>
      <c r="W10" s="3103"/>
      <c r="X10" s="3056">
        <f>IF(A10="","",IF(LEN(SUBSTITUTE(SUBSTITUTE(SUBSTITUTE(SUBSTITUTE(D10,".",""),"/",""),"-","")," ",""))&lt;&gt;14,"CNPJ INVALIDO","OK"))</f>
      </c>
      <c r="Y10" s="3056">
        <f>IF(A10="","",IF(R10="","REST PENDENTE","REST OK"))</f>
      </c>
      <c r="Z10" s="3056">
        <f>IF(A10="","",IF(AND(R10&lt;&gt;"",COUNTIFS($D$3:$D$164,D10,$R$3:$R$164,"&lt;&gt;")&gt;1),"DUPLICADO","OK"))</f>
      </c>
      <c r="AA10" s="3056">
        <f>IF(A10="","",IF(OR(LEN(Q10)&gt;180,LEN(R10)&gt;180,LEN(S10)&gt;180,LEN(T10)&gt;180),"CAMINHO LONGO","OK"))</f>
      </c>
      <c r="AB10" s="3056">
        <f>IF(A10="","",IF(U10="","",IFERROR(INT(U10-TODAY()),"")))</f>
      </c>
      <c r="AC10" s="3056">
        <f>IF(A10="","",IF(AND(T10="",U10=""),"",IF(T10="","SEM CAMINHO",IF(U10="","SEM DATA",IFERROR(IF(AB10&lt;15,"VERMELHO",IF(AB10&lt;=30,"AMARELO","VERDE")),"DATA INVALIDA")))))</f>
      </c>
      <c r="AD10" s="3056">
        <f>IF(OR(A10="",U10="",NOT(ISNUMBER(AB10))),"",RANK(AB10,$AB$3:$AB$164,1)+COUNTIFS($AB$3:AB10,AB10)-1)</f>
      </c>
      <c r="AE10" s="1736"/>
    </row>
    <row r="11" spans="1:19" ht="22.0" hidden="false" customHeight="true" x14ac:dyDescent="0.25">
      <c r="A11" s="3099" t="s">
        <v>29</v>
      </c>
      <c r="B11" s="3098" t="s">
        <v>9</v>
      </c>
      <c r="C11" s="3098" t="s">
        <v>16</v>
      </c>
      <c r="D11" s="3098" t="s">
        <v>30</v>
      </c>
      <c r="E11" s="3098"/>
      <c r="F11" s="3098" t="s">
        <v>12</v>
      </c>
      <c r="G11" s="3098" t="s">
        <v>13</v>
      </c>
      <c r="H11" s="3098" t="s">
        <v>14</v>
      </c>
      <c r="I11" s="3098" t="s">
        <v>344</v>
      </c>
      <c r="J11" s="3098" t="s">
        <v>344</v>
      </c>
      <c r="K11" s="3098" t="s">
        <v>344</v>
      </c>
      <c r="L11" s="3098" t="s">
        <v>344</v>
      </c>
      <c r="M11" s="3098" t="s">
        <v>344</v>
      </c>
      <c r="N11" s="3098" t="s">
        <v>344</v>
      </c>
      <c r="O11" s="3098" t="s">
        <v>344</v>
      </c>
      <c r="P11" s="3098" t="s">
        <v>344</v>
      </c>
      <c r="Q11" s="3101"/>
      <c r="R11" s="3101"/>
      <c r="S11" s="3101"/>
      <c r="T11" s="3101"/>
      <c r="U11" s="3102"/>
      <c r="V11" s="3098"/>
      <c r="W11" s="3098"/>
      <c r="X11" s="3056">
        <f>IF(A11="","",IF(LEN(SUBSTITUTE(SUBSTITUTE(SUBSTITUTE(SUBSTITUTE(D11,".",""),"/",""),"-","")," ",""))&lt;&gt;14,"CNPJ INVALIDO","OK"))</f>
      </c>
      <c r="Y11" s="3056">
        <f>IF(A11="","",IF(R11="","REST PENDENTE","REST OK"))</f>
      </c>
      <c r="Z11" s="3056">
        <f>IF(A11="","",IF(AND(R11&lt;&gt;"",COUNTIFS($D$3:$D$164,D11,$R$3:$R$164,"&lt;&gt;")&gt;1),"DUPLICADO","OK"))</f>
      </c>
      <c r="AA11" s="3056">
        <f>IF(A11="","",IF(OR(LEN(Q11)&gt;180,LEN(R11)&gt;180,LEN(S11)&gt;180,LEN(T11)&gt;180),"CAMINHO LONGO","OK"))</f>
      </c>
      <c r="AB11" s="3056">
        <f>IF(A11="","",IF(U11="","",IFERROR(INT(U11-TODAY()),"")))</f>
      </c>
      <c r="AC11" s="3056">
        <f>IF(A11="","",IF(AND(T11="",U11=""),"",IF(T11="","SEM CAMINHO",IF(U11="","SEM DATA",IFERROR(IF(AB11&lt;15,"VERMELHO",IF(AB11&lt;=30,"AMARELO","VERDE")),"DATA INVALIDA")))))</f>
      </c>
      <c r="AD11" s="3056">
        <f>IF(OR(A11="",U11="",NOT(ISNUMBER(AB11))),"",RANK(AB11,$AB$3:$AB$164,1)+COUNTIFS($AB$3:AB11,AB11)-1)</f>
      </c>
      <c r="AE11" s="1736"/>
    </row>
    <row r="12" spans="1:19" ht="22.0" hidden="false" customHeight="true" x14ac:dyDescent="0.25">
      <c r="A12" s="3104" t="s">
        <v>31</v>
      </c>
      <c r="B12" s="3103" t="s">
        <v>9</v>
      </c>
      <c r="C12" s="3103" t="s">
        <v>24</v>
      </c>
      <c r="D12" s="3103" t="s">
        <v>32</v>
      </c>
      <c r="E12" s="3103"/>
      <c r="F12" s="3103" t="s">
        <v>12</v>
      </c>
      <c r="G12" s="3103" t="s">
        <v>13</v>
      </c>
      <c r="H12" s="3103" t="s">
        <v>14</v>
      </c>
      <c r="I12" s="3103" t="s">
        <v>344</v>
      </c>
      <c r="J12" s="3103" t="s">
        <v>344</v>
      </c>
      <c r="K12" s="3103" t="s">
        <v>344</v>
      </c>
      <c r="L12" s="3103" t="s">
        <v>344</v>
      </c>
      <c r="M12" s="3103" t="s">
        <v>344</v>
      </c>
      <c r="N12" s="3103" t="s">
        <v>344</v>
      </c>
      <c r="O12" s="3103" t="s">
        <v>344</v>
      </c>
      <c r="P12" s="3103" t="s">
        <v>344</v>
      </c>
      <c r="Q12" s="3106"/>
      <c r="R12" s="3106"/>
      <c r="S12" s="3106"/>
      <c r="T12" s="3106"/>
      <c r="U12" s="3107"/>
      <c r="V12" s="3103"/>
      <c r="W12" s="3103"/>
      <c r="X12" s="3056">
        <f>IF(A12="","",IF(LEN(SUBSTITUTE(SUBSTITUTE(SUBSTITUTE(SUBSTITUTE(D12,".",""),"/",""),"-","")," ",""))&lt;&gt;14,"CNPJ INVALIDO","OK"))</f>
      </c>
      <c r="Y12" s="3056">
        <f>IF(A12="","",IF(R12="","REST PENDENTE","REST OK"))</f>
      </c>
      <c r="Z12" s="3056">
        <f>IF(A12="","",IF(AND(R12&lt;&gt;"",COUNTIFS($D$3:$D$164,D12,$R$3:$R$164,"&lt;&gt;")&gt;1),"DUPLICADO","OK"))</f>
      </c>
      <c r="AA12" s="3056">
        <f>IF(A12="","",IF(OR(LEN(Q12)&gt;180,LEN(R12)&gt;180,LEN(S12)&gt;180,LEN(T12)&gt;180),"CAMINHO LONGO","OK"))</f>
      </c>
      <c r="AB12" s="3056">
        <f>IF(A12="","",IF(U12="","",IFERROR(INT(U12-TODAY()),"")))</f>
      </c>
      <c r="AC12" s="3056">
        <f>IF(A12="","",IF(AND(T12="",U12=""),"",IF(T12="","SEM CAMINHO",IF(U12="","SEM DATA",IFERROR(IF(AB12&lt;15,"VERMELHO",IF(AB12&lt;=30,"AMARELO","VERDE")),"DATA INVALIDA")))))</f>
      </c>
      <c r="AD12" s="3056">
        <f>IF(OR(A12="",U12="",NOT(ISNUMBER(AB12))),"",RANK(AB12,$AB$3:$AB$164,1)+COUNTIFS($AB$3:AB12,AB12)-1)</f>
      </c>
      <c r="AE12" s="1736"/>
    </row>
    <row r="13" spans="1:19" ht="22.0" hidden="false" customHeight="true" x14ac:dyDescent="0.25">
      <c r="A13" s="3099" t="s">
        <v>33</v>
      </c>
      <c r="B13" s="3098" t="s">
        <v>9</v>
      </c>
      <c r="C13" s="3098" t="s">
        <v>24</v>
      </c>
      <c r="D13" s="3098" t="s">
        <v>34</v>
      </c>
      <c r="E13" s="3098"/>
      <c r="F13" s="3098" t="s">
        <v>12</v>
      </c>
      <c r="G13" s="3098" t="s">
        <v>13</v>
      </c>
      <c r="H13" s="3098" t="s">
        <v>14</v>
      </c>
      <c r="I13" s="3098" t="s">
        <v>344</v>
      </c>
      <c r="J13" s="3098" t="s">
        <v>344</v>
      </c>
      <c r="K13" s="3098" t="s">
        <v>344</v>
      </c>
      <c r="L13" s="3098" t="s">
        <v>344</v>
      </c>
      <c r="M13" s="3098" t="s">
        <v>344</v>
      </c>
      <c r="N13" s="3098" t="s">
        <v>344</v>
      </c>
      <c r="O13" s="3098" t="s">
        <v>344</v>
      </c>
      <c r="P13" s="3098" t="s">
        <v>344</v>
      </c>
      <c r="Q13" s="3101"/>
      <c r="R13" s="3101"/>
      <c r="S13" s="3101"/>
      <c r="T13" s="3101"/>
      <c r="U13" s="3102"/>
      <c r="V13" s="3098"/>
      <c r="W13" s="3098"/>
      <c r="X13" s="3056">
        <f>IF(A13="","",IF(LEN(SUBSTITUTE(SUBSTITUTE(SUBSTITUTE(SUBSTITUTE(D13,".",""),"/",""),"-","")," ",""))&lt;&gt;14,"CNPJ INVALIDO","OK"))</f>
      </c>
      <c r="Y13" s="3056">
        <f>IF(A13="","",IF(R13="","REST PENDENTE","REST OK"))</f>
      </c>
      <c r="Z13" s="3056">
        <f>IF(A13="","",IF(AND(R13&lt;&gt;"",COUNTIFS($D$3:$D$164,D13,$R$3:$R$164,"&lt;&gt;")&gt;1),"DUPLICADO","OK"))</f>
      </c>
      <c r="AA13" s="3056">
        <f>IF(A13="","",IF(OR(LEN(Q13)&gt;180,LEN(R13)&gt;180,LEN(S13)&gt;180,LEN(T13)&gt;180),"CAMINHO LONGO","OK"))</f>
      </c>
      <c r="AB13" s="3056">
        <f>IF(A13="","",IF(U13="","",IFERROR(INT(U13-TODAY()),"")))</f>
      </c>
      <c r="AC13" s="3056">
        <f>IF(A13="","",IF(AND(T13="",U13=""),"",IF(T13="","SEM CAMINHO",IF(U13="","SEM DATA",IFERROR(IF(AB13&lt;15,"VERMELHO",IF(AB13&lt;=30,"AMARELO","VERDE")),"DATA INVALIDA")))))</f>
      </c>
      <c r="AD13" s="3056">
        <f>IF(OR(A13="",U13="",NOT(ISNUMBER(AB13))),"",RANK(AB13,$AB$3:$AB$164,1)+COUNTIFS($AB$3:AB13,AB13)-1)</f>
      </c>
      <c r="AE13" s="1736"/>
    </row>
    <row r="14" spans="1:19" ht="22.0" hidden="false" customHeight="true" x14ac:dyDescent="0.25">
      <c r="A14" s="3104" t="s">
        <v>35</v>
      </c>
      <c r="B14" s="3103" t="s">
        <v>9</v>
      </c>
      <c r="C14" s="3103" t="s">
        <v>24</v>
      </c>
      <c r="D14" s="3103" t="s">
        <v>36</v>
      </c>
      <c r="E14" s="3103"/>
      <c r="F14" s="3103" t="s">
        <v>37</v>
      </c>
      <c r="G14" s="3103" t="s">
        <v>13</v>
      </c>
      <c r="H14" s="3103" t="s">
        <v>14</v>
      </c>
      <c r="I14" s="3103" t="s">
        <v>344</v>
      </c>
      <c r="J14" s="3103" t="s">
        <v>344</v>
      </c>
      <c r="K14" s="3103" t="s">
        <v>344</v>
      </c>
      <c r="L14" s="3103" t="s">
        <v>344</v>
      </c>
      <c r="M14" s="3103" t="s">
        <v>344</v>
      </c>
      <c r="N14" s="3103" t="s">
        <v>344</v>
      </c>
      <c r="O14" s="3103" t="s">
        <v>344</v>
      </c>
      <c r="P14" s="3103" t="s">
        <v>344</v>
      </c>
      <c r="Q14" s="3106"/>
      <c r="R14" s="3106"/>
      <c r="S14" s="3106"/>
      <c r="T14" s="3106"/>
      <c r="U14" s="3107"/>
      <c r="V14" s="3103"/>
      <c r="W14" s="3103"/>
      <c r="X14" s="3056">
        <f>IF(A14="","",IF(LEN(SUBSTITUTE(SUBSTITUTE(SUBSTITUTE(SUBSTITUTE(D14,".",""),"/",""),"-","")," ",""))&lt;&gt;14,"CNPJ INVALIDO","OK"))</f>
      </c>
      <c r="Y14" s="3056">
        <f>IF(A14="","",IF(R14="","REST PENDENTE","REST OK"))</f>
      </c>
      <c r="Z14" s="3056">
        <f>IF(A14="","",IF(AND(R14&lt;&gt;"",COUNTIFS($D$3:$D$164,D14,$R$3:$R$164,"&lt;&gt;")&gt;1),"DUPLICADO","OK"))</f>
      </c>
      <c r="AA14" s="3056">
        <f>IF(A14="","",IF(OR(LEN(Q14)&gt;180,LEN(R14)&gt;180,LEN(S14)&gt;180,LEN(T14)&gt;180),"CAMINHO LONGO","OK"))</f>
      </c>
      <c r="AB14" s="3056">
        <f>IF(A14="","",IF(U14="","",IFERROR(INT(U14-TODAY()),"")))</f>
      </c>
      <c r="AC14" s="3056">
        <f>IF(A14="","",IF(AND(T14="",U14=""),"",IF(T14="","SEM CAMINHO",IF(U14="","SEM DATA",IFERROR(IF(AB14&lt;15,"VERMELHO",IF(AB14&lt;=30,"AMARELO","VERDE")),"DATA INVALIDA")))))</f>
      </c>
      <c r="AD14" s="3056">
        <f>IF(OR(A14="",U14="",NOT(ISNUMBER(AB14))),"",RANK(AB14,$AB$3:$AB$164,1)+COUNTIFS($AB$3:AB14,AB14)-1)</f>
      </c>
      <c r="AE14" s="1736"/>
    </row>
    <row r="15" spans="1:19" ht="22.0" hidden="false" customHeight="true" x14ac:dyDescent="0.25">
      <c r="A15" s="3099" t="s">
        <v>38</v>
      </c>
      <c r="B15" s="3098" t="s">
        <v>9</v>
      </c>
      <c r="C15" s="3098" t="s">
        <v>16</v>
      </c>
      <c r="D15" s="3098" t="s">
        <v>39</v>
      </c>
      <c r="E15" s="3098"/>
      <c r="F15" s="3098" t="s">
        <v>37</v>
      </c>
      <c r="G15" s="3098" t="s">
        <v>13</v>
      </c>
      <c r="H15" s="3098" t="s">
        <v>14</v>
      </c>
      <c r="I15" s="3098" t="s">
        <v>344</v>
      </c>
      <c r="J15" s="3098" t="s">
        <v>344</v>
      </c>
      <c r="K15" s="3098" t="s">
        <v>344</v>
      </c>
      <c r="L15" s="3098" t="s">
        <v>344</v>
      </c>
      <c r="M15" s="3098" t="s">
        <v>344</v>
      </c>
      <c r="N15" s="3098" t="s">
        <v>344</v>
      </c>
      <c r="O15" s="3098" t="s">
        <v>344</v>
      </c>
      <c r="P15" s="3098" t="s">
        <v>344</v>
      </c>
      <c r="Q15" s="3101"/>
      <c r="R15" s="3101"/>
      <c r="S15" s="3101"/>
      <c r="T15" s="3101"/>
      <c r="U15" s="3102"/>
      <c r="V15" s="3098"/>
      <c r="W15" s="3098"/>
      <c r="X15" s="3056">
        <f>IF(A15="","",IF(LEN(SUBSTITUTE(SUBSTITUTE(SUBSTITUTE(SUBSTITUTE(D15,".",""),"/",""),"-","")," ",""))&lt;&gt;14,"CNPJ INVALIDO","OK"))</f>
      </c>
      <c r="Y15" s="3056">
        <f>IF(A15="","",IF(R15="","REST PENDENTE","REST OK"))</f>
      </c>
      <c r="Z15" s="3056">
        <f>IF(A15="","",IF(AND(R15&lt;&gt;"",COUNTIFS($D$3:$D$164,D15,$R$3:$R$164,"&lt;&gt;")&gt;1),"DUPLICADO","OK"))</f>
      </c>
      <c r="AA15" s="3056">
        <f>IF(A15="","",IF(OR(LEN(Q15)&gt;180,LEN(R15)&gt;180,LEN(S15)&gt;180,LEN(T15)&gt;180),"CAMINHO LONGO","OK"))</f>
      </c>
      <c r="AB15" s="3056">
        <f>IF(A15="","",IF(U15="","",IFERROR(INT(U15-TODAY()),"")))</f>
      </c>
      <c r="AC15" s="3056">
        <f>IF(A15="","",IF(AND(T15="",U15=""),"",IF(T15="","SEM CAMINHO",IF(U15="","SEM DATA",IFERROR(IF(AB15&lt;15,"VERMELHO",IF(AB15&lt;=30,"AMARELO","VERDE")),"DATA INVALIDA")))))</f>
      </c>
      <c r="AD15" s="3056">
        <f>IF(OR(A15="",U15="",NOT(ISNUMBER(AB15))),"",RANK(AB15,$AB$3:$AB$164,1)+COUNTIFS($AB$3:AB15,AB15)-1)</f>
      </c>
      <c r="AE15" s="1736"/>
    </row>
    <row r="16" spans="1:19" ht="22.0" hidden="false" customHeight="true" x14ac:dyDescent="0.25">
      <c r="A16" s="3104" t="s">
        <v>40</v>
      </c>
      <c r="B16" s="3103" t="s">
        <v>9</v>
      </c>
      <c r="C16" s="3103" t="s">
        <v>24</v>
      </c>
      <c r="D16" s="3103">
        <v>17608570000161</v>
      </c>
      <c r="E16" s="3103"/>
      <c r="F16" s="3103" t="s">
        <v>12</v>
      </c>
      <c r="G16" s="3103" t="s">
        <v>41</v>
      </c>
      <c r="H16" s="3103" t="s">
        <v>5</v>
      </c>
      <c r="I16" s="3103" t="s">
        <v>344</v>
      </c>
      <c r="J16" s="3103" t="s">
        <v>344</v>
      </c>
      <c r="K16" s="3103" t="s">
        <v>344</v>
      </c>
      <c r="L16" s="3103" t="s">
        <v>344</v>
      </c>
      <c r="M16" s="3103" t="s">
        <v>344</v>
      </c>
      <c r="N16" s="3103" t="s">
        <v>344</v>
      </c>
      <c r="O16" s="3103" t="s">
        <v>344</v>
      </c>
      <c r="P16" s="3103" t="s">
        <v>344</v>
      </c>
      <c r="Q16" s="3106"/>
      <c r="R16" s="3106"/>
      <c r="S16" s="3106"/>
      <c r="T16" s="3106"/>
      <c r="U16" s="3107"/>
      <c r="V16" s="3103"/>
      <c r="W16" s="3103"/>
      <c r="X16" s="3056">
        <f>IF(A16="","",IF(LEN(SUBSTITUTE(SUBSTITUTE(SUBSTITUTE(SUBSTITUTE(D16,".",""),"/",""),"-","")," ",""))&lt;&gt;14,"CNPJ INVALIDO","OK"))</f>
      </c>
      <c r="Y16" s="3056">
        <f>IF(A16="","",IF(R16="","REST PENDENTE","REST OK"))</f>
      </c>
      <c r="Z16" s="3056">
        <f>IF(A16="","",IF(AND(R16&lt;&gt;"",COUNTIFS($D$3:$D$164,D16,$R$3:$R$164,"&lt;&gt;")&gt;1),"DUPLICADO","OK"))</f>
      </c>
      <c r="AA16" s="3056">
        <f>IF(A16="","",IF(OR(LEN(Q16)&gt;180,LEN(R16)&gt;180,LEN(S16)&gt;180,LEN(T16)&gt;180),"CAMINHO LONGO","OK"))</f>
      </c>
      <c r="AB16" s="3056">
        <f>IF(A16="","",IF(U16="","",IFERROR(INT(U16-TODAY()),"")))</f>
      </c>
      <c r="AC16" s="3056">
        <f>IF(A16="","",IF(AND(T16="",U16=""),"",IF(T16="","SEM CAMINHO",IF(U16="","SEM DATA",IFERROR(IF(AB16&lt;15,"VERMELHO",IF(AB16&lt;=30,"AMARELO","VERDE")),"DATA INVALIDA")))))</f>
      </c>
      <c r="AD16" s="3056">
        <f>IF(OR(A16="",U16="",NOT(ISNUMBER(AB16))),"",RANK(AB16,$AB$3:$AB$164,1)+COUNTIFS($AB$3:AB16,AB16)-1)</f>
      </c>
      <c r="AE16" s="1736"/>
    </row>
    <row r="17" spans="1:19" ht="22.0" hidden="false" customHeight="true" x14ac:dyDescent="0.25">
      <c r="A17" s="3099" t="s">
        <v>42</v>
      </c>
      <c r="B17" s="3098" t="s">
        <v>9</v>
      </c>
      <c r="C17" s="3098" t="s">
        <v>24</v>
      </c>
      <c r="D17" s="3098" t="s">
        <v>43</v>
      </c>
      <c r="E17" s="3098"/>
      <c r="F17" s="3098" t="s">
        <v>12</v>
      </c>
      <c r="G17" s="3098" t="s">
        <v>41</v>
      </c>
      <c r="H17" s="3098" t="s">
        <v>5</v>
      </c>
      <c r="I17" s="3098"/>
      <c r="J17" s="3098"/>
      <c r="K17" s="3098"/>
      <c r="L17" s="3098"/>
      <c r="M17" s="3098" t="s">
        <v>376</v>
      </c>
      <c r="N17" s="3098"/>
      <c r="O17" s="3098" t="s">
        <v>345</v>
      </c>
      <c r="P17" s="3098" t="s">
        <v>346</v>
      </c>
      <c r="Q17" s="3101"/>
      <c r="R17" s="3101"/>
      <c r="S17" s="3101"/>
      <c r="T17" s="3101"/>
      <c r="U17" s="3102"/>
      <c r="V17" s="3098"/>
      <c r="W17" s="3098"/>
      <c r="X17" s="3056">
        <f>IF(A17="","",IF(LEN(SUBSTITUTE(SUBSTITUTE(SUBSTITUTE(SUBSTITUTE(D17,".",""),"/",""),"-","")," ",""))&lt;&gt;14,"CNPJ INVALIDO","OK"))</f>
      </c>
      <c r="Y17" s="3056">
        <f>IF(A17="","",IF(R17="","REST PENDENTE","REST OK"))</f>
      </c>
      <c r="Z17" s="3056">
        <f>IF(A17="","",IF(AND(R17&lt;&gt;"",COUNTIFS($D$3:$D$164,D17,$R$3:$R$164,"&lt;&gt;")&gt;1),"DUPLICADO","OK"))</f>
      </c>
      <c r="AA17" s="3056">
        <f>IF(A17="","",IF(OR(LEN(Q17)&gt;180,LEN(R17)&gt;180,LEN(S17)&gt;180,LEN(T17)&gt;180),"CAMINHO LONGO","OK"))</f>
      </c>
      <c r="AB17" s="3056">
        <f>IF(A17="","",IF(U17="","",IFERROR(INT(U17-TODAY()),"")))</f>
      </c>
      <c r="AC17" s="3056">
        <f>IF(A17="","",IF(AND(T17="",U17=""),"",IF(T17="","SEM CAMINHO",IF(U17="","SEM DATA",IFERROR(IF(AB17&lt;15,"VERMELHO",IF(AB17&lt;=30,"AMARELO","VERDE")),"DATA INVALIDA")))))</f>
      </c>
      <c r="AD17" s="3056">
        <f>IF(OR(A17="",U17="",NOT(ISNUMBER(AB17))),"",RANK(AB17,$AB$3:$AB$164,1)+COUNTIFS($AB$3:AB17,AB17)-1)</f>
      </c>
      <c r="AE17" s="1736"/>
    </row>
    <row r="18" spans="1:19" ht="22.0" hidden="false" customHeight="true" x14ac:dyDescent="0.25">
      <c r="A18" s="3104" t="s">
        <v>44</v>
      </c>
      <c r="B18" s="3103" t="s">
        <v>45</v>
      </c>
      <c r="C18" s="3103" t="s">
        <v>46</v>
      </c>
      <c r="D18" s="3103" t="s">
        <v>47</v>
      </c>
      <c r="E18" s="3103"/>
      <c r="F18" s="3103" t="s">
        <v>48</v>
      </c>
      <c r="G18" s="3103" t="s">
        <v>13</v>
      </c>
      <c r="H18" s="3103" t="s">
        <v>49</v>
      </c>
      <c r="I18" s="3103"/>
      <c r="J18" s="3103"/>
      <c r="K18" s="3103"/>
      <c r="L18" s="3103"/>
      <c r="M18" s="3103" t="s">
        <v>377</v>
      </c>
      <c r="N18" s="3103"/>
      <c r="O18" s="3103" t="s">
        <v>347</v>
      </c>
      <c r="P18" s="3103"/>
      <c r="Q18" s="3106"/>
      <c r="R18" s="3106"/>
      <c r="S18" s="3106"/>
      <c r="T18" s="3106"/>
      <c r="U18" s="3107"/>
      <c r="V18" s="3103"/>
      <c r="W18" s="3103"/>
      <c r="X18" s="3056">
        <f>IF(A18="","",IF(LEN(SUBSTITUTE(SUBSTITUTE(SUBSTITUTE(SUBSTITUTE(D18,".",""),"/",""),"-","")," ",""))&lt;&gt;14,"CNPJ INVALIDO","OK"))</f>
      </c>
      <c r="Y18" s="3056">
        <f>IF(A18="","",IF(R18="","REST PENDENTE","REST OK"))</f>
      </c>
      <c r="Z18" s="3056">
        <f>IF(A18="","",IF(AND(R18&lt;&gt;"",COUNTIFS($D$3:$D$164,D18,$R$3:$R$164,"&lt;&gt;")&gt;1),"DUPLICADO","OK"))</f>
      </c>
      <c r="AA18" s="3056">
        <f>IF(A18="","",IF(OR(LEN(Q18)&gt;180,LEN(R18)&gt;180,LEN(S18)&gt;180,LEN(T18)&gt;180),"CAMINHO LONGO","OK"))</f>
      </c>
      <c r="AB18" s="3056">
        <f>IF(A18="","",IF(U18="","",IFERROR(INT(U18-TODAY()),"")))</f>
      </c>
      <c r="AC18" s="3056">
        <f>IF(A18="","",IF(AND(T18="",U18=""),"",IF(T18="","SEM CAMINHO",IF(U18="","SEM DATA",IFERROR(IF(AB18&lt;15,"VERMELHO",IF(AB18&lt;=30,"AMARELO","VERDE")),"DATA INVALIDA")))))</f>
      </c>
      <c r="AD18" s="3056">
        <f>IF(OR(A18="",U18="",NOT(ISNUMBER(AB18))),"",RANK(AB18,$AB$3:$AB$164,1)+COUNTIFS($AB$3:AB18,AB18)-1)</f>
      </c>
      <c r="AE18" s="1736"/>
    </row>
    <row r="19" spans="1:19" ht="22.0" hidden="false" customHeight="true" x14ac:dyDescent="0.25">
      <c r="A19" s="3099" t="s">
        <v>50</v>
      </c>
      <c r="B19" s="3098" t="s">
        <v>45</v>
      </c>
      <c r="C19" s="3098" t="s">
        <v>46</v>
      </c>
      <c r="D19" s="3098" t="s">
        <v>51</v>
      </c>
      <c r="E19" s="3098"/>
      <c r="F19" s="3098" t="s">
        <v>48</v>
      </c>
      <c r="G19" s="3098" t="s">
        <v>13</v>
      </c>
      <c r="H19" s="3098" t="s">
        <v>49</v>
      </c>
      <c r="I19" s="3098"/>
      <c r="J19" s="3098"/>
      <c r="K19" s="3098"/>
      <c r="L19" s="3098"/>
      <c r="M19" s="3098" t="s">
        <v>377</v>
      </c>
      <c r="N19" s="3098"/>
      <c r="O19" s="3098" t="s">
        <v>347</v>
      </c>
      <c r="P19" s="3098"/>
      <c r="Q19" s="3101"/>
      <c r="R19" s="3101"/>
      <c r="S19" s="3101"/>
      <c r="T19" s="3101"/>
      <c r="U19" s="3102"/>
      <c r="V19" s="3098"/>
      <c r="W19" s="3098"/>
      <c r="X19" s="3056">
        <f>IF(A19="","",IF(LEN(SUBSTITUTE(SUBSTITUTE(SUBSTITUTE(SUBSTITUTE(D19,".",""),"/",""),"-","")," ",""))&lt;&gt;14,"CNPJ INVALIDO","OK"))</f>
      </c>
      <c r="Y19" s="3056">
        <f>IF(A19="","",IF(R19="","REST PENDENTE","REST OK"))</f>
      </c>
      <c r="Z19" s="3056">
        <f>IF(A19="","",IF(AND(R19&lt;&gt;"",COUNTIFS($D$3:$D$164,D19,$R$3:$R$164,"&lt;&gt;")&gt;1),"DUPLICADO","OK"))</f>
      </c>
      <c r="AA19" s="3056">
        <f>IF(A19="","",IF(OR(LEN(Q19)&gt;180,LEN(R19)&gt;180,LEN(S19)&gt;180,LEN(T19)&gt;180),"CAMINHO LONGO","OK"))</f>
      </c>
      <c r="AB19" s="3056">
        <f>IF(A19="","",IF(U19="","",IFERROR(INT(U19-TODAY()),"")))</f>
      </c>
      <c r="AC19" s="3056">
        <f>IF(A19="","",IF(AND(T19="",U19=""),"",IF(T19="","SEM CAMINHO",IF(U19="","SEM DATA",IFERROR(IF(AB19&lt;15,"VERMELHO",IF(AB19&lt;=30,"AMARELO","VERDE")),"DATA INVALIDA")))))</f>
      </c>
      <c r="AD19" s="3056">
        <f>IF(OR(A19="",U19="",NOT(ISNUMBER(AB19))),"",RANK(AB19,$AB$3:$AB$164,1)+COUNTIFS($AB$3:AB19,AB19)-1)</f>
      </c>
      <c r="AE19" s="1736"/>
    </row>
    <row r="20" spans="1:19" ht="22.0" hidden="false" customHeight="true" x14ac:dyDescent="0.25">
      <c r="A20" s="3104" t="s">
        <v>52</v>
      </c>
      <c r="B20" s="3103" t="s">
        <v>45</v>
      </c>
      <c r="C20" s="3103" t="s">
        <v>46</v>
      </c>
      <c r="D20" s="3103" t="s">
        <v>53</v>
      </c>
      <c r="E20" s="3103"/>
      <c r="F20" s="3103" t="s">
        <v>48</v>
      </c>
      <c r="G20" s="3103" t="s">
        <v>13</v>
      </c>
      <c r="H20" s="3103" t="s">
        <v>14</v>
      </c>
      <c r="I20" s="3103"/>
      <c r="J20" s="3103"/>
      <c r="K20" s="3103"/>
      <c r="L20" s="3103"/>
      <c r="M20" s="3103" t="s">
        <v>377</v>
      </c>
      <c r="N20" s="3103"/>
      <c r="O20" s="3103" t="s">
        <v>347</v>
      </c>
      <c r="P20" s="3103"/>
      <c r="Q20" s="3106"/>
      <c r="R20" s="3106"/>
      <c r="S20" s="3106"/>
      <c r="T20" s="3106"/>
      <c r="U20" s="3107"/>
      <c r="V20" s="3103"/>
      <c r="W20" s="3103"/>
      <c r="X20" s="3056">
        <f>IF(A20="","",IF(LEN(SUBSTITUTE(SUBSTITUTE(SUBSTITUTE(SUBSTITUTE(D20,".",""),"/",""),"-","")," ",""))&lt;&gt;14,"CNPJ INVALIDO","OK"))</f>
      </c>
      <c r="Y20" s="3056">
        <f>IF(A20="","",IF(R20="","REST PENDENTE","REST OK"))</f>
      </c>
      <c r="Z20" s="3056">
        <f>IF(A20="","",IF(AND(R20&lt;&gt;"",COUNTIFS($D$3:$D$164,D20,$R$3:$R$164,"&lt;&gt;")&gt;1),"DUPLICADO","OK"))</f>
      </c>
      <c r="AA20" s="3056">
        <f>IF(A20="","",IF(OR(LEN(Q20)&gt;180,LEN(R20)&gt;180,LEN(S20)&gt;180,LEN(T20)&gt;180),"CAMINHO LONGO","OK"))</f>
      </c>
      <c r="AB20" s="3056">
        <f>IF(A20="","",IF(U20="","",IFERROR(INT(U20-TODAY()),"")))</f>
      </c>
      <c r="AC20" s="3056">
        <f>IF(A20="","",IF(AND(T20="",U20=""),"",IF(T20="","SEM CAMINHO",IF(U20="","SEM DATA",IFERROR(IF(AB20&lt;15,"VERMELHO",IF(AB20&lt;=30,"AMARELO","VERDE")),"DATA INVALIDA")))))</f>
      </c>
      <c r="AD20" s="3056">
        <f>IF(OR(A20="",U20="",NOT(ISNUMBER(AB20))),"",RANK(AB20,$AB$3:$AB$164,1)+COUNTIFS($AB$3:AB20,AB20)-1)</f>
      </c>
      <c r="AE20" s="1736"/>
    </row>
    <row r="21" spans="1:19" ht="22.0" hidden="false" customHeight="true" x14ac:dyDescent="0.25">
      <c r="A21" s="3099" t="s">
        <v>54</v>
      </c>
      <c r="B21" s="3098" t="s">
        <v>55</v>
      </c>
      <c r="C21" s="3098" t="s">
        <v>56</v>
      </c>
      <c r="D21" s="3098">
        <v>57123358000129</v>
      </c>
      <c r="E21" s="3098"/>
      <c r="F21" s="3098" t="s">
        <v>57</v>
      </c>
      <c r="G21" s="3098" t="s">
        <v>4</v>
      </c>
      <c r="H21" s="3098" t="s">
        <v>14</v>
      </c>
      <c r="I21" s="3098"/>
      <c r="J21" s="3098"/>
      <c r="K21" s="3098"/>
      <c r="L21" s="3098"/>
      <c r="M21" s="3098" t="s">
        <v>376</v>
      </c>
      <c r="N21" s="3098"/>
      <c r="O21" s="3098" t="s">
        <v>349</v>
      </c>
      <c r="P21" s="3098"/>
      <c r="Q21" s="3101"/>
      <c r="R21" s="3101"/>
      <c r="S21" s="3101"/>
      <c r="T21" s="3101"/>
      <c r="U21" s="3102"/>
      <c r="V21" s="3098"/>
      <c r="W21" s="3098"/>
      <c r="X21" s="3056">
        <f>IF(A21="","",IF(LEN(SUBSTITUTE(SUBSTITUTE(SUBSTITUTE(SUBSTITUTE(D21,".",""),"/",""),"-","")," ",""))&lt;&gt;14,"CNPJ INVALIDO","OK"))</f>
      </c>
      <c r="Y21" s="3056">
        <f>IF(A21="","",IF(R21="","REST PENDENTE","REST OK"))</f>
      </c>
      <c r="Z21" s="3056">
        <f>IF(A21="","",IF(AND(R21&lt;&gt;"",COUNTIFS($D$3:$D$164,D21,$R$3:$R$164,"&lt;&gt;")&gt;1),"DUPLICADO","OK"))</f>
      </c>
      <c r="AA21" s="3056">
        <f>IF(A21="","",IF(OR(LEN(Q21)&gt;180,LEN(R21)&gt;180,LEN(S21)&gt;180,LEN(T21)&gt;180),"CAMINHO LONGO","OK"))</f>
      </c>
      <c r="AB21" s="3056">
        <f>IF(A21="","",IF(U21="","",IFERROR(INT(U21-TODAY()),"")))</f>
      </c>
      <c r="AC21" s="3056">
        <f>IF(A21="","",IF(AND(T21="",U21=""),"",IF(T21="","SEM CAMINHO",IF(U21="","SEM DATA",IFERROR(IF(AB21&lt;15,"VERMELHO",IF(AB21&lt;=30,"AMARELO","VERDE")),"DATA INVALIDA")))))</f>
      </c>
      <c r="AD21" s="3056">
        <f>IF(OR(A21="",U21="",NOT(ISNUMBER(AB21))),"",RANK(AB21,$AB$3:$AB$164,1)+COUNTIFS($AB$3:AB21,AB21)-1)</f>
      </c>
      <c r="AE21" s="1736"/>
    </row>
    <row r="22" spans="1:19" ht="22.0" hidden="false" customHeight="true" x14ac:dyDescent="0.25">
      <c r="A22" s="3104" t="s">
        <v>58</v>
      </c>
      <c r="B22" s="3103" t="s">
        <v>45</v>
      </c>
      <c r="C22" s="3103" t="s">
        <v>59</v>
      </c>
      <c r="D22" s="3103">
        <v>40870380000130</v>
      </c>
      <c r="E22" s="3103"/>
      <c r="F22" s="3103" t="s">
        <v>48</v>
      </c>
      <c r="G22" s="3103" t="s">
        <v>4</v>
      </c>
      <c r="H22" s="3103" t="s">
        <v>14</v>
      </c>
      <c r="I22" s="3103"/>
      <c r="J22" s="3103"/>
      <c r="K22" s="3103"/>
      <c r="L22" s="3103"/>
      <c r="M22" s="3103" t="s">
        <v>378</v>
      </c>
      <c r="N22" s="3103"/>
      <c r="O22" s="3103" t="s">
        <v>348</v>
      </c>
      <c r="P22" s="3103"/>
      <c r="Q22" s="3106"/>
      <c r="R22" s="3106"/>
      <c r="S22" s="3106"/>
      <c r="T22" s="3106"/>
      <c r="U22" s="3107"/>
      <c r="V22" s="3103"/>
      <c r="W22" s="3103"/>
      <c r="X22" s="3056">
        <f>IF(A22="","",IF(LEN(SUBSTITUTE(SUBSTITUTE(SUBSTITUTE(SUBSTITUTE(D22,".",""),"/",""),"-","")," ",""))&lt;&gt;14,"CNPJ INVALIDO","OK"))</f>
      </c>
      <c r="Y22" s="3056">
        <f>IF(A22="","",IF(R22="","REST PENDENTE","REST OK"))</f>
      </c>
      <c r="Z22" s="3056">
        <f>IF(A22="","",IF(AND(R22&lt;&gt;"",COUNTIFS($D$3:$D$164,D22,$R$3:$R$164,"&lt;&gt;")&gt;1),"DUPLICADO","OK"))</f>
      </c>
      <c r="AA22" s="3056">
        <f>IF(A22="","",IF(OR(LEN(Q22)&gt;180,LEN(R22)&gt;180,LEN(S22)&gt;180,LEN(T22)&gt;180),"CAMINHO LONGO","OK"))</f>
      </c>
      <c r="AB22" s="3056">
        <f>IF(A22="","",IF(U22="","",IFERROR(INT(U22-TODAY()),"")))</f>
      </c>
      <c r="AC22" s="3056">
        <f>IF(A22="","",IF(AND(T22="",U22=""),"",IF(T22="","SEM CAMINHO",IF(U22="","SEM DATA",IFERROR(IF(AB22&lt;15,"VERMELHO",IF(AB22&lt;=30,"AMARELO","VERDE")),"DATA INVALIDA")))))</f>
      </c>
      <c r="AD22" s="3056">
        <f>IF(OR(A22="",U22="",NOT(ISNUMBER(AB22))),"",RANK(AB22,$AB$3:$AB$164,1)+COUNTIFS($AB$3:AB22,AB22)-1)</f>
      </c>
      <c r="AE22" s="1736"/>
    </row>
    <row r="23" spans="1:19" ht="22.0" hidden="false" customHeight="true" x14ac:dyDescent="0.25">
      <c r="A23" s="3099" t="s">
        <v>60</v>
      </c>
      <c r="B23" s="3098" t="s">
        <v>61</v>
      </c>
      <c r="C23" s="3098" t="s">
        <v>62</v>
      </c>
      <c r="D23" s="3098">
        <v>26837949000134</v>
      </c>
      <c r="E23" s="3098"/>
      <c r="F23" s="3098" t="s">
        <v>63</v>
      </c>
      <c r="G23" s="3098" t="s">
        <v>41</v>
      </c>
      <c r="H23" s="3098" t="s">
        <v>5</v>
      </c>
      <c r="I23" s="3098"/>
      <c r="J23" s="3098"/>
      <c r="K23" s="3098"/>
      <c r="L23" s="3098"/>
      <c r="M23" s="3098" t="s">
        <v>379</v>
      </c>
      <c r="N23" s="3098"/>
      <c r="O23" s="3098"/>
      <c r="P23" s="3098"/>
      <c r="Q23" s="3101"/>
      <c r="R23" s="3101"/>
      <c r="S23" s="3101"/>
      <c r="T23" s="3101"/>
      <c r="U23" s="3102"/>
      <c r="V23" s="3098"/>
      <c r="W23" s="3098"/>
      <c r="X23" s="3056">
        <f>IF(A23="","",IF(LEN(SUBSTITUTE(SUBSTITUTE(SUBSTITUTE(SUBSTITUTE(D23,".",""),"/",""),"-","")," ",""))&lt;&gt;14,"CNPJ INVALIDO","OK"))</f>
      </c>
      <c r="Y23" s="3056">
        <f>IF(A23="","",IF(R23="","REST PENDENTE","REST OK"))</f>
      </c>
      <c r="Z23" s="3056">
        <f>IF(A23="","",IF(AND(R23&lt;&gt;"",COUNTIFS($D$3:$D$164,D23,$R$3:$R$164,"&lt;&gt;")&gt;1),"DUPLICADO","OK"))</f>
      </c>
      <c r="AA23" s="3056">
        <f>IF(A23="","",IF(OR(LEN(Q23)&gt;180,LEN(R23)&gt;180,LEN(S23)&gt;180,LEN(T23)&gt;180),"CAMINHO LONGO","OK"))</f>
      </c>
      <c r="AB23" s="3056">
        <f>IF(A23="","",IF(U23="","",IFERROR(INT(U23-TODAY()),"")))</f>
      </c>
      <c r="AC23" s="3056">
        <f>IF(A23="","",IF(AND(T23="",U23=""),"",IF(T23="","SEM CAMINHO",IF(U23="","SEM DATA",IFERROR(IF(AB23&lt;15,"VERMELHO",IF(AB23&lt;=30,"AMARELO","VERDE")),"DATA INVALIDA")))))</f>
      </c>
      <c r="AD23" s="3056">
        <f>IF(OR(A23="",U23="",NOT(ISNUMBER(AB23))),"",RANK(AB23,$AB$3:$AB$164,1)+COUNTIFS($AB$3:AB23,AB23)-1)</f>
      </c>
      <c r="AE23" s="1736"/>
    </row>
    <row r="24" spans="1:19" ht="22.0" hidden="false" customHeight="true" x14ac:dyDescent="0.25">
      <c r="A24" s="3104" t="s">
        <v>64</v>
      </c>
      <c r="B24" s="3103" t="s">
        <v>65</v>
      </c>
      <c r="C24" s="3103" t="s">
        <v>62</v>
      </c>
      <c r="D24" s="3103">
        <v>12923820000134</v>
      </c>
      <c r="E24" s="3103"/>
      <c r="F24" s="3103" t="s">
        <v>66</v>
      </c>
      <c r="G24" s="3103" t="s">
        <v>13</v>
      </c>
      <c r="H24" s="3103" t="s">
        <v>49</v>
      </c>
      <c r="I24" s="3103"/>
      <c r="J24" s="3103"/>
      <c r="K24" s="3103"/>
      <c r="L24" s="3103"/>
      <c r="M24" s="3103" t="s">
        <v>377</v>
      </c>
      <c r="N24" s="3103"/>
      <c r="O24" s="3103" t="s">
        <v>347</v>
      </c>
      <c r="P24" s="3103"/>
      <c r="Q24" s="3106"/>
      <c r="R24" s="3106"/>
      <c r="S24" s="3106"/>
      <c r="T24" s="3106"/>
      <c r="U24" s="3107"/>
      <c r="V24" s="3103"/>
      <c r="W24" s="3103"/>
      <c r="X24" s="3056">
        <f>IF(A24="","",IF(LEN(SUBSTITUTE(SUBSTITUTE(SUBSTITUTE(SUBSTITUTE(D24,".",""),"/",""),"-","")," ",""))&lt;&gt;14,"CNPJ INVALIDO","OK"))</f>
      </c>
      <c r="Y24" s="3056">
        <f>IF(A24="","",IF(R24="","REST PENDENTE","REST OK"))</f>
      </c>
      <c r="Z24" s="3056">
        <f>IF(A24="","",IF(AND(R24&lt;&gt;"",COUNTIFS($D$3:$D$164,D24,$R$3:$R$164,"&lt;&gt;")&gt;1),"DUPLICADO","OK"))</f>
      </c>
      <c r="AA24" s="3056">
        <f>IF(A24="","",IF(OR(LEN(Q24)&gt;180,LEN(R24)&gt;180,LEN(S24)&gt;180,LEN(T24)&gt;180),"CAMINHO LONGO","OK"))</f>
      </c>
      <c r="AB24" s="3056">
        <f>IF(A24="","",IF(U24="","",IFERROR(INT(U24-TODAY()),"")))</f>
      </c>
      <c r="AC24" s="3056">
        <f>IF(A24="","",IF(AND(T24="",U24=""),"",IF(T24="","SEM CAMINHO",IF(U24="","SEM DATA",IFERROR(IF(AB24&lt;15,"VERMELHO",IF(AB24&lt;=30,"AMARELO","VERDE")),"DATA INVALIDA")))))</f>
      </c>
      <c r="AD24" s="3056">
        <f>IF(OR(A24="",U24="",NOT(ISNUMBER(AB24))),"",RANK(AB24,$AB$3:$AB$164,1)+COUNTIFS($AB$3:AB24,AB24)-1)</f>
      </c>
      <c r="AE24" s="1736"/>
    </row>
    <row r="25" spans="1:19" ht="22.0" hidden="false" customHeight="true" x14ac:dyDescent="0.25">
      <c r="A25" s="3099" t="s">
        <v>67</v>
      </c>
      <c r="B25" s="3098" t="s">
        <v>68</v>
      </c>
      <c r="C25" s="3098" t="s">
        <v>69</v>
      </c>
      <c r="D25" s="3098" t="s">
        <v>70</v>
      </c>
      <c r="E25" s="3098"/>
      <c r="F25" s="3098" t="s">
        <v>71</v>
      </c>
      <c r="G25" s="3098" t="s">
        <v>4</v>
      </c>
      <c r="H25" s="3098" t="s">
        <v>49</v>
      </c>
      <c r="I25" s="3098"/>
      <c r="J25" s="3098"/>
      <c r="K25" s="3098"/>
      <c r="L25" s="3098"/>
      <c r="M25" s="3098" t="s">
        <v>379</v>
      </c>
      <c r="N25" s="3098"/>
      <c r="O25" s="3098" t="s">
        <v>349</v>
      </c>
      <c r="P25" s="3098"/>
      <c r="Q25" s="3101"/>
      <c r="R25" s="3101"/>
      <c r="S25" s="3101"/>
      <c r="T25" s="3101"/>
      <c r="U25" s="3102"/>
      <c r="V25" s="3098"/>
      <c r="W25" s="3098"/>
      <c r="X25" s="3056">
        <f>IF(A25="","",IF(LEN(SUBSTITUTE(SUBSTITUTE(SUBSTITUTE(SUBSTITUTE(D25,".",""),"/",""),"-","")," ",""))&lt;&gt;14,"CNPJ INVALIDO","OK"))</f>
      </c>
      <c r="Y25" s="3056">
        <f>IF(A25="","",IF(R25="","REST PENDENTE","REST OK"))</f>
      </c>
      <c r="Z25" s="3056">
        <f>IF(A25="","",IF(AND(R25&lt;&gt;"",COUNTIFS($D$3:$D$164,D25,$R$3:$R$164,"&lt;&gt;")&gt;1),"DUPLICADO","OK"))</f>
      </c>
      <c r="AA25" s="3056">
        <f>IF(A25="","",IF(OR(LEN(Q25)&gt;180,LEN(R25)&gt;180,LEN(S25)&gt;180,LEN(T25)&gt;180),"CAMINHO LONGO","OK"))</f>
      </c>
      <c r="AB25" s="3056">
        <f>IF(A25="","",IF(U25="","",IFERROR(INT(U25-TODAY()),"")))</f>
      </c>
      <c r="AC25" s="3056">
        <f>IF(A25="","",IF(AND(T25="",U25=""),"",IF(T25="","SEM CAMINHO",IF(U25="","SEM DATA",IFERROR(IF(AB25&lt;15,"VERMELHO",IF(AB25&lt;=30,"AMARELO","VERDE")),"DATA INVALIDA")))))</f>
      </c>
      <c r="AD25" s="3056">
        <f>IF(OR(A25="",U25="",NOT(ISNUMBER(AB25))),"",RANK(AB25,$AB$3:$AB$164,1)+COUNTIFS($AB$3:AB25,AB25)-1)</f>
      </c>
      <c r="AE25" s="1736"/>
    </row>
    <row r="26" spans="1:19" ht="22.0" hidden="false" customHeight="true" x14ac:dyDescent="0.25">
      <c r="A26" s="3104" t="s">
        <v>72</v>
      </c>
      <c r="B26" s="3103" t="s">
        <v>9</v>
      </c>
      <c r="C26" s="3103" t="s">
        <v>24</v>
      </c>
      <c r="D26" s="3103">
        <v>41597807000130</v>
      </c>
      <c r="E26" s="3103"/>
      <c r="F26" s="3103" t="s">
        <v>73</v>
      </c>
      <c r="G26" s="3103" t="s">
        <v>4</v>
      </c>
      <c r="H26" s="3103" t="s">
        <v>5</v>
      </c>
      <c r="I26" s="3103"/>
      <c r="J26" s="3103"/>
      <c r="K26" s="3103"/>
      <c r="L26" s="3103"/>
      <c r="M26" s="3103" t="s">
        <v>379</v>
      </c>
      <c r="N26" s="3103"/>
      <c r="O26" s="3103" t="s">
        <v>347</v>
      </c>
      <c r="P26" s="3103"/>
      <c r="Q26" s="3106"/>
      <c r="R26" s="3106"/>
      <c r="S26" s="3106"/>
      <c r="T26" s="3106"/>
      <c r="U26" s="3107"/>
      <c r="V26" s="3103"/>
      <c r="W26" s="3103"/>
      <c r="X26" s="3056">
        <f>IF(A26="","",IF(LEN(SUBSTITUTE(SUBSTITUTE(SUBSTITUTE(SUBSTITUTE(D26,".",""),"/",""),"-","")," ",""))&lt;&gt;14,"CNPJ INVALIDO","OK"))</f>
      </c>
      <c r="Y26" s="3056">
        <f>IF(A26="","",IF(R26="","REST PENDENTE","REST OK"))</f>
      </c>
      <c r="Z26" s="3056">
        <f>IF(A26="","",IF(AND(R26&lt;&gt;"",COUNTIFS($D$3:$D$164,D26,$R$3:$R$164,"&lt;&gt;")&gt;1),"DUPLICADO","OK"))</f>
      </c>
      <c r="AA26" s="3056">
        <f>IF(A26="","",IF(OR(LEN(Q26)&gt;180,LEN(R26)&gt;180,LEN(S26)&gt;180,LEN(T26)&gt;180),"CAMINHO LONGO","OK"))</f>
      </c>
      <c r="AB26" s="3056">
        <f>IF(A26="","",IF(U26="","",IFERROR(INT(U26-TODAY()),"")))</f>
      </c>
      <c r="AC26" s="3056">
        <f>IF(A26="","",IF(AND(T26="",U26=""),"",IF(T26="","SEM CAMINHO",IF(U26="","SEM DATA",IFERROR(IF(AB26&lt;15,"VERMELHO",IF(AB26&lt;=30,"AMARELO","VERDE")),"DATA INVALIDA")))))</f>
      </c>
      <c r="AD26" s="3056">
        <f>IF(OR(A26="",U26="",NOT(ISNUMBER(AB26))),"",RANK(AB26,$AB$3:$AB$164,1)+COUNTIFS($AB$3:AB26,AB26)-1)</f>
      </c>
      <c r="AE26" s="1736"/>
    </row>
    <row r="27" spans="1:19" ht="22.0" hidden="false" customHeight="true" x14ac:dyDescent="0.25">
      <c r="A27" s="3099" t="s">
        <v>74</v>
      </c>
      <c r="B27" s="3098" t="s">
        <v>75</v>
      </c>
      <c r="C27" s="3098" t="s">
        <v>62</v>
      </c>
      <c r="D27" s="3098">
        <v>21430001000146</v>
      </c>
      <c r="E27" s="3098"/>
      <c r="F27" s="3098" t="s">
        <v>76</v>
      </c>
      <c r="G27" s="3098" t="s">
        <v>4</v>
      </c>
      <c r="H27" s="3098" t="s">
        <v>5</v>
      </c>
      <c r="I27" s="3098"/>
      <c r="J27" s="3098"/>
      <c r="K27" s="3098"/>
      <c r="L27" s="3098"/>
      <c r="M27" s="3098" t="s">
        <v>377</v>
      </c>
      <c r="N27" s="3098"/>
      <c r="O27" s="3098" t="s">
        <v>347</v>
      </c>
      <c r="P27" s="3098"/>
      <c r="Q27" s="3101"/>
      <c r="R27" s="3101"/>
      <c r="S27" s="3101"/>
      <c r="T27" s="3101"/>
      <c r="U27" s="3102"/>
      <c r="V27" s="3098"/>
      <c r="W27" s="3098"/>
      <c r="X27" s="3056">
        <f>IF(A27="","",IF(LEN(SUBSTITUTE(SUBSTITUTE(SUBSTITUTE(SUBSTITUTE(D27,".",""),"/",""),"-","")," ",""))&lt;&gt;14,"CNPJ INVALIDO","OK"))</f>
      </c>
      <c r="Y27" s="3056">
        <f>IF(A27="","",IF(R27="","REST PENDENTE","REST OK"))</f>
      </c>
      <c r="Z27" s="3056">
        <f>IF(A27="","",IF(AND(R27&lt;&gt;"",COUNTIFS($D$3:$D$164,D27,$R$3:$R$164,"&lt;&gt;")&gt;1),"DUPLICADO","OK"))</f>
      </c>
      <c r="AA27" s="3056">
        <f>IF(A27="","",IF(OR(LEN(Q27)&gt;180,LEN(R27)&gt;180,LEN(S27)&gt;180,LEN(T27)&gt;180),"CAMINHO LONGO","OK"))</f>
      </c>
      <c r="AB27" s="3056">
        <f>IF(A27="","",IF(U27="","",IFERROR(INT(U27-TODAY()),"")))</f>
      </c>
      <c r="AC27" s="3056">
        <f>IF(A27="","",IF(AND(T27="",U27=""),"",IF(T27="","SEM CAMINHO",IF(U27="","SEM DATA",IFERROR(IF(AB27&lt;15,"VERMELHO",IF(AB27&lt;=30,"AMARELO","VERDE")),"DATA INVALIDA")))))</f>
      </c>
      <c r="AD27" s="3056">
        <f>IF(OR(A27="",U27="",NOT(ISNUMBER(AB27))),"",RANK(AB27,$AB$3:$AB$164,1)+COUNTIFS($AB$3:AB27,AB27)-1)</f>
      </c>
      <c r="AE27" s="1736"/>
    </row>
    <row r="28" spans="1:19" ht="22.0" hidden="false" customHeight="true" x14ac:dyDescent="0.25">
      <c r="A28" s="3104" t="s">
        <v>77</v>
      </c>
      <c r="B28" s="3103" t="s">
        <v>78</v>
      </c>
      <c r="C28" s="3103" t="s">
        <v>79</v>
      </c>
      <c r="D28" s="3103" t="s">
        <v>80</v>
      </c>
      <c r="E28" s="3103"/>
      <c r="F28" s="3103" t="s">
        <v>81</v>
      </c>
      <c r="G28" s="3103" t="s">
        <v>13</v>
      </c>
      <c r="H28" s="3103" t="s">
        <v>49</v>
      </c>
      <c r="I28" s="3103"/>
      <c r="J28" s="3103"/>
      <c r="K28" s="3103"/>
      <c r="L28" s="3103"/>
      <c r="M28" s="3103" t="s">
        <v>377</v>
      </c>
      <c r="N28" s="3103"/>
      <c r="O28" s="3103" t="s">
        <v>347</v>
      </c>
      <c r="P28" s="3103"/>
      <c r="Q28" s="3106"/>
      <c r="R28" s="3106"/>
      <c r="S28" s="3106"/>
      <c r="T28" s="3106"/>
      <c r="U28" s="3107"/>
      <c r="V28" s="3103"/>
      <c r="W28" s="3103"/>
      <c r="X28" s="3056">
        <f>IF(A28="","",IF(LEN(SUBSTITUTE(SUBSTITUTE(SUBSTITUTE(SUBSTITUTE(D28,".",""),"/",""),"-","")," ",""))&lt;&gt;14,"CNPJ INVALIDO","OK"))</f>
      </c>
      <c r="Y28" s="3056">
        <f>IF(A28="","",IF(R28="","REST PENDENTE","REST OK"))</f>
      </c>
      <c r="Z28" s="3056">
        <f>IF(A28="","",IF(AND(R28&lt;&gt;"",COUNTIFS($D$3:$D$164,D28,$R$3:$R$164,"&lt;&gt;")&gt;1),"DUPLICADO","OK"))</f>
      </c>
      <c r="AA28" s="3056">
        <f>IF(A28="","",IF(OR(LEN(Q28)&gt;180,LEN(R28)&gt;180,LEN(S28)&gt;180,LEN(T28)&gt;180),"CAMINHO LONGO","OK"))</f>
      </c>
      <c r="AB28" s="3056">
        <f>IF(A28="","",IF(U28="","",IFERROR(INT(U28-TODAY()),"")))</f>
      </c>
      <c r="AC28" s="3056">
        <f>IF(A28="","",IF(AND(T28="",U28=""),"",IF(T28="","SEM CAMINHO",IF(U28="","SEM DATA",IFERROR(IF(AB28&lt;15,"VERMELHO",IF(AB28&lt;=30,"AMARELO","VERDE")),"DATA INVALIDA")))))</f>
      </c>
      <c r="AD28" s="3056">
        <f>IF(OR(A28="",U28="",NOT(ISNUMBER(AB28))),"",RANK(AB28,$AB$3:$AB$164,1)+COUNTIFS($AB$3:AB28,AB28)-1)</f>
      </c>
      <c r="AE28" s="1736"/>
    </row>
    <row r="29" spans="1:19" ht="22.0" hidden="false" customHeight="true" x14ac:dyDescent="0.25">
      <c r="A29" s="3099" t="s">
        <v>82</v>
      </c>
      <c r="B29" s="3098" t="s">
        <v>78</v>
      </c>
      <c r="C29" s="3098" t="s">
        <v>83</v>
      </c>
      <c r="D29" s="3098">
        <v>62220305000166</v>
      </c>
      <c r="E29" s="3098"/>
      <c r="F29" s="3098" t="s">
        <v>81</v>
      </c>
      <c r="G29" s="3098" t="s">
        <v>4</v>
      </c>
      <c r="H29" s="3098" t="s">
        <v>5</v>
      </c>
      <c r="I29" s="3098"/>
      <c r="J29" s="3098"/>
      <c r="K29" s="3098"/>
      <c r="L29" s="3098"/>
      <c r="M29" s="3098" t="s">
        <v>378</v>
      </c>
      <c r="N29" s="3098"/>
      <c r="O29" s="3098" t="s">
        <v>349</v>
      </c>
      <c r="P29" s="3098"/>
      <c r="Q29" s="3101"/>
      <c r="R29" s="3101"/>
      <c r="S29" s="3101"/>
      <c r="T29" s="3101"/>
      <c r="U29" s="3102"/>
      <c r="V29" s="3098"/>
      <c r="W29" s="3098"/>
      <c r="X29" s="3056">
        <f>IF(A29="","",IF(LEN(SUBSTITUTE(SUBSTITUTE(SUBSTITUTE(SUBSTITUTE(D29,".",""),"/",""),"-","")," ",""))&lt;&gt;14,"CNPJ INVALIDO","OK"))</f>
      </c>
      <c r="Y29" s="3056">
        <f>IF(A29="","",IF(R29="","REST PENDENTE","REST OK"))</f>
      </c>
      <c r="Z29" s="3056">
        <f>IF(A29="","",IF(AND(R29&lt;&gt;"",COUNTIFS($D$3:$D$164,D29,$R$3:$R$164,"&lt;&gt;")&gt;1),"DUPLICADO","OK"))</f>
      </c>
      <c r="AA29" s="3056">
        <f>IF(A29="","",IF(OR(LEN(Q29)&gt;180,LEN(R29)&gt;180,LEN(S29)&gt;180,LEN(T29)&gt;180),"CAMINHO LONGO","OK"))</f>
      </c>
      <c r="AB29" s="3056">
        <f>IF(A29="","",IF(U29="","",IFERROR(INT(U29-TODAY()),"")))</f>
      </c>
      <c r="AC29" s="3056">
        <f>IF(A29="","",IF(AND(T29="",U29=""),"",IF(T29="","SEM CAMINHO",IF(U29="","SEM DATA",IFERROR(IF(AB29&lt;15,"VERMELHO",IF(AB29&lt;=30,"AMARELO","VERDE")),"DATA INVALIDA")))))</f>
      </c>
      <c r="AD29" s="3056">
        <f>IF(OR(A29="",U29="",NOT(ISNUMBER(AB29))),"",RANK(AB29,$AB$3:$AB$164,1)+COUNTIFS($AB$3:AB29,AB29)-1)</f>
      </c>
      <c r="AE29" s="1736"/>
    </row>
    <row r="30" spans="1:19" ht="22.0" hidden="false" customHeight="true" x14ac:dyDescent="0.25">
      <c r="A30" s="3104" t="s">
        <v>84</v>
      </c>
      <c r="B30" s="3103" t="s">
        <v>85</v>
      </c>
      <c r="C30" s="3103" t="s">
        <v>46</v>
      </c>
      <c r="D30" s="3103">
        <v>10712858000132</v>
      </c>
      <c r="E30" s="3103"/>
      <c r="F30" s="3103" t="s">
        <v>86</v>
      </c>
      <c r="G30" s="3103" t="s">
        <v>13</v>
      </c>
      <c r="H30" s="3103" t="s">
        <v>5</v>
      </c>
      <c r="I30" s="3103"/>
      <c r="J30" s="3103"/>
      <c r="K30" s="3103"/>
      <c r="L30" s="3103"/>
      <c r="M30" s="3103" t="s">
        <v>377</v>
      </c>
      <c r="N30" s="3103"/>
      <c r="O30" s="3103" t="s">
        <v>349</v>
      </c>
      <c r="P30" s="3103"/>
      <c r="Q30" s="3106"/>
      <c r="R30" s="3106"/>
      <c r="S30" s="3106"/>
      <c r="T30" s="3106"/>
      <c r="U30" s="3107"/>
      <c r="V30" s="3103"/>
      <c r="W30" s="3103"/>
      <c r="X30" s="3056">
        <f>IF(A30="","",IF(LEN(SUBSTITUTE(SUBSTITUTE(SUBSTITUTE(SUBSTITUTE(D30,".",""),"/",""),"-","")," ",""))&lt;&gt;14,"CNPJ INVALIDO","OK"))</f>
      </c>
      <c r="Y30" s="3056">
        <f>IF(A30="","",IF(R30="","REST PENDENTE","REST OK"))</f>
      </c>
      <c r="Z30" s="3056">
        <f>IF(A30="","",IF(AND(R30&lt;&gt;"",COUNTIFS($D$3:$D$164,D30,$R$3:$R$164,"&lt;&gt;")&gt;1),"DUPLICADO","OK"))</f>
      </c>
      <c r="AA30" s="3056">
        <f>IF(A30="","",IF(OR(LEN(Q30)&gt;180,LEN(R30)&gt;180,LEN(S30)&gt;180,LEN(T30)&gt;180),"CAMINHO LONGO","OK"))</f>
      </c>
      <c r="AB30" s="3056">
        <f>IF(A30="","",IF(U30="","",IFERROR(INT(U30-TODAY()),"")))</f>
      </c>
      <c r="AC30" s="3056">
        <f>IF(A30="","",IF(AND(T30="",U30=""),"",IF(T30="","SEM CAMINHO",IF(U30="","SEM DATA",IFERROR(IF(AB30&lt;15,"VERMELHO",IF(AB30&lt;=30,"AMARELO","VERDE")),"DATA INVALIDA")))))</f>
      </c>
      <c r="AD30" s="3056">
        <f>IF(OR(A30="",U30="",NOT(ISNUMBER(AB30))),"",RANK(AB30,$AB$3:$AB$164,1)+COUNTIFS($AB$3:AB30,AB30)-1)</f>
      </c>
      <c r="AE30" s="1736"/>
    </row>
    <row r="31" spans="1:19" ht="22.0" hidden="false" customHeight="true" x14ac:dyDescent="0.25">
      <c r="A31" s="3099" t="s">
        <v>87</v>
      </c>
      <c r="B31" s="3098" t="s">
        <v>61</v>
      </c>
      <c r="C31" s="3098" t="s">
        <v>62</v>
      </c>
      <c r="D31" s="3098">
        <v>53665434000177</v>
      </c>
      <c r="E31" s="3098"/>
      <c r="F31" s="3098" t="s">
        <v>63</v>
      </c>
      <c r="G31" s="3098" t="s">
        <v>4</v>
      </c>
      <c r="H31" s="3098" t="s">
        <v>5</v>
      </c>
      <c r="I31" s="3098"/>
      <c r="J31" s="3098"/>
      <c r="K31" s="3098"/>
      <c r="L31" s="3098"/>
      <c r="M31" s="3098" t="s">
        <v>379</v>
      </c>
      <c r="N31" s="3098"/>
      <c r="O31" s="3098" t="s">
        <v>349</v>
      </c>
      <c r="P31" s="3098"/>
      <c r="Q31" s="3101"/>
      <c r="R31" s="3101"/>
      <c r="S31" s="3101"/>
      <c r="T31" s="3101"/>
      <c r="U31" s="3102"/>
      <c r="V31" s="3098"/>
      <c r="W31" s="3098"/>
      <c r="X31" s="3056">
        <f>IF(A31="","",IF(LEN(SUBSTITUTE(SUBSTITUTE(SUBSTITUTE(SUBSTITUTE(D31,".",""),"/",""),"-","")," ",""))&lt;&gt;14,"CNPJ INVALIDO","OK"))</f>
      </c>
      <c r="Y31" s="3056">
        <f>IF(A31="","",IF(R31="","REST PENDENTE","REST OK"))</f>
      </c>
      <c r="Z31" s="3056">
        <f>IF(A31="","",IF(AND(R31&lt;&gt;"",COUNTIFS($D$3:$D$164,D31,$R$3:$R$164,"&lt;&gt;")&gt;1),"DUPLICADO","OK"))</f>
      </c>
      <c r="AA31" s="3056">
        <f>IF(A31="","",IF(OR(LEN(Q31)&gt;180,LEN(R31)&gt;180,LEN(S31)&gt;180,LEN(T31)&gt;180),"CAMINHO LONGO","OK"))</f>
      </c>
      <c r="AB31" s="3056">
        <f>IF(A31="","",IF(U31="","",IFERROR(INT(U31-TODAY()),"")))</f>
      </c>
      <c r="AC31" s="3056">
        <f>IF(A31="","",IF(AND(T31="",U31=""),"",IF(T31="","SEM CAMINHO",IF(U31="","SEM DATA",IFERROR(IF(AB31&lt;15,"VERMELHO",IF(AB31&lt;=30,"AMARELO","VERDE")),"DATA INVALIDA")))))</f>
      </c>
      <c r="AD31" s="3056">
        <f>IF(OR(A31="",U31="",NOT(ISNUMBER(AB31))),"",RANK(AB31,$AB$3:$AB$164,1)+COUNTIFS($AB$3:AB31,AB31)-1)</f>
      </c>
      <c r="AE31" s="1736"/>
    </row>
    <row r="32" spans="1:19" ht="22.0" hidden="false" customHeight="true" x14ac:dyDescent="0.25">
      <c r="A32" s="3104" t="s">
        <v>88</v>
      </c>
      <c r="B32" s="3103" t="s">
        <v>61</v>
      </c>
      <c r="C32" s="3103" t="s">
        <v>62</v>
      </c>
      <c r="D32" s="3103">
        <v>53665515000177</v>
      </c>
      <c r="E32" s="3103"/>
      <c r="F32" s="3103" t="s">
        <v>63</v>
      </c>
      <c r="G32" s="3103" t="s">
        <v>4</v>
      </c>
      <c r="H32" s="3103" t="s">
        <v>5</v>
      </c>
      <c r="I32" s="3103"/>
      <c r="J32" s="3103"/>
      <c r="K32" s="3103"/>
      <c r="L32" s="3103"/>
      <c r="M32" s="3103" t="s">
        <v>379</v>
      </c>
      <c r="N32" s="3103"/>
      <c r="O32" s="3103" t="s">
        <v>349</v>
      </c>
      <c r="P32" s="3103"/>
      <c r="Q32" s="3106"/>
      <c r="R32" s="3106"/>
      <c r="S32" s="3106"/>
      <c r="T32" s="3106"/>
      <c r="U32" s="3107"/>
      <c r="V32" s="3103"/>
      <c r="W32" s="3103"/>
      <c r="X32" s="3056">
        <f>IF(A32="","",IF(LEN(SUBSTITUTE(SUBSTITUTE(SUBSTITUTE(SUBSTITUTE(D32,".",""),"/",""),"-","")," ",""))&lt;&gt;14,"CNPJ INVALIDO","OK"))</f>
      </c>
      <c r="Y32" s="3056">
        <f>IF(A32="","",IF(R32="","REST PENDENTE","REST OK"))</f>
      </c>
      <c r="Z32" s="3056">
        <f>IF(A32="","",IF(AND(R32&lt;&gt;"",COUNTIFS($D$3:$D$164,D32,$R$3:$R$164,"&lt;&gt;")&gt;1),"DUPLICADO","OK"))</f>
      </c>
      <c r="AA32" s="3056">
        <f>IF(A32="","",IF(OR(LEN(Q32)&gt;180,LEN(R32)&gt;180,LEN(S32)&gt;180,LEN(T32)&gt;180),"CAMINHO LONGO","OK"))</f>
      </c>
      <c r="AB32" s="3056">
        <f>IF(A32="","",IF(U32="","",IFERROR(INT(U32-TODAY()),"")))</f>
      </c>
      <c r="AC32" s="3056">
        <f>IF(A32="","",IF(AND(T32="",U32=""),"",IF(T32="","SEM CAMINHO",IF(U32="","SEM DATA",IFERROR(IF(AB32&lt;15,"VERMELHO",IF(AB32&lt;=30,"AMARELO","VERDE")),"DATA INVALIDA")))))</f>
      </c>
      <c r="AD32" s="3056">
        <f>IF(OR(A32="",U32="",NOT(ISNUMBER(AB32))),"",RANK(AB32,$AB$3:$AB$164,1)+COUNTIFS($AB$3:AB32,AB32)-1)</f>
      </c>
      <c r="AE32" s="1736"/>
    </row>
    <row r="33" spans="1:19" ht="22.0" hidden="false" customHeight="true" x14ac:dyDescent="0.25">
      <c r="A33" s="3099" t="s">
        <v>89</v>
      </c>
      <c r="B33" s="3098" t="s">
        <v>61</v>
      </c>
      <c r="C33" s="3098" t="s">
        <v>62</v>
      </c>
      <c r="D33" s="3098">
        <v>53666225000148</v>
      </c>
      <c r="E33" s="3098"/>
      <c r="F33" s="3098" t="s">
        <v>63</v>
      </c>
      <c r="G33" s="3098" t="s">
        <v>4</v>
      </c>
      <c r="H33" s="3098" t="s">
        <v>5</v>
      </c>
      <c r="I33" s="3098"/>
      <c r="J33" s="3098"/>
      <c r="K33" s="3098"/>
      <c r="L33" s="3098"/>
      <c r="M33" s="3098" t="s">
        <v>379</v>
      </c>
      <c r="N33" s="3098"/>
      <c r="O33" s="3098" t="s">
        <v>349</v>
      </c>
      <c r="P33" s="3098"/>
      <c r="Q33" s="3101"/>
      <c r="R33" s="3101"/>
      <c r="S33" s="3101"/>
      <c r="T33" s="3101"/>
      <c r="U33" s="3102"/>
      <c r="V33" s="3098"/>
      <c r="W33" s="3098"/>
      <c r="X33" s="3056">
        <f>IF(A33="","",IF(LEN(SUBSTITUTE(SUBSTITUTE(SUBSTITUTE(SUBSTITUTE(D33,".",""),"/",""),"-","")," ",""))&lt;&gt;14,"CNPJ INVALIDO","OK"))</f>
      </c>
      <c r="Y33" s="3056">
        <f>IF(A33="","",IF(R33="","REST PENDENTE","REST OK"))</f>
      </c>
      <c r="Z33" s="3056">
        <f>IF(A33="","",IF(AND(R33&lt;&gt;"",COUNTIFS($D$3:$D$164,D33,$R$3:$R$164,"&lt;&gt;")&gt;1),"DUPLICADO","OK"))</f>
      </c>
      <c r="AA33" s="3056">
        <f>IF(A33="","",IF(OR(LEN(Q33)&gt;180,LEN(R33)&gt;180,LEN(S33)&gt;180,LEN(T33)&gt;180),"CAMINHO LONGO","OK"))</f>
      </c>
      <c r="AB33" s="3056">
        <f>IF(A33="","",IF(U33="","",IFERROR(INT(U33-TODAY()),"")))</f>
      </c>
      <c r="AC33" s="3056">
        <f>IF(A33="","",IF(AND(T33="",U33=""),"",IF(T33="","SEM CAMINHO",IF(U33="","SEM DATA",IFERROR(IF(AB33&lt;15,"VERMELHO",IF(AB33&lt;=30,"AMARELO","VERDE")),"DATA INVALIDA")))))</f>
      </c>
      <c r="AD33" s="3056">
        <f>IF(OR(A33="",U33="",NOT(ISNUMBER(AB33))),"",RANK(AB33,$AB$3:$AB$164,1)+COUNTIFS($AB$3:AB33,AB33)-1)</f>
      </c>
      <c r="AE33" s="1736"/>
    </row>
    <row r="34" spans="1:19" ht="22.0" hidden="false" customHeight="true" x14ac:dyDescent="0.25">
      <c r="A34" s="3104" t="s">
        <v>90</v>
      </c>
      <c r="B34" s="3103" t="s">
        <v>61</v>
      </c>
      <c r="C34" s="3103" t="s">
        <v>62</v>
      </c>
      <c r="D34" s="3103">
        <v>17845752000156</v>
      </c>
      <c r="E34" s="3103"/>
      <c r="F34" s="3103" t="s">
        <v>63</v>
      </c>
      <c r="G34" s="3103" t="s">
        <v>41</v>
      </c>
      <c r="H34" s="3103" t="s">
        <v>5</v>
      </c>
      <c r="I34" s="3103"/>
      <c r="J34" s="3103"/>
      <c r="K34" s="3103"/>
      <c r="L34" s="3103"/>
      <c r="M34" s="3103" t="s">
        <v>380</v>
      </c>
      <c r="N34" s="3103"/>
      <c r="O34" s="3103" t="s">
        <v>349</v>
      </c>
      <c r="P34" s="3103"/>
      <c r="Q34" s="3106"/>
      <c r="R34" s="3106"/>
      <c r="S34" s="3106"/>
      <c r="T34" s="3106"/>
      <c r="U34" s="3107"/>
      <c r="V34" s="3103"/>
      <c r="W34" s="3103"/>
      <c r="X34" s="3056">
        <f>IF(A34="","",IF(LEN(SUBSTITUTE(SUBSTITUTE(SUBSTITUTE(SUBSTITUTE(D34,".",""),"/",""),"-","")," ",""))&lt;&gt;14,"CNPJ INVALIDO","OK"))</f>
      </c>
      <c r="Y34" s="3056">
        <f>IF(A34="","",IF(R34="","REST PENDENTE","REST OK"))</f>
      </c>
      <c r="Z34" s="3056">
        <f>IF(A34="","",IF(AND(R34&lt;&gt;"",COUNTIFS($D$3:$D$164,D34,$R$3:$R$164,"&lt;&gt;")&gt;1),"DUPLICADO","OK"))</f>
      </c>
      <c r="AA34" s="3056">
        <f>IF(A34="","",IF(OR(LEN(Q34)&gt;180,LEN(R34)&gt;180,LEN(S34)&gt;180,LEN(T34)&gt;180),"CAMINHO LONGO","OK"))</f>
      </c>
      <c r="AB34" s="3056">
        <f>IF(A34="","",IF(U34="","",IFERROR(INT(U34-TODAY()),"")))</f>
      </c>
      <c r="AC34" s="3056">
        <f>IF(A34="","",IF(AND(T34="",U34=""),"",IF(T34="","SEM CAMINHO",IF(U34="","SEM DATA",IFERROR(IF(AB34&lt;15,"VERMELHO",IF(AB34&lt;=30,"AMARELO","VERDE")),"DATA INVALIDA")))))</f>
      </c>
      <c r="AD34" s="3056">
        <f>IF(OR(A34="",U34="",NOT(ISNUMBER(AB34))),"",RANK(AB34,$AB$3:$AB$164,1)+COUNTIFS($AB$3:AB34,AB34)-1)</f>
      </c>
      <c r="AE34" s="1736"/>
    </row>
    <row r="35" spans="1:19" ht="22.0" hidden="false" customHeight="true" x14ac:dyDescent="0.25">
      <c r="A35" s="3099" t="s">
        <v>91</v>
      </c>
      <c r="B35" s="3098" t="s">
        <v>61</v>
      </c>
      <c r="C35" s="3098" t="s">
        <v>62</v>
      </c>
      <c r="D35" s="3098">
        <v>17813257000165</v>
      </c>
      <c r="E35" s="3098"/>
      <c r="F35" s="3098" t="s">
        <v>63</v>
      </c>
      <c r="G35" s="3098" t="s">
        <v>13</v>
      </c>
      <c r="H35" s="3098" t="s">
        <v>5</v>
      </c>
      <c r="I35" s="3098"/>
      <c r="J35" s="3098"/>
      <c r="K35" s="3098"/>
      <c r="L35" s="3098"/>
      <c r="M35" s="3098" t="s">
        <v>381</v>
      </c>
      <c r="N35" s="3098"/>
      <c r="O35" s="3098" t="s">
        <v>349</v>
      </c>
      <c r="P35" s="3098"/>
      <c r="Q35" s="3101"/>
      <c r="R35" s="3101"/>
      <c r="S35" s="3101"/>
      <c r="T35" s="3101"/>
      <c r="U35" s="3102"/>
      <c r="V35" s="3098"/>
      <c r="W35" s="3098"/>
      <c r="X35" s="3056">
        <f>IF(A35="","",IF(LEN(SUBSTITUTE(SUBSTITUTE(SUBSTITUTE(SUBSTITUTE(D35,".",""),"/",""),"-","")," ",""))&lt;&gt;14,"CNPJ INVALIDO","OK"))</f>
      </c>
      <c r="Y35" s="3056">
        <f>IF(A35="","",IF(R35="","REST PENDENTE","REST OK"))</f>
      </c>
      <c r="Z35" s="3056">
        <f>IF(A35="","",IF(AND(R35&lt;&gt;"",COUNTIFS($D$3:$D$164,D35,$R$3:$R$164,"&lt;&gt;")&gt;1),"DUPLICADO","OK"))</f>
      </c>
      <c r="AA35" s="3056">
        <f>IF(A35="","",IF(OR(LEN(Q35)&gt;180,LEN(R35)&gt;180,LEN(S35)&gt;180,LEN(T35)&gt;180),"CAMINHO LONGO","OK"))</f>
      </c>
      <c r="AB35" s="3056">
        <f>IF(A35="","",IF(U35="","",IFERROR(INT(U35-TODAY()),"")))</f>
      </c>
      <c r="AC35" s="3056">
        <f>IF(A35="","",IF(AND(T35="",U35=""),"",IF(T35="","SEM CAMINHO",IF(U35="","SEM DATA",IFERROR(IF(AB35&lt;15,"VERMELHO",IF(AB35&lt;=30,"AMARELO","VERDE")),"DATA INVALIDA")))))</f>
      </c>
      <c r="AD35" s="3056">
        <f>IF(OR(A35="",U35="",NOT(ISNUMBER(AB35))),"",RANK(AB35,$AB$3:$AB$164,1)+COUNTIFS($AB$3:AB35,AB35)-1)</f>
      </c>
      <c r="AE35" s="1736"/>
    </row>
    <row r="36" spans="1:19" ht="22.0" hidden="false" customHeight="true" x14ac:dyDescent="0.25">
      <c r="A36" s="3104" t="s">
        <v>92</v>
      </c>
      <c r="B36" s="3103" t="s">
        <v>1</v>
      </c>
      <c r="C36" s="3103" t="s">
        <v>93</v>
      </c>
      <c r="D36" s="3103" t="s">
        <v>94</v>
      </c>
      <c r="E36" s="3103"/>
      <c r="F36" s="3103" t="s">
        <v>3</v>
      </c>
      <c r="G36" s="3103" t="s">
        <v>4</v>
      </c>
      <c r="H36" s="3103" t="s">
        <v>5</v>
      </c>
      <c r="I36" s="3103"/>
      <c r="J36" s="3103"/>
      <c r="K36" s="3103"/>
      <c r="L36" s="3103"/>
      <c r="M36" s="3103" t="s">
        <v>377</v>
      </c>
      <c r="N36" s="3103"/>
      <c r="O36" s="3103" t="s">
        <v>349</v>
      </c>
      <c r="P36" s="3103"/>
      <c r="Q36" s="3106"/>
      <c r="R36" s="3106"/>
      <c r="S36" s="3106"/>
      <c r="T36" s="3106"/>
      <c r="U36" s="3107"/>
      <c r="V36" s="3103"/>
      <c r="W36" s="3103"/>
      <c r="X36" s="3056">
        <f>IF(A36="","",IF(LEN(SUBSTITUTE(SUBSTITUTE(SUBSTITUTE(SUBSTITUTE(D36,".",""),"/",""),"-","")," ",""))&lt;&gt;14,"CNPJ INVALIDO","OK"))</f>
      </c>
      <c r="Y36" s="3056">
        <f>IF(A36="","",IF(R36="","REST PENDENTE","REST OK"))</f>
      </c>
      <c r="Z36" s="3056">
        <f>IF(A36="","",IF(AND(R36&lt;&gt;"",COUNTIFS($D$3:$D$164,D36,$R$3:$R$164,"&lt;&gt;")&gt;1),"DUPLICADO","OK"))</f>
      </c>
      <c r="AA36" s="3056">
        <f>IF(A36="","",IF(OR(LEN(Q36)&gt;180,LEN(R36)&gt;180,LEN(S36)&gt;180,LEN(T36)&gt;180),"CAMINHO LONGO","OK"))</f>
      </c>
      <c r="AB36" s="3056">
        <f>IF(A36="","",IF(U36="","",IFERROR(INT(U36-TODAY()),"")))</f>
      </c>
      <c r="AC36" s="3056">
        <f>IF(A36="","",IF(AND(T36="",U36=""),"",IF(T36="","SEM CAMINHO",IF(U36="","SEM DATA",IFERROR(IF(AB36&lt;15,"VERMELHO",IF(AB36&lt;=30,"AMARELO","VERDE")),"DATA INVALIDA")))))</f>
      </c>
      <c r="AD36" s="3056">
        <f>IF(OR(A36="",U36="",NOT(ISNUMBER(AB36))),"",RANK(AB36,$AB$3:$AB$164,1)+COUNTIFS($AB$3:AB36,AB36)-1)</f>
      </c>
      <c r="AE36" s="1736"/>
    </row>
    <row r="37" spans="1:19" ht="22.0" hidden="false" customHeight="true" x14ac:dyDescent="0.25">
      <c r="A37" s="3099" t="s">
        <v>95</v>
      </c>
      <c r="B37" s="3098" t="s">
        <v>96</v>
      </c>
      <c r="C37" s="3098" t="s">
        <v>97</v>
      </c>
      <c r="D37" s="3098" t="s">
        <v>98</v>
      </c>
      <c r="E37" s="3098"/>
      <c r="F37" s="3098" t="s">
        <v>99</v>
      </c>
      <c r="G37" s="3098" t="s">
        <v>41</v>
      </c>
      <c r="H37" s="3098" t="s">
        <v>14</v>
      </c>
      <c r="I37" s="3098"/>
      <c r="J37" s="3098"/>
      <c r="K37" s="3098"/>
      <c r="L37" s="3098"/>
      <c r="M37" s="3098" t="s">
        <v>383</v>
      </c>
      <c r="N37" s="3098" t="s">
        <v>362</v>
      </c>
      <c r="O37" s="3098" t="s">
        <v>349</v>
      </c>
      <c r="P37" s="3098"/>
      <c r="Q37" s="3101"/>
      <c r="R37" s="3101"/>
      <c r="S37" s="3101"/>
      <c r="T37" s="3101"/>
      <c r="U37" s="3102"/>
      <c r="V37" s="3098"/>
      <c r="W37" s="3098"/>
      <c r="X37" s="3056">
        <f>IF(A37="","",IF(LEN(SUBSTITUTE(SUBSTITUTE(SUBSTITUTE(SUBSTITUTE(D37,".",""),"/",""),"-","")," ",""))&lt;&gt;14,"CNPJ INVALIDO","OK"))</f>
      </c>
      <c r="Y37" s="3056">
        <f>IF(A37="","",IF(R37="","REST PENDENTE","REST OK"))</f>
      </c>
      <c r="Z37" s="3056">
        <f>IF(A37="","",IF(AND(R37&lt;&gt;"",COUNTIFS($D$3:$D$164,D37,$R$3:$R$164,"&lt;&gt;")&gt;1),"DUPLICADO","OK"))</f>
      </c>
      <c r="AA37" s="3056">
        <f>IF(A37="","",IF(OR(LEN(Q37)&gt;180,LEN(R37)&gt;180,LEN(S37)&gt;180,LEN(T37)&gt;180),"CAMINHO LONGO","OK"))</f>
      </c>
      <c r="AB37" s="3056">
        <f>IF(A37="","",IF(U37="","",IFERROR(INT(U37-TODAY()),"")))</f>
      </c>
      <c r="AC37" s="3056">
        <f>IF(A37="","",IF(AND(T37="",U37=""),"",IF(T37="","SEM CAMINHO",IF(U37="","SEM DATA",IFERROR(IF(AB37&lt;15,"VERMELHO",IF(AB37&lt;=30,"AMARELO","VERDE")),"DATA INVALIDA")))))</f>
      </c>
      <c r="AD37" s="3056">
        <f>IF(OR(A37="",U37="",NOT(ISNUMBER(AB37))),"",RANK(AB37,$AB$3:$AB$164,1)+COUNTIFS($AB$3:AB37,AB37)-1)</f>
      </c>
      <c r="AE37" s="1736"/>
    </row>
    <row r="38" spans="1:19" ht="22.0" hidden="false" customHeight="true" x14ac:dyDescent="0.25">
      <c r="A38" s="3104" t="s">
        <v>95</v>
      </c>
      <c r="B38" s="3103" t="s">
        <v>96</v>
      </c>
      <c r="C38" s="3103" t="s">
        <v>97</v>
      </c>
      <c r="D38" s="3103" t="s">
        <v>100</v>
      </c>
      <c r="E38" s="3103"/>
      <c r="F38" s="3103" t="s">
        <v>99</v>
      </c>
      <c r="G38" s="3103" t="s">
        <v>13</v>
      </c>
      <c r="H38" s="3103" t="s">
        <v>14</v>
      </c>
      <c r="I38" s="3103"/>
      <c r="J38" s="3103"/>
      <c r="K38" s="3103"/>
      <c r="L38" s="3103"/>
      <c r="M38" s="3103" t="s">
        <v>382</v>
      </c>
      <c r="N38" s="3103" t="s">
        <v>362</v>
      </c>
      <c r="O38" s="3103" t="s">
        <v>349</v>
      </c>
      <c r="P38" s="3103"/>
      <c r="Q38" s="3106"/>
      <c r="R38" s="3106"/>
      <c r="S38" s="3106"/>
      <c r="T38" s="3106"/>
      <c r="U38" s="3107"/>
      <c r="V38" s="3103"/>
      <c r="W38" s="3103"/>
      <c r="X38" s="3056">
        <f>IF(A38="","",IF(LEN(SUBSTITUTE(SUBSTITUTE(SUBSTITUTE(SUBSTITUTE(D38,".",""),"/",""),"-","")," ",""))&lt;&gt;14,"CNPJ INVALIDO","OK"))</f>
      </c>
      <c r="Y38" s="3056">
        <f>IF(A38="","",IF(R38="","REST PENDENTE","REST OK"))</f>
      </c>
      <c r="Z38" s="3056">
        <f>IF(A38="","",IF(AND(R38&lt;&gt;"",COUNTIFS($D$3:$D$164,D38,$R$3:$R$164,"&lt;&gt;")&gt;1),"DUPLICADO","OK"))</f>
      </c>
      <c r="AA38" s="3056">
        <f>IF(A38="","",IF(OR(LEN(Q38)&gt;180,LEN(R38)&gt;180,LEN(S38)&gt;180,LEN(T38)&gt;180),"CAMINHO LONGO","OK"))</f>
      </c>
      <c r="AB38" s="3056">
        <f>IF(A38="","",IF(U38="","",IFERROR(INT(U38-TODAY()),"")))</f>
      </c>
      <c r="AC38" s="3056">
        <f>IF(A38="","",IF(AND(T38="",U38=""),"",IF(T38="","SEM CAMINHO",IF(U38="","SEM DATA",IFERROR(IF(AB38&lt;15,"VERMELHO",IF(AB38&lt;=30,"AMARELO","VERDE")),"DATA INVALIDA")))))</f>
      </c>
      <c r="AD38" s="3056">
        <f>IF(OR(A38="",U38="",NOT(ISNUMBER(AB38))),"",RANK(AB38,$AB$3:$AB$164,1)+COUNTIFS($AB$3:AB38,AB38)-1)</f>
      </c>
      <c r="AE38" s="1736"/>
    </row>
    <row r="39" spans="1:19" ht="22.0" hidden="false" customHeight="true" x14ac:dyDescent="0.25">
      <c r="A39" s="3099" t="s">
        <v>95</v>
      </c>
      <c r="B39" s="3098" t="s">
        <v>96</v>
      </c>
      <c r="C39" s="3098" t="s">
        <v>97</v>
      </c>
      <c r="D39" s="3098" t="s">
        <v>101</v>
      </c>
      <c r="E39" s="3098"/>
      <c r="F39" s="3098" t="s">
        <v>99</v>
      </c>
      <c r="G39" s="3098" t="s">
        <v>13</v>
      </c>
      <c r="H39" s="3098" t="s">
        <v>14</v>
      </c>
      <c r="I39" s="3098"/>
      <c r="J39" s="3098"/>
      <c r="K39" s="3098"/>
      <c r="L39" s="3098"/>
      <c r="M39" s="3098" t="s">
        <v>382</v>
      </c>
      <c r="N39" s="3098" t="s">
        <v>362</v>
      </c>
      <c r="O39" s="3098" t="s">
        <v>349</v>
      </c>
      <c r="P39" s="3098"/>
      <c r="Q39" s="3101"/>
      <c r="R39" s="3101"/>
      <c r="S39" s="3101"/>
      <c r="T39" s="3101"/>
      <c r="U39" s="3102"/>
      <c r="V39" s="3098"/>
      <c r="W39" s="3098"/>
      <c r="X39" s="3056">
        <f>IF(A39="","",IF(LEN(SUBSTITUTE(SUBSTITUTE(SUBSTITUTE(SUBSTITUTE(D39,".",""),"/",""),"-","")," ",""))&lt;&gt;14,"CNPJ INVALIDO","OK"))</f>
      </c>
      <c r="Y39" s="3056">
        <f>IF(A39="","",IF(R39="","REST PENDENTE","REST OK"))</f>
      </c>
      <c r="Z39" s="3056">
        <f>IF(A39="","",IF(AND(R39&lt;&gt;"",COUNTIFS($D$3:$D$164,D39,$R$3:$R$164,"&lt;&gt;")&gt;1),"DUPLICADO","OK"))</f>
      </c>
      <c r="AA39" s="3056">
        <f>IF(A39="","",IF(OR(LEN(Q39)&gt;180,LEN(R39)&gt;180,LEN(S39)&gt;180,LEN(T39)&gt;180),"CAMINHO LONGO","OK"))</f>
      </c>
      <c r="AB39" s="3056">
        <f>IF(A39="","",IF(U39="","",IFERROR(INT(U39-TODAY()),"")))</f>
      </c>
      <c r="AC39" s="3056">
        <f>IF(A39="","",IF(AND(T39="",U39=""),"",IF(T39="","SEM CAMINHO",IF(U39="","SEM DATA",IFERROR(IF(AB39&lt;15,"VERMELHO",IF(AB39&lt;=30,"AMARELO","VERDE")),"DATA INVALIDA")))))</f>
      </c>
      <c r="AD39" s="3056">
        <f>IF(OR(A39="",U39="",NOT(ISNUMBER(AB39))),"",RANK(AB39,$AB$3:$AB$164,1)+COUNTIFS($AB$3:AB39,AB39)-1)</f>
      </c>
      <c r="AE39" s="1736"/>
    </row>
    <row r="40" spans="1:19" ht="22.0" hidden="false" customHeight="true" x14ac:dyDescent="0.25">
      <c r="A40" s="3104" t="s">
        <v>95</v>
      </c>
      <c r="B40" s="3103" t="s">
        <v>96</v>
      </c>
      <c r="C40" s="3103" t="s">
        <v>97</v>
      </c>
      <c r="D40" s="3103" t="s">
        <v>102</v>
      </c>
      <c r="E40" s="3103"/>
      <c r="F40" s="3103" t="s">
        <v>99</v>
      </c>
      <c r="G40" s="3103" t="s">
        <v>13</v>
      </c>
      <c r="H40" s="3103" t="s">
        <v>14</v>
      </c>
      <c r="I40" s="3103"/>
      <c r="J40" s="3103"/>
      <c r="K40" s="3103"/>
      <c r="L40" s="3103"/>
      <c r="M40" s="3103" t="s">
        <v>382</v>
      </c>
      <c r="N40" s="3103" t="s">
        <v>362</v>
      </c>
      <c r="O40" s="3103" t="s">
        <v>349</v>
      </c>
      <c r="P40" s="3103"/>
      <c r="Q40" s="3106"/>
      <c r="R40" s="3106"/>
      <c r="S40" s="3106"/>
      <c r="T40" s="3106"/>
      <c r="U40" s="3107"/>
      <c r="V40" s="3103"/>
      <c r="W40" s="3103"/>
      <c r="X40" s="3056">
        <f>IF(A40="","",IF(LEN(SUBSTITUTE(SUBSTITUTE(SUBSTITUTE(SUBSTITUTE(D40,".",""),"/",""),"-","")," ",""))&lt;&gt;14,"CNPJ INVALIDO","OK"))</f>
      </c>
      <c r="Y40" s="3056">
        <f>IF(A40="","",IF(R40="","REST PENDENTE","REST OK"))</f>
      </c>
      <c r="Z40" s="3056">
        <f>IF(A40="","",IF(AND(R40&lt;&gt;"",COUNTIFS($D$3:$D$164,D40,$R$3:$R$164,"&lt;&gt;")&gt;1),"DUPLICADO","OK"))</f>
      </c>
      <c r="AA40" s="3056">
        <f>IF(A40="","",IF(OR(LEN(Q40)&gt;180,LEN(R40)&gt;180,LEN(S40)&gt;180,LEN(T40)&gt;180),"CAMINHO LONGO","OK"))</f>
      </c>
      <c r="AB40" s="3056">
        <f>IF(A40="","",IF(U40="","",IFERROR(INT(U40-TODAY()),"")))</f>
      </c>
      <c r="AC40" s="3056">
        <f>IF(A40="","",IF(AND(T40="",U40=""),"",IF(T40="","SEM CAMINHO",IF(U40="","SEM DATA",IFERROR(IF(AB40&lt;15,"VERMELHO",IF(AB40&lt;=30,"AMARELO","VERDE")),"DATA INVALIDA")))))</f>
      </c>
      <c r="AD40" s="3056">
        <f>IF(OR(A40="",U40="",NOT(ISNUMBER(AB40))),"",RANK(AB40,$AB$3:$AB$164,1)+COUNTIFS($AB$3:AB40,AB40)-1)</f>
      </c>
      <c r="AE40" s="1736"/>
    </row>
    <row r="41" spans="1:19" ht="22.0" hidden="false" customHeight="true" x14ac:dyDescent="0.25">
      <c r="A41" s="3099" t="s">
        <v>95</v>
      </c>
      <c r="B41" s="3098" t="s">
        <v>96</v>
      </c>
      <c r="C41" s="3098" t="s">
        <v>97</v>
      </c>
      <c r="D41" s="3098" t="s">
        <v>103</v>
      </c>
      <c r="E41" s="3098"/>
      <c r="F41" s="3098" t="s">
        <v>99</v>
      </c>
      <c r="G41" s="3098" t="s">
        <v>13</v>
      </c>
      <c r="H41" s="3098" t="s">
        <v>14</v>
      </c>
      <c r="I41" s="3098"/>
      <c r="J41" s="3098"/>
      <c r="K41" s="3098"/>
      <c r="L41" s="3098"/>
      <c r="M41" s="3098" t="s">
        <v>382</v>
      </c>
      <c r="N41" s="3098" t="s">
        <v>362</v>
      </c>
      <c r="O41" s="3098" t="s">
        <v>349</v>
      </c>
      <c r="P41" s="3098"/>
      <c r="Q41" s="3101"/>
      <c r="R41" s="3101"/>
      <c r="S41" s="3101"/>
      <c r="T41" s="3101"/>
      <c r="U41" s="3102"/>
      <c r="V41" s="3098"/>
      <c r="W41" s="3098"/>
      <c r="X41" s="3056">
        <f>IF(A41="","",IF(LEN(SUBSTITUTE(SUBSTITUTE(SUBSTITUTE(SUBSTITUTE(D41,".",""),"/",""),"-","")," ",""))&lt;&gt;14,"CNPJ INVALIDO","OK"))</f>
      </c>
      <c r="Y41" s="3056">
        <f>IF(A41="","",IF(R41="","REST PENDENTE","REST OK"))</f>
      </c>
      <c r="Z41" s="3056">
        <f>IF(A41="","",IF(AND(R41&lt;&gt;"",COUNTIFS($D$3:$D$164,D41,$R$3:$R$164,"&lt;&gt;")&gt;1),"DUPLICADO","OK"))</f>
      </c>
      <c r="AA41" s="3056">
        <f>IF(A41="","",IF(OR(LEN(Q41)&gt;180,LEN(R41)&gt;180,LEN(S41)&gt;180,LEN(T41)&gt;180),"CAMINHO LONGO","OK"))</f>
      </c>
      <c r="AB41" s="3056">
        <f>IF(A41="","",IF(U41="","",IFERROR(INT(U41-TODAY()),"")))</f>
      </c>
      <c r="AC41" s="3056">
        <f>IF(A41="","",IF(AND(T41="",U41=""),"",IF(T41="","SEM CAMINHO",IF(U41="","SEM DATA",IFERROR(IF(AB41&lt;15,"VERMELHO",IF(AB41&lt;=30,"AMARELO","VERDE")),"DATA INVALIDA")))))</f>
      </c>
      <c r="AD41" s="3056">
        <f>IF(OR(A41="",U41="",NOT(ISNUMBER(AB41))),"",RANK(AB41,$AB$3:$AB$164,1)+COUNTIFS($AB$3:AB41,AB41)-1)</f>
      </c>
      <c r="AE41" s="1736"/>
    </row>
    <row r="42" spans="1:19" ht="22.0" hidden="false" customHeight="true" x14ac:dyDescent="0.25">
      <c r="A42" s="3104" t="s">
        <v>95</v>
      </c>
      <c r="B42" s="3103" t="s">
        <v>96</v>
      </c>
      <c r="C42" s="3103" t="s">
        <v>104</v>
      </c>
      <c r="D42" s="3103" t="s">
        <v>105</v>
      </c>
      <c r="E42" s="3103"/>
      <c r="F42" s="3103" t="s">
        <v>99</v>
      </c>
      <c r="G42" s="3103" t="s">
        <v>13</v>
      </c>
      <c r="H42" s="3103" t="s">
        <v>14</v>
      </c>
      <c r="I42" s="3103"/>
      <c r="J42" s="3103"/>
      <c r="K42" s="3103"/>
      <c r="L42" s="3103"/>
      <c r="M42" s="3103" t="s">
        <v>382</v>
      </c>
      <c r="N42" s="3103" t="s">
        <v>362</v>
      </c>
      <c r="O42" s="3103" t="s">
        <v>349</v>
      </c>
      <c r="P42" s="3103"/>
      <c r="Q42" s="3106"/>
      <c r="R42" s="3106"/>
      <c r="S42" s="3106"/>
      <c r="T42" s="3106"/>
      <c r="U42" s="3107"/>
      <c r="V42" s="3103"/>
      <c r="W42" s="3103"/>
      <c r="X42" s="3056">
        <f>IF(A42="","",IF(LEN(SUBSTITUTE(SUBSTITUTE(SUBSTITUTE(SUBSTITUTE(D42,".",""),"/",""),"-","")," ",""))&lt;&gt;14,"CNPJ INVALIDO","OK"))</f>
      </c>
      <c r="Y42" s="3056">
        <f>IF(A42="","",IF(R42="","REST PENDENTE","REST OK"))</f>
      </c>
      <c r="Z42" s="3056">
        <f>IF(A42="","",IF(AND(R42&lt;&gt;"",COUNTIFS($D$3:$D$164,D42,$R$3:$R$164,"&lt;&gt;")&gt;1),"DUPLICADO","OK"))</f>
      </c>
      <c r="AA42" s="3056">
        <f>IF(A42="","",IF(OR(LEN(Q42)&gt;180,LEN(R42)&gt;180,LEN(S42)&gt;180,LEN(T42)&gt;180),"CAMINHO LONGO","OK"))</f>
      </c>
      <c r="AB42" s="3056">
        <f>IF(A42="","",IF(U42="","",IFERROR(INT(U42-TODAY()),"")))</f>
      </c>
      <c r="AC42" s="3056">
        <f>IF(A42="","",IF(AND(T42="",U42=""),"",IF(T42="","SEM CAMINHO",IF(U42="","SEM DATA",IFERROR(IF(AB42&lt;15,"VERMELHO",IF(AB42&lt;=30,"AMARELO","VERDE")),"DATA INVALIDA")))))</f>
      </c>
      <c r="AD42" s="3056">
        <f>IF(OR(A42="",U42="",NOT(ISNUMBER(AB42))),"",RANK(AB42,$AB$3:$AB$164,1)+COUNTIFS($AB$3:AB42,AB42)-1)</f>
      </c>
      <c r="AE42" s="1736"/>
    </row>
    <row r="43" spans="1:19" ht="22.0" hidden="false" customHeight="true" x14ac:dyDescent="0.25">
      <c r="A43" s="3099" t="s">
        <v>95</v>
      </c>
      <c r="B43" s="3098" t="s">
        <v>96</v>
      </c>
      <c r="C43" s="3098" t="s">
        <v>104</v>
      </c>
      <c r="D43" s="3098" t="s">
        <v>106</v>
      </c>
      <c r="E43" s="3098"/>
      <c r="F43" s="3098" t="s">
        <v>99</v>
      </c>
      <c r="G43" s="3098" t="s">
        <v>13</v>
      </c>
      <c r="H43" s="3098" t="s">
        <v>14</v>
      </c>
      <c r="I43" s="3098"/>
      <c r="J43" s="3098"/>
      <c r="K43" s="3098"/>
      <c r="L43" s="3098"/>
      <c r="M43" s="3098" t="s">
        <v>382</v>
      </c>
      <c r="N43" s="3098" t="s">
        <v>362</v>
      </c>
      <c r="O43" s="3098" t="s">
        <v>349</v>
      </c>
      <c r="P43" s="3098"/>
      <c r="Q43" s="3101"/>
      <c r="R43" s="3101"/>
      <c r="S43" s="3101"/>
      <c r="T43" s="3101"/>
      <c r="U43" s="3102"/>
      <c r="V43" s="3098"/>
      <c r="W43" s="3098"/>
      <c r="X43" s="3056">
        <f>IF(A43="","",IF(LEN(SUBSTITUTE(SUBSTITUTE(SUBSTITUTE(SUBSTITUTE(D43,".",""),"/",""),"-","")," ",""))&lt;&gt;14,"CNPJ INVALIDO","OK"))</f>
      </c>
      <c r="Y43" s="3056">
        <f>IF(A43="","",IF(R43="","REST PENDENTE","REST OK"))</f>
      </c>
      <c r="Z43" s="3056">
        <f>IF(A43="","",IF(AND(R43&lt;&gt;"",COUNTIFS($D$3:$D$164,D43,$R$3:$R$164,"&lt;&gt;")&gt;1),"DUPLICADO","OK"))</f>
      </c>
      <c r="AA43" s="3056">
        <f>IF(A43="","",IF(OR(LEN(Q43)&gt;180,LEN(R43)&gt;180,LEN(S43)&gt;180,LEN(T43)&gt;180),"CAMINHO LONGO","OK"))</f>
      </c>
      <c r="AB43" s="3056">
        <f>IF(A43="","",IF(U43="","",IFERROR(INT(U43-TODAY()),"")))</f>
      </c>
      <c r="AC43" s="3056">
        <f>IF(A43="","",IF(AND(T43="",U43=""),"",IF(T43="","SEM CAMINHO",IF(U43="","SEM DATA",IFERROR(IF(AB43&lt;15,"VERMELHO",IF(AB43&lt;=30,"AMARELO","VERDE")),"DATA INVALIDA")))))</f>
      </c>
      <c r="AD43" s="3056">
        <f>IF(OR(A43="",U43="",NOT(ISNUMBER(AB43))),"",RANK(AB43,$AB$3:$AB$164,1)+COUNTIFS($AB$3:AB43,AB43)-1)</f>
      </c>
      <c r="AE43" s="1736"/>
    </row>
    <row r="44" spans="1:19" ht="22.0" hidden="false" customHeight="true" x14ac:dyDescent="0.25">
      <c r="A44" s="3104" t="s">
        <v>107</v>
      </c>
      <c r="B44" s="3103" t="s">
        <v>108</v>
      </c>
      <c r="C44" s="3103" t="s">
        <v>62</v>
      </c>
      <c r="D44" s="3103">
        <v>50056304000149</v>
      </c>
      <c r="E44" s="3103"/>
      <c r="F44" s="3103" t="s">
        <v>109</v>
      </c>
      <c r="G44" s="3103" t="s">
        <v>4</v>
      </c>
      <c r="H44" s="3103" t="s">
        <v>49</v>
      </c>
      <c r="I44" s="3103"/>
      <c r="J44" s="3103"/>
      <c r="K44" s="3103"/>
      <c r="L44" s="3103"/>
      <c r="M44" s="3103" t="s">
        <v>379</v>
      </c>
      <c r="N44" s="3103"/>
      <c r="O44" s="3103" t="s">
        <v>349</v>
      </c>
      <c r="P44" s="3103"/>
      <c r="Q44" s="3106"/>
      <c r="R44" s="3106"/>
      <c r="S44" s="3106"/>
      <c r="T44" s="3106"/>
      <c r="U44" s="3107"/>
      <c r="V44" s="3103"/>
      <c r="W44" s="3103"/>
      <c r="X44" s="3056">
        <f>IF(A44="","",IF(LEN(SUBSTITUTE(SUBSTITUTE(SUBSTITUTE(SUBSTITUTE(D44,".",""),"/",""),"-","")," ",""))&lt;&gt;14,"CNPJ INVALIDO","OK"))</f>
      </c>
      <c r="Y44" s="3056">
        <f>IF(A44="","",IF(R44="","REST PENDENTE","REST OK"))</f>
      </c>
      <c r="Z44" s="3056">
        <f>IF(A44="","",IF(AND(R44&lt;&gt;"",COUNTIFS($D$3:$D$164,D44,$R$3:$R$164,"&lt;&gt;")&gt;1),"DUPLICADO","OK"))</f>
      </c>
      <c r="AA44" s="3056">
        <f>IF(A44="","",IF(OR(LEN(Q44)&gt;180,LEN(R44)&gt;180,LEN(S44)&gt;180,LEN(T44)&gt;180),"CAMINHO LONGO","OK"))</f>
      </c>
      <c r="AB44" s="3056">
        <f>IF(A44="","",IF(U44="","",IFERROR(INT(U44-TODAY()),"")))</f>
      </c>
      <c r="AC44" s="3056">
        <f>IF(A44="","",IF(AND(T44="",U44=""),"",IF(T44="","SEM CAMINHO",IF(U44="","SEM DATA",IFERROR(IF(AB44&lt;15,"VERMELHO",IF(AB44&lt;=30,"AMARELO","VERDE")),"DATA INVALIDA")))))</f>
      </c>
      <c r="AD44" s="3056">
        <f>IF(OR(A44="",U44="",NOT(ISNUMBER(AB44))),"",RANK(AB44,$AB$3:$AB$164,1)+COUNTIFS($AB$3:AB44,AB44)-1)</f>
      </c>
      <c r="AE44" s="1736"/>
    </row>
    <row r="45" spans="1:19" ht="22.0" hidden="false" customHeight="true" x14ac:dyDescent="0.25">
      <c r="A45" s="3099" t="s">
        <v>110</v>
      </c>
      <c r="B45" s="3098" t="s">
        <v>108</v>
      </c>
      <c r="C45" s="3098" t="s">
        <v>62</v>
      </c>
      <c r="D45" s="3098">
        <v>59971731000127</v>
      </c>
      <c r="E45" s="3098"/>
      <c r="F45" s="3098" t="s">
        <v>109</v>
      </c>
      <c r="G45" s="3098" t="s">
        <v>4</v>
      </c>
      <c r="H45" s="3098" t="s">
        <v>49</v>
      </c>
      <c r="I45" s="3098"/>
      <c r="J45" s="3098"/>
      <c r="K45" s="3098"/>
      <c r="L45" s="3098"/>
      <c r="M45" s="3098" t="s">
        <v>379</v>
      </c>
      <c r="N45" s="3098"/>
      <c r="O45" s="3098" t="s">
        <v>349</v>
      </c>
      <c r="P45" s="3098"/>
      <c r="Q45" s="3101"/>
      <c r="R45" s="3101"/>
      <c r="S45" s="3101"/>
      <c r="T45" s="3101"/>
      <c r="U45" s="3102"/>
      <c r="V45" s="3098"/>
      <c r="W45" s="3098"/>
      <c r="X45" s="3056">
        <f>IF(A45="","",IF(LEN(SUBSTITUTE(SUBSTITUTE(SUBSTITUTE(SUBSTITUTE(D45,".",""),"/",""),"-","")," ",""))&lt;&gt;14,"CNPJ INVALIDO","OK"))</f>
      </c>
      <c r="Y45" s="3056">
        <f>IF(A45="","",IF(R45="","REST PENDENTE","REST OK"))</f>
      </c>
      <c r="Z45" s="3056">
        <f>IF(A45="","",IF(AND(R45&lt;&gt;"",COUNTIFS($D$3:$D$164,D45,$R$3:$R$164,"&lt;&gt;")&gt;1),"DUPLICADO","OK"))</f>
      </c>
      <c r="AA45" s="3056">
        <f>IF(A45="","",IF(OR(LEN(Q45)&gt;180,LEN(R45)&gt;180,LEN(S45)&gt;180,LEN(T45)&gt;180),"CAMINHO LONGO","OK"))</f>
      </c>
      <c r="AB45" s="3056">
        <f>IF(A45="","",IF(U45="","",IFERROR(INT(U45-TODAY()),"")))</f>
      </c>
      <c r="AC45" s="3056">
        <f>IF(A45="","",IF(AND(T45="",U45=""),"",IF(T45="","SEM CAMINHO",IF(U45="","SEM DATA",IFERROR(IF(AB45&lt;15,"VERMELHO",IF(AB45&lt;=30,"AMARELO","VERDE")),"DATA INVALIDA")))))</f>
      </c>
      <c r="AD45" s="3056">
        <f>IF(OR(A45="",U45="",NOT(ISNUMBER(AB45))),"",RANK(AB45,$AB$3:$AB$164,1)+COUNTIFS($AB$3:AB45,AB45)-1)</f>
      </c>
      <c r="AE45" s="1736"/>
    </row>
    <row r="46" spans="1:19" ht="22.0" hidden="false" customHeight="true" x14ac:dyDescent="0.25">
      <c r="A46" s="3104" t="s">
        <v>111</v>
      </c>
      <c r="B46" s="3103" t="s">
        <v>108</v>
      </c>
      <c r="C46" s="3103" t="s">
        <v>69</v>
      </c>
      <c r="D46" s="3103" t="s">
        <v>112</v>
      </c>
      <c r="E46" s="3103"/>
      <c r="F46" s="3103" t="s">
        <v>113</v>
      </c>
      <c r="G46" s="3103" t="s">
        <v>13</v>
      </c>
      <c r="H46" s="3103" t="s">
        <v>49</v>
      </c>
      <c r="I46" s="3103"/>
      <c r="J46" s="3103"/>
      <c r="K46" s="3103"/>
      <c r="L46" s="3103"/>
      <c r="M46" s="3103" t="s">
        <v>377</v>
      </c>
      <c r="N46" s="3103"/>
      <c r="O46" s="3103" t="s">
        <v>347</v>
      </c>
      <c r="P46" s="3103"/>
      <c r="Q46" s="3106"/>
      <c r="R46" s="3106"/>
      <c r="S46" s="3106"/>
      <c r="T46" s="3106"/>
      <c r="U46" s="3107"/>
      <c r="V46" s="3103"/>
      <c r="W46" s="3103"/>
      <c r="X46" s="3056">
        <f>IF(A46="","",IF(LEN(SUBSTITUTE(SUBSTITUTE(SUBSTITUTE(SUBSTITUTE(D46,".",""),"/",""),"-","")," ",""))&lt;&gt;14,"CNPJ INVALIDO","OK"))</f>
      </c>
      <c r="Y46" s="3056">
        <f>IF(A46="","",IF(R46="","REST PENDENTE","REST OK"))</f>
      </c>
      <c r="Z46" s="3056">
        <f>IF(A46="","",IF(AND(R46&lt;&gt;"",COUNTIFS($D$3:$D$164,D46,$R$3:$R$164,"&lt;&gt;")&gt;1),"DUPLICADO","OK"))</f>
      </c>
      <c r="AA46" s="3056">
        <f>IF(A46="","",IF(OR(LEN(Q46)&gt;180,LEN(R46)&gt;180,LEN(S46)&gt;180,LEN(T46)&gt;180),"CAMINHO LONGO","OK"))</f>
      </c>
      <c r="AB46" s="3056">
        <f>IF(A46="","",IF(U46="","",IFERROR(INT(U46-TODAY()),"")))</f>
      </c>
      <c r="AC46" s="3056">
        <f>IF(A46="","",IF(AND(T46="",U46=""),"",IF(T46="","SEM CAMINHO",IF(U46="","SEM DATA",IFERROR(IF(AB46&lt;15,"VERMELHO",IF(AB46&lt;=30,"AMARELO","VERDE")),"DATA INVALIDA")))))</f>
      </c>
      <c r="AD46" s="3056">
        <f>IF(OR(A46="",U46="",NOT(ISNUMBER(AB46))),"",RANK(AB46,$AB$3:$AB$164,1)+COUNTIFS($AB$3:AB46,AB46)-1)</f>
      </c>
      <c r="AE46" s="1736"/>
    </row>
    <row r="47" spans="1:19" ht="22.0" hidden="false" customHeight="true" x14ac:dyDescent="0.25">
      <c r="A47" s="3099" t="s">
        <v>114</v>
      </c>
      <c r="B47" s="3098" t="s">
        <v>115</v>
      </c>
      <c r="C47" s="3098" t="s">
        <v>116</v>
      </c>
      <c r="D47" s="3098" t="s">
        <v>117</v>
      </c>
      <c r="E47" s="3098"/>
      <c r="F47" s="3098" t="s">
        <v>118</v>
      </c>
      <c r="G47" s="3098" t="s">
        <v>13</v>
      </c>
      <c r="H47" s="3098" t="s">
        <v>14</v>
      </c>
      <c r="I47" s="3098"/>
      <c r="J47" s="3098"/>
      <c r="K47" s="3098"/>
      <c r="L47" s="3098"/>
      <c r="M47" s="3098" t="s">
        <v>377</v>
      </c>
      <c r="N47" s="3098"/>
      <c r="O47" s="3098" t="s">
        <v>350</v>
      </c>
      <c r="P47" s="3098"/>
      <c r="Q47" s="3101"/>
      <c r="R47" s="3101"/>
      <c r="S47" s="3101"/>
      <c r="T47" s="3101"/>
      <c r="U47" s="3102"/>
      <c r="V47" s="3098"/>
      <c r="W47" s="3098"/>
      <c r="X47" s="3056">
        <f>IF(A47="","",IF(LEN(SUBSTITUTE(SUBSTITUTE(SUBSTITUTE(SUBSTITUTE(D47,".",""),"/",""),"-","")," ",""))&lt;&gt;14,"CNPJ INVALIDO","OK"))</f>
      </c>
      <c r="Y47" s="3056">
        <f>IF(A47="","",IF(R47="","REST PENDENTE","REST OK"))</f>
      </c>
      <c r="Z47" s="3056">
        <f>IF(A47="","",IF(AND(R47&lt;&gt;"",COUNTIFS($D$3:$D$164,D47,$R$3:$R$164,"&lt;&gt;")&gt;1),"DUPLICADO","OK"))</f>
      </c>
      <c r="AA47" s="3056">
        <f>IF(A47="","",IF(OR(LEN(Q47)&gt;180,LEN(R47)&gt;180,LEN(S47)&gt;180,LEN(T47)&gt;180),"CAMINHO LONGO","OK"))</f>
      </c>
      <c r="AB47" s="3056">
        <f>IF(A47="","",IF(U47="","",IFERROR(INT(U47-TODAY()),"")))</f>
      </c>
      <c r="AC47" s="3056">
        <f>IF(A47="","",IF(AND(T47="",U47=""),"",IF(T47="","SEM CAMINHO",IF(U47="","SEM DATA",IFERROR(IF(AB47&lt;15,"VERMELHO",IF(AB47&lt;=30,"AMARELO","VERDE")),"DATA INVALIDA")))))</f>
      </c>
      <c r="AD47" s="3056">
        <f>IF(OR(A47="",U47="",NOT(ISNUMBER(AB47))),"",RANK(AB47,$AB$3:$AB$164,1)+COUNTIFS($AB$3:AB47,AB47)-1)</f>
      </c>
      <c r="AE47" s="1736"/>
    </row>
    <row r="48" spans="1:19" ht="22.0" hidden="false" customHeight="true" x14ac:dyDescent="0.25">
      <c r="A48" s="3104" t="s">
        <v>119</v>
      </c>
      <c r="B48" s="3103" t="s">
        <v>115</v>
      </c>
      <c r="C48" s="3103" t="s">
        <v>116</v>
      </c>
      <c r="D48" s="3103" t="s">
        <v>120</v>
      </c>
      <c r="E48" s="3103"/>
      <c r="F48" s="3103" t="s">
        <v>118</v>
      </c>
      <c r="G48" s="3103" t="s">
        <v>13</v>
      </c>
      <c r="H48" s="3103" t="s">
        <v>14</v>
      </c>
      <c r="I48" s="3103"/>
      <c r="J48" s="3103"/>
      <c r="K48" s="3103"/>
      <c r="L48" s="3103"/>
      <c r="M48" s="3103" t="s">
        <v>376</v>
      </c>
      <c r="N48" s="3103"/>
      <c r="O48" s="3103" t="s">
        <v>347</v>
      </c>
      <c r="P48" s="3103"/>
      <c r="Q48" s="3106"/>
      <c r="R48" s="3106"/>
      <c r="S48" s="3106"/>
      <c r="T48" s="3106"/>
      <c r="U48" s="3107"/>
      <c r="V48" s="3103"/>
      <c r="W48" s="3103"/>
      <c r="X48" s="3056">
        <f>IF(A48="","",IF(LEN(SUBSTITUTE(SUBSTITUTE(SUBSTITUTE(SUBSTITUTE(D48,".",""),"/",""),"-","")," ",""))&lt;&gt;14,"CNPJ INVALIDO","OK"))</f>
      </c>
      <c r="Y48" s="3056">
        <f>IF(A48="","",IF(R48="","REST PENDENTE","REST OK"))</f>
      </c>
      <c r="Z48" s="3056">
        <f>IF(A48="","",IF(AND(R48&lt;&gt;"",COUNTIFS($D$3:$D$164,D48,$R$3:$R$164,"&lt;&gt;")&gt;1),"DUPLICADO","OK"))</f>
      </c>
      <c r="AA48" s="3056">
        <f>IF(A48="","",IF(OR(LEN(Q48)&gt;180,LEN(R48)&gt;180,LEN(S48)&gt;180,LEN(T48)&gt;180),"CAMINHO LONGO","OK"))</f>
      </c>
      <c r="AB48" s="3056">
        <f>IF(A48="","",IF(U48="","",IFERROR(INT(U48-TODAY()),"")))</f>
      </c>
      <c r="AC48" s="3056">
        <f>IF(A48="","",IF(AND(T48="",U48=""),"",IF(T48="","SEM CAMINHO",IF(U48="","SEM DATA",IFERROR(IF(AB48&lt;15,"VERMELHO",IF(AB48&lt;=30,"AMARELO","VERDE")),"DATA INVALIDA")))))</f>
      </c>
      <c r="AD48" s="3056">
        <f>IF(OR(A48="",U48="",NOT(ISNUMBER(AB48))),"",RANK(AB48,$AB$3:$AB$164,1)+COUNTIFS($AB$3:AB48,AB48)-1)</f>
      </c>
      <c r="AE48" s="1736"/>
    </row>
    <row r="49" spans="1:19" ht="22.0" hidden="false" customHeight="true" x14ac:dyDescent="0.25">
      <c r="A49" s="3099" t="s">
        <v>121</v>
      </c>
      <c r="B49" s="3098" t="s">
        <v>115</v>
      </c>
      <c r="C49" s="3098" t="s">
        <v>122</v>
      </c>
      <c r="D49" s="3098">
        <v>44742752000101</v>
      </c>
      <c r="E49" s="3098"/>
      <c r="F49" s="3098" t="s">
        <v>118</v>
      </c>
      <c r="G49" s="3098" t="s">
        <v>4</v>
      </c>
      <c r="H49" s="3098" t="s">
        <v>5</v>
      </c>
      <c r="I49" s="3098"/>
      <c r="J49" s="3098"/>
      <c r="K49" s="3098"/>
      <c r="L49" s="3098"/>
      <c r="M49" s="3098" t="s">
        <v>376</v>
      </c>
      <c r="N49" s="3098"/>
      <c r="O49" s="3098" t="s">
        <v>349</v>
      </c>
      <c r="P49" s="3098"/>
      <c r="Q49" s="3101"/>
      <c r="R49" s="3101"/>
      <c r="S49" s="3101"/>
      <c r="T49" s="3101"/>
      <c r="U49" s="3102"/>
      <c r="V49" s="3098"/>
      <c r="W49" s="3098"/>
      <c r="X49" s="3056">
        <f>IF(A49="","",IF(LEN(SUBSTITUTE(SUBSTITUTE(SUBSTITUTE(SUBSTITUTE(D49,".",""),"/",""),"-","")," ",""))&lt;&gt;14,"CNPJ INVALIDO","OK"))</f>
      </c>
      <c r="Y49" s="3056">
        <f>IF(A49="","",IF(R49="","REST PENDENTE","REST OK"))</f>
      </c>
      <c r="Z49" s="3056">
        <f>IF(A49="","",IF(AND(R49&lt;&gt;"",COUNTIFS($D$3:$D$164,D49,$R$3:$R$164,"&lt;&gt;")&gt;1),"DUPLICADO","OK"))</f>
      </c>
      <c r="AA49" s="3056">
        <f>IF(A49="","",IF(OR(LEN(Q49)&gt;180,LEN(R49)&gt;180,LEN(S49)&gt;180,LEN(T49)&gt;180),"CAMINHO LONGO","OK"))</f>
      </c>
      <c r="AB49" s="3056">
        <f>IF(A49="","",IF(U49="","",IFERROR(INT(U49-TODAY()),"")))</f>
      </c>
      <c r="AC49" s="3056">
        <f>IF(A49="","",IF(AND(T49="",U49=""),"",IF(T49="","SEM CAMINHO",IF(U49="","SEM DATA",IFERROR(IF(AB49&lt;15,"VERMELHO",IF(AB49&lt;=30,"AMARELO","VERDE")),"DATA INVALIDA")))))</f>
      </c>
      <c r="AD49" s="3056">
        <f>IF(OR(A49="",U49="",NOT(ISNUMBER(AB49))),"",RANK(AB49,$AB$3:$AB$164,1)+COUNTIFS($AB$3:AB49,AB49)-1)</f>
      </c>
      <c r="AE49" s="1736"/>
    </row>
    <row r="50" spans="1:19" ht="22.0" hidden="false" customHeight="true" x14ac:dyDescent="0.25">
      <c r="A50" s="3104" t="s">
        <v>123</v>
      </c>
      <c r="B50" s="3103" t="s">
        <v>115</v>
      </c>
      <c r="C50" s="3103" t="s">
        <v>116</v>
      </c>
      <c r="D50" s="3103" t="s">
        <v>124</v>
      </c>
      <c r="E50" s="3103"/>
      <c r="F50" s="3103" t="s">
        <v>125</v>
      </c>
      <c r="G50" s="3103" t="s">
        <v>13</v>
      </c>
      <c r="H50" s="3103" t="s">
        <v>14</v>
      </c>
      <c r="I50" s="3103"/>
      <c r="J50" s="3103"/>
      <c r="K50" s="3103"/>
      <c r="L50" s="3103"/>
      <c r="M50" s="3103" t="s">
        <v>379</v>
      </c>
      <c r="N50" s="3103"/>
      <c r="O50" s="3103" t="s">
        <v>349</v>
      </c>
      <c r="P50" s="3103"/>
      <c r="Q50" s="3106"/>
      <c r="R50" s="3106"/>
      <c r="S50" s="3106"/>
      <c r="T50" s="3106"/>
      <c r="U50" s="3107"/>
      <c r="V50" s="3103"/>
      <c r="W50" s="3103"/>
      <c r="X50" s="3056">
        <f>IF(A50="","",IF(LEN(SUBSTITUTE(SUBSTITUTE(SUBSTITUTE(SUBSTITUTE(D50,".",""),"/",""),"-","")," ",""))&lt;&gt;14,"CNPJ INVALIDO","OK"))</f>
      </c>
      <c r="Y50" s="3056">
        <f>IF(A50="","",IF(R50="","REST PENDENTE","REST OK"))</f>
      </c>
      <c r="Z50" s="3056">
        <f>IF(A50="","",IF(AND(R50&lt;&gt;"",COUNTIFS($D$3:$D$164,D50,$R$3:$R$164,"&lt;&gt;")&gt;1),"DUPLICADO","OK"))</f>
      </c>
      <c r="AA50" s="3056">
        <f>IF(A50="","",IF(OR(LEN(Q50)&gt;180,LEN(R50)&gt;180,LEN(S50)&gt;180,LEN(T50)&gt;180),"CAMINHO LONGO","OK"))</f>
      </c>
      <c r="AB50" s="3056">
        <f>IF(A50="","",IF(U50="","",IFERROR(INT(U50-TODAY()),"")))</f>
      </c>
      <c r="AC50" s="3056">
        <f>IF(A50="","",IF(AND(T50="",U50=""),"",IF(T50="","SEM CAMINHO",IF(U50="","SEM DATA",IFERROR(IF(AB50&lt;15,"VERMELHO",IF(AB50&lt;=30,"AMARELO","VERDE")),"DATA INVALIDA")))))</f>
      </c>
      <c r="AD50" s="3056">
        <f>IF(OR(A50="",U50="",NOT(ISNUMBER(AB50))),"",RANK(AB50,$AB$3:$AB$164,1)+COUNTIFS($AB$3:AB50,AB50)-1)</f>
      </c>
      <c r="AE50" s="1736"/>
    </row>
    <row r="51" spans="1:19" ht="22.0" hidden="false" customHeight="true" x14ac:dyDescent="0.25">
      <c r="A51" s="3099" t="s">
        <v>126</v>
      </c>
      <c r="B51" s="3098" t="s">
        <v>115</v>
      </c>
      <c r="C51" s="3098" t="s">
        <v>122</v>
      </c>
      <c r="D51" s="3098">
        <v>44777527000100</v>
      </c>
      <c r="E51" s="3098"/>
      <c r="F51" s="3098" t="s">
        <v>125</v>
      </c>
      <c r="G51" s="3098" t="s">
        <v>4</v>
      </c>
      <c r="H51" s="3098" t="s">
        <v>5</v>
      </c>
      <c r="I51" s="3098"/>
      <c r="J51" s="3098"/>
      <c r="K51" s="3098"/>
      <c r="L51" s="3098"/>
      <c r="M51" s="3098" t="s">
        <v>379</v>
      </c>
      <c r="N51" s="3098"/>
      <c r="O51" s="3098" t="s">
        <v>349</v>
      </c>
      <c r="P51" s="3098"/>
      <c r="Q51" s="3101"/>
      <c r="R51" s="3101"/>
      <c r="S51" s="3101"/>
      <c r="T51" s="3101"/>
      <c r="U51" s="3102"/>
      <c r="V51" s="3098"/>
      <c r="W51" s="3098"/>
      <c r="X51" s="3056">
        <f>IF(A51="","",IF(LEN(SUBSTITUTE(SUBSTITUTE(SUBSTITUTE(SUBSTITUTE(D51,".",""),"/",""),"-","")," ",""))&lt;&gt;14,"CNPJ INVALIDO","OK"))</f>
      </c>
      <c r="Y51" s="3056">
        <f>IF(A51="","",IF(R51="","REST PENDENTE","REST OK"))</f>
      </c>
      <c r="Z51" s="3056">
        <f>IF(A51="","",IF(AND(R51&lt;&gt;"",COUNTIFS($D$3:$D$164,D51,$R$3:$R$164,"&lt;&gt;")&gt;1),"DUPLICADO","OK"))</f>
      </c>
      <c r="AA51" s="3056">
        <f>IF(A51="","",IF(OR(LEN(Q51)&gt;180,LEN(R51)&gt;180,LEN(S51)&gt;180,LEN(T51)&gt;180),"CAMINHO LONGO","OK"))</f>
      </c>
      <c r="AB51" s="3056">
        <f>IF(A51="","",IF(U51="","",IFERROR(INT(U51-TODAY()),"")))</f>
      </c>
      <c r="AC51" s="3056">
        <f>IF(A51="","",IF(AND(T51="",U51=""),"",IF(T51="","SEM CAMINHO",IF(U51="","SEM DATA",IFERROR(IF(AB51&lt;15,"VERMELHO",IF(AB51&lt;=30,"AMARELO","VERDE")),"DATA INVALIDA")))))</f>
      </c>
      <c r="AD51" s="3056">
        <f>IF(OR(A51="",U51="",NOT(ISNUMBER(AB51))),"",RANK(AB51,$AB$3:$AB$164,1)+COUNTIFS($AB$3:AB51,AB51)-1)</f>
      </c>
      <c r="AE51" s="1736"/>
    </row>
    <row r="52" spans="1:19" ht="22.0" hidden="false" customHeight="true" x14ac:dyDescent="0.25">
      <c r="A52" s="3104" t="s">
        <v>127</v>
      </c>
      <c r="B52" s="3103" t="s">
        <v>115</v>
      </c>
      <c r="C52" s="3103" t="s">
        <v>122</v>
      </c>
      <c r="D52" s="3103">
        <v>44796284000140</v>
      </c>
      <c r="E52" s="3103"/>
      <c r="F52" s="3103" t="s">
        <v>125</v>
      </c>
      <c r="G52" s="3103" t="s">
        <v>4</v>
      </c>
      <c r="H52" s="3103" t="s">
        <v>5</v>
      </c>
      <c r="I52" s="3103"/>
      <c r="J52" s="3103"/>
      <c r="K52" s="3103"/>
      <c r="L52" s="3103"/>
      <c r="M52" s="3103" t="s">
        <v>379</v>
      </c>
      <c r="N52" s="3103"/>
      <c r="O52" s="3103" t="s">
        <v>349</v>
      </c>
      <c r="P52" s="3103"/>
      <c r="Q52" s="3106"/>
      <c r="R52" s="3106"/>
      <c r="S52" s="3106"/>
      <c r="T52" s="3106"/>
      <c r="U52" s="3107"/>
      <c r="V52" s="3103"/>
      <c r="W52" s="3103"/>
      <c r="X52" s="3056">
        <f>IF(A52="","",IF(LEN(SUBSTITUTE(SUBSTITUTE(SUBSTITUTE(SUBSTITUTE(D52,".",""),"/",""),"-","")," ",""))&lt;&gt;14,"CNPJ INVALIDO","OK"))</f>
      </c>
      <c r="Y52" s="3056">
        <f>IF(A52="","",IF(R52="","REST PENDENTE","REST OK"))</f>
      </c>
      <c r="Z52" s="3056">
        <f>IF(A52="","",IF(AND(R52&lt;&gt;"",COUNTIFS($D$3:$D$164,D52,$R$3:$R$164,"&lt;&gt;")&gt;1),"DUPLICADO","OK"))</f>
      </c>
      <c r="AA52" s="3056">
        <f>IF(A52="","",IF(OR(LEN(Q52)&gt;180,LEN(R52)&gt;180,LEN(S52)&gt;180,LEN(T52)&gt;180),"CAMINHO LONGO","OK"))</f>
      </c>
      <c r="AB52" s="3056">
        <f>IF(A52="","",IF(U52="","",IFERROR(INT(U52-TODAY()),"")))</f>
      </c>
      <c r="AC52" s="3056">
        <f>IF(A52="","",IF(AND(T52="",U52=""),"",IF(T52="","SEM CAMINHO",IF(U52="","SEM DATA",IFERROR(IF(AB52&lt;15,"VERMELHO",IF(AB52&lt;=30,"AMARELO","VERDE")),"DATA INVALIDA")))))</f>
      </c>
      <c r="AD52" s="3056">
        <f>IF(OR(A52="",U52="",NOT(ISNUMBER(AB52))),"",RANK(AB52,$AB$3:$AB$164,1)+COUNTIFS($AB$3:AB52,AB52)-1)</f>
      </c>
      <c r="AE52" s="1736"/>
    </row>
    <row r="53" spans="1:19" ht="22.0" customHeight="true" thickTop="1" x14ac:dyDescent="0.25" hidden="false">
      <c r="A53" s="3099" t="s">
        <v>128</v>
      </c>
      <c r="B53" s="3098" t="s">
        <v>129</v>
      </c>
      <c r="C53" s="3098" t="s">
        <v>16</v>
      </c>
      <c r="D53" s="3098" t="s">
        <v>130</v>
      </c>
      <c r="E53" s="3098"/>
      <c r="F53" s="3098" t="s">
        <v>109</v>
      </c>
      <c r="G53" s="3098" t="s">
        <v>13</v>
      </c>
      <c r="H53" s="3098" t="s">
        <v>14</v>
      </c>
      <c r="I53" s="3098"/>
      <c r="J53" s="3098"/>
      <c r="K53" s="3098"/>
      <c r="L53" s="3098"/>
      <c r="M53" s="3098" t="s">
        <v>384</v>
      </c>
      <c r="N53" s="3098"/>
      <c r="O53" s="3098"/>
      <c r="P53" s="3098"/>
      <c r="Q53" s="3101"/>
      <c r="R53" s="3101"/>
      <c r="S53" s="3101"/>
      <c r="T53" s="3101"/>
      <c r="U53" s="3102"/>
      <c r="V53" s="3098"/>
      <c r="W53" s="3098"/>
      <c r="X53" s="3056">
        <f>IF(A53="","",IF(LEN(SUBSTITUTE(SUBSTITUTE(SUBSTITUTE(SUBSTITUTE(D53,".",""),"/",""),"-","")," ",""))&lt;&gt;14,"CNPJ INVALIDO","OK"))</f>
      </c>
      <c r="Y53" s="3056">
        <f>IF(A53="","",IF(R53="","REST PENDENTE","REST OK"))</f>
      </c>
      <c r="Z53" s="3056">
        <f>IF(A53="","",IF(AND(R53&lt;&gt;"",COUNTIFS($D$3:$D$164,D53,$R$3:$R$164,"&lt;&gt;")&gt;1),"DUPLICADO","OK"))</f>
      </c>
      <c r="AA53" s="3056">
        <f>IF(A53="","",IF(OR(LEN(Q53)&gt;180,LEN(R53)&gt;180,LEN(S53)&gt;180,LEN(T53)&gt;180),"CAMINHO LONGO","OK"))</f>
      </c>
      <c r="AB53" s="3056">
        <f>IF(A53="","",IF(U53="","",IFERROR(INT(U53-TODAY()),"")))</f>
      </c>
      <c r="AC53" s="3056">
        <f>IF(A53="","",IF(AND(T53="",U53=""),"",IF(T53="","SEM CAMINHO",IF(U53="","SEM DATA",IFERROR(IF(AB53&lt;15,"VERMELHO",IF(AB53&lt;=30,"AMARELO","VERDE")),"DATA INVALIDA")))))</f>
      </c>
      <c r="AD53" s="3056">
        <f>IF(OR(A53="",U53="",NOT(ISNUMBER(AB53))),"",RANK(AB53,$AB$3:$AB$164,1)+COUNTIFS($AB$3:AB53,AB53)-1)</f>
      </c>
      <c r="AE53" s="1736"/>
    </row>
    <row r="54" spans="1:19" ht="22.0" hidden="false" customHeight="true" x14ac:dyDescent="0.25">
      <c r="A54" s="3104" t="s">
        <v>131</v>
      </c>
      <c r="B54" s="3103" t="s">
        <v>132</v>
      </c>
      <c r="C54" s="3103" t="s">
        <v>62</v>
      </c>
      <c r="D54" s="3103">
        <v>19318532000108</v>
      </c>
      <c r="E54" s="3103"/>
      <c r="F54" s="3103" t="s">
        <v>66</v>
      </c>
      <c r="G54" s="3103" t="s">
        <v>4</v>
      </c>
      <c r="H54" s="3103" t="s">
        <v>5</v>
      </c>
      <c r="I54" s="3103"/>
      <c r="J54" s="3103"/>
      <c r="K54" s="3103"/>
      <c r="L54" s="3103"/>
      <c r="M54" s="3103" t="s">
        <v>377</v>
      </c>
      <c r="N54" s="3103"/>
      <c r="O54" s="3103" t="s">
        <v>347</v>
      </c>
      <c r="P54" s="3103"/>
      <c r="Q54" s="3106"/>
      <c r="R54" s="3106"/>
      <c r="S54" s="3106"/>
      <c r="T54" s="3106"/>
      <c r="U54" s="3107"/>
      <c r="V54" s="3103"/>
      <c r="W54" s="3103"/>
      <c r="X54" s="3056">
        <f>IF(A54="","",IF(LEN(SUBSTITUTE(SUBSTITUTE(SUBSTITUTE(SUBSTITUTE(D54,".",""),"/",""),"-","")," ",""))&lt;&gt;14,"CNPJ INVALIDO","OK"))</f>
      </c>
      <c r="Y54" s="3056">
        <f>IF(A54="","",IF(R54="","REST PENDENTE","REST OK"))</f>
      </c>
      <c r="Z54" s="3056">
        <f>IF(A54="","",IF(AND(R54&lt;&gt;"",COUNTIFS($D$3:$D$164,D54,$R$3:$R$164,"&lt;&gt;")&gt;1),"DUPLICADO","OK"))</f>
      </c>
      <c r="AA54" s="3056">
        <f>IF(A54="","",IF(OR(LEN(Q54)&gt;180,LEN(R54)&gt;180,LEN(S54)&gt;180,LEN(T54)&gt;180),"CAMINHO LONGO","OK"))</f>
      </c>
      <c r="AB54" s="3056">
        <f>IF(A54="","",IF(U54="","",IFERROR(INT(U54-TODAY()),"")))</f>
      </c>
      <c r="AC54" s="3056">
        <f>IF(A54="","",IF(AND(T54="",U54=""),"",IF(T54="","SEM CAMINHO",IF(U54="","SEM DATA",IFERROR(IF(AB54&lt;15,"VERMELHO",IF(AB54&lt;=30,"AMARELO","VERDE")),"DATA INVALIDA")))))</f>
      </c>
      <c r="AD54" s="3056">
        <f>IF(OR(A54="",U54="",NOT(ISNUMBER(AB54))),"",RANK(AB54,$AB$3:$AB$164,1)+COUNTIFS($AB$3:AB54,AB54)-1)</f>
      </c>
      <c r="AE54" s="1736"/>
    </row>
    <row r="55" spans="1:19" ht="22.0" hidden="false" customHeight="true" x14ac:dyDescent="0.25">
      <c r="A55" s="3099" t="s">
        <v>133</v>
      </c>
      <c r="B55" s="3098" t="s">
        <v>134</v>
      </c>
      <c r="C55" s="3098" t="s">
        <v>116</v>
      </c>
      <c r="D55" s="3098" t="s">
        <v>135</v>
      </c>
      <c r="E55" s="3098"/>
      <c r="F55" s="3098" t="s">
        <v>136</v>
      </c>
      <c r="G55" s="3098" t="s">
        <v>41</v>
      </c>
      <c r="H55" s="3098" t="s">
        <v>5</v>
      </c>
      <c r="I55" s="3098"/>
      <c r="J55" s="3098"/>
      <c r="K55" s="3098"/>
      <c r="L55" s="3098"/>
      <c r="M55" s="3098" t="s">
        <v>379</v>
      </c>
      <c r="N55" s="3098"/>
      <c r="O55" s="3098" t="s">
        <v>351</v>
      </c>
      <c r="P55" s="3098"/>
      <c r="Q55" s="3101"/>
      <c r="R55" s="3101"/>
      <c r="S55" s="3101"/>
      <c r="T55" s="3101"/>
      <c r="U55" s="3102"/>
      <c r="V55" s="3098"/>
      <c r="W55" s="3098"/>
      <c r="X55" s="3056">
        <f>IF(A55="","",IF(LEN(SUBSTITUTE(SUBSTITUTE(SUBSTITUTE(SUBSTITUTE(D55,".",""),"/",""),"-","")," ",""))&lt;&gt;14,"CNPJ INVALIDO","OK"))</f>
      </c>
      <c r="Y55" s="3056">
        <f>IF(A55="","",IF(R55="","REST PENDENTE","REST OK"))</f>
      </c>
      <c r="Z55" s="3056">
        <f>IF(A55="","",IF(AND(R55&lt;&gt;"",COUNTIFS($D$3:$D$164,D55,$R$3:$R$164,"&lt;&gt;")&gt;1),"DUPLICADO","OK"))</f>
      </c>
      <c r="AA55" s="3056">
        <f>IF(A55="","",IF(OR(LEN(Q55)&gt;180,LEN(R55)&gt;180,LEN(S55)&gt;180,LEN(T55)&gt;180),"CAMINHO LONGO","OK"))</f>
      </c>
      <c r="AB55" s="3056">
        <f>IF(A55="","",IF(U55="","",IFERROR(INT(U55-TODAY()),"")))</f>
      </c>
      <c r="AC55" s="3056">
        <f>IF(A55="","",IF(AND(T55="",U55=""),"",IF(T55="","SEM CAMINHO",IF(U55="","SEM DATA",IFERROR(IF(AB55&lt;15,"VERMELHO",IF(AB55&lt;=30,"AMARELO","VERDE")),"DATA INVALIDA")))))</f>
      </c>
      <c r="AD55" s="3056">
        <f>IF(OR(A55="",U55="",NOT(ISNUMBER(AB55))),"",RANK(AB55,$AB$3:$AB$164,1)+COUNTIFS($AB$3:AB55,AB55)-1)</f>
      </c>
      <c r="AE55" s="1736"/>
    </row>
    <row r="56" spans="1:19" ht="22.0" hidden="false" customHeight="true" x14ac:dyDescent="0.25">
      <c r="A56" s="3104" t="s">
        <v>137</v>
      </c>
      <c r="B56" s="3103" t="s">
        <v>134</v>
      </c>
      <c r="C56" s="3103" t="s">
        <v>122</v>
      </c>
      <c r="D56" s="3103">
        <v>34046667000147</v>
      </c>
      <c r="E56" s="3103"/>
      <c r="F56" s="3103" t="s">
        <v>138</v>
      </c>
      <c r="G56" s="3103" t="s">
        <v>4</v>
      </c>
      <c r="H56" s="3103" t="s">
        <v>5</v>
      </c>
      <c r="I56" s="3103"/>
      <c r="J56" s="3103"/>
      <c r="K56" s="3103"/>
      <c r="L56" s="3103"/>
      <c r="M56" s="3103" t="s">
        <v>385</v>
      </c>
      <c r="N56" s="3103"/>
      <c r="O56" s="3103" t="s">
        <v>351</v>
      </c>
      <c r="P56" s="3103"/>
      <c r="Q56" s="3106"/>
      <c r="R56" s="3106"/>
      <c r="S56" s="3106"/>
      <c r="T56" s="3106"/>
      <c r="U56" s="3107"/>
      <c r="V56" s="3103"/>
      <c r="W56" s="3103"/>
      <c r="X56" s="3056">
        <f>IF(A56="","",IF(LEN(SUBSTITUTE(SUBSTITUTE(SUBSTITUTE(SUBSTITUTE(D56,".",""),"/",""),"-","")," ",""))&lt;&gt;14,"CNPJ INVALIDO","OK"))</f>
      </c>
      <c r="Y56" s="3056">
        <f>IF(A56="","",IF(R56="","REST PENDENTE","REST OK"))</f>
      </c>
      <c r="Z56" s="3056">
        <f>IF(A56="","",IF(AND(R56&lt;&gt;"",COUNTIFS($D$3:$D$164,D56,$R$3:$R$164,"&lt;&gt;")&gt;1),"DUPLICADO","OK"))</f>
      </c>
      <c r="AA56" s="3056">
        <f>IF(A56="","",IF(OR(LEN(Q56)&gt;180,LEN(R56)&gt;180,LEN(S56)&gt;180,LEN(T56)&gt;180),"CAMINHO LONGO","OK"))</f>
      </c>
      <c r="AB56" s="3056">
        <f>IF(A56="","",IF(U56="","",IFERROR(INT(U56-TODAY()),"")))</f>
      </c>
      <c r="AC56" s="3056">
        <f>IF(A56="","",IF(AND(T56="",U56=""),"",IF(T56="","SEM CAMINHO",IF(U56="","SEM DATA",IFERROR(IF(AB56&lt;15,"VERMELHO",IF(AB56&lt;=30,"AMARELO","VERDE")),"DATA INVALIDA")))))</f>
      </c>
      <c r="AD56" s="3056">
        <f>IF(OR(A56="",U56="",NOT(ISNUMBER(AB56))),"",RANK(AB56,$AB$3:$AB$164,1)+COUNTIFS($AB$3:AB56,AB56)-1)</f>
      </c>
      <c r="AE56" s="1736"/>
    </row>
    <row r="57" spans="1:19" ht="22.0" hidden="false" customHeight="true" x14ac:dyDescent="0.25">
      <c r="A57" s="3099" t="s">
        <v>139</v>
      </c>
      <c r="B57" s="3098" t="s">
        <v>134</v>
      </c>
      <c r="C57" s="3098" t="s">
        <v>122</v>
      </c>
      <c r="D57" s="3098">
        <v>40932575000167</v>
      </c>
      <c r="E57" s="3098"/>
      <c r="F57" s="3098" t="s">
        <v>140</v>
      </c>
      <c r="G57" s="3098" t="s">
        <v>4</v>
      </c>
      <c r="H57" s="3098" t="s">
        <v>5</v>
      </c>
      <c r="I57" s="3098"/>
      <c r="J57" s="3098"/>
      <c r="K57" s="3098"/>
      <c r="L57" s="3098"/>
      <c r="M57" s="3098" t="s">
        <v>379</v>
      </c>
      <c r="N57" s="3098"/>
      <c r="O57" s="3098" t="s">
        <v>351</v>
      </c>
      <c r="P57" s="3098"/>
      <c r="Q57" s="3101"/>
      <c r="R57" s="3101"/>
      <c r="S57" s="3101"/>
      <c r="T57" s="3101"/>
      <c r="U57" s="3102"/>
      <c r="V57" s="3098"/>
      <c r="W57" s="3098"/>
      <c r="X57" s="3056">
        <f>IF(A57="","",IF(LEN(SUBSTITUTE(SUBSTITUTE(SUBSTITUTE(SUBSTITUTE(D57,".",""),"/",""),"-","")," ",""))&lt;&gt;14,"CNPJ INVALIDO","OK"))</f>
      </c>
      <c r="Y57" s="3056">
        <f>IF(A57="","",IF(R57="","REST PENDENTE","REST OK"))</f>
      </c>
      <c r="Z57" s="3056">
        <f>IF(A57="","",IF(AND(R57&lt;&gt;"",COUNTIFS($D$3:$D$164,D57,$R$3:$R$164,"&lt;&gt;")&gt;1),"DUPLICADO","OK"))</f>
      </c>
      <c r="AA57" s="3056">
        <f>IF(A57="","",IF(OR(LEN(Q57)&gt;180,LEN(R57)&gt;180,LEN(S57)&gt;180,LEN(T57)&gt;180),"CAMINHO LONGO","OK"))</f>
      </c>
      <c r="AB57" s="3056">
        <f>IF(A57="","",IF(U57="","",IFERROR(INT(U57-TODAY()),"")))</f>
      </c>
      <c r="AC57" s="3056">
        <f>IF(A57="","",IF(AND(T57="",U57=""),"",IF(T57="","SEM CAMINHO",IF(U57="","SEM DATA",IFERROR(IF(AB57&lt;15,"VERMELHO",IF(AB57&lt;=30,"AMARELO","VERDE")),"DATA INVALIDA")))))</f>
      </c>
      <c r="AD57" s="3056">
        <f>IF(OR(A57="",U57="",NOT(ISNUMBER(AB57))),"",RANK(AB57,$AB$3:$AB$164,1)+COUNTIFS($AB$3:AB57,AB57)-1)</f>
      </c>
      <c r="AE57" s="1736"/>
    </row>
    <row r="58" spans="1:19" ht="22.0" hidden="false" customHeight="true" x14ac:dyDescent="0.25">
      <c r="A58" s="3104" t="s">
        <v>141</v>
      </c>
      <c r="B58" s="3103" t="s">
        <v>142</v>
      </c>
      <c r="C58" s="3103" t="s">
        <v>62</v>
      </c>
      <c r="D58" s="3103" t="s">
        <v>143</v>
      </c>
      <c r="E58" s="3103"/>
      <c r="F58" s="3103" t="s">
        <v>144</v>
      </c>
      <c r="G58" s="3103" t="s">
        <v>13</v>
      </c>
      <c r="H58" s="3103" t="s">
        <v>49</v>
      </c>
      <c r="I58" s="3103"/>
      <c r="J58" s="3103"/>
      <c r="K58" s="3103"/>
      <c r="L58" s="3103"/>
      <c r="M58" s="3103" t="s">
        <v>385</v>
      </c>
      <c r="N58" s="3103"/>
      <c r="O58" s="3103" t="s">
        <v>347</v>
      </c>
      <c r="P58" s="3103"/>
      <c r="Q58" s="3106"/>
      <c r="R58" s="3106"/>
      <c r="S58" s="3106"/>
      <c r="T58" s="3106"/>
      <c r="U58" s="3107"/>
      <c r="V58" s="3103"/>
      <c r="W58" s="3103"/>
      <c r="X58" s="3056">
        <f>IF(A58="","",IF(LEN(SUBSTITUTE(SUBSTITUTE(SUBSTITUTE(SUBSTITUTE(D58,".",""),"/",""),"-","")," ",""))&lt;&gt;14,"CNPJ INVALIDO","OK"))</f>
      </c>
      <c r="Y58" s="3056">
        <f>IF(A58="","",IF(R58="","REST PENDENTE","REST OK"))</f>
      </c>
      <c r="Z58" s="3056">
        <f>IF(A58="","",IF(AND(R58&lt;&gt;"",COUNTIFS($D$3:$D$164,D58,$R$3:$R$164,"&lt;&gt;")&gt;1),"DUPLICADO","OK"))</f>
      </c>
      <c r="AA58" s="3056">
        <f>IF(A58="","",IF(OR(LEN(Q58)&gt;180,LEN(R58)&gt;180,LEN(S58)&gt;180,LEN(T58)&gt;180),"CAMINHO LONGO","OK"))</f>
      </c>
      <c r="AB58" s="3056">
        <f>IF(A58="","",IF(U58="","",IFERROR(INT(U58-TODAY()),"")))</f>
      </c>
      <c r="AC58" s="3056">
        <f>IF(A58="","",IF(AND(T58="",U58=""),"",IF(T58="","SEM CAMINHO",IF(U58="","SEM DATA",IFERROR(IF(AB58&lt;15,"VERMELHO",IF(AB58&lt;=30,"AMARELO","VERDE")),"DATA INVALIDA")))))</f>
      </c>
      <c r="AD58" s="3056">
        <f>IF(OR(A58="",U58="",NOT(ISNUMBER(AB58))),"",RANK(AB58,$AB$3:$AB$164,1)+COUNTIFS($AB$3:AB58,AB58)-1)</f>
      </c>
      <c r="AE58" s="1736"/>
    </row>
    <row r="59" spans="1:19" ht="22.0" hidden="false" customHeight="true" x14ac:dyDescent="0.25">
      <c r="A59" s="3099" t="s">
        <v>145</v>
      </c>
      <c r="B59" s="3098" t="s">
        <v>142</v>
      </c>
      <c r="C59" s="3098" t="s">
        <v>62</v>
      </c>
      <c r="D59" s="3098">
        <v>60906391000130</v>
      </c>
      <c r="E59" s="3098"/>
      <c r="F59" s="3098" t="s">
        <v>144</v>
      </c>
      <c r="G59" s="3098" t="s">
        <v>4</v>
      </c>
      <c r="H59" s="3098" t="s">
        <v>49</v>
      </c>
      <c r="I59" s="3098"/>
      <c r="J59" s="3098"/>
      <c r="K59" s="3098"/>
      <c r="L59" s="3098"/>
      <c r="M59" s="3098" t="s">
        <v>385</v>
      </c>
      <c r="N59" s="3098"/>
      <c r="O59" s="3098" t="s">
        <v>351</v>
      </c>
      <c r="P59" s="3098"/>
      <c r="Q59" s="3101"/>
      <c r="R59" s="3101"/>
      <c r="S59" s="3101"/>
      <c r="T59" s="3101"/>
      <c r="U59" s="3102"/>
      <c r="V59" s="3098"/>
      <c r="W59" s="3098"/>
      <c r="X59" s="3056">
        <f>IF(A59="","",IF(LEN(SUBSTITUTE(SUBSTITUTE(SUBSTITUTE(SUBSTITUTE(D59,".",""),"/",""),"-","")," ",""))&lt;&gt;14,"CNPJ INVALIDO","OK"))</f>
      </c>
      <c r="Y59" s="3056">
        <f>IF(A59="","",IF(R59="","REST PENDENTE","REST OK"))</f>
      </c>
      <c r="Z59" s="3056">
        <f>IF(A59="","",IF(AND(R59&lt;&gt;"",COUNTIFS($D$3:$D$164,D59,$R$3:$R$164,"&lt;&gt;")&gt;1),"DUPLICADO","OK"))</f>
      </c>
      <c r="AA59" s="3056">
        <f>IF(A59="","",IF(OR(LEN(Q59)&gt;180,LEN(R59)&gt;180,LEN(S59)&gt;180,LEN(T59)&gt;180),"CAMINHO LONGO","OK"))</f>
      </c>
      <c r="AB59" s="3056">
        <f>IF(A59="","",IF(U59="","",IFERROR(INT(U59-TODAY()),"")))</f>
      </c>
      <c r="AC59" s="3056">
        <f>IF(A59="","",IF(AND(T59="",U59=""),"",IF(T59="","SEM CAMINHO",IF(U59="","SEM DATA",IFERROR(IF(AB59&lt;15,"VERMELHO",IF(AB59&lt;=30,"AMARELO","VERDE")),"DATA INVALIDA")))))</f>
      </c>
      <c r="AD59" s="3056">
        <f>IF(OR(A59="",U59="",NOT(ISNUMBER(AB59))),"",RANK(AB59,$AB$3:$AB$164,1)+COUNTIFS($AB$3:AB59,AB59)-1)</f>
      </c>
      <c r="AE59" s="1736"/>
    </row>
    <row r="60" spans="1:19" ht="22.0" hidden="false" customHeight="true" x14ac:dyDescent="0.25">
      <c r="A60" s="3104" t="s">
        <v>146</v>
      </c>
      <c r="B60" s="3103" t="s">
        <v>75</v>
      </c>
      <c r="C60" s="3103" t="s">
        <v>62</v>
      </c>
      <c r="D60" s="3103">
        <v>41762299000107</v>
      </c>
      <c r="E60" s="3103"/>
      <c r="F60" s="3103" t="s">
        <v>147</v>
      </c>
      <c r="G60" s="3103" t="s">
        <v>4</v>
      </c>
      <c r="H60" s="3103" t="s">
        <v>5</v>
      </c>
      <c r="I60" s="3103"/>
      <c r="J60" s="3103"/>
      <c r="K60" s="3103"/>
      <c r="L60" s="3103"/>
      <c r="M60" s="3103" t="s">
        <v>379</v>
      </c>
      <c r="N60" s="3103"/>
      <c r="O60" s="3103" t="s">
        <v>352</v>
      </c>
      <c r="P60" s="3103"/>
      <c r="Q60" s="3106"/>
      <c r="R60" s="3106"/>
      <c r="S60" s="3106"/>
      <c r="T60" s="3106"/>
      <c r="U60" s="3107"/>
      <c r="V60" s="3103"/>
      <c r="W60" s="3103"/>
      <c r="X60" s="3056">
        <f>IF(A60="","",IF(LEN(SUBSTITUTE(SUBSTITUTE(SUBSTITUTE(SUBSTITUTE(D60,".",""),"/",""),"-","")," ",""))&lt;&gt;14,"CNPJ INVALIDO","OK"))</f>
      </c>
      <c r="Y60" s="3056">
        <f>IF(A60="","",IF(R60="","REST PENDENTE","REST OK"))</f>
      </c>
      <c r="Z60" s="3056">
        <f>IF(A60="","",IF(AND(R60&lt;&gt;"",COUNTIFS($D$3:$D$164,D60,$R$3:$R$164,"&lt;&gt;")&gt;1),"DUPLICADO","OK"))</f>
      </c>
      <c r="AA60" s="3056">
        <f>IF(A60="","",IF(OR(LEN(Q60)&gt;180,LEN(R60)&gt;180,LEN(S60)&gt;180,LEN(T60)&gt;180),"CAMINHO LONGO","OK"))</f>
      </c>
      <c r="AB60" s="3056">
        <f>IF(A60="","",IF(U60="","",IFERROR(INT(U60-TODAY()),"")))</f>
      </c>
      <c r="AC60" s="3056">
        <f>IF(A60="","",IF(AND(T60="",U60=""),"",IF(T60="","SEM CAMINHO",IF(U60="","SEM DATA",IFERROR(IF(AB60&lt;15,"VERMELHO",IF(AB60&lt;=30,"AMARELO","VERDE")),"DATA INVALIDA")))))</f>
      </c>
      <c r="AD60" s="3056">
        <f>IF(OR(A60="",U60="",NOT(ISNUMBER(AB60))),"",RANK(AB60,$AB$3:$AB$164,1)+COUNTIFS($AB$3:AB60,AB60)-1)</f>
      </c>
      <c r="AE60" s="1736"/>
    </row>
    <row r="61" spans="1:19" ht="22.0" hidden="false" customHeight="true" x14ac:dyDescent="0.25">
      <c r="A61" s="3099" t="s">
        <v>148</v>
      </c>
      <c r="B61" s="3098" t="s">
        <v>149</v>
      </c>
      <c r="C61" s="3098" t="s">
        <v>59</v>
      </c>
      <c r="D61" s="3098">
        <v>52090662000101</v>
      </c>
      <c r="E61" s="3098"/>
      <c r="F61" s="3098" t="s">
        <v>150</v>
      </c>
      <c r="G61" s="3098" t="s">
        <v>4</v>
      </c>
      <c r="H61" s="3098" t="s">
        <v>5</v>
      </c>
      <c r="I61" s="3098"/>
      <c r="J61" s="3098"/>
      <c r="K61" s="3098"/>
      <c r="L61" s="3098"/>
      <c r="M61" s="3098" t="s">
        <v>379</v>
      </c>
      <c r="N61" s="3098"/>
      <c r="O61" s="3098" t="s">
        <v>351</v>
      </c>
      <c r="P61" s="3098"/>
      <c r="Q61" s="3101"/>
      <c r="R61" s="3101"/>
      <c r="S61" s="3101"/>
      <c r="T61" s="3101"/>
      <c r="U61" s="3102"/>
      <c r="V61" s="3098"/>
      <c r="W61" s="3098"/>
      <c r="X61" s="3056">
        <f>IF(A61="","",IF(LEN(SUBSTITUTE(SUBSTITUTE(SUBSTITUTE(SUBSTITUTE(D61,".",""),"/",""),"-","")," ",""))&lt;&gt;14,"CNPJ INVALIDO","OK"))</f>
      </c>
      <c r="Y61" s="3056">
        <f>IF(A61="","",IF(R61="","REST PENDENTE","REST OK"))</f>
      </c>
      <c r="Z61" s="3056">
        <f>IF(A61="","",IF(AND(R61&lt;&gt;"",COUNTIFS($D$3:$D$164,D61,$R$3:$R$164,"&lt;&gt;")&gt;1),"DUPLICADO","OK"))</f>
      </c>
      <c r="AA61" s="3056">
        <f>IF(A61="","",IF(OR(LEN(Q61)&gt;180,LEN(R61)&gt;180,LEN(S61)&gt;180,LEN(T61)&gt;180),"CAMINHO LONGO","OK"))</f>
      </c>
      <c r="AB61" s="3056">
        <f>IF(A61="","",IF(U61="","",IFERROR(INT(U61-TODAY()),"")))</f>
      </c>
      <c r="AC61" s="3056">
        <f>IF(A61="","",IF(AND(T61="",U61=""),"",IF(T61="","SEM CAMINHO",IF(U61="","SEM DATA",IFERROR(IF(AB61&lt;15,"VERMELHO",IF(AB61&lt;=30,"AMARELO","VERDE")),"DATA INVALIDA")))))</f>
      </c>
      <c r="AD61" s="3056">
        <f>IF(OR(A61="",U61="",NOT(ISNUMBER(AB61))),"",RANK(AB61,$AB$3:$AB$164,1)+COUNTIFS($AB$3:AB61,AB61)-1)</f>
      </c>
      <c r="AE61" s="1736"/>
    </row>
    <row r="62" spans="1:19" ht="22.0" hidden="false" customHeight="true" x14ac:dyDescent="0.25">
      <c r="A62" s="3104" t="s">
        <v>151</v>
      </c>
      <c r="B62" s="3103" t="s">
        <v>149</v>
      </c>
      <c r="C62" s="3103" t="s">
        <v>46</v>
      </c>
      <c r="D62" s="3103" t="s">
        <v>152</v>
      </c>
      <c r="E62" s="3103"/>
      <c r="F62" s="3103" t="s">
        <v>150</v>
      </c>
      <c r="G62" s="3103" t="s">
        <v>13</v>
      </c>
      <c r="H62" s="3103" t="s">
        <v>49</v>
      </c>
      <c r="I62" s="3103"/>
      <c r="J62" s="3103"/>
      <c r="K62" s="3103"/>
      <c r="L62" s="3103"/>
      <c r="M62" s="3103" t="s">
        <v>377</v>
      </c>
      <c r="N62" s="3103"/>
      <c r="O62" s="3103" t="s">
        <v>347</v>
      </c>
      <c r="P62" s="3103"/>
      <c r="Q62" s="3106"/>
      <c r="R62" s="3106"/>
      <c r="S62" s="3106"/>
      <c r="T62" s="3106"/>
      <c r="U62" s="3107"/>
      <c r="V62" s="3103"/>
      <c r="W62" s="3103"/>
      <c r="X62" s="3056">
        <f>IF(A62="","",IF(LEN(SUBSTITUTE(SUBSTITUTE(SUBSTITUTE(SUBSTITUTE(D62,".",""),"/",""),"-","")," ",""))&lt;&gt;14,"CNPJ INVALIDO","OK"))</f>
      </c>
      <c r="Y62" s="3056">
        <f>IF(A62="","",IF(R62="","REST PENDENTE","REST OK"))</f>
      </c>
      <c r="Z62" s="3056">
        <f>IF(A62="","",IF(AND(R62&lt;&gt;"",COUNTIFS($D$3:$D$164,D62,$R$3:$R$164,"&lt;&gt;")&gt;1),"DUPLICADO","OK"))</f>
      </c>
      <c r="AA62" s="3056">
        <f>IF(A62="","",IF(OR(LEN(Q62)&gt;180,LEN(R62)&gt;180,LEN(S62)&gt;180,LEN(T62)&gt;180),"CAMINHO LONGO","OK"))</f>
      </c>
      <c r="AB62" s="3056">
        <f>IF(A62="","",IF(U62="","",IFERROR(INT(U62-TODAY()),"")))</f>
      </c>
      <c r="AC62" s="3056">
        <f>IF(A62="","",IF(AND(T62="",U62=""),"",IF(T62="","SEM CAMINHO",IF(U62="","SEM DATA",IFERROR(IF(AB62&lt;15,"VERMELHO",IF(AB62&lt;=30,"AMARELO","VERDE")),"DATA INVALIDA")))))</f>
      </c>
      <c r="AD62" s="3056">
        <f>IF(OR(A62="",U62="",NOT(ISNUMBER(AB62))),"",RANK(AB62,$AB$3:$AB$164,1)+COUNTIFS($AB$3:AB62,AB62)-1)</f>
      </c>
      <c r="AE62" s="1736"/>
    </row>
    <row r="63" spans="1:19" ht="22.0" hidden="false" customHeight="true" x14ac:dyDescent="0.25">
      <c r="A63" s="3099" t="s">
        <v>153</v>
      </c>
      <c r="B63" s="3098" t="s">
        <v>149</v>
      </c>
      <c r="C63" s="3098" t="s">
        <v>46</v>
      </c>
      <c r="D63" s="3098" t="s">
        <v>154</v>
      </c>
      <c r="E63" s="3098"/>
      <c r="F63" s="3098" t="s">
        <v>150</v>
      </c>
      <c r="G63" s="3098" t="s">
        <v>13</v>
      </c>
      <c r="H63" s="3098" t="s">
        <v>49</v>
      </c>
      <c r="I63" s="3098"/>
      <c r="J63" s="3098"/>
      <c r="K63" s="3098"/>
      <c r="L63" s="3098"/>
      <c r="M63" s="3098" t="s">
        <v>377</v>
      </c>
      <c r="N63" s="3098"/>
      <c r="O63" s="3098" t="s">
        <v>347</v>
      </c>
      <c r="P63" s="3098"/>
      <c r="Q63" s="3101"/>
      <c r="R63" s="3101"/>
      <c r="S63" s="3101"/>
      <c r="T63" s="3101"/>
      <c r="U63" s="3102"/>
      <c r="V63" s="3098"/>
      <c r="W63" s="3098"/>
      <c r="X63" s="3056">
        <f>IF(A63="","",IF(LEN(SUBSTITUTE(SUBSTITUTE(SUBSTITUTE(SUBSTITUTE(D63,".",""),"/",""),"-","")," ",""))&lt;&gt;14,"CNPJ INVALIDO","OK"))</f>
      </c>
      <c r="Y63" s="3056">
        <f>IF(A63="","",IF(R63="","REST PENDENTE","REST OK"))</f>
      </c>
      <c r="Z63" s="3056">
        <f>IF(A63="","",IF(AND(R63&lt;&gt;"",COUNTIFS($D$3:$D$164,D63,$R$3:$R$164,"&lt;&gt;")&gt;1),"DUPLICADO","OK"))</f>
      </c>
      <c r="AA63" s="3056">
        <f>IF(A63="","",IF(OR(LEN(Q63)&gt;180,LEN(R63)&gt;180,LEN(S63)&gt;180,LEN(T63)&gt;180),"CAMINHO LONGO","OK"))</f>
      </c>
      <c r="AB63" s="3056">
        <f>IF(A63="","",IF(U63="","",IFERROR(INT(U63-TODAY()),"")))</f>
      </c>
      <c r="AC63" s="3056">
        <f>IF(A63="","",IF(AND(T63="",U63=""),"",IF(T63="","SEM CAMINHO",IF(U63="","SEM DATA",IFERROR(IF(AB63&lt;15,"VERMELHO",IF(AB63&lt;=30,"AMARELO","VERDE")),"DATA INVALIDA")))))</f>
      </c>
      <c r="AD63" s="3056">
        <f>IF(OR(A63="",U63="",NOT(ISNUMBER(AB63))),"",RANK(AB63,$AB$3:$AB$164,1)+COUNTIFS($AB$3:AB63,AB63)-1)</f>
      </c>
      <c r="AE63" s="1736"/>
    </row>
    <row r="64" spans="1:19" ht="22.0" hidden="false" customHeight="true" x14ac:dyDescent="0.25">
      <c r="A64" s="3104" t="s">
        <v>155</v>
      </c>
      <c r="B64" s="3103" t="s">
        <v>61</v>
      </c>
      <c r="C64" s="3103" t="s">
        <v>62</v>
      </c>
      <c r="D64" s="3103">
        <v>8587897000103</v>
      </c>
      <c r="E64" s="3103"/>
      <c r="F64" s="3103" t="s">
        <v>63</v>
      </c>
      <c r="G64" s="3103" t="s">
        <v>41</v>
      </c>
      <c r="H64" s="3103" t="s">
        <v>5</v>
      </c>
      <c r="I64" s="3103"/>
      <c r="J64" s="3103"/>
      <c r="K64" s="3103"/>
      <c r="L64" s="3103"/>
      <c r="M64" s="3103" t="s">
        <v>379</v>
      </c>
      <c r="N64" s="3103"/>
      <c r="O64" s="3103" t="s">
        <v>351</v>
      </c>
      <c r="P64" s="3103"/>
      <c r="Q64" s="3106"/>
      <c r="R64" s="3106"/>
      <c r="S64" s="3106"/>
      <c r="T64" s="3106"/>
      <c r="U64" s="3107"/>
      <c r="V64" s="3103"/>
      <c r="W64" s="3103"/>
      <c r="X64" s="3056">
        <f>IF(A64="","",IF(LEN(SUBSTITUTE(SUBSTITUTE(SUBSTITUTE(SUBSTITUTE(D64,".",""),"/",""),"-","")," ",""))&lt;&gt;14,"CNPJ INVALIDO","OK"))</f>
      </c>
      <c r="Y64" s="3056">
        <f>IF(A64="","",IF(R64="","REST PENDENTE","REST OK"))</f>
      </c>
      <c r="Z64" s="3056">
        <f>IF(A64="","",IF(AND(R64&lt;&gt;"",COUNTIFS($D$3:$D$164,D64,$R$3:$R$164,"&lt;&gt;")&gt;1),"DUPLICADO","OK"))</f>
      </c>
      <c r="AA64" s="3056">
        <f>IF(A64="","",IF(OR(LEN(Q64)&gt;180,LEN(R64)&gt;180,LEN(S64)&gt;180,LEN(T64)&gt;180),"CAMINHO LONGO","OK"))</f>
      </c>
      <c r="AB64" s="3056">
        <f>IF(A64="","",IF(U64="","",IFERROR(INT(U64-TODAY()),"")))</f>
      </c>
      <c r="AC64" s="3056">
        <f>IF(A64="","",IF(AND(T64="",U64=""),"",IF(T64="","SEM CAMINHO",IF(U64="","SEM DATA",IFERROR(IF(AB64&lt;15,"VERMELHO",IF(AB64&lt;=30,"AMARELO","VERDE")),"DATA INVALIDA")))))</f>
      </c>
      <c r="AD64" s="3056">
        <f>IF(OR(A64="",U64="",NOT(ISNUMBER(AB64))),"",RANK(AB64,$AB$3:$AB$164,1)+COUNTIFS($AB$3:AB64,AB64)-1)</f>
      </c>
      <c r="AE64" s="1736"/>
    </row>
    <row r="65" spans="1:19" ht="22.0" hidden="false" customHeight="true" x14ac:dyDescent="0.25">
      <c r="A65" s="3099" t="s">
        <v>156</v>
      </c>
      <c r="B65" s="3098" t="s">
        <v>61</v>
      </c>
      <c r="C65" s="3098" t="s">
        <v>62</v>
      </c>
      <c r="D65" s="3098">
        <v>17845713000159</v>
      </c>
      <c r="E65" s="3098"/>
      <c r="F65" s="3098" t="s">
        <v>63</v>
      </c>
      <c r="G65" s="3098" t="s">
        <v>41</v>
      </c>
      <c r="H65" s="3098" t="s">
        <v>5</v>
      </c>
      <c r="I65" s="3098"/>
      <c r="J65" s="3098"/>
      <c r="K65" s="3098"/>
      <c r="L65" s="3098"/>
      <c r="M65" s="3098" t="s">
        <v>379</v>
      </c>
      <c r="N65" s="3098"/>
      <c r="O65" s="3098" t="s">
        <v>351</v>
      </c>
      <c r="P65" s="3098"/>
      <c r="Q65" s="3101"/>
      <c r="R65" s="3101"/>
      <c r="S65" s="3101"/>
      <c r="T65" s="3101"/>
      <c r="U65" s="3102"/>
      <c r="V65" s="3098"/>
      <c r="W65" s="3098"/>
      <c r="X65" s="3056">
        <f>IF(A65="","",IF(LEN(SUBSTITUTE(SUBSTITUTE(SUBSTITUTE(SUBSTITUTE(D65,".",""),"/",""),"-","")," ",""))&lt;&gt;14,"CNPJ INVALIDO","OK"))</f>
      </c>
      <c r="Y65" s="3056">
        <f>IF(A65="","",IF(R65="","REST PENDENTE","REST OK"))</f>
      </c>
      <c r="Z65" s="3056">
        <f>IF(A65="","",IF(AND(R65&lt;&gt;"",COUNTIFS($D$3:$D$164,D65,$R$3:$R$164,"&lt;&gt;")&gt;1),"DUPLICADO","OK"))</f>
      </c>
      <c r="AA65" s="3056">
        <f>IF(A65="","",IF(OR(LEN(Q65)&gt;180,LEN(R65)&gt;180,LEN(S65)&gt;180,LEN(T65)&gt;180),"CAMINHO LONGO","OK"))</f>
      </c>
      <c r="AB65" s="3056">
        <f>IF(A65="","",IF(U65="","",IFERROR(INT(U65-TODAY()),"")))</f>
      </c>
      <c r="AC65" s="3056">
        <f>IF(A65="","",IF(AND(T65="",U65=""),"",IF(T65="","SEM CAMINHO",IF(U65="","SEM DATA",IFERROR(IF(AB65&lt;15,"VERMELHO",IF(AB65&lt;=30,"AMARELO","VERDE")),"DATA INVALIDA")))))</f>
      </c>
      <c r="AD65" s="3056">
        <f>IF(OR(A65="",U65="",NOT(ISNUMBER(AB65))),"",RANK(AB65,$AB$3:$AB$164,1)+COUNTIFS($AB$3:AB65,AB65)-1)</f>
      </c>
      <c r="AE65" s="1736"/>
    </row>
    <row r="66" spans="1:19" ht="22.0" hidden="false" customHeight="true" x14ac:dyDescent="0.25">
      <c r="A66" s="3104" t="s">
        <v>157</v>
      </c>
      <c r="B66" s="3103" t="s">
        <v>61</v>
      </c>
      <c r="C66" s="3103" t="s">
        <v>62</v>
      </c>
      <c r="D66" s="3103">
        <v>37646098000169</v>
      </c>
      <c r="E66" s="3103"/>
      <c r="F66" s="3103" t="s">
        <v>63</v>
      </c>
      <c r="G66" s="3103" t="s">
        <v>41</v>
      </c>
      <c r="H66" s="3103" t="s">
        <v>5</v>
      </c>
      <c r="I66" s="3103"/>
      <c r="J66" s="3103"/>
      <c r="K66" s="3103"/>
      <c r="L66" s="3103"/>
      <c r="M66" s="3103" t="s">
        <v>379</v>
      </c>
      <c r="N66" s="3103"/>
      <c r="O66" s="3103" t="s">
        <v>353</v>
      </c>
      <c r="P66" s="3103"/>
      <c r="Q66" s="3106"/>
      <c r="R66" s="3106"/>
      <c r="S66" s="3106"/>
      <c r="T66" s="3106"/>
      <c r="U66" s="3107"/>
      <c r="V66" s="3103"/>
      <c r="W66" s="3103"/>
      <c r="X66" s="3056">
        <f>IF(A66="","",IF(LEN(SUBSTITUTE(SUBSTITUTE(SUBSTITUTE(SUBSTITUTE(D66,".",""),"/",""),"-","")," ",""))&lt;&gt;14,"CNPJ INVALIDO","OK"))</f>
      </c>
      <c r="Y66" s="3056">
        <f>IF(A66="","",IF(R66="","REST PENDENTE","REST OK"))</f>
      </c>
      <c r="Z66" s="3056">
        <f>IF(A66="","",IF(AND(R66&lt;&gt;"",COUNTIFS($D$3:$D$164,D66,$R$3:$R$164,"&lt;&gt;")&gt;1),"DUPLICADO","OK"))</f>
      </c>
      <c r="AA66" s="3056">
        <f>IF(A66="","",IF(OR(LEN(Q66)&gt;180,LEN(R66)&gt;180,LEN(S66)&gt;180,LEN(T66)&gt;180),"CAMINHO LONGO","OK"))</f>
      </c>
      <c r="AB66" s="3056">
        <f>IF(A66="","",IF(U66="","",IFERROR(INT(U66-TODAY()),"")))</f>
      </c>
      <c r="AC66" s="3056">
        <f>IF(A66="","",IF(AND(T66="",U66=""),"",IF(T66="","SEM CAMINHO",IF(U66="","SEM DATA",IFERROR(IF(AB66&lt;15,"VERMELHO",IF(AB66&lt;=30,"AMARELO","VERDE")),"DATA INVALIDA")))))</f>
      </c>
      <c r="AD66" s="3056">
        <f>IF(OR(A66="",U66="",NOT(ISNUMBER(AB66))),"",RANK(AB66,$AB$3:$AB$164,1)+COUNTIFS($AB$3:AB66,AB66)-1)</f>
      </c>
      <c r="AE66" s="1736"/>
    </row>
    <row r="67" spans="1:19" ht="22.0" hidden="false" customHeight="true" x14ac:dyDescent="0.25">
      <c r="A67" s="3099" t="s">
        <v>158</v>
      </c>
      <c r="B67" s="3098" t="s">
        <v>159</v>
      </c>
      <c r="C67" s="3098" t="s">
        <v>62</v>
      </c>
      <c r="D67" s="3098">
        <v>44470328000147</v>
      </c>
      <c r="E67" s="3098"/>
      <c r="F67" s="3098" t="s">
        <v>160</v>
      </c>
      <c r="G67" s="3098" t="s">
        <v>4</v>
      </c>
      <c r="H67" s="3098" t="s">
        <v>5</v>
      </c>
      <c r="I67" s="3098"/>
      <c r="J67" s="3098"/>
      <c r="K67" s="3098"/>
      <c r="L67" s="3098"/>
      <c r="M67" s="3098" t="s">
        <v>377</v>
      </c>
      <c r="N67" s="3098"/>
      <c r="O67" s="3098" t="s">
        <v>347</v>
      </c>
      <c r="P67" s="3098"/>
      <c r="Q67" s="3101"/>
      <c r="R67" s="3101"/>
      <c r="S67" s="3101"/>
      <c r="T67" s="3101"/>
      <c r="U67" s="3102"/>
      <c r="V67" s="3098"/>
      <c r="W67" s="3098"/>
      <c r="X67" s="3056">
        <f>IF(A67="","",IF(LEN(SUBSTITUTE(SUBSTITUTE(SUBSTITUTE(SUBSTITUTE(D67,".",""),"/",""),"-","")," ",""))&lt;&gt;14,"CNPJ INVALIDO","OK"))</f>
      </c>
      <c r="Y67" s="3056">
        <f>IF(A67="","",IF(R67="","REST PENDENTE","REST OK"))</f>
      </c>
      <c r="Z67" s="3056">
        <f>IF(A67="","",IF(AND(R67&lt;&gt;"",COUNTIFS($D$3:$D$164,D67,$R$3:$R$164,"&lt;&gt;")&gt;1),"DUPLICADO","OK"))</f>
      </c>
      <c r="AA67" s="3056">
        <f>IF(A67="","",IF(OR(LEN(Q67)&gt;180,LEN(R67)&gt;180,LEN(S67)&gt;180,LEN(T67)&gt;180),"CAMINHO LONGO","OK"))</f>
      </c>
      <c r="AB67" s="3056">
        <f>IF(A67="","",IF(U67="","",IFERROR(INT(U67-TODAY()),"")))</f>
      </c>
      <c r="AC67" s="3056">
        <f>IF(A67="","",IF(AND(T67="",U67=""),"",IF(T67="","SEM CAMINHO",IF(U67="","SEM DATA",IFERROR(IF(AB67&lt;15,"VERMELHO",IF(AB67&lt;=30,"AMARELO","VERDE")),"DATA INVALIDA")))))</f>
      </c>
      <c r="AD67" s="3056">
        <f>IF(OR(A67="",U67="",NOT(ISNUMBER(AB67))),"",RANK(AB67,$AB$3:$AB$164,1)+COUNTIFS($AB$3:AB67,AB67)-1)</f>
      </c>
      <c r="AE67" s="1736"/>
    </row>
    <row r="68" spans="1:19" ht="22.0" hidden="false" customHeight="true" x14ac:dyDescent="0.25">
      <c r="A68" s="3104" t="s">
        <v>161</v>
      </c>
      <c r="B68" s="3103" t="s">
        <v>162</v>
      </c>
      <c r="C68" s="3103" t="s">
        <v>163</v>
      </c>
      <c r="D68" s="3103" t="s">
        <v>164</v>
      </c>
      <c r="E68" s="3103"/>
      <c r="F68" s="3103"/>
      <c r="G68" s="3103" t="s">
        <v>41</v>
      </c>
      <c r="H68" s="3103" t="s">
        <v>14</v>
      </c>
      <c r="I68" s="3103"/>
      <c r="J68" s="3103"/>
      <c r="K68" s="3103"/>
      <c r="L68" s="3103"/>
      <c r="M68" s="3103" t="s">
        <v>385</v>
      </c>
      <c r="N68" s="3103" t="s">
        <v>362</v>
      </c>
      <c r="O68" s="3103" t="s">
        <v>362</v>
      </c>
      <c r="P68" s="3103"/>
      <c r="Q68" s="3106"/>
      <c r="R68" s="3106"/>
      <c r="S68" s="3106"/>
      <c r="T68" s="3106"/>
      <c r="U68" s="3107"/>
      <c r="V68" s="3103"/>
      <c r="W68" s="3103"/>
      <c r="X68" s="3056">
        <f>IF(A68="","",IF(LEN(SUBSTITUTE(SUBSTITUTE(SUBSTITUTE(SUBSTITUTE(D68,".",""),"/",""),"-","")," ",""))&lt;&gt;14,"CNPJ INVALIDO","OK"))</f>
      </c>
      <c r="Y68" s="3056">
        <f>IF(A68="","",IF(R68="","REST PENDENTE","REST OK"))</f>
      </c>
      <c r="Z68" s="3056">
        <f>IF(A68="","",IF(AND(R68&lt;&gt;"",COUNTIFS($D$3:$D$164,D68,$R$3:$R$164,"&lt;&gt;")&gt;1),"DUPLICADO","OK"))</f>
      </c>
      <c r="AA68" s="3056">
        <f>IF(A68="","",IF(OR(LEN(Q68)&gt;180,LEN(R68)&gt;180,LEN(S68)&gt;180,LEN(T68)&gt;180),"CAMINHO LONGO","OK"))</f>
      </c>
      <c r="AB68" s="3056">
        <f>IF(A68="","",IF(U68="","",IFERROR(INT(U68-TODAY()),"")))</f>
      </c>
      <c r="AC68" s="3056">
        <f>IF(A68="","",IF(AND(T68="",U68=""),"",IF(T68="","SEM CAMINHO",IF(U68="","SEM DATA",IFERROR(IF(AB68&lt;15,"VERMELHO",IF(AB68&lt;=30,"AMARELO","VERDE")),"DATA INVALIDA")))))</f>
      </c>
      <c r="AD68" s="3056">
        <f>IF(OR(A68="",U68="",NOT(ISNUMBER(AB68))),"",RANK(AB68,$AB$3:$AB$164,1)+COUNTIFS($AB$3:AB68,AB68)-1)</f>
      </c>
      <c r="AE68" s="1736"/>
    </row>
    <row r="69" spans="1:19" ht="22.0" hidden="false" customHeight="true" x14ac:dyDescent="0.25">
      <c r="A69" s="3099" t="s">
        <v>165</v>
      </c>
      <c r="B69" s="3098" t="s">
        <v>162</v>
      </c>
      <c r="C69" s="3098" t="s">
        <v>163</v>
      </c>
      <c r="D69" s="3098" t="s">
        <v>166</v>
      </c>
      <c r="E69" s="3098"/>
      <c r="F69" s="3098" t="s">
        <v>167</v>
      </c>
      <c r="G69" s="3098" t="s">
        <v>13</v>
      </c>
      <c r="H69" s="3098" t="s">
        <v>14</v>
      </c>
      <c r="I69" s="3098"/>
      <c r="J69" s="3098"/>
      <c r="K69" s="3098"/>
      <c r="L69" s="3098"/>
      <c r="M69" s="3098" t="s">
        <v>385</v>
      </c>
      <c r="N69" s="3098" t="s">
        <v>362</v>
      </c>
      <c r="O69" s="3098" t="s">
        <v>362</v>
      </c>
      <c r="P69" s="3098"/>
      <c r="Q69" s="3101"/>
      <c r="R69" s="3101"/>
      <c r="S69" s="3101"/>
      <c r="T69" s="3101"/>
      <c r="U69" s="3102"/>
      <c r="V69" s="3098"/>
      <c r="W69" s="3098"/>
      <c r="X69" s="3056">
        <f>IF(A69="","",IF(LEN(SUBSTITUTE(SUBSTITUTE(SUBSTITUTE(SUBSTITUTE(D69,".",""),"/",""),"-","")," ",""))&lt;&gt;14,"CNPJ INVALIDO","OK"))</f>
      </c>
      <c r="Y69" s="3056">
        <f>IF(A69="","",IF(R69="","REST PENDENTE","REST OK"))</f>
      </c>
      <c r="Z69" s="3056">
        <f>IF(A69="","",IF(AND(R69&lt;&gt;"",COUNTIFS($D$3:$D$164,D69,$R$3:$R$164,"&lt;&gt;")&gt;1),"DUPLICADO","OK"))</f>
      </c>
      <c r="AA69" s="3056">
        <f>IF(A69="","",IF(OR(LEN(Q69)&gt;180,LEN(R69)&gt;180,LEN(S69)&gt;180,LEN(T69)&gt;180),"CAMINHO LONGO","OK"))</f>
      </c>
      <c r="AB69" s="3056">
        <f>IF(A69="","",IF(U69="","",IFERROR(INT(U69-TODAY()),"")))</f>
      </c>
      <c r="AC69" s="3056">
        <f>IF(A69="","",IF(AND(T69="",U69=""),"",IF(T69="","SEM CAMINHO",IF(U69="","SEM DATA",IFERROR(IF(AB69&lt;15,"VERMELHO",IF(AB69&lt;=30,"AMARELO","VERDE")),"DATA INVALIDA")))))</f>
      </c>
      <c r="AD69" s="3056">
        <f>IF(OR(A69="",U69="",NOT(ISNUMBER(AB69))),"",RANK(AB69,$AB$3:$AB$164,1)+COUNTIFS($AB$3:AB69,AB69)-1)</f>
      </c>
      <c r="AE69" s="1736"/>
    </row>
    <row r="70" spans="1:19" ht="22.0" hidden="false" customHeight="true" x14ac:dyDescent="0.25">
      <c r="A70" s="3104" t="s">
        <v>168</v>
      </c>
      <c r="B70" s="3103" t="s">
        <v>162</v>
      </c>
      <c r="C70" s="3103" t="s">
        <v>163</v>
      </c>
      <c r="D70" s="3103" t="s">
        <v>169</v>
      </c>
      <c r="E70" s="3103"/>
      <c r="F70" s="3103" t="s">
        <v>167</v>
      </c>
      <c r="G70" s="3103" t="s">
        <v>13</v>
      </c>
      <c r="H70" s="3103" t="s">
        <v>14</v>
      </c>
      <c r="I70" s="3103"/>
      <c r="J70" s="3103"/>
      <c r="K70" s="3103"/>
      <c r="L70" s="3103"/>
      <c r="M70" s="3103" t="s">
        <v>385</v>
      </c>
      <c r="N70" s="3103" t="s">
        <v>362</v>
      </c>
      <c r="O70" s="3103" t="s">
        <v>362</v>
      </c>
      <c r="P70" s="3103"/>
      <c r="Q70" s="3106"/>
      <c r="R70" s="3106"/>
      <c r="S70" s="3106"/>
      <c r="T70" s="3106"/>
      <c r="U70" s="3107"/>
      <c r="V70" s="3103"/>
      <c r="W70" s="3103"/>
      <c r="X70" s="3056">
        <f>IF(A70="","",IF(LEN(SUBSTITUTE(SUBSTITUTE(SUBSTITUTE(SUBSTITUTE(D70,".",""),"/",""),"-","")," ",""))&lt;&gt;14,"CNPJ INVALIDO","OK"))</f>
      </c>
      <c r="Y70" s="3056">
        <f>IF(A70="","",IF(R70="","REST PENDENTE","REST OK"))</f>
      </c>
      <c r="Z70" s="3056">
        <f>IF(A70="","",IF(AND(R70&lt;&gt;"",COUNTIFS($D$3:$D$164,D70,$R$3:$R$164,"&lt;&gt;")&gt;1),"DUPLICADO","OK"))</f>
      </c>
      <c r="AA70" s="3056">
        <f>IF(A70="","",IF(OR(LEN(Q70)&gt;180,LEN(R70)&gt;180,LEN(S70)&gt;180,LEN(T70)&gt;180),"CAMINHO LONGO","OK"))</f>
      </c>
      <c r="AB70" s="3056">
        <f>IF(A70="","",IF(U70="","",IFERROR(INT(U70-TODAY()),"")))</f>
      </c>
      <c r="AC70" s="3056">
        <f>IF(A70="","",IF(AND(T70="",U70=""),"",IF(T70="","SEM CAMINHO",IF(U70="","SEM DATA",IFERROR(IF(AB70&lt;15,"VERMELHO",IF(AB70&lt;=30,"AMARELO","VERDE")),"DATA INVALIDA")))))</f>
      </c>
      <c r="AD70" s="3056">
        <f>IF(OR(A70="",U70="",NOT(ISNUMBER(AB70))),"",RANK(AB70,$AB$3:$AB$164,1)+COUNTIFS($AB$3:AB70,AB70)-1)</f>
      </c>
      <c r="AE70" s="1736"/>
    </row>
    <row r="71" spans="1:19" ht="22.0" hidden="false" customHeight="true" x14ac:dyDescent="0.25">
      <c r="A71" s="3099" t="s">
        <v>170</v>
      </c>
      <c r="B71" s="3098" t="s">
        <v>162</v>
      </c>
      <c r="C71" s="3098" t="s">
        <v>163</v>
      </c>
      <c r="D71" s="3098" t="s">
        <v>171</v>
      </c>
      <c r="E71" s="3098"/>
      <c r="F71" s="3098" t="s">
        <v>167</v>
      </c>
      <c r="G71" s="3098" t="s">
        <v>13</v>
      </c>
      <c r="H71" s="3098" t="s">
        <v>14</v>
      </c>
      <c r="I71" s="3098"/>
      <c r="J71" s="3098"/>
      <c r="K71" s="3098"/>
      <c r="L71" s="3098"/>
      <c r="M71" s="3098" t="s">
        <v>385</v>
      </c>
      <c r="N71" s="3098" t="s">
        <v>362</v>
      </c>
      <c r="O71" s="3098" t="s">
        <v>362</v>
      </c>
      <c r="P71" s="3098"/>
      <c r="Q71" s="3101"/>
      <c r="R71" s="3101"/>
      <c r="S71" s="3101"/>
      <c r="T71" s="3101"/>
      <c r="U71" s="3102"/>
      <c r="V71" s="3098"/>
      <c r="W71" s="3098"/>
      <c r="X71" s="3056">
        <f>IF(A71="","",IF(LEN(SUBSTITUTE(SUBSTITUTE(SUBSTITUTE(SUBSTITUTE(D71,".",""),"/",""),"-","")," ",""))&lt;&gt;14,"CNPJ INVALIDO","OK"))</f>
      </c>
      <c r="Y71" s="3056">
        <f>IF(A71="","",IF(R71="","REST PENDENTE","REST OK"))</f>
      </c>
      <c r="Z71" s="3056">
        <f>IF(A71="","",IF(AND(R71&lt;&gt;"",COUNTIFS($D$3:$D$164,D71,$R$3:$R$164,"&lt;&gt;")&gt;1),"DUPLICADO","OK"))</f>
      </c>
      <c r="AA71" s="3056">
        <f>IF(A71="","",IF(OR(LEN(Q71)&gt;180,LEN(R71)&gt;180,LEN(S71)&gt;180,LEN(T71)&gt;180),"CAMINHO LONGO","OK"))</f>
      </c>
      <c r="AB71" s="3056">
        <f>IF(A71="","",IF(U71="","",IFERROR(INT(U71-TODAY()),"")))</f>
      </c>
      <c r="AC71" s="3056">
        <f>IF(A71="","",IF(AND(T71="",U71=""),"",IF(T71="","SEM CAMINHO",IF(U71="","SEM DATA",IFERROR(IF(AB71&lt;15,"VERMELHO",IF(AB71&lt;=30,"AMARELO","VERDE")),"DATA INVALIDA")))))</f>
      </c>
      <c r="AD71" s="3056">
        <f>IF(OR(A71="",U71="",NOT(ISNUMBER(AB71))),"",RANK(AB71,$AB$3:$AB$164,1)+COUNTIFS($AB$3:AB71,AB71)-1)</f>
      </c>
      <c r="AE71" s="1736"/>
    </row>
    <row r="72" spans="1:19" ht="22.0" hidden="false" customHeight="true" x14ac:dyDescent="0.25">
      <c r="A72" s="3104" t="s">
        <v>172</v>
      </c>
      <c r="B72" s="3103" t="s">
        <v>162</v>
      </c>
      <c r="C72" s="3103" t="s">
        <v>163</v>
      </c>
      <c r="D72" s="3103" t="s">
        <v>173</v>
      </c>
      <c r="E72" s="3103"/>
      <c r="F72" s="3103" t="s">
        <v>167</v>
      </c>
      <c r="G72" s="3103" t="s">
        <v>13</v>
      </c>
      <c r="H72" s="3103" t="s">
        <v>14</v>
      </c>
      <c r="I72" s="3103"/>
      <c r="J72" s="3103"/>
      <c r="K72" s="3103"/>
      <c r="L72" s="3103"/>
      <c r="M72" s="3103" t="s">
        <v>385</v>
      </c>
      <c r="N72" s="3103" t="s">
        <v>362</v>
      </c>
      <c r="O72" s="3103" t="s">
        <v>362</v>
      </c>
      <c r="P72" s="3103"/>
      <c r="Q72" s="3106"/>
      <c r="R72" s="3106"/>
      <c r="S72" s="3106"/>
      <c r="T72" s="3106"/>
      <c r="U72" s="3107"/>
      <c r="V72" s="3103"/>
      <c r="W72" s="3103"/>
      <c r="X72" s="3056">
        <f>IF(A72="","",IF(LEN(SUBSTITUTE(SUBSTITUTE(SUBSTITUTE(SUBSTITUTE(D72,".",""),"/",""),"-","")," ",""))&lt;&gt;14,"CNPJ INVALIDO","OK"))</f>
      </c>
      <c r="Y72" s="3056">
        <f>IF(A72="","",IF(R72="","REST PENDENTE","REST OK"))</f>
      </c>
      <c r="Z72" s="3056">
        <f>IF(A72="","",IF(AND(R72&lt;&gt;"",COUNTIFS($D$3:$D$164,D72,$R$3:$R$164,"&lt;&gt;")&gt;1),"DUPLICADO","OK"))</f>
      </c>
      <c r="AA72" s="3056">
        <f>IF(A72="","",IF(OR(LEN(Q72)&gt;180,LEN(R72)&gt;180,LEN(S72)&gt;180,LEN(T72)&gt;180),"CAMINHO LONGO","OK"))</f>
      </c>
      <c r="AB72" s="3056">
        <f>IF(A72="","",IF(U72="","",IFERROR(INT(U72-TODAY()),"")))</f>
      </c>
      <c r="AC72" s="3056">
        <f>IF(A72="","",IF(AND(T72="",U72=""),"",IF(T72="","SEM CAMINHO",IF(U72="","SEM DATA",IFERROR(IF(AB72&lt;15,"VERMELHO",IF(AB72&lt;=30,"AMARELO","VERDE")),"DATA INVALIDA")))))</f>
      </c>
      <c r="AD72" s="3056">
        <f>IF(OR(A72="",U72="",NOT(ISNUMBER(AB72))),"",RANK(AB72,$AB$3:$AB$164,1)+COUNTIFS($AB$3:AB72,AB72)-1)</f>
      </c>
      <c r="AE72" s="1736"/>
    </row>
    <row r="73" spans="1:19" ht="22.0" hidden="false" customHeight="true" x14ac:dyDescent="0.25">
      <c r="A73" s="3099" t="s">
        <v>174</v>
      </c>
      <c r="B73" s="3098" t="s">
        <v>162</v>
      </c>
      <c r="C73" s="3098" t="s">
        <v>163</v>
      </c>
      <c r="D73" s="3098" t="s">
        <v>175</v>
      </c>
      <c r="E73" s="3098"/>
      <c r="F73" s="3098" t="s">
        <v>167</v>
      </c>
      <c r="G73" s="3098" t="s">
        <v>13</v>
      </c>
      <c r="H73" s="3098" t="s">
        <v>14</v>
      </c>
      <c r="I73" s="3098"/>
      <c r="J73" s="3098"/>
      <c r="K73" s="3098"/>
      <c r="L73" s="3098"/>
      <c r="M73" s="3098" t="s">
        <v>385</v>
      </c>
      <c r="N73" s="3098" t="s">
        <v>362</v>
      </c>
      <c r="O73" s="3098" t="s">
        <v>362</v>
      </c>
      <c r="P73" s="3098"/>
      <c r="Q73" s="3101"/>
      <c r="R73" s="3101"/>
      <c r="S73" s="3101"/>
      <c r="T73" s="3101"/>
      <c r="U73" s="3102"/>
      <c r="V73" s="3098"/>
      <c r="W73" s="3098"/>
      <c r="X73" s="3056">
        <f>IF(A73="","",IF(LEN(SUBSTITUTE(SUBSTITUTE(SUBSTITUTE(SUBSTITUTE(D73,".",""),"/",""),"-","")," ",""))&lt;&gt;14,"CNPJ INVALIDO","OK"))</f>
      </c>
      <c r="Y73" s="3056">
        <f>IF(A73="","",IF(R73="","REST PENDENTE","REST OK"))</f>
      </c>
      <c r="Z73" s="3056">
        <f>IF(A73="","",IF(AND(R73&lt;&gt;"",COUNTIFS($D$3:$D$164,D73,$R$3:$R$164,"&lt;&gt;")&gt;1),"DUPLICADO","OK"))</f>
      </c>
      <c r="AA73" s="3056">
        <f>IF(A73="","",IF(OR(LEN(Q73)&gt;180,LEN(R73)&gt;180,LEN(S73)&gt;180,LEN(T73)&gt;180),"CAMINHO LONGO","OK"))</f>
      </c>
      <c r="AB73" s="3056">
        <f>IF(A73="","",IF(U73="","",IFERROR(INT(U73-TODAY()),"")))</f>
      </c>
      <c r="AC73" s="3056">
        <f>IF(A73="","",IF(AND(T73="",U73=""),"",IF(T73="","SEM CAMINHO",IF(U73="","SEM DATA",IFERROR(IF(AB73&lt;15,"VERMELHO",IF(AB73&lt;=30,"AMARELO","VERDE")),"DATA INVALIDA")))))</f>
      </c>
      <c r="AD73" s="3056">
        <f>IF(OR(A73="",U73="",NOT(ISNUMBER(AB73))),"",RANK(AB73,$AB$3:$AB$164,1)+COUNTIFS($AB$3:AB73,AB73)-1)</f>
      </c>
      <c r="AE73" s="1736"/>
    </row>
    <row r="74" spans="1:19" ht="22.0" hidden="false" customHeight="true" x14ac:dyDescent="0.25">
      <c r="A74" s="3104" t="s">
        <v>176</v>
      </c>
      <c r="B74" s="3103" t="s">
        <v>162</v>
      </c>
      <c r="C74" s="3103" t="s">
        <v>163</v>
      </c>
      <c r="D74" s="3103" t="s">
        <v>177</v>
      </c>
      <c r="E74" s="3103"/>
      <c r="F74" s="3103"/>
      <c r="G74" s="3103" t="s">
        <v>4</v>
      </c>
      <c r="H74" s="3103" t="s">
        <v>14</v>
      </c>
      <c r="I74" s="3103"/>
      <c r="J74" s="3103"/>
      <c r="K74" s="3103"/>
      <c r="L74" s="3103"/>
      <c r="M74" s="3103" t="s">
        <v>385</v>
      </c>
      <c r="N74" s="3103" t="s">
        <v>362</v>
      </c>
      <c r="O74" s="3103" t="s">
        <v>350</v>
      </c>
      <c r="P74" s="3103"/>
      <c r="Q74" s="3106"/>
      <c r="R74" s="3106"/>
      <c r="S74" s="3106"/>
      <c r="T74" s="3106"/>
      <c r="U74" s="3107"/>
      <c r="V74" s="3103"/>
      <c r="W74" s="3103"/>
      <c r="X74" s="3056">
        <f>IF(A74="","",IF(LEN(SUBSTITUTE(SUBSTITUTE(SUBSTITUTE(SUBSTITUTE(D74,".",""),"/",""),"-","")," ",""))&lt;&gt;14,"CNPJ INVALIDO","OK"))</f>
      </c>
      <c r="Y74" s="3056">
        <f>IF(A74="","",IF(R74="","REST PENDENTE","REST OK"))</f>
      </c>
      <c r="Z74" s="3056">
        <f>IF(A74="","",IF(AND(R74&lt;&gt;"",COUNTIFS($D$3:$D$164,D74,$R$3:$R$164,"&lt;&gt;")&gt;1),"DUPLICADO","OK"))</f>
      </c>
      <c r="AA74" s="3056">
        <f>IF(A74="","",IF(OR(LEN(Q74)&gt;180,LEN(R74)&gt;180,LEN(S74)&gt;180,LEN(T74)&gt;180),"CAMINHO LONGO","OK"))</f>
      </c>
      <c r="AB74" s="3056">
        <f>IF(A74="","",IF(U74="","",IFERROR(INT(U74-TODAY()),"")))</f>
      </c>
      <c r="AC74" s="3056">
        <f>IF(A74="","",IF(AND(T74="",U74=""),"",IF(T74="","SEM CAMINHO",IF(U74="","SEM DATA",IFERROR(IF(AB74&lt;15,"VERMELHO",IF(AB74&lt;=30,"AMARELO","VERDE")),"DATA INVALIDA")))))</f>
      </c>
      <c r="AD74" s="3056">
        <f>IF(OR(A74="",U74="",NOT(ISNUMBER(AB74))),"",RANK(AB74,$AB$3:$AB$164,1)+COUNTIFS($AB$3:AB74,AB74)-1)</f>
      </c>
      <c r="AE74" s="1736"/>
    </row>
    <row r="75" spans="1:19" ht="22.0" hidden="false" customHeight="true" x14ac:dyDescent="0.25">
      <c r="A75" s="3099" t="s">
        <v>178</v>
      </c>
      <c r="B75" s="3098" t="s">
        <v>162</v>
      </c>
      <c r="C75" s="3098" t="s">
        <v>163</v>
      </c>
      <c r="D75" s="3098" t="s">
        <v>179</v>
      </c>
      <c r="E75" s="3098"/>
      <c r="F75" s="3098"/>
      <c r="G75" s="3098" t="s">
        <v>4</v>
      </c>
      <c r="H75" s="3098" t="s">
        <v>14</v>
      </c>
      <c r="I75" s="3098"/>
      <c r="J75" s="3098"/>
      <c r="K75" s="3098"/>
      <c r="L75" s="3098"/>
      <c r="M75" s="3098" t="s">
        <v>385</v>
      </c>
      <c r="N75" s="3098" t="s">
        <v>362</v>
      </c>
      <c r="O75" s="3098" t="s">
        <v>350</v>
      </c>
      <c r="P75" s="3098"/>
      <c r="Q75" s="3101"/>
      <c r="R75" s="3101"/>
      <c r="S75" s="3101"/>
      <c r="T75" s="3101"/>
      <c r="U75" s="3102"/>
      <c r="V75" s="3098"/>
      <c r="W75" s="3098"/>
      <c r="X75" s="3056">
        <f>IF(A75="","",IF(LEN(SUBSTITUTE(SUBSTITUTE(SUBSTITUTE(SUBSTITUTE(D75,".",""),"/",""),"-","")," ",""))&lt;&gt;14,"CNPJ INVALIDO","OK"))</f>
      </c>
      <c r="Y75" s="3056">
        <f>IF(A75="","",IF(R75="","REST PENDENTE","REST OK"))</f>
      </c>
      <c r="Z75" s="3056">
        <f>IF(A75="","",IF(AND(R75&lt;&gt;"",COUNTIFS($D$3:$D$164,D75,$R$3:$R$164,"&lt;&gt;")&gt;1),"DUPLICADO","OK"))</f>
      </c>
      <c r="AA75" s="3056">
        <f>IF(A75="","",IF(OR(LEN(Q75)&gt;180,LEN(R75)&gt;180,LEN(S75)&gt;180,LEN(T75)&gt;180),"CAMINHO LONGO","OK"))</f>
      </c>
      <c r="AB75" s="3056">
        <f>IF(A75="","",IF(U75="","",IFERROR(INT(U75-TODAY()),"")))</f>
      </c>
      <c r="AC75" s="3056">
        <f>IF(A75="","",IF(AND(T75="",U75=""),"",IF(T75="","SEM CAMINHO",IF(U75="","SEM DATA",IFERROR(IF(AB75&lt;15,"VERMELHO",IF(AB75&lt;=30,"AMARELO","VERDE")),"DATA INVALIDA")))))</f>
      </c>
      <c r="AD75" s="3056">
        <f>IF(OR(A75="",U75="",NOT(ISNUMBER(AB75))),"",RANK(AB75,$AB$3:$AB$164,1)+COUNTIFS($AB$3:AB75,AB75)-1)</f>
      </c>
      <c r="AE75" s="1736"/>
    </row>
    <row r="76" spans="1:19" ht="22.0" hidden="false" customHeight="true" x14ac:dyDescent="0.25">
      <c r="A76" s="3104" t="s">
        <v>180</v>
      </c>
      <c r="B76" s="3103" t="s">
        <v>9</v>
      </c>
      <c r="C76" s="3103" t="s">
        <v>24</v>
      </c>
      <c r="D76" s="3103">
        <v>10977876000146</v>
      </c>
      <c r="E76" s="3103"/>
      <c r="F76" s="3103" t="s">
        <v>12</v>
      </c>
      <c r="G76" s="3103" t="s">
        <v>4</v>
      </c>
      <c r="H76" s="3103" t="s">
        <v>5</v>
      </c>
      <c r="I76" s="3103"/>
      <c r="J76" s="3103"/>
      <c r="K76" s="3103"/>
      <c r="L76" s="3103"/>
      <c r="M76" s="3103" t="s">
        <v>385</v>
      </c>
      <c r="N76" s="3103"/>
      <c r="O76" s="3103" t="s">
        <v>351</v>
      </c>
      <c r="P76" s="3103"/>
      <c r="Q76" s="3106"/>
      <c r="R76" s="3106"/>
      <c r="S76" s="3106"/>
      <c r="T76" s="3106"/>
      <c r="U76" s="3107"/>
      <c r="V76" s="3103"/>
      <c r="W76" s="3103"/>
      <c r="X76" s="3056">
        <f>IF(A76="","",IF(LEN(SUBSTITUTE(SUBSTITUTE(SUBSTITUTE(SUBSTITUTE(D76,".",""),"/",""),"-","")," ",""))&lt;&gt;14,"CNPJ INVALIDO","OK"))</f>
      </c>
      <c r="Y76" s="3056">
        <f>IF(A76="","",IF(R76="","REST PENDENTE","REST OK"))</f>
      </c>
      <c r="Z76" s="3056">
        <f>IF(A76="","",IF(AND(R76&lt;&gt;"",COUNTIFS($D$3:$D$164,D76,$R$3:$R$164,"&lt;&gt;")&gt;1),"DUPLICADO","OK"))</f>
      </c>
      <c r="AA76" s="3056">
        <f>IF(A76="","",IF(OR(LEN(Q76)&gt;180,LEN(R76)&gt;180,LEN(S76)&gt;180,LEN(T76)&gt;180),"CAMINHO LONGO","OK"))</f>
      </c>
      <c r="AB76" s="3056">
        <f>IF(A76="","",IF(U76="","",IFERROR(INT(U76-TODAY()),"")))</f>
      </c>
      <c r="AC76" s="3056">
        <f>IF(A76="","",IF(AND(T76="",U76=""),"",IF(T76="","SEM CAMINHO",IF(U76="","SEM DATA",IFERROR(IF(AB76&lt;15,"VERMELHO",IF(AB76&lt;=30,"AMARELO","VERDE")),"DATA INVALIDA")))))</f>
      </c>
      <c r="AD76" s="3056">
        <f>IF(OR(A76="",U76="",NOT(ISNUMBER(AB76))),"",RANK(AB76,$AB$3:$AB$164,1)+COUNTIFS($AB$3:AB76,AB76)-1)</f>
      </c>
      <c r="AE76" s="1736"/>
    </row>
    <row r="77" spans="1:19" ht="22.0" hidden="false" customHeight="true" x14ac:dyDescent="0.25">
      <c r="A77" s="3099" t="s">
        <v>181</v>
      </c>
      <c r="B77" s="3098" t="s">
        <v>182</v>
      </c>
      <c r="C77" s="3098" t="s">
        <v>79</v>
      </c>
      <c r="D77" s="3098" t="s">
        <v>183</v>
      </c>
      <c r="E77" s="3098"/>
      <c r="F77" s="3098" t="s">
        <v>184</v>
      </c>
      <c r="G77" s="3098" t="s">
        <v>13</v>
      </c>
      <c r="H77" s="3098" t="s">
        <v>5</v>
      </c>
      <c r="I77" s="3098"/>
      <c r="J77" s="3098"/>
      <c r="K77" s="3098"/>
      <c r="L77" s="3098"/>
      <c r="M77" s="3098" t="s">
        <v>375</v>
      </c>
      <c r="N77" s="3098"/>
      <c r="O77" s="3098" t="s">
        <v>351</v>
      </c>
      <c r="P77" s="3098"/>
      <c r="Q77" s="3101"/>
      <c r="R77" s="3101"/>
      <c r="S77" s="3101"/>
      <c r="T77" s="3101"/>
      <c r="U77" s="3102"/>
      <c r="V77" s="3098"/>
      <c r="W77" s="3098"/>
      <c r="X77" s="3056">
        <f>IF(A77="","",IF(LEN(SUBSTITUTE(SUBSTITUTE(SUBSTITUTE(SUBSTITUTE(D77,".",""),"/",""),"-","")," ",""))&lt;&gt;14,"CNPJ INVALIDO","OK"))</f>
      </c>
      <c r="Y77" s="3056">
        <f>IF(A77="","",IF(R77="","REST PENDENTE","REST OK"))</f>
      </c>
      <c r="Z77" s="3056">
        <f>IF(A77="","",IF(AND(R77&lt;&gt;"",COUNTIFS($D$3:$D$164,D77,$R$3:$R$164,"&lt;&gt;")&gt;1),"DUPLICADO","OK"))</f>
      </c>
      <c r="AA77" s="3056">
        <f>IF(A77="","",IF(OR(LEN(Q77)&gt;180,LEN(R77)&gt;180,LEN(S77)&gt;180,LEN(T77)&gt;180),"CAMINHO LONGO","OK"))</f>
      </c>
      <c r="AB77" s="3056">
        <f>IF(A77="","",IF(U77="","",IFERROR(INT(U77-TODAY()),"")))</f>
      </c>
      <c r="AC77" s="3056">
        <f>IF(A77="","",IF(AND(T77="",U77=""),"",IF(T77="","SEM CAMINHO",IF(U77="","SEM DATA",IFERROR(IF(AB77&lt;15,"VERMELHO",IF(AB77&lt;=30,"AMARELO","VERDE")),"DATA INVALIDA")))))</f>
      </c>
      <c r="AD77" s="3056">
        <f>IF(OR(A77="",U77="",NOT(ISNUMBER(AB77))),"",RANK(AB77,$AB$3:$AB$164,1)+COUNTIFS($AB$3:AB77,AB77)-1)</f>
      </c>
      <c r="AE77" s="1736"/>
    </row>
    <row r="78" spans="1:19" ht="22.0" hidden="false" customHeight="true" x14ac:dyDescent="0.25">
      <c r="A78" s="3104" t="s">
        <v>185</v>
      </c>
      <c r="B78" s="3103" t="s">
        <v>182</v>
      </c>
      <c r="C78" s="3103" t="s">
        <v>79</v>
      </c>
      <c r="D78" s="3103" t="s">
        <v>186</v>
      </c>
      <c r="E78" s="3103"/>
      <c r="F78" s="3103" t="s">
        <v>184</v>
      </c>
      <c r="G78" s="3103" t="s">
        <v>13</v>
      </c>
      <c r="H78" s="3103" t="s">
        <v>14</v>
      </c>
      <c r="I78" s="3103"/>
      <c r="J78" s="3103"/>
      <c r="K78" s="3103"/>
      <c r="L78" s="3103"/>
      <c r="M78" s="3103" t="s">
        <v>355</v>
      </c>
      <c r="N78" s="3103"/>
      <c r="O78" s="3103" t="s">
        <v>354</v>
      </c>
      <c r="P78" s="3103"/>
      <c r="Q78" s="3106"/>
      <c r="R78" s="3106"/>
      <c r="S78" s="3106"/>
      <c r="T78" s="3106"/>
      <c r="U78" s="3107"/>
      <c r="V78" s="3103"/>
      <c r="W78" s="3103"/>
      <c r="X78" s="3056">
        <f>IF(A78="","",IF(LEN(SUBSTITUTE(SUBSTITUTE(SUBSTITUTE(SUBSTITUTE(D78,".",""),"/",""),"-","")," ",""))&lt;&gt;14,"CNPJ INVALIDO","OK"))</f>
      </c>
      <c r="Y78" s="3056">
        <f>IF(A78="","",IF(R78="","REST PENDENTE","REST OK"))</f>
      </c>
      <c r="Z78" s="3056">
        <f>IF(A78="","",IF(AND(R78&lt;&gt;"",COUNTIFS($D$3:$D$164,D78,$R$3:$R$164,"&lt;&gt;")&gt;1),"DUPLICADO","OK"))</f>
      </c>
      <c r="AA78" s="3056">
        <f>IF(A78="","",IF(OR(LEN(Q78)&gt;180,LEN(R78)&gt;180,LEN(S78)&gt;180,LEN(T78)&gt;180),"CAMINHO LONGO","OK"))</f>
      </c>
      <c r="AB78" s="3056">
        <f>IF(A78="","",IF(U78="","",IFERROR(INT(U78-TODAY()),"")))</f>
      </c>
      <c r="AC78" s="3056">
        <f>IF(A78="","",IF(AND(T78="",U78=""),"",IF(T78="","SEM CAMINHO",IF(U78="","SEM DATA",IFERROR(IF(AB78&lt;15,"VERMELHO",IF(AB78&lt;=30,"AMARELO","VERDE")),"DATA INVALIDA")))))</f>
      </c>
      <c r="AD78" s="3056">
        <f>IF(OR(A78="",U78="",NOT(ISNUMBER(AB78))),"",RANK(AB78,$AB$3:$AB$164,1)+COUNTIFS($AB$3:AB78,AB78)-1)</f>
      </c>
      <c r="AE78" s="1736"/>
    </row>
    <row r="79" spans="1:19" ht="22.0" hidden="false" customHeight="true" x14ac:dyDescent="0.25">
      <c r="A79" s="3099" t="s">
        <v>187</v>
      </c>
      <c r="B79" s="3098" t="s">
        <v>188</v>
      </c>
      <c r="C79" s="3098" t="s">
        <v>62</v>
      </c>
      <c r="D79" s="3098">
        <v>40920539000183</v>
      </c>
      <c r="E79" s="3098"/>
      <c r="F79" s="3098" t="s">
        <v>189</v>
      </c>
      <c r="G79" s="3098" t="s">
        <v>4</v>
      </c>
      <c r="H79" s="3098" t="s">
        <v>5</v>
      </c>
      <c r="I79" s="3098"/>
      <c r="J79" s="3098"/>
      <c r="K79" s="3098"/>
      <c r="L79" s="3098"/>
      <c r="M79" s="3098" t="s">
        <v>385</v>
      </c>
      <c r="N79" s="3098"/>
      <c r="O79" s="3098"/>
      <c r="P79" s="3098"/>
      <c r="Q79" s="3101"/>
      <c r="R79" s="3101"/>
      <c r="S79" s="3101"/>
      <c r="T79" s="3101"/>
      <c r="U79" s="3102"/>
      <c r="V79" s="3098"/>
      <c r="W79" s="3098"/>
      <c r="X79" s="3056">
        <f>IF(A79="","",IF(LEN(SUBSTITUTE(SUBSTITUTE(SUBSTITUTE(SUBSTITUTE(D79,".",""),"/",""),"-","")," ",""))&lt;&gt;14,"CNPJ INVALIDO","OK"))</f>
      </c>
      <c r="Y79" s="3056">
        <f>IF(A79="","",IF(R79="","REST PENDENTE","REST OK"))</f>
      </c>
      <c r="Z79" s="3056">
        <f>IF(A79="","",IF(AND(R79&lt;&gt;"",COUNTIFS($D$3:$D$164,D79,$R$3:$R$164,"&lt;&gt;")&gt;1),"DUPLICADO","OK"))</f>
      </c>
      <c r="AA79" s="3056">
        <f>IF(A79="","",IF(OR(LEN(Q79)&gt;180,LEN(R79)&gt;180,LEN(S79)&gt;180,LEN(T79)&gt;180),"CAMINHO LONGO","OK"))</f>
      </c>
      <c r="AB79" s="3056">
        <f>IF(A79="","",IF(U79="","",IFERROR(INT(U79-TODAY()),"")))</f>
      </c>
      <c r="AC79" s="3056">
        <f>IF(A79="","",IF(AND(T79="",U79=""),"",IF(T79="","SEM CAMINHO",IF(U79="","SEM DATA",IFERROR(IF(AB79&lt;15,"VERMELHO",IF(AB79&lt;=30,"AMARELO","VERDE")),"DATA INVALIDA")))))</f>
      </c>
      <c r="AD79" s="3056">
        <f>IF(OR(A79="",U79="",NOT(ISNUMBER(AB79))),"",RANK(AB79,$AB$3:$AB$164,1)+COUNTIFS($AB$3:AB79,AB79)-1)</f>
      </c>
      <c r="AE79" s="1736"/>
    </row>
    <row r="80" spans="1:19" ht="22.0" hidden="false" customHeight="true" x14ac:dyDescent="0.25">
      <c r="A80" s="3104" t="s">
        <v>190</v>
      </c>
      <c r="B80" s="3103" t="s">
        <v>188</v>
      </c>
      <c r="C80" s="3103" t="s">
        <v>69</v>
      </c>
      <c r="D80" s="3103" t="s">
        <v>191</v>
      </c>
      <c r="E80" s="3103"/>
      <c r="F80" s="3103" t="s">
        <v>189</v>
      </c>
      <c r="G80" s="3103" t="s">
        <v>41</v>
      </c>
      <c r="H80" s="3103" t="s">
        <v>5</v>
      </c>
      <c r="I80" s="3103"/>
      <c r="J80" s="3103"/>
      <c r="K80" s="3103"/>
      <c r="L80" s="3103"/>
      <c r="M80" s="3103" t="s">
        <v>379</v>
      </c>
      <c r="N80" s="3103"/>
      <c r="O80" s="3103" t="s">
        <v>350</v>
      </c>
      <c r="P80" s="3103"/>
      <c r="Q80" s="3106"/>
      <c r="R80" s="3106"/>
      <c r="S80" s="3106"/>
      <c r="T80" s="3106"/>
      <c r="U80" s="3107"/>
      <c r="V80" s="3103"/>
      <c r="W80" s="3103"/>
      <c r="X80" s="3056">
        <f>IF(A80="","",IF(LEN(SUBSTITUTE(SUBSTITUTE(SUBSTITUTE(SUBSTITUTE(D80,".",""),"/",""),"-","")," ",""))&lt;&gt;14,"CNPJ INVALIDO","OK"))</f>
      </c>
      <c r="Y80" s="3056">
        <f>IF(A80="","",IF(R80="","REST PENDENTE","REST OK"))</f>
      </c>
      <c r="Z80" s="3056">
        <f>IF(A80="","",IF(AND(R80&lt;&gt;"",COUNTIFS($D$3:$D$164,D80,$R$3:$R$164,"&lt;&gt;")&gt;1),"DUPLICADO","OK"))</f>
      </c>
      <c r="AA80" s="3056">
        <f>IF(A80="","",IF(OR(LEN(Q80)&gt;180,LEN(R80)&gt;180,LEN(S80)&gt;180,LEN(T80)&gt;180),"CAMINHO LONGO","OK"))</f>
      </c>
      <c r="AB80" s="3056">
        <f>IF(A80="","",IF(U80="","",IFERROR(INT(U80-TODAY()),"")))</f>
      </c>
      <c r="AC80" s="3056">
        <f>IF(A80="","",IF(AND(T80="",U80=""),"",IF(T80="","SEM CAMINHO",IF(U80="","SEM DATA",IFERROR(IF(AB80&lt;15,"VERMELHO",IF(AB80&lt;=30,"AMARELO","VERDE")),"DATA INVALIDA")))))</f>
      </c>
      <c r="AD80" s="3056">
        <f>IF(OR(A80="",U80="",NOT(ISNUMBER(AB80))),"",RANK(AB80,$AB$3:$AB$164,1)+COUNTIFS($AB$3:AB80,AB80)-1)</f>
      </c>
      <c r="AE80" s="1736"/>
    </row>
    <row r="81" spans="1:19" ht="22.0" hidden="false" customHeight="true" x14ac:dyDescent="0.25">
      <c r="A81" s="3099" t="s">
        <v>192</v>
      </c>
      <c r="B81" s="3098" t="s">
        <v>188</v>
      </c>
      <c r="C81" s="3098" t="s">
        <v>69</v>
      </c>
      <c r="D81" s="3098" t="s">
        <v>193</v>
      </c>
      <c r="E81" s="3098"/>
      <c r="F81" s="3098" t="s">
        <v>189</v>
      </c>
      <c r="G81" s="3098" t="s">
        <v>13</v>
      </c>
      <c r="H81" s="3098" t="s">
        <v>14</v>
      </c>
      <c r="I81" s="3098"/>
      <c r="J81" s="3098"/>
      <c r="K81" s="3098"/>
      <c r="L81" s="3098"/>
      <c r="M81" s="3098" t="s">
        <v>386</v>
      </c>
      <c r="N81" s="3098"/>
      <c r="O81" s="3098" t="s">
        <v>347</v>
      </c>
      <c r="P81" s="3098"/>
      <c r="Q81" s="3101"/>
      <c r="R81" s="3101"/>
      <c r="S81" s="3101"/>
      <c r="T81" s="3101"/>
      <c r="U81" s="3102"/>
      <c r="V81" s="3098"/>
      <c r="W81" s="3098"/>
      <c r="X81" s="3056">
        <f>IF(A81="","",IF(LEN(SUBSTITUTE(SUBSTITUTE(SUBSTITUTE(SUBSTITUTE(D81,".",""),"/",""),"-","")," ",""))&lt;&gt;14,"CNPJ INVALIDO","OK"))</f>
      </c>
      <c r="Y81" s="3056">
        <f>IF(A81="","",IF(R81="","REST PENDENTE","REST OK"))</f>
      </c>
      <c r="Z81" s="3056">
        <f>IF(A81="","",IF(AND(R81&lt;&gt;"",COUNTIFS($D$3:$D$164,D81,$R$3:$R$164,"&lt;&gt;")&gt;1),"DUPLICADO","OK"))</f>
      </c>
      <c r="AA81" s="3056">
        <f>IF(A81="","",IF(OR(LEN(Q81)&gt;180,LEN(R81)&gt;180,LEN(S81)&gt;180,LEN(T81)&gt;180),"CAMINHO LONGO","OK"))</f>
      </c>
      <c r="AB81" s="3056">
        <f>IF(A81="","",IF(U81="","",IFERROR(INT(U81-TODAY()),"")))</f>
      </c>
      <c r="AC81" s="3056">
        <f>IF(A81="","",IF(AND(T81="",U81=""),"",IF(T81="","SEM CAMINHO",IF(U81="","SEM DATA",IFERROR(IF(AB81&lt;15,"VERMELHO",IF(AB81&lt;=30,"AMARELO","VERDE")),"DATA INVALIDA")))))</f>
      </c>
      <c r="AD81" s="3056">
        <f>IF(OR(A81="",U81="",NOT(ISNUMBER(AB81))),"",RANK(AB81,$AB$3:$AB$164,1)+COUNTIFS($AB$3:AB81,AB81)-1)</f>
      </c>
      <c r="AE81" s="1736"/>
    </row>
    <row r="82" spans="1:19" ht="22.0" hidden="false" customHeight="true" x14ac:dyDescent="0.25">
      <c r="A82" s="3104" t="s">
        <v>194</v>
      </c>
      <c r="B82" s="3103" t="s">
        <v>1</v>
      </c>
      <c r="C82" s="3103" t="s">
        <v>195</v>
      </c>
      <c r="D82" s="3103" t="s">
        <v>196</v>
      </c>
      <c r="E82" s="3103"/>
      <c r="F82" s="3103" t="s">
        <v>3</v>
      </c>
      <c r="G82" s="3103" t="s">
        <v>197</v>
      </c>
      <c r="H82" s="3103" t="s">
        <v>49</v>
      </c>
      <c r="I82" s="3103"/>
      <c r="J82" s="3103"/>
      <c r="K82" s="3103"/>
      <c r="L82" s="3103"/>
      <c r="M82" s="3103" t="s">
        <v>376</v>
      </c>
      <c r="N82" s="3103" t="s">
        <v>361</v>
      </c>
      <c r="O82" s="3103" t="s">
        <v>351</v>
      </c>
      <c r="P82" s="3103"/>
      <c r="Q82" s="3106"/>
      <c r="R82" s="3106"/>
      <c r="S82" s="3106"/>
      <c r="T82" s="3106"/>
      <c r="U82" s="3107"/>
      <c r="V82" s="3103"/>
      <c r="W82" s="3103"/>
      <c r="X82" s="3056">
        <f>IF(A82="","",IF(LEN(SUBSTITUTE(SUBSTITUTE(SUBSTITUTE(SUBSTITUTE(D82,".",""),"/",""),"-","")," ",""))&lt;&gt;14,"CNPJ INVALIDO","OK"))</f>
      </c>
      <c r="Y82" s="3056">
        <f>IF(A82="","",IF(R82="","REST PENDENTE","REST OK"))</f>
      </c>
      <c r="Z82" s="3056">
        <f>IF(A82="","",IF(AND(R82&lt;&gt;"",COUNTIFS($D$3:$D$164,D82,$R$3:$R$164,"&lt;&gt;")&gt;1),"DUPLICADO","OK"))</f>
      </c>
      <c r="AA82" s="3056">
        <f>IF(A82="","",IF(OR(LEN(Q82)&gt;180,LEN(R82)&gt;180,LEN(S82)&gt;180,LEN(T82)&gt;180),"CAMINHO LONGO","OK"))</f>
      </c>
      <c r="AB82" s="3056">
        <f>IF(A82="","",IF(U82="","",IFERROR(INT(U82-TODAY()),"")))</f>
      </c>
      <c r="AC82" s="3056">
        <f>IF(A82="","",IF(AND(T82="",U82=""),"",IF(T82="","SEM CAMINHO",IF(U82="","SEM DATA",IFERROR(IF(AB82&lt;15,"VERMELHO",IF(AB82&lt;=30,"AMARELO","VERDE")),"DATA INVALIDA")))))</f>
      </c>
      <c r="AD82" s="3056">
        <f>IF(OR(A82="",U82="",NOT(ISNUMBER(AB82))),"",RANK(AB82,$AB$3:$AB$164,1)+COUNTIFS($AB$3:AB82,AB82)-1)</f>
      </c>
      <c r="AE82" s="1736"/>
    </row>
    <row r="83" spans="1:19" ht="22.0" hidden="false" customHeight="true" x14ac:dyDescent="0.25">
      <c r="A83" s="3099" t="s">
        <v>198</v>
      </c>
      <c r="B83" s="3098" t="s">
        <v>1</v>
      </c>
      <c r="C83" s="3098" t="s">
        <v>195</v>
      </c>
      <c r="D83" s="3098" t="s">
        <v>199</v>
      </c>
      <c r="E83" s="3098"/>
      <c r="F83" s="3098" t="s">
        <v>3</v>
      </c>
      <c r="G83" s="3098" t="s">
        <v>4</v>
      </c>
      <c r="H83" s="3098" t="s">
        <v>49</v>
      </c>
      <c r="I83" s="3098"/>
      <c r="J83" s="3098"/>
      <c r="K83" s="3098"/>
      <c r="L83" s="3098"/>
      <c r="M83" s="3098" t="s">
        <v>376</v>
      </c>
      <c r="N83" s="3098" t="s">
        <v>361</v>
      </c>
      <c r="O83" s="3098" t="s">
        <v>351</v>
      </c>
      <c r="P83" s="3098"/>
      <c r="Q83" s="3101"/>
      <c r="R83" s="3101"/>
      <c r="S83" s="3101"/>
      <c r="T83" s="3101"/>
      <c r="U83" s="3102"/>
      <c r="V83" s="3098"/>
      <c r="W83" s="3098"/>
      <c r="X83" s="3056">
        <f>IF(A83="","",IF(LEN(SUBSTITUTE(SUBSTITUTE(SUBSTITUTE(SUBSTITUTE(D83,".",""),"/",""),"-","")," ",""))&lt;&gt;14,"CNPJ INVALIDO","OK"))</f>
      </c>
      <c r="Y83" s="3056">
        <f>IF(A83="","",IF(R83="","REST PENDENTE","REST OK"))</f>
      </c>
      <c r="Z83" s="3056">
        <f>IF(A83="","",IF(AND(R83&lt;&gt;"",COUNTIFS($D$3:$D$164,D83,$R$3:$R$164,"&lt;&gt;")&gt;1),"DUPLICADO","OK"))</f>
      </c>
      <c r="AA83" s="3056">
        <f>IF(A83="","",IF(OR(LEN(Q83)&gt;180,LEN(R83)&gt;180,LEN(S83)&gt;180,LEN(T83)&gt;180),"CAMINHO LONGO","OK"))</f>
      </c>
      <c r="AB83" s="3056">
        <f>IF(A83="","",IF(U83="","",IFERROR(INT(U83-TODAY()),"")))</f>
      </c>
      <c r="AC83" s="3056">
        <f>IF(A83="","",IF(AND(T83="",U83=""),"",IF(T83="","SEM CAMINHO",IF(U83="","SEM DATA",IFERROR(IF(AB83&lt;15,"VERMELHO",IF(AB83&lt;=30,"AMARELO","VERDE")),"DATA INVALIDA")))))</f>
      </c>
      <c r="AD83" s="3056">
        <f>IF(OR(A83="",U83="",NOT(ISNUMBER(AB83))),"",RANK(AB83,$AB$3:$AB$164,1)+COUNTIFS($AB$3:AB83,AB83)-1)</f>
      </c>
      <c r="AE83" s="1736"/>
    </row>
    <row r="84" spans="1:19" ht="22.0" hidden="false" customHeight="true" x14ac:dyDescent="0.25">
      <c r="A84" s="3104" t="s">
        <v>200</v>
      </c>
      <c r="B84" s="3103" t="s">
        <v>1</v>
      </c>
      <c r="C84" s="3103" t="s">
        <v>195</v>
      </c>
      <c r="D84" s="3103" t="s">
        <v>201</v>
      </c>
      <c r="E84" s="3103"/>
      <c r="F84" s="3103" t="s">
        <v>3</v>
      </c>
      <c r="G84" s="3103" t="s">
        <v>4</v>
      </c>
      <c r="H84" s="3103" t="s">
        <v>49</v>
      </c>
      <c r="I84" s="3103"/>
      <c r="J84" s="3103"/>
      <c r="K84" s="3103"/>
      <c r="L84" s="3103"/>
      <c r="M84" s="3103" t="s">
        <v>376</v>
      </c>
      <c r="N84" s="3103" t="s">
        <v>361</v>
      </c>
      <c r="O84" s="3103" t="s">
        <v>351</v>
      </c>
      <c r="P84" s="3103"/>
      <c r="Q84" s="3106"/>
      <c r="R84" s="3106"/>
      <c r="S84" s="3106"/>
      <c r="T84" s="3106"/>
      <c r="U84" s="3107"/>
      <c r="V84" s="3103"/>
      <c r="W84" s="3103"/>
      <c r="X84" s="3056">
        <f>IF(A84="","",IF(LEN(SUBSTITUTE(SUBSTITUTE(SUBSTITUTE(SUBSTITUTE(D84,".",""),"/",""),"-","")," ",""))&lt;&gt;14,"CNPJ INVALIDO","OK"))</f>
      </c>
      <c r="Y84" s="3056">
        <f>IF(A84="","",IF(R84="","REST PENDENTE","REST OK"))</f>
      </c>
      <c r="Z84" s="3056">
        <f>IF(A84="","",IF(AND(R84&lt;&gt;"",COUNTIFS($D$3:$D$164,D84,$R$3:$R$164,"&lt;&gt;")&gt;1),"DUPLICADO","OK"))</f>
      </c>
      <c r="AA84" s="3056">
        <f>IF(A84="","",IF(OR(LEN(Q84)&gt;180,LEN(R84)&gt;180,LEN(S84)&gt;180,LEN(T84)&gt;180),"CAMINHO LONGO","OK"))</f>
      </c>
      <c r="AB84" s="3056">
        <f>IF(A84="","",IF(U84="","",IFERROR(INT(U84-TODAY()),"")))</f>
      </c>
      <c r="AC84" s="3056">
        <f>IF(A84="","",IF(AND(T84="",U84=""),"",IF(T84="","SEM CAMINHO",IF(U84="","SEM DATA",IFERROR(IF(AB84&lt;15,"VERMELHO",IF(AB84&lt;=30,"AMARELO","VERDE")),"DATA INVALIDA")))))</f>
      </c>
      <c r="AD84" s="3056">
        <f>IF(OR(A84="",U84="",NOT(ISNUMBER(AB84))),"",RANK(AB84,$AB$3:$AB$164,1)+COUNTIFS($AB$3:AB84,AB84)-1)</f>
      </c>
      <c r="AE84" s="1736"/>
    </row>
    <row r="85" spans="1:19" ht="22.0" hidden="false" customHeight="true" x14ac:dyDescent="0.25">
      <c r="A85" s="3099" t="s">
        <v>202</v>
      </c>
      <c r="B85" s="3098" t="s">
        <v>203</v>
      </c>
      <c r="C85" s="3098" t="s">
        <v>204</v>
      </c>
      <c r="D85" s="3098">
        <v>48579725000102</v>
      </c>
      <c r="E85" s="3098"/>
      <c r="F85" s="3098" t="s">
        <v>205</v>
      </c>
      <c r="G85" s="3098" t="s">
        <v>13</v>
      </c>
      <c r="H85" s="3098" t="s">
        <v>5</v>
      </c>
      <c r="I85" s="3098"/>
      <c r="J85" s="3098"/>
      <c r="K85" s="3098"/>
      <c r="L85" s="3098"/>
      <c r="M85" s="3098" t="s">
        <v>379</v>
      </c>
      <c r="N85" s="3098"/>
      <c r="O85" s="3098" t="s">
        <v>356</v>
      </c>
      <c r="P85" s="3098"/>
      <c r="Q85" s="3101"/>
      <c r="R85" s="3101"/>
      <c r="S85" s="3101"/>
      <c r="T85" s="3101"/>
      <c r="U85" s="3102"/>
      <c r="V85" s="3098"/>
      <c r="W85" s="3098"/>
      <c r="X85" s="3056">
        <f>IF(A85="","",IF(LEN(SUBSTITUTE(SUBSTITUTE(SUBSTITUTE(SUBSTITUTE(D85,".",""),"/",""),"-","")," ",""))&lt;&gt;14,"CNPJ INVALIDO","OK"))</f>
      </c>
      <c r="Y85" s="3056">
        <f>IF(A85="","",IF(R85="","REST PENDENTE","REST OK"))</f>
      </c>
      <c r="Z85" s="3056">
        <f>IF(A85="","",IF(AND(R85&lt;&gt;"",COUNTIFS($D$3:$D$164,D85,$R$3:$R$164,"&lt;&gt;")&gt;1),"DUPLICADO","OK"))</f>
      </c>
      <c r="AA85" s="3056">
        <f>IF(A85="","",IF(OR(LEN(Q85)&gt;180,LEN(R85)&gt;180,LEN(S85)&gt;180,LEN(T85)&gt;180),"CAMINHO LONGO","OK"))</f>
      </c>
      <c r="AB85" s="3056">
        <f>IF(A85="","",IF(U85="","",IFERROR(INT(U85-TODAY()),"")))</f>
      </c>
      <c r="AC85" s="3056">
        <f>IF(A85="","",IF(AND(T85="",U85=""),"",IF(T85="","SEM CAMINHO",IF(U85="","SEM DATA",IFERROR(IF(AB85&lt;15,"VERMELHO",IF(AB85&lt;=30,"AMARELO","VERDE")),"DATA INVALIDA")))))</f>
      </c>
      <c r="AD85" s="3056">
        <f>IF(OR(A85="",U85="",NOT(ISNUMBER(AB85))),"",RANK(AB85,$AB$3:$AB$164,1)+COUNTIFS($AB$3:AB85,AB85)-1)</f>
      </c>
      <c r="AE85" s="1736"/>
    </row>
    <row r="86" spans="1:19" ht="22.0" hidden="false" customHeight="true" x14ac:dyDescent="0.25">
      <c r="A86" s="3104" t="s">
        <v>206</v>
      </c>
      <c r="B86" s="3103" t="s">
        <v>207</v>
      </c>
      <c r="C86" s="3103" t="s">
        <v>62</v>
      </c>
      <c r="D86" s="3103">
        <v>21879417000146</v>
      </c>
      <c r="E86" s="3103"/>
      <c r="F86" s="3103" t="s">
        <v>208</v>
      </c>
      <c r="G86" s="3103" t="s">
        <v>41</v>
      </c>
      <c r="H86" s="3103" t="s">
        <v>5</v>
      </c>
      <c r="I86" s="3103"/>
      <c r="J86" s="3103"/>
      <c r="K86" s="3103"/>
      <c r="L86" s="3103"/>
      <c r="M86" s="3103" t="s">
        <v>379</v>
      </c>
      <c r="N86" s="3103"/>
      <c r="O86" s="3103" t="s">
        <v>349</v>
      </c>
      <c r="P86" s="3103"/>
      <c r="Q86" s="3106"/>
      <c r="R86" s="3106"/>
      <c r="S86" s="3106"/>
      <c r="T86" s="3106"/>
      <c r="U86" s="3107"/>
      <c r="V86" s="3103"/>
      <c r="W86" s="3103"/>
      <c r="X86" s="3056">
        <f>IF(A86="","",IF(LEN(SUBSTITUTE(SUBSTITUTE(SUBSTITUTE(SUBSTITUTE(D86,".",""),"/",""),"-","")," ",""))&lt;&gt;14,"CNPJ INVALIDO","OK"))</f>
      </c>
      <c r="Y86" s="3056">
        <f>IF(A86="","",IF(R86="","REST PENDENTE","REST OK"))</f>
      </c>
      <c r="Z86" s="3056">
        <f>IF(A86="","",IF(AND(R86&lt;&gt;"",COUNTIFS($D$3:$D$164,D86,$R$3:$R$164,"&lt;&gt;")&gt;1),"DUPLICADO","OK"))</f>
      </c>
      <c r="AA86" s="3056">
        <f>IF(A86="","",IF(OR(LEN(Q86)&gt;180,LEN(R86)&gt;180,LEN(S86)&gt;180,LEN(T86)&gt;180),"CAMINHO LONGO","OK"))</f>
      </c>
      <c r="AB86" s="3056">
        <f>IF(A86="","",IF(U86="","",IFERROR(INT(U86-TODAY()),"")))</f>
      </c>
      <c r="AC86" s="3056">
        <f>IF(A86="","",IF(AND(T86="",U86=""),"",IF(T86="","SEM CAMINHO",IF(U86="","SEM DATA",IFERROR(IF(AB86&lt;15,"VERMELHO",IF(AB86&lt;=30,"AMARELO","VERDE")),"DATA INVALIDA")))))</f>
      </c>
      <c r="AD86" s="3056">
        <f>IF(OR(A86="",U86="",NOT(ISNUMBER(AB86))),"",RANK(AB86,$AB$3:$AB$164,1)+COUNTIFS($AB$3:AB86,AB86)-1)</f>
      </c>
      <c r="AE86" s="1736"/>
    </row>
    <row r="87" spans="1:19" ht="22.0" hidden="false" customHeight="true" x14ac:dyDescent="0.25">
      <c r="A87" s="3099" t="s">
        <v>209</v>
      </c>
      <c r="B87" s="3098" t="s">
        <v>207</v>
      </c>
      <c r="C87" s="3098" t="s">
        <v>62</v>
      </c>
      <c r="D87" s="3098" t="s">
        <v>388</v>
      </c>
      <c r="E87" s="3098"/>
      <c r="F87" s="3098" t="s">
        <v>208</v>
      </c>
      <c r="G87" s="3098" t="s">
        <v>4</v>
      </c>
      <c r="H87" s="3098" t="s">
        <v>5</v>
      </c>
      <c r="I87" s="3098"/>
      <c r="J87" s="3098"/>
      <c r="K87" s="3098"/>
      <c r="L87" s="3098"/>
      <c r="M87" s="3098" t="s">
        <v>379</v>
      </c>
      <c r="N87" s="3098"/>
      <c r="O87" s="3098" t="s">
        <v>349</v>
      </c>
      <c r="P87" s="3098"/>
      <c r="Q87" s="3101"/>
      <c r="R87" s="3101"/>
      <c r="S87" s="3101"/>
      <c r="T87" s="3101"/>
      <c r="U87" s="3102"/>
      <c r="V87" s="3098"/>
      <c r="W87" s="3098"/>
      <c r="X87" s="3056">
        <f>IF(A87="","",IF(LEN(SUBSTITUTE(SUBSTITUTE(SUBSTITUTE(SUBSTITUTE(D87,".",""),"/",""),"-","")," ",""))&lt;&gt;14,"CNPJ INVALIDO","OK"))</f>
      </c>
      <c r="Y87" s="3056">
        <f>IF(A87="","",IF(R87="","REST PENDENTE","REST OK"))</f>
      </c>
      <c r="Z87" s="3056">
        <f>IF(A87="","",IF(AND(R87&lt;&gt;"",COUNTIFS($D$3:$D$164,D87,$R$3:$R$164,"&lt;&gt;")&gt;1),"DUPLICADO","OK"))</f>
      </c>
      <c r="AA87" s="3056">
        <f>IF(A87="","",IF(OR(LEN(Q87)&gt;180,LEN(R87)&gt;180,LEN(S87)&gt;180,LEN(T87)&gt;180),"CAMINHO LONGO","OK"))</f>
      </c>
      <c r="AB87" s="3056">
        <f>IF(A87="","",IF(U87="","",IFERROR(INT(U87-TODAY()),"")))</f>
      </c>
      <c r="AC87" s="3056">
        <f>IF(A87="","",IF(AND(T87="",U87=""),"",IF(T87="","SEM CAMINHO",IF(U87="","SEM DATA",IFERROR(IF(AB87&lt;15,"VERMELHO",IF(AB87&lt;=30,"AMARELO","VERDE")),"DATA INVALIDA")))))</f>
      </c>
      <c r="AD87" s="3056">
        <f>IF(OR(A87="",U87="",NOT(ISNUMBER(AB87))),"",RANK(AB87,$AB$3:$AB$164,1)+COUNTIFS($AB$3:AB87,AB87)-1)</f>
      </c>
      <c r="AE87" s="1736"/>
    </row>
    <row r="88" spans="1:19" ht="22.0" hidden="false" customHeight="true" x14ac:dyDescent="0.25">
      <c r="A88" s="3104" t="s">
        <v>210</v>
      </c>
      <c r="B88" s="3103" t="s">
        <v>211</v>
      </c>
      <c r="C88" s="3103" t="s">
        <v>69</v>
      </c>
      <c r="D88" s="3103" t="s">
        <v>387</v>
      </c>
      <c r="E88" s="3103"/>
      <c r="F88" s="3103"/>
      <c r="G88" s="3103" t="s">
        <v>4</v>
      </c>
      <c r="H88" s="3103" t="s">
        <v>49</v>
      </c>
      <c r="I88" s="3103"/>
      <c r="J88" s="3103"/>
      <c r="K88" s="3103"/>
      <c r="L88" s="3103"/>
      <c r="M88" s="3103" t="s">
        <v>379</v>
      </c>
      <c r="N88" s="3103"/>
      <c r="O88" s="3103" t="s">
        <v>349</v>
      </c>
      <c r="P88" s="3103"/>
      <c r="Q88" s="3106"/>
      <c r="R88" s="3106"/>
      <c r="S88" s="3106"/>
      <c r="T88" s="3106"/>
      <c r="U88" s="3107"/>
      <c r="V88" s="3103"/>
      <c r="W88" s="3103"/>
      <c r="X88" s="3056">
        <f>IF(A88="","",IF(LEN(SUBSTITUTE(SUBSTITUTE(SUBSTITUTE(SUBSTITUTE(D88,".",""),"/",""),"-","")," ",""))&lt;&gt;14,"CNPJ INVALIDO","OK"))</f>
      </c>
      <c r="Y88" s="3056">
        <f>IF(A88="","",IF(R88="","REST PENDENTE","REST OK"))</f>
      </c>
      <c r="Z88" s="3056">
        <f>IF(A88="","",IF(AND(R88&lt;&gt;"",COUNTIFS($D$3:$D$164,D88,$R$3:$R$164,"&lt;&gt;")&gt;1),"DUPLICADO","OK"))</f>
      </c>
      <c r="AA88" s="3056">
        <f>IF(A88="","",IF(OR(LEN(Q88)&gt;180,LEN(R88)&gt;180,LEN(S88)&gt;180,LEN(T88)&gt;180),"CAMINHO LONGO","OK"))</f>
      </c>
      <c r="AB88" s="3056">
        <f>IF(A88="","",IF(U88="","",IFERROR(INT(U88-TODAY()),"")))</f>
      </c>
      <c r="AC88" s="3056">
        <f>IF(A88="","",IF(AND(T88="",U88=""),"",IF(T88="","SEM CAMINHO",IF(U88="","SEM DATA",IFERROR(IF(AB88&lt;15,"VERMELHO",IF(AB88&lt;=30,"AMARELO","VERDE")),"DATA INVALIDA")))))</f>
      </c>
      <c r="AD88" s="3056">
        <f>IF(OR(A88="",U88="",NOT(ISNUMBER(AB88))),"",RANK(AB88,$AB$3:$AB$164,1)+COUNTIFS($AB$3:AB88,AB88)-1)</f>
      </c>
      <c r="AE88" s="1736"/>
    </row>
    <row r="89" spans="1:19" ht="22.0" hidden="false" customHeight="true" x14ac:dyDescent="0.25">
      <c r="A89" s="3099" t="s">
        <v>212</v>
      </c>
      <c r="B89" s="3098" t="s">
        <v>211</v>
      </c>
      <c r="C89" s="3098" t="s">
        <v>69</v>
      </c>
      <c r="D89" s="3098"/>
      <c r="E89" s="3098"/>
      <c r="F89" s="3098"/>
      <c r="G89" s="3098" t="s">
        <v>4</v>
      </c>
      <c r="H89" s="3098" t="s">
        <v>49</v>
      </c>
      <c r="I89" s="3098"/>
      <c r="J89" s="3098"/>
      <c r="K89" s="3098"/>
      <c r="L89" s="3098"/>
      <c r="M89" s="3098" t="s">
        <v>379</v>
      </c>
      <c r="N89" s="3098"/>
      <c r="O89" s="3098" t="s">
        <v>349</v>
      </c>
      <c r="P89" s="3098"/>
      <c r="Q89" s="3101"/>
      <c r="R89" s="3101"/>
      <c r="S89" s="3101"/>
      <c r="T89" s="3101"/>
      <c r="U89" s="3102"/>
      <c r="V89" s="3098"/>
      <c r="W89" s="3098"/>
      <c r="X89" s="3056">
        <f>IF(A89="","",IF(LEN(SUBSTITUTE(SUBSTITUTE(SUBSTITUTE(SUBSTITUTE(D89,".",""),"/",""),"-","")," ",""))&lt;&gt;14,"CNPJ INVALIDO","OK"))</f>
      </c>
      <c r="Y89" s="3056">
        <f>IF(A89="","",IF(R89="","REST PENDENTE","REST OK"))</f>
      </c>
      <c r="Z89" s="3056">
        <f>IF(A89="","",IF(AND(R89&lt;&gt;"",COUNTIFS($D$3:$D$164,D89,$R$3:$R$164,"&lt;&gt;")&gt;1),"DUPLICADO","OK"))</f>
      </c>
      <c r="AA89" s="3056">
        <f>IF(A89="","",IF(OR(LEN(Q89)&gt;180,LEN(R89)&gt;180,LEN(S89)&gt;180,LEN(T89)&gt;180),"CAMINHO LONGO","OK"))</f>
      </c>
      <c r="AB89" s="3056">
        <f>IF(A89="","",IF(U89="","",IFERROR(INT(U89-TODAY()),"")))</f>
      </c>
      <c r="AC89" s="3056">
        <f>IF(A89="","",IF(AND(T89="",U89=""),"",IF(T89="","SEM CAMINHO",IF(U89="","SEM DATA",IFERROR(IF(AB89&lt;15,"VERMELHO",IF(AB89&lt;=30,"AMARELO","VERDE")),"DATA INVALIDA")))))</f>
      </c>
      <c r="AD89" s="3056">
        <f>IF(OR(A89="",U89="",NOT(ISNUMBER(AB89))),"",RANK(AB89,$AB$3:$AB$164,1)+COUNTIFS($AB$3:AB89,AB89)-1)</f>
      </c>
      <c r="AE89" s="1736"/>
    </row>
    <row r="90" spans="1:19" ht="22.0" hidden="false" customHeight="true" x14ac:dyDescent="0.25">
      <c r="A90" s="3104" t="s">
        <v>213</v>
      </c>
      <c r="B90" s="3103" t="s">
        <v>214</v>
      </c>
      <c r="C90" s="3103" t="s">
        <v>62</v>
      </c>
      <c r="D90" s="3103">
        <v>44868733000118</v>
      </c>
      <c r="E90" s="3103"/>
      <c r="F90" s="3103" t="s">
        <v>215</v>
      </c>
      <c r="G90" s="3103" t="s">
        <v>4</v>
      </c>
      <c r="H90" s="3103" t="s">
        <v>5</v>
      </c>
      <c r="I90" s="3103"/>
      <c r="J90" s="3103"/>
      <c r="K90" s="3103"/>
      <c r="L90" s="3103"/>
      <c r="M90" s="3103" t="s">
        <v>379</v>
      </c>
      <c r="N90" s="3103"/>
      <c r="O90" s="3103" t="s">
        <v>350</v>
      </c>
      <c r="P90" s="3103"/>
      <c r="Q90" s="3106"/>
      <c r="R90" s="3106"/>
      <c r="S90" s="3106"/>
      <c r="T90" s="3106"/>
      <c r="U90" s="3107"/>
      <c r="V90" s="3103"/>
      <c r="W90" s="3103"/>
      <c r="X90" s="3056">
        <f>IF(A90="","",IF(LEN(SUBSTITUTE(SUBSTITUTE(SUBSTITUTE(SUBSTITUTE(D90,".",""),"/",""),"-","")," ",""))&lt;&gt;14,"CNPJ INVALIDO","OK"))</f>
      </c>
      <c r="Y90" s="3056">
        <f>IF(A90="","",IF(R90="","REST PENDENTE","REST OK"))</f>
      </c>
      <c r="Z90" s="3056">
        <f>IF(A90="","",IF(AND(R90&lt;&gt;"",COUNTIFS($D$3:$D$164,D90,$R$3:$R$164,"&lt;&gt;")&gt;1),"DUPLICADO","OK"))</f>
      </c>
      <c r="AA90" s="3056">
        <f>IF(A90="","",IF(OR(LEN(Q90)&gt;180,LEN(R90)&gt;180,LEN(S90)&gt;180,LEN(T90)&gt;180),"CAMINHO LONGO","OK"))</f>
      </c>
      <c r="AB90" s="3056">
        <f>IF(A90="","",IF(U90="","",IFERROR(INT(U90-TODAY()),"")))</f>
      </c>
      <c r="AC90" s="3056">
        <f>IF(A90="","",IF(AND(T90="",U90=""),"",IF(T90="","SEM CAMINHO",IF(U90="","SEM DATA",IFERROR(IF(AB90&lt;15,"VERMELHO",IF(AB90&lt;=30,"AMARELO","VERDE")),"DATA INVALIDA")))))</f>
      </c>
      <c r="AD90" s="3056">
        <f>IF(OR(A90="",U90="",NOT(ISNUMBER(AB90))),"",RANK(AB90,$AB$3:$AB$164,1)+COUNTIFS($AB$3:AB90,AB90)-1)</f>
      </c>
      <c r="AE90" s="1736"/>
    </row>
    <row r="91" spans="1:19" ht="22.0" hidden="false" customHeight="true" x14ac:dyDescent="0.25">
      <c r="A91" s="3099" t="s">
        <v>216</v>
      </c>
      <c r="B91" s="3098" t="s">
        <v>9</v>
      </c>
      <c r="C91" s="3098" t="s">
        <v>69</v>
      </c>
      <c r="D91" s="3098" t="s">
        <v>217</v>
      </c>
      <c r="E91" s="3098"/>
      <c r="F91" s="3098" t="s">
        <v>12</v>
      </c>
      <c r="G91" s="3098" t="s">
        <v>13</v>
      </c>
      <c r="H91" s="3098" t="s">
        <v>49</v>
      </c>
      <c r="I91" s="3098"/>
      <c r="J91" s="3098"/>
      <c r="K91" s="3098"/>
      <c r="L91" s="3098"/>
      <c r="M91" s="3098" t="s">
        <v>379</v>
      </c>
      <c r="N91" s="3098"/>
      <c r="O91" s="3098" t="s">
        <v>349</v>
      </c>
      <c r="P91" s="3098"/>
      <c r="Q91" s="3101"/>
      <c r="R91" s="3101"/>
      <c r="S91" s="3101"/>
      <c r="T91" s="3101"/>
      <c r="U91" s="3102"/>
      <c r="V91" s="3098"/>
      <c r="W91" s="3098"/>
      <c r="X91" s="3056">
        <f>IF(A91="","",IF(LEN(SUBSTITUTE(SUBSTITUTE(SUBSTITUTE(SUBSTITUTE(D91,".",""),"/",""),"-","")," ",""))&lt;&gt;14,"CNPJ INVALIDO","OK"))</f>
      </c>
      <c r="Y91" s="3056">
        <f>IF(A91="","",IF(R91="","REST PENDENTE","REST OK"))</f>
      </c>
      <c r="Z91" s="3056">
        <f>IF(A91="","",IF(AND(R91&lt;&gt;"",COUNTIFS($D$3:$D$164,D91,$R$3:$R$164,"&lt;&gt;")&gt;1),"DUPLICADO","OK"))</f>
      </c>
      <c r="AA91" s="3056">
        <f>IF(A91="","",IF(OR(LEN(Q91)&gt;180,LEN(R91)&gt;180,LEN(S91)&gt;180,LEN(T91)&gt;180),"CAMINHO LONGO","OK"))</f>
      </c>
      <c r="AB91" s="3056">
        <f>IF(A91="","",IF(U91="","",IFERROR(INT(U91-TODAY()),"")))</f>
      </c>
      <c r="AC91" s="3056">
        <f>IF(A91="","",IF(AND(T91="",U91=""),"",IF(T91="","SEM CAMINHO",IF(U91="","SEM DATA",IFERROR(IF(AB91&lt;15,"VERMELHO",IF(AB91&lt;=30,"AMARELO","VERDE")),"DATA INVALIDA")))))</f>
      </c>
      <c r="AD91" s="3056">
        <f>IF(OR(A91="",U91="",NOT(ISNUMBER(AB91))),"",RANK(AB91,$AB$3:$AB$164,1)+COUNTIFS($AB$3:AB91,AB91)-1)</f>
      </c>
      <c r="AE91" s="1736"/>
    </row>
    <row r="92" spans="1:19" ht="22.0" hidden="false" customHeight="true" x14ac:dyDescent="0.25">
      <c r="A92" s="3104" t="s">
        <v>218</v>
      </c>
      <c r="B92" s="3103" t="s">
        <v>219</v>
      </c>
      <c r="C92" s="3103" t="s">
        <v>62</v>
      </c>
      <c r="D92" s="3103">
        <v>51987426000111</v>
      </c>
      <c r="E92" s="3103"/>
      <c r="F92" s="3103" t="s">
        <v>220</v>
      </c>
      <c r="G92" s="3103" t="s">
        <v>4</v>
      </c>
      <c r="H92" s="3103" t="s">
        <v>5</v>
      </c>
      <c r="I92" s="3103"/>
      <c r="J92" s="3103"/>
      <c r="K92" s="3103"/>
      <c r="L92" s="3103"/>
      <c r="M92" s="3103" t="s">
        <v>389</v>
      </c>
      <c r="N92" s="3103"/>
      <c r="O92" s="3103" t="s">
        <v>350</v>
      </c>
      <c r="P92" s="3103"/>
      <c r="Q92" s="3106"/>
      <c r="R92" s="3106"/>
      <c r="S92" s="3106"/>
      <c r="T92" s="3106"/>
      <c r="U92" s="3107"/>
      <c r="V92" s="3103"/>
      <c r="W92" s="3103"/>
      <c r="X92" s="3056">
        <f>IF(A92="","",IF(LEN(SUBSTITUTE(SUBSTITUTE(SUBSTITUTE(SUBSTITUTE(D92,".",""),"/",""),"-","")," ",""))&lt;&gt;14,"CNPJ INVALIDO","OK"))</f>
      </c>
      <c r="Y92" s="3056">
        <f>IF(A92="","",IF(R92="","REST PENDENTE","REST OK"))</f>
      </c>
      <c r="Z92" s="3056">
        <f>IF(A92="","",IF(AND(R92&lt;&gt;"",COUNTIFS($D$3:$D$164,D92,$R$3:$R$164,"&lt;&gt;")&gt;1),"DUPLICADO","OK"))</f>
      </c>
      <c r="AA92" s="3056">
        <f>IF(A92="","",IF(OR(LEN(Q92)&gt;180,LEN(R92)&gt;180,LEN(S92)&gt;180,LEN(T92)&gt;180),"CAMINHO LONGO","OK"))</f>
      </c>
      <c r="AB92" s="3056">
        <f>IF(A92="","",IF(U92="","",IFERROR(INT(U92-TODAY()),"")))</f>
      </c>
      <c r="AC92" s="3056">
        <f>IF(A92="","",IF(AND(T92="",U92=""),"",IF(T92="","SEM CAMINHO",IF(U92="","SEM DATA",IFERROR(IF(AB92&lt;15,"VERMELHO",IF(AB92&lt;=30,"AMARELO","VERDE")),"DATA INVALIDA")))))</f>
      </c>
      <c r="AD92" s="3056">
        <f>IF(OR(A92="",U92="",NOT(ISNUMBER(AB92))),"",RANK(AB92,$AB$3:$AB$164,1)+COUNTIFS($AB$3:AB92,AB92)-1)</f>
      </c>
      <c r="AE92" s="1736"/>
    </row>
    <row r="93" spans="1:19" ht="22.0" hidden="false" customHeight="true" x14ac:dyDescent="0.25">
      <c r="A93" s="3099" t="s">
        <v>221</v>
      </c>
      <c r="B93" s="3098" t="s">
        <v>222</v>
      </c>
      <c r="C93" s="3098" t="s">
        <v>62</v>
      </c>
      <c r="D93" s="3098" t="s">
        <v>390</v>
      </c>
      <c r="E93" s="3098"/>
      <c r="F93" s="3098" t="s">
        <v>223</v>
      </c>
      <c r="G93" s="3098" t="s">
        <v>13</v>
      </c>
      <c r="H93" s="3098" t="s">
        <v>49</v>
      </c>
      <c r="I93" s="3098"/>
      <c r="J93" s="3098"/>
      <c r="K93" s="3098"/>
      <c r="L93" s="3098"/>
      <c r="M93" s="3098" t="s">
        <v>389</v>
      </c>
      <c r="N93" s="3098"/>
      <c r="O93" s="3098" t="s">
        <v>350</v>
      </c>
      <c r="P93" s="3098"/>
      <c r="Q93" s="3101"/>
      <c r="R93" s="3101"/>
      <c r="S93" s="3101"/>
      <c r="T93" s="3101"/>
      <c r="U93" s="3102"/>
      <c r="V93" s="3098"/>
      <c r="W93" s="3098"/>
      <c r="X93" s="3056">
        <f>IF(A93="","",IF(LEN(SUBSTITUTE(SUBSTITUTE(SUBSTITUTE(SUBSTITUTE(D93,".",""),"/",""),"-","")," ",""))&lt;&gt;14,"CNPJ INVALIDO","OK"))</f>
      </c>
      <c r="Y93" s="3056">
        <f>IF(A93="","",IF(R93="","REST PENDENTE","REST OK"))</f>
      </c>
      <c r="Z93" s="3056">
        <f>IF(A93="","",IF(AND(R93&lt;&gt;"",COUNTIFS($D$3:$D$164,D93,$R$3:$R$164,"&lt;&gt;")&gt;1),"DUPLICADO","OK"))</f>
      </c>
      <c r="AA93" s="3056">
        <f>IF(A93="","",IF(OR(LEN(Q93)&gt;180,LEN(R93)&gt;180,LEN(S93)&gt;180,LEN(T93)&gt;180),"CAMINHO LONGO","OK"))</f>
      </c>
      <c r="AB93" s="3056">
        <f>IF(A93="","",IF(U93="","",IFERROR(INT(U93-TODAY()),"")))</f>
      </c>
      <c r="AC93" s="3056">
        <f>IF(A93="","",IF(AND(T93="",U93=""),"",IF(T93="","SEM CAMINHO",IF(U93="","SEM DATA",IFERROR(IF(AB93&lt;15,"VERMELHO",IF(AB93&lt;=30,"AMARELO","VERDE")),"DATA INVALIDA")))))</f>
      </c>
      <c r="AD93" s="3056">
        <f>IF(OR(A93="",U93="",NOT(ISNUMBER(AB93))),"",RANK(AB93,$AB$3:$AB$164,1)+COUNTIFS($AB$3:AB93,AB93)-1)</f>
      </c>
      <c r="AE93" s="1736"/>
    </row>
    <row r="94" spans="1:19" ht="22.0" hidden="false" customHeight="true" x14ac:dyDescent="0.25">
      <c r="A94" s="3104" t="s">
        <v>224</v>
      </c>
      <c r="B94" s="3103" t="s">
        <v>182</v>
      </c>
      <c r="C94" s="3103" t="s">
        <v>83</v>
      </c>
      <c r="D94" s="3103">
        <v>21371431000134</v>
      </c>
      <c r="E94" s="3103"/>
      <c r="F94" s="3103" t="s">
        <v>225</v>
      </c>
      <c r="G94" s="3103" t="s">
        <v>4</v>
      </c>
      <c r="H94" s="3103" t="s">
        <v>5</v>
      </c>
      <c r="I94" s="3103"/>
      <c r="J94" s="3103"/>
      <c r="K94" s="3103"/>
      <c r="L94" s="3103"/>
      <c r="M94" s="3103" t="s">
        <v>375</v>
      </c>
      <c r="N94" s="3103"/>
      <c r="O94" s="3103" t="s">
        <v>357</v>
      </c>
      <c r="P94" s="3103"/>
      <c r="Q94" s="3106"/>
      <c r="R94" s="3106"/>
      <c r="S94" s="3106"/>
      <c r="T94" s="3106"/>
      <c r="U94" s="3107"/>
      <c r="V94" s="3103"/>
      <c r="W94" s="3103"/>
      <c r="X94" s="3056">
        <f>IF(A94="","",IF(LEN(SUBSTITUTE(SUBSTITUTE(SUBSTITUTE(SUBSTITUTE(D94,".",""),"/",""),"-","")," ",""))&lt;&gt;14,"CNPJ INVALIDO","OK"))</f>
      </c>
      <c r="Y94" s="3056">
        <f>IF(A94="","",IF(R94="","REST PENDENTE","REST OK"))</f>
      </c>
      <c r="Z94" s="3056">
        <f>IF(A94="","",IF(AND(R94&lt;&gt;"",COUNTIFS($D$3:$D$164,D94,$R$3:$R$164,"&lt;&gt;")&gt;1),"DUPLICADO","OK"))</f>
      </c>
      <c r="AA94" s="3056">
        <f>IF(A94="","",IF(OR(LEN(Q94)&gt;180,LEN(R94)&gt;180,LEN(S94)&gt;180,LEN(T94)&gt;180),"CAMINHO LONGO","OK"))</f>
      </c>
      <c r="AB94" s="3056">
        <f>IF(A94="","",IF(U94="","",IFERROR(INT(U94-TODAY()),"")))</f>
      </c>
      <c r="AC94" s="3056">
        <f>IF(A94="","",IF(AND(T94="",U94=""),"",IF(T94="","SEM CAMINHO",IF(U94="","SEM DATA",IFERROR(IF(AB94&lt;15,"VERMELHO",IF(AB94&lt;=30,"AMARELO","VERDE")),"DATA INVALIDA")))))</f>
      </c>
      <c r="AD94" s="3056">
        <f>IF(OR(A94="",U94="",NOT(ISNUMBER(AB94))),"",RANK(AB94,$AB$3:$AB$164,1)+COUNTIFS($AB$3:AB94,AB94)-1)</f>
      </c>
      <c r="AE94" s="1736"/>
    </row>
    <row r="95" spans="1:19" ht="22.0" hidden="false" customHeight="true" x14ac:dyDescent="0.25">
      <c r="A95" s="3099" t="s">
        <v>226</v>
      </c>
      <c r="B95" s="3098" t="s">
        <v>227</v>
      </c>
      <c r="C95" s="3098" t="s">
        <v>122</v>
      </c>
      <c r="D95" s="3098">
        <v>9421791000106</v>
      </c>
      <c r="E95" s="3098"/>
      <c r="F95" s="3098" t="s">
        <v>228</v>
      </c>
      <c r="G95" s="3098" t="s">
        <v>4</v>
      </c>
      <c r="H95" s="3098" t="s">
        <v>5</v>
      </c>
      <c r="I95" s="3098"/>
      <c r="J95" s="3098"/>
      <c r="K95" s="3098"/>
      <c r="L95" s="3098"/>
      <c r="M95" s="3098" t="s">
        <v>379</v>
      </c>
      <c r="N95" s="3098"/>
      <c r="O95" s="3098" t="s">
        <v>349</v>
      </c>
      <c r="P95" s="3098"/>
      <c r="Q95" s="3101"/>
      <c r="R95" s="3101"/>
      <c r="S95" s="3101"/>
      <c r="T95" s="3101"/>
      <c r="U95" s="3102"/>
      <c r="V95" s="3098"/>
      <c r="W95" s="3098"/>
      <c r="X95" s="3056">
        <f>IF(A95="","",IF(LEN(SUBSTITUTE(SUBSTITUTE(SUBSTITUTE(SUBSTITUTE(D95,".",""),"/",""),"-","")," ",""))&lt;&gt;14,"CNPJ INVALIDO","OK"))</f>
      </c>
      <c r="Y95" s="3056">
        <f>IF(A95="","",IF(R95="","REST PENDENTE","REST OK"))</f>
      </c>
      <c r="Z95" s="3056">
        <f>IF(A95="","",IF(AND(R95&lt;&gt;"",COUNTIFS($D$3:$D$164,D95,$R$3:$R$164,"&lt;&gt;")&gt;1),"DUPLICADO","OK"))</f>
      </c>
      <c r="AA95" s="3056">
        <f>IF(A95="","",IF(OR(LEN(Q95)&gt;180,LEN(R95)&gt;180,LEN(S95)&gt;180,LEN(T95)&gt;180),"CAMINHO LONGO","OK"))</f>
      </c>
      <c r="AB95" s="3056">
        <f>IF(A95="","",IF(U95="","",IFERROR(INT(U95-TODAY()),"")))</f>
      </c>
      <c r="AC95" s="3056">
        <f>IF(A95="","",IF(AND(T95="",U95=""),"",IF(T95="","SEM CAMINHO",IF(U95="","SEM DATA",IFERROR(IF(AB95&lt;15,"VERMELHO",IF(AB95&lt;=30,"AMARELO","VERDE")),"DATA INVALIDA")))))</f>
      </c>
      <c r="AD95" s="3056">
        <f>IF(OR(A95="",U95="",NOT(ISNUMBER(AB95))),"",RANK(AB95,$AB$3:$AB$164,1)+COUNTIFS($AB$3:AB95,AB95)-1)</f>
      </c>
      <c r="AE95" s="1736"/>
    </row>
    <row r="96" spans="1:19" ht="22.0" hidden="false" customHeight="true" x14ac:dyDescent="0.25">
      <c r="A96" s="3104" t="s">
        <v>229</v>
      </c>
      <c r="B96" s="3103" t="s">
        <v>96</v>
      </c>
      <c r="C96" s="3103" t="s">
        <v>230</v>
      </c>
      <c r="D96" s="3103" t="s">
        <v>391</v>
      </c>
      <c r="E96" s="3103"/>
      <c r="F96" s="3103" t="s">
        <v>99</v>
      </c>
      <c r="G96" s="3103" t="s">
        <v>4</v>
      </c>
      <c r="H96" s="3103" t="s">
        <v>14</v>
      </c>
      <c r="I96" s="3103"/>
      <c r="J96" s="3103"/>
      <c r="K96" s="3103"/>
      <c r="L96" s="3103"/>
      <c r="M96" s="3103" t="s">
        <v>376</v>
      </c>
      <c r="N96" s="3103"/>
      <c r="O96" s="3103" t="s">
        <v>349</v>
      </c>
      <c r="P96" s="3103"/>
      <c r="Q96" s="3106"/>
      <c r="R96" s="3106"/>
      <c r="S96" s="3106"/>
      <c r="T96" s="3106"/>
      <c r="U96" s="3107"/>
      <c r="V96" s="3103"/>
      <c r="W96" s="3103"/>
      <c r="X96" s="3056">
        <f>IF(A96="","",IF(LEN(SUBSTITUTE(SUBSTITUTE(SUBSTITUTE(SUBSTITUTE(D96,".",""),"/",""),"-","")," ",""))&lt;&gt;14,"CNPJ INVALIDO","OK"))</f>
      </c>
      <c r="Y96" s="3056">
        <f>IF(A96="","",IF(R96="","REST PENDENTE","REST OK"))</f>
      </c>
      <c r="Z96" s="3056">
        <f>IF(A96="","",IF(AND(R96&lt;&gt;"",COUNTIFS($D$3:$D$164,D96,$R$3:$R$164,"&lt;&gt;")&gt;1),"DUPLICADO","OK"))</f>
      </c>
      <c r="AA96" s="3056">
        <f>IF(A96="","",IF(OR(LEN(Q96)&gt;180,LEN(R96)&gt;180,LEN(S96)&gt;180,LEN(T96)&gt;180),"CAMINHO LONGO","OK"))</f>
      </c>
      <c r="AB96" s="3056">
        <f>IF(A96="","",IF(U96="","",IFERROR(INT(U96-TODAY()),"")))</f>
      </c>
      <c r="AC96" s="3056">
        <f>IF(A96="","",IF(AND(T96="",U96=""),"",IF(T96="","SEM CAMINHO",IF(U96="","SEM DATA",IFERROR(IF(AB96&lt;15,"VERMELHO",IF(AB96&lt;=30,"AMARELO","VERDE")),"DATA INVALIDA")))))</f>
      </c>
      <c r="AD96" s="3056">
        <f>IF(OR(A96="",U96="",NOT(ISNUMBER(AB96))),"",RANK(AB96,$AB$3:$AB$164,1)+COUNTIFS($AB$3:AB96,AB96)-1)</f>
      </c>
      <c r="AE96" s="1736"/>
    </row>
    <row r="97" spans="1:19" ht="22.0" hidden="false" customHeight="true" x14ac:dyDescent="0.25">
      <c r="A97" s="3099" t="s">
        <v>231</v>
      </c>
      <c r="B97" s="3098" t="s">
        <v>211</v>
      </c>
      <c r="C97" s="3098" t="s">
        <v>69</v>
      </c>
      <c r="D97" s="3098" t="s">
        <v>232</v>
      </c>
      <c r="E97" s="3098"/>
      <c r="F97" s="3098"/>
      <c r="G97" s="3098" t="s">
        <v>4</v>
      </c>
      <c r="H97" s="3098" t="s">
        <v>49</v>
      </c>
      <c r="I97" s="3098"/>
      <c r="J97" s="3098"/>
      <c r="K97" s="3098"/>
      <c r="L97" s="3098"/>
      <c r="M97" s="3098" t="s">
        <v>379</v>
      </c>
      <c r="N97" s="3098"/>
      <c r="O97" s="3098" t="s">
        <v>349</v>
      </c>
      <c r="P97" s="3098"/>
      <c r="Q97" s="3101"/>
      <c r="R97" s="3101"/>
      <c r="S97" s="3101"/>
      <c r="T97" s="3101"/>
      <c r="U97" s="3102"/>
      <c r="V97" s="3098"/>
      <c r="W97" s="3098"/>
      <c r="X97" s="3056">
        <f>IF(A97="","",IF(LEN(SUBSTITUTE(SUBSTITUTE(SUBSTITUTE(SUBSTITUTE(D97,".",""),"/",""),"-","")," ",""))&lt;&gt;14,"CNPJ INVALIDO","OK"))</f>
      </c>
      <c r="Y97" s="3056">
        <f>IF(A97="","",IF(R97="","REST PENDENTE","REST OK"))</f>
      </c>
      <c r="Z97" s="3056">
        <f>IF(A97="","",IF(AND(R97&lt;&gt;"",COUNTIFS($D$3:$D$164,D97,$R$3:$R$164,"&lt;&gt;")&gt;1),"DUPLICADO","OK"))</f>
      </c>
      <c r="AA97" s="3056">
        <f>IF(A97="","",IF(OR(LEN(Q97)&gt;180,LEN(R97)&gt;180,LEN(S97)&gt;180,LEN(T97)&gt;180),"CAMINHO LONGO","OK"))</f>
      </c>
      <c r="AB97" s="3056">
        <f>IF(A97="","",IF(U97="","",IFERROR(INT(U97-TODAY()),"")))</f>
      </c>
      <c r="AC97" s="3056">
        <f>IF(A97="","",IF(AND(T97="",U97=""),"",IF(T97="","SEM CAMINHO",IF(U97="","SEM DATA",IFERROR(IF(AB97&lt;15,"VERMELHO",IF(AB97&lt;=30,"AMARELO","VERDE")),"DATA INVALIDA")))))</f>
      </c>
      <c r="AD97" s="3056">
        <f>IF(OR(A97="",U97="",NOT(ISNUMBER(AB97))),"",RANK(AB97,$AB$3:$AB$164,1)+COUNTIFS($AB$3:AB97,AB97)-1)</f>
      </c>
      <c r="AE97" s="1736"/>
    </row>
    <row r="98" spans="1:19" ht="22.0" hidden="false" customHeight="true" x14ac:dyDescent="0.25">
      <c r="A98" s="3104" t="s">
        <v>233</v>
      </c>
      <c r="B98" s="3103" t="s">
        <v>134</v>
      </c>
      <c r="C98" s="3103" t="s">
        <v>116</v>
      </c>
      <c r="D98" s="3103" t="s">
        <v>234</v>
      </c>
      <c r="E98" s="3103"/>
      <c r="F98" s="3103" t="s">
        <v>138</v>
      </c>
      <c r="G98" s="3103" t="s">
        <v>13</v>
      </c>
      <c r="H98" s="3103" t="s">
        <v>14</v>
      </c>
      <c r="I98" s="3103"/>
      <c r="J98" s="3103"/>
      <c r="K98" s="3103"/>
      <c r="L98" s="3103"/>
      <c r="M98" s="3103" t="s">
        <v>359</v>
      </c>
      <c r="N98" s="3103"/>
      <c r="O98" s="3103" t="s">
        <v>358</v>
      </c>
      <c r="P98" s="3103"/>
      <c r="Q98" s="3106"/>
      <c r="R98" s="3106"/>
      <c r="S98" s="3106"/>
      <c r="T98" s="3106"/>
      <c r="U98" s="3107"/>
      <c r="V98" s="3103"/>
      <c r="W98" s="3103"/>
      <c r="X98" s="3056">
        <f>IF(A98="","",IF(LEN(SUBSTITUTE(SUBSTITUTE(SUBSTITUTE(SUBSTITUTE(D98,".",""),"/",""),"-","")," ",""))&lt;&gt;14,"CNPJ INVALIDO","OK"))</f>
      </c>
      <c r="Y98" s="3056">
        <f>IF(A98="","",IF(R98="","REST PENDENTE","REST OK"))</f>
      </c>
      <c r="Z98" s="3056">
        <f>IF(A98="","",IF(AND(R98&lt;&gt;"",COUNTIFS($D$3:$D$164,D98,$R$3:$R$164,"&lt;&gt;")&gt;1),"DUPLICADO","OK"))</f>
      </c>
      <c r="AA98" s="3056">
        <f>IF(A98="","",IF(OR(LEN(Q98)&gt;180,LEN(R98)&gt;180,LEN(S98)&gt;180,LEN(T98)&gt;180),"CAMINHO LONGO","OK"))</f>
      </c>
      <c r="AB98" s="3056">
        <f>IF(A98="","",IF(U98="","",IFERROR(INT(U98-TODAY()),"")))</f>
      </c>
      <c r="AC98" s="3056">
        <f>IF(A98="","",IF(AND(T98="",U98=""),"",IF(T98="","SEM CAMINHO",IF(U98="","SEM DATA",IFERROR(IF(AB98&lt;15,"VERMELHO",IF(AB98&lt;=30,"AMARELO","VERDE")),"DATA INVALIDA")))))</f>
      </c>
      <c r="AD98" s="3056">
        <f>IF(OR(A98="",U98="",NOT(ISNUMBER(AB98))),"",RANK(AB98,$AB$3:$AB$164,1)+COUNTIFS($AB$3:AB98,AB98)-1)</f>
      </c>
      <c r="AE98" s="1736"/>
    </row>
    <row r="99" spans="1:19" ht="22.0" hidden="false" customHeight="true" x14ac:dyDescent="0.25">
      <c r="A99" s="3099" t="s">
        <v>235</v>
      </c>
      <c r="B99" s="3098" t="s">
        <v>134</v>
      </c>
      <c r="C99" s="3098" t="s">
        <v>116</v>
      </c>
      <c r="D99" s="3098" t="s">
        <v>236</v>
      </c>
      <c r="E99" s="3098"/>
      <c r="F99" s="3098" t="s">
        <v>138</v>
      </c>
      <c r="G99" s="3098" t="s">
        <v>13</v>
      </c>
      <c r="H99" s="3098" t="s">
        <v>14</v>
      </c>
      <c r="I99" s="3098"/>
      <c r="J99" s="3098"/>
      <c r="K99" s="3098"/>
      <c r="L99" s="3098"/>
      <c r="M99" s="3098" t="s">
        <v>359</v>
      </c>
      <c r="N99" s="3098"/>
      <c r="O99" s="3098" t="s">
        <v>358</v>
      </c>
      <c r="P99" s="3098"/>
      <c r="Q99" s="3101"/>
      <c r="R99" s="3101"/>
      <c r="S99" s="3101"/>
      <c r="T99" s="3101"/>
      <c r="U99" s="3102"/>
      <c r="V99" s="3098"/>
      <c r="W99" s="3098"/>
      <c r="X99" s="3056">
        <f>IF(A99="","",IF(LEN(SUBSTITUTE(SUBSTITUTE(SUBSTITUTE(SUBSTITUTE(D99,".",""),"/",""),"-","")," ",""))&lt;&gt;14,"CNPJ INVALIDO","OK"))</f>
      </c>
      <c r="Y99" s="3056">
        <f>IF(A99="","",IF(R99="","REST PENDENTE","REST OK"))</f>
      </c>
      <c r="Z99" s="3056">
        <f>IF(A99="","",IF(AND(R99&lt;&gt;"",COUNTIFS($D$3:$D$164,D99,$R$3:$R$164,"&lt;&gt;")&gt;1),"DUPLICADO","OK"))</f>
      </c>
      <c r="AA99" s="3056">
        <f>IF(A99="","",IF(OR(LEN(Q99)&gt;180,LEN(R99)&gt;180,LEN(S99)&gt;180,LEN(T99)&gt;180),"CAMINHO LONGO","OK"))</f>
      </c>
      <c r="AB99" s="3056">
        <f>IF(A99="","",IF(U99="","",IFERROR(INT(U99-TODAY()),"")))</f>
      </c>
      <c r="AC99" s="3056">
        <f>IF(A99="","",IF(AND(T99="",U99=""),"",IF(T99="","SEM CAMINHO",IF(U99="","SEM DATA",IFERROR(IF(AB99&lt;15,"VERMELHO",IF(AB99&lt;=30,"AMARELO","VERDE")),"DATA INVALIDA")))))</f>
      </c>
      <c r="AD99" s="3056">
        <f>IF(OR(A99="",U99="",NOT(ISNUMBER(AB99))),"",RANK(AB99,$AB$3:$AB$164,1)+COUNTIFS($AB$3:AB99,AB99)-1)</f>
      </c>
      <c r="AE99" s="1736"/>
    </row>
    <row r="100" spans="1:19" ht="22.0" hidden="false" customHeight="true" x14ac:dyDescent="0.25">
      <c r="A100" s="3104" t="s">
        <v>237</v>
      </c>
      <c r="B100" s="3103" t="s">
        <v>134</v>
      </c>
      <c r="C100" s="3103" t="s">
        <v>116</v>
      </c>
      <c r="D100" s="3103" t="s">
        <v>238</v>
      </c>
      <c r="E100" s="3103"/>
      <c r="F100" s="3103" t="s">
        <v>138</v>
      </c>
      <c r="G100" s="3103" t="s">
        <v>13</v>
      </c>
      <c r="H100" s="3103" t="s">
        <v>14</v>
      </c>
      <c r="I100" s="3103"/>
      <c r="J100" s="3103"/>
      <c r="K100" s="3103"/>
      <c r="L100" s="3103"/>
      <c r="M100" s="3103" t="s">
        <v>359</v>
      </c>
      <c r="N100" s="3103"/>
      <c r="O100" s="3103" t="s">
        <v>358</v>
      </c>
      <c r="P100" s="3103"/>
      <c r="Q100" s="3106"/>
      <c r="R100" s="3106"/>
      <c r="S100" s="3106"/>
      <c r="T100" s="3106"/>
      <c r="U100" s="3107"/>
      <c r="V100" s="3103"/>
      <c r="W100" s="3103"/>
      <c r="X100" s="3056">
        <f>IF(A100="","",IF(LEN(SUBSTITUTE(SUBSTITUTE(SUBSTITUTE(SUBSTITUTE(D100,".",""),"/",""),"-","")," ",""))&lt;&gt;14,"CNPJ INVALIDO","OK"))</f>
      </c>
      <c r="Y100" s="3056">
        <f>IF(A100="","",IF(R100="","REST PENDENTE","REST OK"))</f>
      </c>
      <c r="Z100" s="3056">
        <f>IF(A100="","",IF(AND(R100&lt;&gt;"",COUNTIFS($D$3:$D$164,D100,$R$3:$R$164,"&lt;&gt;")&gt;1),"DUPLICADO","OK"))</f>
      </c>
      <c r="AA100" s="3056">
        <f>IF(A100="","",IF(OR(LEN(Q100)&gt;180,LEN(R100)&gt;180,LEN(S100)&gt;180,LEN(T100)&gt;180),"CAMINHO LONGO","OK"))</f>
      </c>
      <c r="AB100" s="3056">
        <f>IF(A100="","",IF(U100="","",IFERROR(INT(U100-TODAY()),"")))</f>
      </c>
      <c r="AC100" s="3056">
        <f>IF(A100="","",IF(AND(T100="",U100=""),"",IF(T100="","SEM CAMINHO",IF(U100="","SEM DATA",IFERROR(IF(AB100&lt;15,"VERMELHO",IF(AB100&lt;=30,"AMARELO","VERDE")),"DATA INVALIDA")))))</f>
      </c>
      <c r="AD100" s="3056">
        <f>IF(OR(A100="",U100="",NOT(ISNUMBER(AB100))),"",RANK(AB100,$AB$3:$AB$164,1)+COUNTIFS($AB$3:AB100,AB100)-1)</f>
      </c>
      <c r="AE100" s="1736"/>
    </row>
    <row r="101" spans="1:19" ht="22.0" hidden="false" customHeight="true" x14ac:dyDescent="0.25">
      <c r="A101" s="3099" t="s">
        <v>239</v>
      </c>
      <c r="B101" s="3098" t="s">
        <v>55</v>
      </c>
      <c r="C101" s="3098" t="s">
        <v>56</v>
      </c>
      <c r="D101" s="3098" t="s">
        <v>240</v>
      </c>
      <c r="E101" s="3098"/>
      <c r="F101" s="3098" t="s">
        <v>57</v>
      </c>
      <c r="G101" s="3098" t="s">
        <v>13</v>
      </c>
      <c r="H101" s="3098" t="s">
        <v>5</v>
      </c>
      <c r="I101" s="3098"/>
      <c r="J101" s="3098"/>
      <c r="K101" s="3098"/>
      <c r="L101" s="3098"/>
      <c r="M101" s="3098" t="s">
        <v>376</v>
      </c>
      <c r="N101" s="3098" t="s">
        <v>361</v>
      </c>
      <c r="O101" s="3098" t="s">
        <v>349</v>
      </c>
      <c r="P101" s="3098"/>
      <c r="Q101" s="3101"/>
      <c r="R101" s="3101"/>
      <c r="S101" s="3101"/>
      <c r="T101" s="3101"/>
      <c r="U101" s="3102"/>
      <c r="V101" s="3098"/>
      <c r="W101" s="3098"/>
      <c r="X101" s="3056">
        <f>IF(A101="","",IF(LEN(SUBSTITUTE(SUBSTITUTE(SUBSTITUTE(SUBSTITUTE(D101,".",""),"/",""),"-","")," ",""))&lt;&gt;14,"CNPJ INVALIDO","OK"))</f>
      </c>
      <c r="Y101" s="3056">
        <f>IF(A101="","",IF(R101="","REST PENDENTE","REST OK"))</f>
      </c>
      <c r="Z101" s="3056">
        <f>IF(A101="","",IF(AND(R101&lt;&gt;"",COUNTIFS($D$3:$D$164,D101,$R$3:$R$164,"&lt;&gt;")&gt;1),"DUPLICADO","OK"))</f>
      </c>
      <c r="AA101" s="3056">
        <f>IF(A101="","",IF(OR(LEN(Q101)&gt;180,LEN(R101)&gt;180,LEN(S101)&gt;180,LEN(T101)&gt;180),"CAMINHO LONGO","OK"))</f>
      </c>
      <c r="AB101" s="3056">
        <f>IF(A101="","",IF(U101="","",IFERROR(INT(U101-TODAY()),"")))</f>
      </c>
      <c r="AC101" s="3056">
        <f>IF(A101="","",IF(AND(T101="",U101=""),"",IF(T101="","SEM CAMINHO",IF(U101="","SEM DATA",IFERROR(IF(AB101&lt;15,"VERMELHO",IF(AB101&lt;=30,"AMARELO","VERDE")),"DATA INVALIDA")))))</f>
      </c>
      <c r="AD101" s="3056">
        <f>IF(OR(A101="",U101="",NOT(ISNUMBER(AB101))),"",RANK(AB101,$AB$3:$AB$164,1)+COUNTIFS($AB$3:AB101,AB101)-1)</f>
      </c>
      <c r="AE101" s="1736"/>
    </row>
    <row r="102" spans="1:19" ht="22.0" hidden="false" customHeight="true" x14ac:dyDescent="0.25">
      <c r="A102" s="3104" t="s">
        <v>241</v>
      </c>
      <c r="B102" s="3103" t="s">
        <v>55</v>
      </c>
      <c r="C102" s="3103" t="s">
        <v>242</v>
      </c>
      <c r="D102" s="3103" t="s">
        <v>243</v>
      </c>
      <c r="E102" s="3103"/>
      <c r="F102" s="3103" t="s">
        <v>57</v>
      </c>
      <c r="G102" s="3103" t="s">
        <v>13</v>
      </c>
      <c r="H102" s="3103" t="s">
        <v>5</v>
      </c>
      <c r="I102" s="3103"/>
      <c r="J102" s="3103"/>
      <c r="K102" s="3103"/>
      <c r="L102" s="3103"/>
      <c r="M102" s="3103" t="s">
        <v>376</v>
      </c>
      <c r="N102" s="3103" t="s">
        <v>372</v>
      </c>
      <c r="O102" s="3103" t="s">
        <v>349</v>
      </c>
      <c r="P102" s="3103"/>
      <c r="Q102" s="3106"/>
      <c r="R102" s="3106"/>
      <c r="S102" s="3106"/>
      <c r="T102" s="3106"/>
      <c r="U102" s="3107"/>
      <c r="V102" s="3103"/>
      <c r="W102" s="3103"/>
      <c r="X102" s="3056">
        <f>IF(A102="","",IF(LEN(SUBSTITUTE(SUBSTITUTE(SUBSTITUTE(SUBSTITUTE(D102,".",""),"/",""),"-","")," ",""))&lt;&gt;14,"CNPJ INVALIDO","OK"))</f>
      </c>
      <c r="Y102" s="3056">
        <f>IF(A102="","",IF(R102="","REST PENDENTE","REST OK"))</f>
      </c>
      <c r="Z102" s="3056">
        <f>IF(A102="","",IF(AND(R102&lt;&gt;"",COUNTIFS($D$3:$D$164,D102,$R$3:$R$164,"&lt;&gt;")&gt;1),"DUPLICADO","OK"))</f>
      </c>
      <c r="AA102" s="3056">
        <f>IF(A102="","",IF(OR(LEN(Q102)&gt;180,LEN(R102)&gt;180,LEN(S102)&gt;180,LEN(T102)&gt;180),"CAMINHO LONGO","OK"))</f>
      </c>
      <c r="AB102" s="3056">
        <f>IF(A102="","",IF(U102="","",IFERROR(INT(U102-TODAY()),"")))</f>
      </c>
      <c r="AC102" s="3056">
        <f>IF(A102="","",IF(AND(T102="",U102=""),"",IF(T102="","SEM CAMINHO",IF(U102="","SEM DATA",IFERROR(IF(AB102&lt;15,"VERMELHO",IF(AB102&lt;=30,"AMARELO","VERDE")),"DATA INVALIDA")))))</f>
      </c>
      <c r="AD102" s="3056">
        <f>IF(OR(A102="",U102="",NOT(ISNUMBER(AB102))),"",RANK(AB102,$AB$3:$AB$164,1)+COUNTIFS($AB$3:AB102,AB102)-1)</f>
      </c>
      <c r="AE102" s="1736"/>
    </row>
    <row r="103" spans="1:19" ht="22.0" hidden="false" customHeight="true" x14ac:dyDescent="0.25">
      <c r="A103" s="3099" t="s">
        <v>244</v>
      </c>
      <c r="B103" s="3098" t="s">
        <v>55</v>
      </c>
      <c r="C103" s="3098" t="s">
        <v>245</v>
      </c>
      <c r="D103" s="3098" t="s">
        <v>246</v>
      </c>
      <c r="E103" s="3098"/>
      <c r="F103" s="3098" t="s">
        <v>57</v>
      </c>
      <c r="G103" s="3098" t="s">
        <v>13</v>
      </c>
      <c r="H103" s="3098" t="s">
        <v>5</v>
      </c>
      <c r="I103" s="3098"/>
      <c r="J103" s="3098"/>
      <c r="K103" s="3098"/>
      <c r="L103" s="3098"/>
      <c r="M103" s="3098" t="s">
        <v>376</v>
      </c>
      <c r="N103" s="3098" t="s">
        <v>361</v>
      </c>
      <c r="O103" s="3098" t="s">
        <v>349</v>
      </c>
      <c r="P103" s="3098"/>
      <c r="Q103" s="3101"/>
      <c r="R103" s="3101"/>
      <c r="S103" s="3101"/>
      <c r="T103" s="3101"/>
      <c r="U103" s="3102"/>
      <c r="V103" s="3098"/>
      <c r="W103" s="3098"/>
      <c r="X103" s="3056">
        <f>IF(A103="","",IF(LEN(SUBSTITUTE(SUBSTITUTE(SUBSTITUTE(SUBSTITUTE(D103,".",""),"/",""),"-","")," ",""))&lt;&gt;14,"CNPJ INVALIDO","OK"))</f>
      </c>
      <c r="Y103" s="3056">
        <f>IF(A103="","",IF(R103="","REST PENDENTE","REST OK"))</f>
      </c>
      <c r="Z103" s="3056">
        <f>IF(A103="","",IF(AND(R103&lt;&gt;"",COUNTIFS($D$3:$D$164,D103,$R$3:$R$164,"&lt;&gt;")&gt;1),"DUPLICADO","OK"))</f>
      </c>
      <c r="AA103" s="3056">
        <f>IF(A103="","",IF(OR(LEN(Q103)&gt;180,LEN(R103)&gt;180,LEN(S103)&gt;180,LEN(T103)&gt;180),"CAMINHO LONGO","OK"))</f>
      </c>
      <c r="AB103" s="3056">
        <f>IF(A103="","",IF(U103="","",IFERROR(INT(U103-TODAY()),"")))</f>
      </c>
      <c r="AC103" s="3056">
        <f>IF(A103="","",IF(AND(T103="",U103=""),"",IF(T103="","SEM CAMINHO",IF(U103="","SEM DATA",IFERROR(IF(AB103&lt;15,"VERMELHO",IF(AB103&lt;=30,"AMARELO","VERDE")),"DATA INVALIDA")))))</f>
      </c>
      <c r="AD103" s="3056">
        <f>IF(OR(A103="",U103="",NOT(ISNUMBER(AB103))),"",RANK(AB103,$AB$3:$AB$164,1)+COUNTIFS($AB$3:AB103,AB103)-1)</f>
      </c>
      <c r="AE103" s="1736"/>
    </row>
    <row r="104" spans="1:19" ht="22.0" hidden="false" customHeight="true" x14ac:dyDescent="0.25">
      <c r="A104" s="3104" t="s">
        <v>247</v>
      </c>
      <c r="B104" s="3103" t="s">
        <v>55</v>
      </c>
      <c r="C104" s="3103" t="s">
        <v>248</v>
      </c>
      <c r="D104" s="3103" t="s">
        <v>249</v>
      </c>
      <c r="E104" s="3103"/>
      <c r="F104" s="3103" t="s">
        <v>57</v>
      </c>
      <c r="G104" s="3103" t="s">
        <v>13</v>
      </c>
      <c r="H104" s="3103" t="s">
        <v>49</v>
      </c>
      <c r="I104" s="3103"/>
      <c r="J104" s="3103"/>
      <c r="K104" s="3103"/>
      <c r="L104" s="3103"/>
      <c r="M104" s="3103" t="s">
        <v>376</v>
      </c>
      <c r="N104" s="3103" t="s">
        <v>373</v>
      </c>
      <c r="O104" s="3103" t="s">
        <v>349</v>
      </c>
      <c r="P104" s="3103"/>
      <c r="Q104" s="3106"/>
      <c r="R104" s="3106"/>
      <c r="S104" s="3106"/>
      <c r="T104" s="3106"/>
      <c r="U104" s="3107"/>
      <c r="V104" s="3103"/>
      <c r="W104" s="3103"/>
      <c r="X104" s="3056">
        <f>IF(A104="","",IF(LEN(SUBSTITUTE(SUBSTITUTE(SUBSTITUTE(SUBSTITUTE(D104,".",""),"/",""),"-","")," ",""))&lt;&gt;14,"CNPJ INVALIDO","OK"))</f>
      </c>
      <c r="Y104" s="3056">
        <f>IF(A104="","",IF(R104="","REST PENDENTE","REST OK"))</f>
      </c>
      <c r="Z104" s="3056">
        <f>IF(A104="","",IF(AND(R104&lt;&gt;"",COUNTIFS($D$3:$D$164,D104,$R$3:$R$164,"&lt;&gt;")&gt;1),"DUPLICADO","OK"))</f>
      </c>
      <c r="AA104" s="3056">
        <f>IF(A104="","",IF(OR(LEN(Q104)&gt;180,LEN(R104)&gt;180,LEN(S104)&gt;180,LEN(T104)&gt;180),"CAMINHO LONGO","OK"))</f>
      </c>
      <c r="AB104" s="3056">
        <f>IF(A104="","",IF(U104="","",IFERROR(INT(U104-TODAY()),"")))</f>
      </c>
      <c r="AC104" s="3056">
        <f>IF(A104="","",IF(AND(T104="",U104=""),"",IF(T104="","SEM CAMINHO",IF(U104="","SEM DATA",IFERROR(IF(AB104&lt;15,"VERMELHO",IF(AB104&lt;=30,"AMARELO","VERDE")),"DATA INVALIDA")))))</f>
      </c>
      <c r="AD104" s="3056">
        <f>IF(OR(A104="",U104="",NOT(ISNUMBER(AB104))),"",RANK(AB104,$AB$3:$AB$164,1)+COUNTIFS($AB$3:AB104,AB104)-1)</f>
      </c>
      <c r="AE104" s="1736"/>
    </row>
    <row r="105" spans="1:19" ht="22.0" hidden="false" customHeight="true" x14ac:dyDescent="0.25">
      <c r="A105" s="3099" t="s">
        <v>250</v>
      </c>
      <c r="B105" s="3098" t="s">
        <v>1</v>
      </c>
      <c r="C105" s="3098" t="s">
        <v>2</v>
      </c>
      <c r="D105" s="3098" t="s">
        <v>251</v>
      </c>
      <c r="E105" s="3098"/>
      <c r="F105" s="3098" t="s">
        <v>252</v>
      </c>
      <c r="G105" s="3098" t="s">
        <v>4</v>
      </c>
      <c r="H105" s="3098" t="s">
        <v>49</v>
      </c>
      <c r="I105" s="3098"/>
      <c r="J105" s="3098"/>
      <c r="K105" s="3098"/>
      <c r="L105" s="3098"/>
      <c r="M105" s="3098" t="s">
        <v>371</v>
      </c>
      <c r="N105" s="3098" t="s">
        <v>361</v>
      </c>
      <c r="O105" s="3098" t="s">
        <v>349</v>
      </c>
      <c r="P105" s="3098"/>
      <c r="Q105" s="3101"/>
      <c r="R105" s="3101"/>
      <c r="S105" s="3101"/>
      <c r="T105" s="3101"/>
      <c r="U105" s="3102"/>
      <c r="V105" s="3098"/>
      <c r="W105" s="3098"/>
      <c r="X105" s="3056">
        <f>IF(A105="","",IF(LEN(SUBSTITUTE(SUBSTITUTE(SUBSTITUTE(SUBSTITUTE(D105,".",""),"/",""),"-","")," ",""))&lt;&gt;14,"CNPJ INVALIDO","OK"))</f>
      </c>
      <c r="Y105" s="3056">
        <f>IF(A105="","",IF(R105="","REST PENDENTE","REST OK"))</f>
      </c>
      <c r="Z105" s="3056">
        <f>IF(A105="","",IF(AND(R105&lt;&gt;"",COUNTIFS($D$3:$D$164,D105,$R$3:$R$164,"&lt;&gt;")&gt;1),"DUPLICADO","OK"))</f>
      </c>
      <c r="AA105" s="3056">
        <f>IF(A105="","",IF(OR(LEN(Q105)&gt;180,LEN(R105)&gt;180,LEN(S105)&gt;180,LEN(T105)&gt;180),"CAMINHO LONGO","OK"))</f>
      </c>
      <c r="AB105" s="3056">
        <f>IF(A105="","",IF(U105="","",IFERROR(INT(U105-TODAY()),"")))</f>
      </c>
      <c r="AC105" s="3056">
        <f>IF(A105="","",IF(AND(T105="",U105=""),"",IF(T105="","SEM CAMINHO",IF(U105="","SEM DATA",IFERROR(IF(AB105&lt;15,"VERMELHO",IF(AB105&lt;=30,"AMARELO","VERDE")),"DATA INVALIDA")))))</f>
      </c>
      <c r="AD105" s="3056">
        <f>IF(OR(A105="",U105="",NOT(ISNUMBER(AB105))),"",RANK(AB105,$AB$3:$AB$164,1)+COUNTIFS($AB$3:AB105,AB105)-1)</f>
      </c>
      <c r="AE105" s="1736"/>
    </row>
    <row r="106" spans="1:19" ht="22.0" hidden="false" customHeight="true" x14ac:dyDescent="0.25">
      <c r="A106" s="3104" t="s">
        <v>253</v>
      </c>
      <c r="B106" s="3103" t="s">
        <v>214</v>
      </c>
      <c r="C106" s="3103" t="s">
        <v>62</v>
      </c>
      <c r="D106" s="3103" t="s">
        <v>392</v>
      </c>
      <c r="E106" s="3103"/>
      <c r="F106" s="3103" t="s">
        <v>254</v>
      </c>
      <c r="G106" s="3103" t="s">
        <v>13</v>
      </c>
      <c r="H106" s="3103" t="s">
        <v>5</v>
      </c>
      <c r="I106" s="3103"/>
      <c r="J106" s="3103"/>
      <c r="K106" s="3103"/>
      <c r="L106" s="3103"/>
      <c r="M106" s="3103" t="s">
        <v>376</v>
      </c>
      <c r="N106" s="3103"/>
      <c r="O106" s="3103" t="s">
        <v>349</v>
      </c>
      <c r="P106" s="3103"/>
      <c r="Q106" s="3106"/>
      <c r="R106" s="3106"/>
      <c r="S106" s="3106"/>
      <c r="T106" s="3106"/>
      <c r="U106" s="3107"/>
      <c r="V106" s="3103"/>
      <c r="W106" s="3103"/>
      <c r="X106" s="3056">
        <f>IF(A106="","",IF(LEN(SUBSTITUTE(SUBSTITUTE(SUBSTITUTE(SUBSTITUTE(D106,".",""),"/",""),"-","")," ",""))&lt;&gt;14,"CNPJ INVALIDO","OK"))</f>
      </c>
      <c r="Y106" s="3056">
        <f>IF(A106="","",IF(R106="","REST PENDENTE","REST OK"))</f>
      </c>
      <c r="Z106" s="3056">
        <f>IF(A106="","",IF(AND(R106&lt;&gt;"",COUNTIFS($D$3:$D$164,D106,$R$3:$R$164,"&lt;&gt;")&gt;1),"DUPLICADO","OK"))</f>
      </c>
      <c r="AA106" s="3056">
        <f>IF(A106="","",IF(OR(LEN(Q106)&gt;180,LEN(R106)&gt;180,LEN(S106)&gt;180,LEN(T106)&gt;180),"CAMINHO LONGO","OK"))</f>
      </c>
      <c r="AB106" s="3056">
        <f>IF(A106="","",IF(U106="","",IFERROR(INT(U106-TODAY()),"")))</f>
      </c>
      <c r="AC106" s="3056">
        <f>IF(A106="","",IF(AND(T106="",U106=""),"",IF(T106="","SEM CAMINHO",IF(U106="","SEM DATA",IFERROR(IF(AB106&lt;15,"VERMELHO",IF(AB106&lt;=30,"AMARELO","VERDE")),"DATA INVALIDA")))))</f>
      </c>
      <c r="AD106" s="3056">
        <f>IF(OR(A106="",U106="",NOT(ISNUMBER(AB106))),"",RANK(AB106,$AB$3:$AB$164,1)+COUNTIFS($AB$3:AB106,AB106)-1)</f>
      </c>
      <c r="AE106" s="1736"/>
    </row>
    <row r="107" spans="1:19" ht="22.0" hidden="false" customHeight="true" x14ac:dyDescent="0.25">
      <c r="A107" s="3099" t="s">
        <v>255</v>
      </c>
      <c r="B107" s="3098" t="s">
        <v>214</v>
      </c>
      <c r="C107" s="3098" t="s">
        <v>62</v>
      </c>
      <c r="D107" s="3098" t="s">
        <v>393</v>
      </c>
      <c r="E107" s="3098"/>
      <c r="F107" s="3098" t="s">
        <v>254</v>
      </c>
      <c r="G107" s="3098" t="s">
        <v>13</v>
      </c>
      <c r="H107" s="3098" t="s">
        <v>49</v>
      </c>
      <c r="I107" s="3098"/>
      <c r="J107" s="3098"/>
      <c r="K107" s="3098"/>
      <c r="L107" s="3098"/>
      <c r="M107" s="3098" t="s">
        <v>389</v>
      </c>
      <c r="N107" s="3098"/>
      <c r="O107" s="3098" t="s">
        <v>349</v>
      </c>
      <c r="P107" s="3098"/>
      <c r="Q107" s="3101"/>
      <c r="R107" s="3101"/>
      <c r="S107" s="3101"/>
      <c r="T107" s="3101"/>
      <c r="U107" s="3102"/>
      <c r="V107" s="3098"/>
      <c r="W107" s="3098"/>
      <c r="X107" s="3056">
        <f>IF(A107="","",IF(LEN(SUBSTITUTE(SUBSTITUTE(SUBSTITUTE(SUBSTITUTE(D107,".",""),"/",""),"-","")," ",""))&lt;&gt;14,"CNPJ INVALIDO","OK"))</f>
      </c>
      <c r="Y107" s="3056">
        <f>IF(A107="","",IF(R107="","REST PENDENTE","REST OK"))</f>
      </c>
      <c r="Z107" s="3056">
        <f>IF(A107="","",IF(AND(R107&lt;&gt;"",COUNTIFS($D$3:$D$164,D107,$R$3:$R$164,"&lt;&gt;")&gt;1),"DUPLICADO","OK"))</f>
      </c>
      <c r="AA107" s="3056">
        <f>IF(A107="","",IF(OR(LEN(Q107)&gt;180,LEN(R107)&gt;180,LEN(S107)&gt;180,LEN(T107)&gt;180),"CAMINHO LONGO","OK"))</f>
      </c>
      <c r="AB107" s="3056">
        <f>IF(A107="","",IF(U107="","",IFERROR(INT(U107-TODAY()),"")))</f>
      </c>
      <c r="AC107" s="3056">
        <f>IF(A107="","",IF(AND(T107="",U107=""),"",IF(T107="","SEM CAMINHO",IF(U107="","SEM DATA",IFERROR(IF(AB107&lt;15,"VERMELHO",IF(AB107&lt;=30,"AMARELO","VERDE")),"DATA INVALIDA")))))</f>
      </c>
      <c r="AD107" s="3056">
        <f>IF(OR(A107="",U107="",NOT(ISNUMBER(AB107))),"",RANK(AB107,$AB$3:$AB$164,1)+COUNTIFS($AB$3:AB107,AB107)-1)</f>
      </c>
      <c r="AE107" s="1736"/>
    </row>
    <row r="108" spans="1:19" ht="22.0" hidden="false" customHeight="true" x14ac:dyDescent="0.25">
      <c r="A108" s="3104" t="s">
        <v>256</v>
      </c>
      <c r="B108" s="3103" t="s">
        <v>214</v>
      </c>
      <c r="C108" s="3103" t="s">
        <v>62</v>
      </c>
      <c r="D108" s="3103" t="s">
        <v>394</v>
      </c>
      <c r="E108" s="3103"/>
      <c r="F108" s="3103" t="s">
        <v>257</v>
      </c>
      <c r="G108" s="3103" t="s">
        <v>4</v>
      </c>
      <c r="H108" s="3103" t="s">
        <v>5</v>
      </c>
      <c r="I108" s="3103"/>
      <c r="J108" s="3103"/>
      <c r="K108" s="3103"/>
      <c r="L108" s="3103"/>
      <c r="M108" s="3103" t="s">
        <v>379</v>
      </c>
      <c r="N108" s="3103"/>
      <c r="O108" s="3103" t="s">
        <v>349</v>
      </c>
      <c r="P108" s="3103"/>
      <c r="Q108" s="3106"/>
      <c r="R108" s="3106"/>
      <c r="S108" s="3106"/>
      <c r="T108" s="3106"/>
      <c r="U108" s="3107"/>
      <c r="V108" s="3103"/>
      <c r="W108" s="3103"/>
      <c r="X108" s="3056">
        <f>IF(A108="","",IF(LEN(SUBSTITUTE(SUBSTITUTE(SUBSTITUTE(SUBSTITUTE(D108,".",""),"/",""),"-","")," ",""))&lt;&gt;14,"CNPJ INVALIDO","OK"))</f>
      </c>
      <c r="Y108" s="3056">
        <f>IF(A108="","",IF(R108="","REST PENDENTE","REST OK"))</f>
      </c>
      <c r="Z108" s="3056">
        <f>IF(A108="","",IF(AND(R108&lt;&gt;"",COUNTIFS($D$3:$D$164,D108,$R$3:$R$164,"&lt;&gt;")&gt;1),"DUPLICADO","OK"))</f>
      </c>
      <c r="AA108" s="3056">
        <f>IF(A108="","",IF(OR(LEN(Q108)&gt;180,LEN(R108)&gt;180,LEN(S108)&gt;180,LEN(T108)&gt;180),"CAMINHO LONGO","OK"))</f>
      </c>
      <c r="AB108" s="3056">
        <f>IF(A108="","",IF(U108="","",IFERROR(INT(U108-TODAY()),"")))</f>
      </c>
      <c r="AC108" s="3056">
        <f>IF(A108="","",IF(AND(T108="",U108=""),"",IF(T108="","SEM CAMINHO",IF(U108="","SEM DATA",IFERROR(IF(AB108&lt;15,"VERMELHO",IF(AB108&lt;=30,"AMARELO","VERDE")),"DATA INVALIDA")))))</f>
      </c>
      <c r="AD108" s="3056">
        <f>IF(OR(A108="",U108="",NOT(ISNUMBER(AB108))),"",RANK(AB108,$AB$3:$AB$164,1)+COUNTIFS($AB$3:AB108,AB108)-1)</f>
      </c>
      <c r="AE108" s="1736"/>
    </row>
    <row r="109" spans="1:19" ht="22.0" hidden="false" customHeight="true" x14ac:dyDescent="0.25">
      <c r="A109" s="3099" t="s">
        <v>258</v>
      </c>
      <c r="B109" s="3098" t="s">
        <v>259</v>
      </c>
      <c r="C109" s="3098" t="s">
        <v>69</v>
      </c>
      <c r="D109" s="3098" t="s">
        <v>260</v>
      </c>
      <c r="E109" s="3098"/>
      <c r="F109" s="3098" t="s">
        <v>261</v>
      </c>
      <c r="G109" s="3098" t="s">
        <v>4</v>
      </c>
      <c r="H109" s="3098" t="s">
        <v>5</v>
      </c>
      <c r="I109" s="3098"/>
      <c r="J109" s="3098"/>
      <c r="K109" s="3098"/>
      <c r="L109" s="3098"/>
      <c r="M109" s="3098" t="s">
        <v>371</v>
      </c>
      <c r="N109" s="3098"/>
      <c r="O109" s="3098"/>
      <c r="P109" s="3098"/>
      <c r="Q109" s="3101"/>
      <c r="R109" s="3101"/>
      <c r="S109" s="3101"/>
      <c r="T109" s="3101"/>
      <c r="U109" s="3102"/>
      <c r="V109" s="3098"/>
      <c r="W109" s="3098"/>
      <c r="X109" s="3056">
        <f>IF(A109="","",IF(LEN(SUBSTITUTE(SUBSTITUTE(SUBSTITUTE(SUBSTITUTE(D109,".",""),"/",""),"-","")," ",""))&lt;&gt;14,"CNPJ INVALIDO","OK"))</f>
      </c>
      <c r="Y109" s="3056">
        <f>IF(A109="","",IF(R109="","REST PENDENTE","REST OK"))</f>
      </c>
      <c r="Z109" s="3056">
        <f>IF(A109="","",IF(AND(R109&lt;&gt;"",COUNTIFS($D$3:$D$164,D109,$R$3:$R$164,"&lt;&gt;")&gt;1),"DUPLICADO","OK"))</f>
      </c>
      <c r="AA109" s="3056">
        <f>IF(A109="","",IF(OR(LEN(Q109)&gt;180,LEN(R109)&gt;180,LEN(S109)&gt;180,LEN(T109)&gt;180),"CAMINHO LONGO","OK"))</f>
      </c>
      <c r="AB109" s="3056">
        <f>IF(A109="","",IF(U109="","",IFERROR(INT(U109-TODAY()),"")))</f>
      </c>
      <c r="AC109" s="3056">
        <f>IF(A109="","",IF(AND(T109="",U109=""),"",IF(T109="","SEM CAMINHO",IF(U109="","SEM DATA",IFERROR(IF(AB109&lt;15,"VERMELHO",IF(AB109&lt;=30,"AMARELO","VERDE")),"DATA INVALIDA")))))</f>
      </c>
      <c r="AD109" s="3056">
        <f>IF(OR(A109="",U109="",NOT(ISNUMBER(AB109))),"",RANK(AB109,$AB$3:$AB$164,1)+COUNTIFS($AB$3:AB109,AB109)-1)</f>
      </c>
      <c r="AE109" s="1736"/>
    </row>
    <row r="110" spans="1:19" ht="22.0" hidden="false" customHeight="true" x14ac:dyDescent="0.25">
      <c r="A110" s="3104" t="s">
        <v>262</v>
      </c>
      <c r="B110" s="3103" t="s">
        <v>259</v>
      </c>
      <c r="C110" s="3103" t="s">
        <v>69</v>
      </c>
      <c r="D110" s="3103" t="s">
        <v>263</v>
      </c>
      <c r="E110" s="3103"/>
      <c r="F110" s="3103" t="s">
        <v>261</v>
      </c>
      <c r="G110" s="3103" t="s">
        <v>13</v>
      </c>
      <c r="H110" s="3103" t="s">
        <v>5</v>
      </c>
      <c r="I110" s="3103"/>
      <c r="J110" s="3103"/>
      <c r="K110" s="3103"/>
      <c r="L110" s="3103"/>
      <c r="M110" s="3103" t="s">
        <v>371</v>
      </c>
      <c r="N110" s="3103"/>
      <c r="O110" s="3103"/>
      <c r="P110" s="3103"/>
      <c r="Q110" s="3106"/>
      <c r="R110" s="3106"/>
      <c r="S110" s="3106"/>
      <c r="T110" s="3106"/>
      <c r="U110" s="3107"/>
      <c r="V110" s="3103"/>
      <c r="W110" s="3103"/>
      <c r="X110" s="3056">
        <f>IF(A110="","",IF(LEN(SUBSTITUTE(SUBSTITUTE(SUBSTITUTE(SUBSTITUTE(D110,".",""),"/",""),"-","")," ",""))&lt;&gt;14,"CNPJ INVALIDO","OK"))</f>
      </c>
      <c r="Y110" s="3056">
        <f>IF(A110="","",IF(R110="","REST PENDENTE","REST OK"))</f>
      </c>
      <c r="Z110" s="3056">
        <f>IF(A110="","",IF(AND(R110&lt;&gt;"",COUNTIFS($D$3:$D$164,D110,$R$3:$R$164,"&lt;&gt;")&gt;1),"DUPLICADO","OK"))</f>
      </c>
      <c r="AA110" s="3056">
        <f>IF(A110="","",IF(OR(LEN(Q110)&gt;180,LEN(R110)&gt;180,LEN(S110)&gt;180,LEN(T110)&gt;180),"CAMINHO LONGO","OK"))</f>
      </c>
      <c r="AB110" s="3056">
        <f>IF(A110="","",IF(U110="","",IFERROR(INT(U110-TODAY()),"")))</f>
      </c>
      <c r="AC110" s="3056">
        <f>IF(A110="","",IF(AND(T110="",U110=""),"",IF(T110="","SEM CAMINHO",IF(U110="","SEM DATA",IFERROR(IF(AB110&lt;15,"VERMELHO",IF(AB110&lt;=30,"AMARELO","VERDE")),"DATA INVALIDA")))))</f>
      </c>
      <c r="AD110" s="3056">
        <f>IF(OR(A110="",U110="",NOT(ISNUMBER(AB110))),"",RANK(AB110,$AB$3:$AB$164,1)+COUNTIFS($AB$3:AB110,AB110)-1)</f>
      </c>
      <c r="AE110" s="1736"/>
    </row>
    <row r="111" spans="1:19" ht="22.0" hidden="false" customHeight="true" x14ac:dyDescent="0.25">
      <c r="A111" s="3099" t="s">
        <v>264</v>
      </c>
      <c r="B111" s="3098" t="s">
        <v>159</v>
      </c>
      <c r="C111" s="3098" t="s">
        <v>69</v>
      </c>
      <c r="D111" s="3098" t="s">
        <v>265</v>
      </c>
      <c r="E111" s="3098"/>
      <c r="F111" s="3098" t="s">
        <v>266</v>
      </c>
      <c r="G111" s="3098" t="s">
        <v>13</v>
      </c>
      <c r="H111" s="3098" t="s">
        <v>5</v>
      </c>
      <c r="I111" s="3098"/>
      <c r="J111" s="3098"/>
      <c r="K111" s="3098"/>
      <c r="L111" s="3098"/>
      <c r="M111" s="3098" t="s">
        <v>389</v>
      </c>
      <c r="N111" s="3098"/>
      <c r="O111" s="3098" t="s">
        <v>363</v>
      </c>
      <c r="P111" s="3098"/>
      <c r="Q111" s="3101"/>
      <c r="R111" s="3101"/>
      <c r="S111" s="3101"/>
      <c r="T111" s="3101"/>
      <c r="U111" s="3102"/>
      <c r="V111" s="3098"/>
      <c r="W111" s="3098"/>
      <c r="X111" s="3056">
        <f>IF(A111="","",IF(LEN(SUBSTITUTE(SUBSTITUTE(SUBSTITUTE(SUBSTITUTE(D111,".",""),"/",""),"-","")," ",""))&lt;&gt;14,"CNPJ INVALIDO","OK"))</f>
      </c>
      <c r="Y111" s="3056">
        <f>IF(A111="","",IF(R111="","REST PENDENTE","REST OK"))</f>
      </c>
      <c r="Z111" s="3056">
        <f>IF(A111="","",IF(AND(R111&lt;&gt;"",COUNTIFS($D$3:$D$164,D111,$R$3:$R$164,"&lt;&gt;")&gt;1),"DUPLICADO","OK"))</f>
      </c>
      <c r="AA111" s="3056">
        <f>IF(A111="","",IF(OR(LEN(Q111)&gt;180,LEN(R111)&gt;180,LEN(S111)&gt;180,LEN(T111)&gt;180),"CAMINHO LONGO","OK"))</f>
      </c>
      <c r="AB111" s="3056">
        <f>IF(A111="","",IF(U111="","",IFERROR(INT(U111-TODAY()),"")))</f>
      </c>
      <c r="AC111" s="3056">
        <f>IF(A111="","",IF(AND(T111="",U111=""),"",IF(T111="","SEM CAMINHO",IF(U111="","SEM DATA",IFERROR(IF(AB111&lt;15,"VERMELHO",IF(AB111&lt;=30,"AMARELO","VERDE")),"DATA INVALIDA")))))</f>
      </c>
      <c r="AD111" s="3056">
        <f>IF(OR(A111="",U111="",NOT(ISNUMBER(AB111))),"",RANK(AB111,$AB$3:$AB$164,1)+COUNTIFS($AB$3:AB111,AB111)-1)</f>
      </c>
      <c r="AE111" s="1736"/>
    </row>
    <row r="112" spans="1:19" ht="22.0" hidden="false" customHeight="true" x14ac:dyDescent="0.25">
      <c r="A112" s="3104" t="s">
        <v>267</v>
      </c>
      <c r="B112" s="3103" t="s">
        <v>159</v>
      </c>
      <c r="C112" s="3103" t="s">
        <v>268</v>
      </c>
      <c r="D112" s="3103" t="s">
        <v>269</v>
      </c>
      <c r="E112" s="3103"/>
      <c r="F112" s="3103" t="s">
        <v>266</v>
      </c>
      <c r="G112" s="3103" t="s">
        <v>13</v>
      </c>
      <c r="H112" s="3103" t="s">
        <v>14</v>
      </c>
      <c r="I112" s="3103"/>
      <c r="J112" s="3103"/>
      <c r="K112" s="3103"/>
      <c r="L112" s="3103"/>
      <c r="M112" s="3103" t="s">
        <v>376</v>
      </c>
      <c r="N112" s="3103"/>
      <c r="O112" s="3103" t="s">
        <v>349</v>
      </c>
      <c r="P112" s="3103"/>
      <c r="Q112" s="3106"/>
      <c r="R112" s="3106"/>
      <c r="S112" s="3106"/>
      <c r="T112" s="3106"/>
      <c r="U112" s="3107"/>
      <c r="V112" s="3103"/>
      <c r="W112" s="3103"/>
      <c r="X112" s="3056">
        <f>IF(A112="","",IF(LEN(SUBSTITUTE(SUBSTITUTE(SUBSTITUTE(SUBSTITUTE(D112,".",""),"/",""),"-","")," ",""))&lt;&gt;14,"CNPJ INVALIDO","OK"))</f>
      </c>
      <c r="Y112" s="3056">
        <f>IF(A112="","",IF(R112="","REST PENDENTE","REST OK"))</f>
      </c>
      <c r="Z112" s="3056">
        <f>IF(A112="","",IF(AND(R112&lt;&gt;"",COUNTIFS($D$3:$D$164,D112,$R$3:$R$164,"&lt;&gt;")&gt;1),"DUPLICADO","OK"))</f>
      </c>
      <c r="AA112" s="3056">
        <f>IF(A112="","",IF(OR(LEN(Q112)&gt;180,LEN(R112)&gt;180,LEN(S112)&gt;180,LEN(T112)&gt;180),"CAMINHO LONGO","OK"))</f>
      </c>
      <c r="AB112" s="3056">
        <f>IF(A112="","",IF(U112="","",IFERROR(INT(U112-TODAY()),"")))</f>
      </c>
      <c r="AC112" s="3056">
        <f>IF(A112="","",IF(AND(T112="",U112=""),"",IF(T112="","SEM CAMINHO",IF(U112="","SEM DATA",IFERROR(IF(AB112&lt;15,"VERMELHO",IF(AB112&lt;=30,"AMARELO","VERDE")),"DATA INVALIDA")))))</f>
      </c>
      <c r="AD112" s="3056">
        <f>IF(OR(A112="",U112="",NOT(ISNUMBER(AB112))),"",RANK(AB112,$AB$3:$AB$164,1)+COUNTIFS($AB$3:AB112,AB112)-1)</f>
      </c>
      <c r="AE112" s="1736"/>
    </row>
    <row r="113" spans="1:19" ht="22.0" hidden="false" customHeight="true" x14ac:dyDescent="0.25">
      <c r="A113" s="3099" t="s">
        <v>270</v>
      </c>
      <c r="B113" s="3098" t="s">
        <v>271</v>
      </c>
      <c r="C113" s="3098"/>
      <c r="D113" s="3098" t="s">
        <v>272</v>
      </c>
      <c r="E113" s="3098"/>
      <c r="F113" s="3098" t="s">
        <v>273</v>
      </c>
      <c r="G113" s="3098" t="s">
        <v>41</v>
      </c>
      <c r="H113" s="3098" t="s">
        <v>49</v>
      </c>
      <c r="I113" s="3098"/>
      <c r="J113" s="3098"/>
      <c r="K113" s="3098"/>
      <c r="L113" s="3098"/>
      <c r="M113" s="3098" t="s">
        <v>379</v>
      </c>
      <c r="N113" s="3098"/>
      <c r="O113" s="3098" t="s">
        <v>364</v>
      </c>
      <c r="P113" s="3098"/>
      <c r="Q113" s="3101"/>
      <c r="R113" s="3101"/>
      <c r="S113" s="3101"/>
      <c r="T113" s="3101"/>
      <c r="U113" s="3102"/>
      <c r="V113" s="3098"/>
      <c r="W113" s="3098"/>
      <c r="X113" s="3056">
        <f>IF(A113="","",IF(LEN(SUBSTITUTE(SUBSTITUTE(SUBSTITUTE(SUBSTITUTE(D113,".",""),"/",""),"-","")," ",""))&lt;&gt;14,"CNPJ INVALIDO","OK"))</f>
      </c>
      <c r="Y113" s="3056">
        <f>IF(A113="","",IF(R113="","REST PENDENTE","REST OK"))</f>
      </c>
      <c r="Z113" s="3056">
        <f>IF(A113="","",IF(AND(R113&lt;&gt;"",COUNTIFS($D$3:$D$164,D113,$R$3:$R$164,"&lt;&gt;")&gt;1),"DUPLICADO","OK"))</f>
      </c>
      <c r="AA113" s="3056">
        <f>IF(A113="","",IF(OR(LEN(Q113)&gt;180,LEN(R113)&gt;180,LEN(S113)&gt;180,LEN(T113)&gt;180),"CAMINHO LONGO","OK"))</f>
      </c>
      <c r="AB113" s="3056">
        <f>IF(A113="","",IF(U113="","",IFERROR(INT(U113-TODAY()),"")))</f>
      </c>
      <c r="AC113" s="3056">
        <f>IF(A113="","",IF(AND(T113="",U113=""),"",IF(T113="","SEM CAMINHO",IF(U113="","SEM DATA",IFERROR(IF(AB113&lt;15,"VERMELHO",IF(AB113&lt;=30,"AMARELO","VERDE")),"DATA INVALIDA")))))</f>
      </c>
      <c r="AD113" s="3056">
        <f>IF(OR(A113="",U113="",NOT(ISNUMBER(AB113))),"",RANK(AB113,$AB$3:$AB$164,1)+COUNTIFS($AB$3:AB113,AB113)-1)</f>
      </c>
      <c r="AE113" s="1736"/>
    </row>
    <row r="114" spans="1:19" ht="22.0" hidden="false" customHeight="true" x14ac:dyDescent="0.25">
      <c r="A114" s="3104" t="s">
        <v>274</v>
      </c>
      <c r="B114" s="3103" t="s">
        <v>134</v>
      </c>
      <c r="C114" s="3103" t="s">
        <v>122</v>
      </c>
      <c r="D114" s="3103" t="s">
        <v>395</v>
      </c>
      <c r="E114" s="3103"/>
      <c r="F114" s="3103" t="s">
        <v>275</v>
      </c>
      <c r="G114" s="3103" t="s">
        <v>4</v>
      </c>
      <c r="H114" s="3103" t="s">
        <v>5</v>
      </c>
      <c r="I114" s="3103"/>
      <c r="J114" s="3103"/>
      <c r="K114" s="3103"/>
      <c r="L114" s="3103"/>
      <c r="M114" s="3103" t="s">
        <v>379</v>
      </c>
      <c r="N114" s="3103"/>
      <c r="O114" s="3103" t="s">
        <v>365</v>
      </c>
      <c r="P114" s="3103"/>
      <c r="Q114" s="3106"/>
      <c r="R114" s="3106"/>
      <c r="S114" s="3106"/>
      <c r="T114" s="3106"/>
      <c r="U114" s="3107"/>
      <c r="V114" s="3103"/>
      <c r="W114" s="3103"/>
      <c r="X114" s="3056">
        <f>IF(A114="","",IF(LEN(SUBSTITUTE(SUBSTITUTE(SUBSTITUTE(SUBSTITUTE(D114,".",""),"/",""),"-","")," ",""))&lt;&gt;14,"CNPJ INVALIDO","OK"))</f>
      </c>
      <c r="Y114" s="3056">
        <f>IF(A114="","",IF(R114="","REST PENDENTE","REST OK"))</f>
      </c>
      <c r="Z114" s="3056">
        <f>IF(A114="","",IF(AND(R114&lt;&gt;"",COUNTIFS($D$3:$D$164,D114,$R$3:$R$164,"&lt;&gt;")&gt;1),"DUPLICADO","OK"))</f>
      </c>
      <c r="AA114" s="3056">
        <f>IF(A114="","",IF(OR(LEN(Q114)&gt;180,LEN(R114)&gt;180,LEN(S114)&gt;180,LEN(T114)&gt;180),"CAMINHO LONGO","OK"))</f>
      </c>
      <c r="AB114" s="3056">
        <f>IF(A114="","",IF(U114="","",IFERROR(INT(U114-TODAY()),"")))</f>
      </c>
      <c r="AC114" s="3056">
        <f>IF(A114="","",IF(AND(T114="",U114=""),"",IF(T114="","SEM CAMINHO",IF(U114="","SEM DATA",IFERROR(IF(AB114&lt;15,"VERMELHO",IF(AB114&lt;=30,"AMARELO","VERDE")),"DATA INVALIDA")))))</f>
      </c>
      <c r="AD114" s="3056">
        <f>IF(OR(A114="",U114="",NOT(ISNUMBER(AB114))),"",RANK(AB114,$AB$3:$AB$164,1)+COUNTIFS($AB$3:AB114,AB114)-1)</f>
      </c>
      <c r="AE114" s="1736"/>
    </row>
    <row r="115" spans="1:19" ht="22.0" hidden="false" customHeight="true" x14ac:dyDescent="0.25">
      <c r="A115" s="3099" t="s">
        <v>276</v>
      </c>
      <c r="B115" s="3098" t="s">
        <v>182</v>
      </c>
      <c r="C115" s="3098" t="s">
        <v>83</v>
      </c>
      <c r="D115" s="3098" t="s">
        <v>396</v>
      </c>
      <c r="E115" s="3098"/>
      <c r="F115" s="3098" t="s">
        <v>225</v>
      </c>
      <c r="G115" s="3098" t="s">
        <v>4</v>
      </c>
      <c r="H115" s="3098" t="s">
        <v>5</v>
      </c>
      <c r="I115" s="3098"/>
      <c r="J115" s="3098"/>
      <c r="K115" s="3098"/>
      <c r="L115" s="3098"/>
      <c r="M115" s="3098" t="s">
        <v>376</v>
      </c>
      <c r="N115" s="3098"/>
      <c r="O115" s="3098" t="s">
        <v>365</v>
      </c>
      <c r="P115" s="3098"/>
      <c r="Q115" s="3101"/>
      <c r="R115" s="3101"/>
      <c r="S115" s="3101"/>
      <c r="T115" s="3101"/>
      <c r="U115" s="3102"/>
      <c r="V115" s="3098"/>
      <c r="W115" s="3098"/>
      <c r="X115" s="3056">
        <f>IF(A115="","",IF(LEN(SUBSTITUTE(SUBSTITUTE(SUBSTITUTE(SUBSTITUTE(D115,".",""),"/",""),"-","")," ",""))&lt;&gt;14,"CNPJ INVALIDO","OK"))</f>
      </c>
      <c r="Y115" s="3056">
        <f>IF(A115="","",IF(R115="","REST PENDENTE","REST OK"))</f>
      </c>
      <c r="Z115" s="3056">
        <f>IF(A115="","",IF(AND(R115&lt;&gt;"",COUNTIFS($D$3:$D$164,D115,$R$3:$R$164,"&lt;&gt;")&gt;1),"DUPLICADO","OK"))</f>
      </c>
      <c r="AA115" s="3056">
        <f>IF(A115="","",IF(OR(LEN(Q115)&gt;180,LEN(R115)&gt;180,LEN(S115)&gt;180,LEN(T115)&gt;180),"CAMINHO LONGO","OK"))</f>
      </c>
      <c r="AB115" s="3056">
        <f>IF(A115="","",IF(U115="","",IFERROR(INT(U115-TODAY()),"")))</f>
      </c>
      <c r="AC115" s="3056">
        <f>IF(A115="","",IF(AND(T115="",U115=""),"",IF(T115="","SEM CAMINHO",IF(U115="","SEM DATA",IFERROR(IF(AB115&lt;15,"VERMELHO",IF(AB115&lt;=30,"AMARELO","VERDE")),"DATA INVALIDA")))))</f>
      </c>
      <c r="AD115" s="3056">
        <f>IF(OR(A115="",U115="",NOT(ISNUMBER(AB115))),"",RANK(AB115,$AB$3:$AB$164,1)+COUNTIFS($AB$3:AB115,AB115)-1)</f>
      </c>
      <c r="AE115" s="1736"/>
    </row>
    <row r="116" spans="1:19" ht="22.0" hidden="false" customHeight="true" x14ac:dyDescent="0.25">
      <c r="A116" s="3104" t="s">
        <v>277</v>
      </c>
      <c r="B116" s="3103" t="s">
        <v>211</v>
      </c>
      <c r="C116" s="3103" t="s">
        <v>69</v>
      </c>
      <c r="D116" s="3103" t="s">
        <v>278</v>
      </c>
      <c r="E116" s="3103"/>
      <c r="F116" s="3103" t="s">
        <v>279</v>
      </c>
      <c r="G116" s="3103" t="s">
        <v>13</v>
      </c>
      <c r="H116" s="3103" t="s">
        <v>49</v>
      </c>
      <c r="I116" s="3103">
        <v>46147</v>
      </c>
      <c r="J116" s="3103"/>
      <c r="K116" s="3103"/>
      <c r="L116" s="3103"/>
      <c r="M116" s="3103" t="s">
        <v>366</v>
      </c>
      <c r="N116" s="3103"/>
      <c r="O116" s="3103" t="s">
        <v>363</v>
      </c>
      <c r="P116" s="3103"/>
      <c r="Q116" s="3106"/>
      <c r="R116" s="3106"/>
      <c r="S116" s="3106"/>
      <c r="T116" s="3106"/>
      <c r="U116" s="3107"/>
      <c r="V116" s="3103"/>
      <c r="W116" s="3103"/>
      <c r="X116" s="3056">
        <f>IF(A116="","",IF(LEN(SUBSTITUTE(SUBSTITUTE(SUBSTITUTE(SUBSTITUTE(D116,".",""),"/",""),"-","")," ",""))&lt;&gt;14,"CNPJ INVALIDO","OK"))</f>
      </c>
      <c r="Y116" s="3056">
        <f>IF(A116="","",IF(R116="","REST PENDENTE","REST OK"))</f>
      </c>
      <c r="Z116" s="3056">
        <f>IF(A116="","",IF(AND(R116&lt;&gt;"",COUNTIFS($D$3:$D$164,D116,$R$3:$R$164,"&lt;&gt;")&gt;1),"DUPLICADO","OK"))</f>
      </c>
      <c r="AA116" s="3056">
        <f>IF(A116="","",IF(OR(LEN(Q116)&gt;180,LEN(R116)&gt;180,LEN(S116)&gt;180,LEN(T116)&gt;180),"CAMINHO LONGO","OK"))</f>
      </c>
      <c r="AB116" s="3056">
        <f>IF(A116="","",IF(U116="","",IFERROR(INT(U116-TODAY()),"")))</f>
      </c>
      <c r="AC116" s="3056">
        <f>IF(A116="","",IF(AND(T116="",U116=""),"",IF(T116="","SEM CAMINHO",IF(U116="","SEM DATA",IFERROR(IF(AB116&lt;15,"VERMELHO",IF(AB116&lt;=30,"AMARELO","VERDE")),"DATA INVALIDA")))))</f>
      </c>
      <c r="AD116" s="3056">
        <f>IF(OR(A116="",U116="",NOT(ISNUMBER(AB116))),"",RANK(AB116,$AB$3:$AB$164,1)+COUNTIFS($AB$3:AB116,AB116)-1)</f>
      </c>
      <c r="AE116" s="1736"/>
    </row>
    <row r="117" spans="1:19" ht="22.0" hidden="false" customHeight="true" x14ac:dyDescent="0.25">
      <c r="A117" s="3099" t="s">
        <v>280</v>
      </c>
      <c r="B117" s="3098" t="s">
        <v>162</v>
      </c>
      <c r="C117" s="3098" t="s">
        <v>281</v>
      </c>
      <c r="D117" s="3098" t="s">
        <v>282</v>
      </c>
      <c r="E117" s="3098"/>
      <c r="F117" s="3098"/>
      <c r="G117" s="3098" t="s">
        <v>4</v>
      </c>
      <c r="H117" s="3098" t="s">
        <v>49</v>
      </c>
      <c r="I117" s="3098"/>
      <c r="J117" s="3098"/>
      <c r="K117" s="3098"/>
      <c r="L117" s="3098"/>
      <c r="M117" s="3098" t="s">
        <v>376</v>
      </c>
      <c r="N117" s="3098" t="s">
        <v>362</v>
      </c>
      <c r="O117" s="3098" t="s">
        <v>365</v>
      </c>
      <c r="P117" s="3098"/>
      <c r="Q117" s="3101"/>
      <c r="R117" s="3101"/>
      <c r="S117" s="3101"/>
      <c r="T117" s="3101"/>
      <c r="U117" s="3102"/>
      <c r="V117" s="3098"/>
      <c r="W117" s="3098"/>
      <c r="X117" s="3056">
        <f>IF(A117="","",IF(LEN(SUBSTITUTE(SUBSTITUTE(SUBSTITUTE(SUBSTITUTE(D117,".",""),"/",""),"-","")," ",""))&lt;&gt;14,"CNPJ INVALIDO","OK"))</f>
      </c>
      <c r="Y117" s="3056">
        <f>IF(A117="","",IF(R117="","REST PENDENTE","REST OK"))</f>
      </c>
      <c r="Z117" s="3056">
        <f>IF(A117="","",IF(AND(R117&lt;&gt;"",COUNTIFS($D$3:$D$164,D117,$R$3:$R$164,"&lt;&gt;")&gt;1),"DUPLICADO","OK"))</f>
      </c>
      <c r="AA117" s="3056">
        <f>IF(A117="","",IF(OR(LEN(Q117)&gt;180,LEN(R117)&gt;180,LEN(S117)&gt;180,LEN(T117)&gt;180),"CAMINHO LONGO","OK"))</f>
      </c>
      <c r="AB117" s="3056">
        <f>IF(A117="","",IF(U117="","",IFERROR(INT(U117-TODAY()),"")))</f>
      </c>
      <c r="AC117" s="3056">
        <f>IF(A117="","",IF(AND(T117="",U117=""),"",IF(T117="","SEM CAMINHO",IF(U117="","SEM DATA",IFERROR(IF(AB117&lt;15,"VERMELHO",IF(AB117&lt;=30,"AMARELO","VERDE")),"DATA INVALIDA")))))</f>
      </c>
      <c r="AD117" s="3056">
        <f>IF(OR(A117="",U117="",NOT(ISNUMBER(AB117))),"",RANK(AB117,$AB$3:$AB$164,1)+COUNTIFS($AB$3:AB117,AB117)-1)</f>
      </c>
      <c r="AE117" s="1736"/>
    </row>
    <row r="118" spans="1:19" ht="22.0" hidden="false" customHeight="true" x14ac:dyDescent="0.25">
      <c r="A118" s="3104" t="s">
        <v>283</v>
      </c>
      <c r="B118" s="3103" t="s">
        <v>75</v>
      </c>
      <c r="C118" s="3103" t="s">
        <v>62</v>
      </c>
      <c r="D118" s="3103" t="s">
        <v>397</v>
      </c>
      <c r="E118" s="3103"/>
      <c r="F118" s="3103" t="s">
        <v>284</v>
      </c>
      <c r="G118" s="3103" t="s">
        <v>4</v>
      </c>
      <c r="H118" s="3103" t="s">
        <v>14</v>
      </c>
      <c r="I118" s="3103"/>
      <c r="J118" s="3103"/>
      <c r="K118" s="3103"/>
      <c r="L118" s="3103"/>
      <c r="M118" s="3103" t="s">
        <v>389</v>
      </c>
      <c r="N118" s="3103"/>
      <c r="O118" s="3103" t="s">
        <v>365</v>
      </c>
      <c r="P118" s="3103"/>
      <c r="Q118" s="3106"/>
      <c r="R118" s="3106"/>
      <c r="S118" s="3106"/>
      <c r="T118" s="3106"/>
      <c r="U118" s="3107"/>
      <c r="V118" s="3103"/>
      <c r="W118" s="3103"/>
      <c r="X118" s="3056">
        <f>IF(A118="","",IF(LEN(SUBSTITUTE(SUBSTITUTE(SUBSTITUTE(SUBSTITUTE(D118,".",""),"/",""),"-","")," ",""))&lt;&gt;14,"CNPJ INVALIDO","OK"))</f>
      </c>
      <c r="Y118" s="3056">
        <f>IF(A118="","",IF(R118="","REST PENDENTE","REST OK"))</f>
      </c>
      <c r="Z118" s="3056">
        <f>IF(A118="","",IF(AND(R118&lt;&gt;"",COUNTIFS($D$3:$D$164,D118,$R$3:$R$164,"&lt;&gt;")&gt;1),"DUPLICADO","OK"))</f>
      </c>
      <c r="AA118" s="3056">
        <f>IF(A118="","",IF(OR(LEN(Q118)&gt;180,LEN(R118)&gt;180,LEN(S118)&gt;180,LEN(T118)&gt;180),"CAMINHO LONGO","OK"))</f>
      </c>
      <c r="AB118" s="3056">
        <f>IF(A118="","",IF(U118="","",IFERROR(INT(U118-TODAY()),"")))</f>
      </c>
      <c r="AC118" s="3056">
        <f>IF(A118="","",IF(AND(T118="",U118=""),"",IF(T118="","SEM CAMINHO",IF(U118="","SEM DATA",IFERROR(IF(AB118&lt;15,"VERMELHO",IF(AB118&lt;=30,"AMARELO","VERDE")),"DATA INVALIDA")))))</f>
      </c>
      <c r="AD118" s="3056">
        <f>IF(OR(A118="",U118="",NOT(ISNUMBER(AB118))),"",RANK(AB118,$AB$3:$AB$164,1)+COUNTIFS($AB$3:AB118,AB118)-1)</f>
      </c>
      <c r="AE118" s="1736"/>
    </row>
    <row r="119" spans="1:19" ht="22.0" hidden="false" customHeight="true" x14ac:dyDescent="0.25">
      <c r="A119" s="3099" t="s">
        <v>285</v>
      </c>
      <c r="B119" s="3098" t="s">
        <v>286</v>
      </c>
      <c r="C119" s="3098"/>
      <c r="D119" s="3098" t="s">
        <v>398</v>
      </c>
      <c r="E119" s="3098"/>
      <c r="F119" s="3098" t="s">
        <v>287</v>
      </c>
      <c r="G119" s="3098" t="s">
        <v>4</v>
      </c>
      <c r="H119" s="3098" t="s">
        <v>49</v>
      </c>
      <c r="I119" s="3098"/>
      <c r="J119" s="3098"/>
      <c r="K119" s="3098"/>
      <c r="L119" s="3098"/>
      <c r="M119" s="3098" t="s">
        <v>379</v>
      </c>
      <c r="N119" s="3098"/>
      <c r="O119" s="3098" t="s">
        <v>365</v>
      </c>
      <c r="P119" s="3098"/>
      <c r="Q119" s="3101"/>
      <c r="R119" s="3101"/>
      <c r="S119" s="3101"/>
      <c r="T119" s="3101"/>
      <c r="U119" s="3102"/>
      <c r="V119" s="3098"/>
      <c r="W119" s="3098"/>
      <c r="X119" s="3056">
        <f>IF(A119="","",IF(LEN(SUBSTITUTE(SUBSTITUTE(SUBSTITUTE(SUBSTITUTE(D119,".",""),"/",""),"-","")," ",""))&lt;&gt;14,"CNPJ INVALIDO","OK"))</f>
      </c>
      <c r="Y119" s="3056">
        <f>IF(A119="","",IF(R119="","REST PENDENTE","REST OK"))</f>
      </c>
      <c r="Z119" s="3056">
        <f>IF(A119="","",IF(AND(R119&lt;&gt;"",COUNTIFS($D$3:$D$164,D119,$R$3:$R$164,"&lt;&gt;")&gt;1),"DUPLICADO","OK"))</f>
      </c>
      <c r="AA119" s="3056">
        <f>IF(A119="","",IF(OR(LEN(Q119)&gt;180,LEN(R119)&gt;180,LEN(S119)&gt;180,LEN(T119)&gt;180),"CAMINHO LONGO","OK"))</f>
      </c>
      <c r="AB119" s="3056">
        <f>IF(A119="","",IF(U119="","",IFERROR(INT(U119-TODAY()),"")))</f>
      </c>
      <c r="AC119" s="3056">
        <f>IF(A119="","",IF(AND(T119="",U119=""),"",IF(T119="","SEM CAMINHO",IF(U119="","SEM DATA",IFERROR(IF(AB119&lt;15,"VERMELHO",IF(AB119&lt;=30,"AMARELO","VERDE")),"DATA INVALIDA")))))</f>
      </c>
      <c r="AD119" s="3056">
        <f>IF(OR(A119="",U119="",NOT(ISNUMBER(AB119))),"",RANK(AB119,$AB$3:$AB$164,1)+COUNTIFS($AB$3:AB119,AB119)-1)</f>
      </c>
      <c r="AE119" s="1736"/>
    </row>
    <row r="120" spans="1:19" ht="22.0" hidden="false" customHeight="true" x14ac:dyDescent="0.25">
      <c r="A120" s="3104" t="s">
        <v>288</v>
      </c>
      <c r="B120" s="3103" t="s">
        <v>286</v>
      </c>
      <c r="C120" s="3103" t="s">
        <v>69</v>
      </c>
      <c r="D120" s="3103" t="s">
        <v>289</v>
      </c>
      <c r="E120" s="3103"/>
      <c r="F120" s="3103" t="s">
        <v>290</v>
      </c>
      <c r="G120" s="3103" t="s">
        <v>13</v>
      </c>
      <c r="H120" s="3103" t="s">
        <v>49</v>
      </c>
      <c r="I120" s="3103"/>
      <c r="J120" s="3103"/>
      <c r="K120" s="3103"/>
      <c r="L120" s="3103"/>
      <c r="M120" s="3103" t="s">
        <v>376</v>
      </c>
      <c r="N120" s="3103"/>
      <c r="O120" s="3103" t="s">
        <v>365</v>
      </c>
      <c r="P120" s="3103"/>
      <c r="Q120" s="3106"/>
      <c r="R120" s="3106"/>
      <c r="S120" s="3106"/>
      <c r="T120" s="3106"/>
      <c r="U120" s="3107"/>
      <c r="V120" s="3103"/>
      <c r="W120" s="3103"/>
      <c r="X120" s="3056">
        <f>IF(A120="","",IF(LEN(SUBSTITUTE(SUBSTITUTE(SUBSTITUTE(SUBSTITUTE(D120,".",""),"/",""),"-","")," ",""))&lt;&gt;14,"CNPJ INVALIDO","OK"))</f>
      </c>
      <c r="Y120" s="3056">
        <f>IF(A120="","",IF(R120="","REST PENDENTE","REST OK"))</f>
      </c>
      <c r="Z120" s="3056">
        <f>IF(A120="","",IF(AND(R120&lt;&gt;"",COUNTIFS($D$3:$D$164,D120,$R$3:$R$164,"&lt;&gt;")&gt;1),"DUPLICADO","OK"))</f>
      </c>
      <c r="AA120" s="3056">
        <f>IF(A120="","",IF(OR(LEN(Q120)&gt;180,LEN(R120)&gt;180,LEN(S120)&gt;180,LEN(T120)&gt;180),"CAMINHO LONGO","OK"))</f>
      </c>
      <c r="AB120" s="3056">
        <f>IF(A120="","",IF(U120="","",IFERROR(INT(U120-TODAY()),"")))</f>
      </c>
      <c r="AC120" s="3056">
        <f>IF(A120="","",IF(AND(T120="",U120=""),"",IF(T120="","SEM CAMINHO",IF(U120="","SEM DATA",IFERROR(IF(AB120&lt;15,"VERMELHO",IF(AB120&lt;=30,"AMARELO","VERDE")),"DATA INVALIDA")))))</f>
      </c>
      <c r="AD120" s="3056">
        <f>IF(OR(A120="",U120="",NOT(ISNUMBER(AB120))),"",RANK(AB120,$AB$3:$AB$164,1)+COUNTIFS($AB$3:AB120,AB120)-1)</f>
      </c>
      <c r="AE120" s="1736"/>
    </row>
    <row r="121" spans="1:19" ht="22.0" hidden="false" customHeight="true" x14ac:dyDescent="0.25">
      <c r="A121" s="3099" t="s">
        <v>291</v>
      </c>
      <c r="B121" s="3098" t="s">
        <v>75</v>
      </c>
      <c r="C121" s="3098" t="s">
        <v>69</v>
      </c>
      <c r="D121" s="3098" t="s">
        <v>292</v>
      </c>
      <c r="E121" s="3098"/>
      <c r="F121" s="3098"/>
      <c r="G121" s="3098"/>
      <c r="H121" s="3098"/>
      <c r="I121" s="3098"/>
      <c r="J121" s="3098"/>
      <c r="K121" s="3098"/>
      <c r="L121" s="3098"/>
      <c r="M121" s="3098" t="s">
        <v>371</v>
      </c>
      <c r="N121" s="3098"/>
      <c r="O121" s="3098"/>
      <c r="P121" s="3098"/>
      <c r="Q121" s="3101"/>
      <c r="R121" s="3101"/>
      <c r="S121" s="3101"/>
      <c r="T121" s="3101"/>
      <c r="U121" s="3102"/>
      <c r="V121" s="3098"/>
      <c r="W121" s="3098"/>
      <c r="X121" s="3056">
        <f>IF(A121="","",IF(LEN(SUBSTITUTE(SUBSTITUTE(SUBSTITUTE(SUBSTITUTE(D121,".",""),"/",""),"-","")," ",""))&lt;&gt;14,"CNPJ INVALIDO","OK"))</f>
      </c>
      <c r="Y121" s="3056">
        <f>IF(A121="","",IF(R121="","REST PENDENTE","REST OK"))</f>
      </c>
      <c r="Z121" s="3056">
        <f>IF(A121="","",IF(AND(R121&lt;&gt;"",COUNTIFS($D$3:$D$164,D121,$R$3:$R$164,"&lt;&gt;")&gt;1),"DUPLICADO","OK"))</f>
      </c>
      <c r="AA121" s="3056">
        <f>IF(A121="","",IF(OR(LEN(Q121)&gt;180,LEN(R121)&gt;180,LEN(S121)&gt;180,LEN(T121)&gt;180),"CAMINHO LONGO","OK"))</f>
      </c>
      <c r="AB121" s="3056">
        <f>IF(A121="","",IF(U121="","",IFERROR(INT(U121-TODAY()),"")))</f>
      </c>
      <c r="AC121" s="3056">
        <f>IF(A121="","",IF(AND(T121="",U121=""),"",IF(T121="","SEM CAMINHO",IF(U121="","SEM DATA",IFERROR(IF(AB121&lt;15,"VERMELHO",IF(AB121&lt;=30,"AMARELO","VERDE")),"DATA INVALIDA")))))</f>
      </c>
      <c r="AD121" s="3056">
        <f>IF(OR(A121="",U121="",NOT(ISNUMBER(AB121))),"",RANK(AB121,$AB$3:$AB$164,1)+COUNTIFS($AB$3:AB121,AB121)-1)</f>
      </c>
      <c r="AE121" s="1736"/>
    </row>
    <row r="122" spans="1:19" ht="22.0" hidden="false" customHeight="true" x14ac:dyDescent="0.25">
      <c r="A122" s="3104" t="s">
        <v>293</v>
      </c>
      <c r="B122" s="3103" t="s">
        <v>227</v>
      </c>
      <c r="C122" s="3103" t="s">
        <v>116</v>
      </c>
      <c r="D122" s="3103" t="s">
        <v>294</v>
      </c>
      <c r="E122" s="3103"/>
      <c r="F122" s="3103" t="s">
        <v>228</v>
      </c>
      <c r="G122" s="3103" t="s">
        <v>13</v>
      </c>
      <c r="H122" s="3103" t="s">
        <v>14</v>
      </c>
      <c r="I122" s="3103"/>
      <c r="J122" s="3103"/>
      <c r="K122" s="3103"/>
      <c r="L122" s="3103"/>
      <c r="M122" s="3103" t="s">
        <v>368</v>
      </c>
      <c r="N122" s="3103"/>
      <c r="O122" s="3103" t="s">
        <v>369</v>
      </c>
      <c r="P122" s="3103"/>
      <c r="Q122" s="3106"/>
      <c r="R122" s="3106"/>
      <c r="S122" s="3106"/>
      <c r="T122" s="3106"/>
      <c r="U122" s="3107"/>
      <c r="V122" s="3103"/>
      <c r="W122" s="3103"/>
      <c r="X122" s="3056">
        <f>IF(A122="","",IF(LEN(SUBSTITUTE(SUBSTITUTE(SUBSTITUTE(SUBSTITUTE(D122,".",""),"/",""),"-","")," ",""))&lt;&gt;14,"CNPJ INVALIDO","OK"))</f>
      </c>
      <c r="Y122" s="3056">
        <f>IF(A122="","",IF(R122="","REST PENDENTE","REST OK"))</f>
      </c>
      <c r="Z122" s="3056">
        <f>IF(A122="","",IF(AND(R122&lt;&gt;"",COUNTIFS($D$3:$D$164,D122,$R$3:$R$164,"&lt;&gt;")&gt;1),"DUPLICADO","OK"))</f>
      </c>
      <c r="AA122" s="3056">
        <f>IF(A122="","",IF(OR(LEN(Q122)&gt;180,LEN(R122)&gt;180,LEN(S122)&gt;180,LEN(T122)&gt;180),"CAMINHO LONGO","OK"))</f>
      </c>
      <c r="AB122" s="3056">
        <f>IF(A122="","",IF(U122="","",IFERROR(INT(U122-TODAY()),"")))</f>
      </c>
      <c r="AC122" s="3056">
        <f>IF(A122="","",IF(AND(T122="",U122=""),"",IF(T122="","SEM CAMINHO",IF(U122="","SEM DATA",IFERROR(IF(AB122&lt;15,"VERMELHO",IF(AB122&lt;=30,"AMARELO","VERDE")),"DATA INVALIDA")))))</f>
      </c>
      <c r="AD122" s="3056">
        <f>IF(OR(A122="",U122="",NOT(ISNUMBER(AB122))),"",RANK(AB122,$AB$3:$AB$164,1)+COUNTIFS($AB$3:AB122,AB122)-1)</f>
      </c>
      <c r="AE122" s="1736"/>
    </row>
    <row r="123" spans="1:19" ht="22.0" hidden="false" customHeight="true" x14ac:dyDescent="0.25">
      <c r="A123" s="3099" t="s">
        <v>295</v>
      </c>
      <c r="B123" s="3098" t="s">
        <v>45</v>
      </c>
      <c r="C123" s="3098" t="s">
        <v>296</v>
      </c>
      <c r="D123" s="3098" t="s">
        <v>297</v>
      </c>
      <c r="E123" s="3098"/>
      <c r="F123" s="3098" t="s">
        <v>48</v>
      </c>
      <c r="G123" s="3098" t="s">
        <v>13</v>
      </c>
      <c r="H123" s="3098" t="s">
        <v>14</v>
      </c>
      <c r="I123" s="3098"/>
      <c r="J123" s="3098"/>
      <c r="K123" s="3098"/>
      <c r="L123" s="3098"/>
      <c r="M123" s="3098" t="s">
        <v>371</v>
      </c>
      <c r="N123" s="3098"/>
      <c r="O123" s="3098" t="s">
        <v>367</v>
      </c>
      <c r="P123" s="3098"/>
      <c r="Q123" s="3101"/>
      <c r="R123" s="3101"/>
      <c r="S123" s="3101"/>
      <c r="T123" s="3101"/>
      <c r="U123" s="3102"/>
      <c r="V123" s="3098"/>
      <c r="W123" s="3098"/>
      <c r="X123" s="3056">
        <f>IF(A123="","",IF(LEN(SUBSTITUTE(SUBSTITUTE(SUBSTITUTE(SUBSTITUTE(D123,".",""),"/",""),"-","")," ",""))&lt;&gt;14,"CNPJ INVALIDO","OK"))</f>
      </c>
      <c r="Y123" s="3056">
        <f>IF(A123="","",IF(R123="","REST PENDENTE","REST OK"))</f>
      </c>
      <c r="Z123" s="3056">
        <f>IF(A123="","",IF(AND(R123&lt;&gt;"",COUNTIFS($D$3:$D$164,D123,$R$3:$R$164,"&lt;&gt;")&gt;1),"DUPLICADO","OK"))</f>
      </c>
      <c r="AA123" s="3056">
        <f>IF(A123="","",IF(OR(LEN(Q123)&gt;180,LEN(R123)&gt;180,LEN(S123)&gt;180,LEN(T123)&gt;180),"CAMINHO LONGO","OK"))</f>
      </c>
      <c r="AB123" s="3056">
        <f>IF(A123="","",IF(U123="","",IFERROR(INT(U123-TODAY()),"")))</f>
      </c>
      <c r="AC123" s="3056">
        <f>IF(A123="","",IF(AND(T123="",U123=""),"",IF(T123="","SEM CAMINHO",IF(U123="","SEM DATA",IFERROR(IF(AB123&lt;15,"VERMELHO",IF(AB123&lt;=30,"AMARELO","VERDE")),"DATA INVALIDA")))))</f>
      </c>
      <c r="AD123" s="3056">
        <f>IF(OR(A123="",U123="",NOT(ISNUMBER(AB123))),"",RANK(AB123,$AB$3:$AB$164,1)+COUNTIFS($AB$3:AB123,AB123)-1)</f>
      </c>
      <c r="AE123" s="1736"/>
    </row>
    <row r="124" spans="1:19" ht="22.0" hidden="false" customHeight="true" x14ac:dyDescent="0.25">
      <c r="A124" s="3104" t="s">
        <v>298</v>
      </c>
      <c r="B124" s="3103" t="s">
        <v>299</v>
      </c>
      <c r="C124" s="3103" t="s">
        <v>16</v>
      </c>
      <c r="D124" s="3103" t="s">
        <v>300</v>
      </c>
      <c r="E124" s="3103"/>
      <c r="F124" s="3103" t="s">
        <v>109</v>
      </c>
      <c r="G124" s="3103" t="s">
        <v>4</v>
      </c>
      <c r="H124" s="3103" t="s">
        <v>49</v>
      </c>
      <c r="I124" s="3103"/>
      <c r="J124" s="3103"/>
      <c r="K124" s="3103"/>
      <c r="L124" s="3103"/>
      <c r="M124" s="3103" t="s">
        <v>379</v>
      </c>
      <c r="N124" s="3103"/>
      <c r="O124" s="3103" t="s">
        <v>365</v>
      </c>
      <c r="P124" s="3103"/>
      <c r="Q124" s="3106"/>
      <c r="R124" s="3106"/>
      <c r="S124" s="3106"/>
      <c r="T124" s="3106"/>
      <c r="U124" s="3107"/>
      <c r="V124" s="3103"/>
      <c r="W124" s="3103"/>
      <c r="X124" s="3056">
        <f>IF(A124="","",IF(LEN(SUBSTITUTE(SUBSTITUTE(SUBSTITUTE(SUBSTITUTE(D124,".",""),"/",""),"-","")," ",""))&lt;&gt;14,"CNPJ INVALIDO","OK"))</f>
      </c>
      <c r="Y124" s="3056">
        <f>IF(A124="","",IF(R124="","REST PENDENTE","REST OK"))</f>
      </c>
      <c r="Z124" s="3056">
        <f>IF(A124="","",IF(AND(R124&lt;&gt;"",COUNTIFS($D$3:$D$164,D124,$R$3:$R$164,"&lt;&gt;")&gt;1),"DUPLICADO","OK"))</f>
      </c>
      <c r="AA124" s="3056">
        <f>IF(A124="","",IF(OR(LEN(Q124)&gt;180,LEN(R124)&gt;180,LEN(S124)&gt;180,LEN(T124)&gt;180),"CAMINHO LONGO","OK"))</f>
      </c>
      <c r="AB124" s="3056">
        <f>IF(A124="","",IF(U124="","",IFERROR(INT(U124-TODAY()),"")))</f>
      </c>
      <c r="AC124" s="3056">
        <f>IF(A124="","",IF(AND(T124="",U124=""),"",IF(T124="","SEM CAMINHO",IF(U124="","SEM DATA",IFERROR(IF(AB124&lt;15,"VERMELHO",IF(AB124&lt;=30,"AMARELO","VERDE")),"DATA INVALIDA")))))</f>
      </c>
      <c r="AD124" s="3056">
        <f>IF(OR(A124="",U124="",NOT(ISNUMBER(AB124))),"",RANK(AB124,$AB$3:$AB$164,1)+COUNTIFS($AB$3:AB124,AB124)-1)</f>
      </c>
      <c r="AE124" s="1736"/>
    </row>
    <row r="125" spans="1:19" ht="22.0" hidden="false" customHeight="true" x14ac:dyDescent="0.25">
      <c r="A125" s="3099" t="s">
        <v>301</v>
      </c>
      <c r="B125" s="3098" t="s">
        <v>302</v>
      </c>
      <c r="C125" s="3098" t="s">
        <v>69</v>
      </c>
      <c r="D125" s="3098" t="s">
        <v>303</v>
      </c>
      <c r="E125" s="3098"/>
      <c r="F125" s="3098"/>
      <c r="G125" s="3098" t="s">
        <v>4</v>
      </c>
      <c r="H125" s="3098" t="s">
        <v>49</v>
      </c>
      <c r="I125" s="3098"/>
      <c r="J125" s="3098"/>
      <c r="K125" s="3098"/>
      <c r="L125" s="3098"/>
      <c r="M125" s="3098" t="s">
        <v>379</v>
      </c>
      <c r="N125" s="3098"/>
      <c r="O125" s="3098" t="s">
        <v>365</v>
      </c>
      <c r="P125" s="3098"/>
      <c r="Q125" s="3101"/>
      <c r="R125" s="3101"/>
      <c r="S125" s="3101"/>
      <c r="T125" s="3101"/>
      <c r="U125" s="3102"/>
      <c r="V125" s="3098"/>
      <c r="W125" s="3098"/>
      <c r="X125" s="3056">
        <f>IF(A125="","",IF(LEN(SUBSTITUTE(SUBSTITUTE(SUBSTITUTE(SUBSTITUTE(D125,".",""),"/",""),"-","")," ",""))&lt;&gt;14,"CNPJ INVALIDO","OK"))</f>
      </c>
      <c r="Y125" s="3056">
        <f>IF(A125="","",IF(R125="","REST PENDENTE","REST OK"))</f>
      </c>
      <c r="Z125" s="3056">
        <f>IF(A125="","",IF(AND(R125&lt;&gt;"",COUNTIFS($D$3:$D$164,D125,$R$3:$R$164,"&lt;&gt;")&gt;1),"DUPLICADO","OK"))</f>
      </c>
      <c r="AA125" s="3056">
        <f>IF(A125="","",IF(OR(LEN(Q125)&gt;180,LEN(R125)&gt;180,LEN(S125)&gt;180,LEN(T125)&gt;180),"CAMINHO LONGO","OK"))</f>
      </c>
      <c r="AB125" s="3056">
        <f>IF(A125="","",IF(U125="","",IFERROR(INT(U125-TODAY()),"")))</f>
      </c>
      <c r="AC125" s="3056">
        <f>IF(A125="","",IF(AND(T125="",U125=""),"",IF(T125="","SEM CAMINHO",IF(U125="","SEM DATA",IFERROR(IF(AB125&lt;15,"VERMELHO",IF(AB125&lt;=30,"AMARELO","VERDE")),"DATA INVALIDA")))))</f>
      </c>
      <c r="AD125" s="3056">
        <f>IF(OR(A125="",U125="",NOT(ISNUMBER(AB125))),"",RANK(AB125,$AB$3:$AB$164,1)+COUNTIFS($AB$3:AB125,AB125)-1)</f>
      </c>
      <c r="AE125" s="1736"/>
    </row>
    <row r="126" spans="1:19" ht="22.0" hidden="false" customHeight="true" x14ac:dyDescent="0.25">
      <c r="A126" s="3104" t="s">
        <v>304</v>
      </c>
      <c r="B126" s="3103" t="s">
        <v>305</v>
      </c>
      <c r="C126" s="3103"/>
      <c r="D126" s="3103"/>
      <c r="E126" s="3103"/>
      <c r="F126" s="3103" t="s">
        <v>306</v>
      </c>
      <c r="G126" s="3103" t="s">
        <v>13</v>
      </c>
      <c r="H126" s="3103"/>
      <c r="I126" s="3103"/>
      <c r="J126" s="3103"/>
      <c r="K126" s="3103"/>
      <c r="L126" s="3103"/>
      <c r="M126" s="3103" t="s">
        <v>371</v>
      </c>
      <c r="N126" s="3103"/>
      <c r="O126" s="3103" t="s">
        <v>363</v>
      </c>
      <c r="P126" s="3103"/>
      <c r="Q126" s="3106"/>
      <c r="R126" s="3106"/>
      <c r="S126" s="3106"/>
      <c r="T126" s="3106"/>
      <c r="U126" s="3107"/>
      <c r="V126" s="3103"/>
      <c r="W126" s="3103"/>
      <c r="X126" s="3056">
        <f>IF(A126="","",IF(LEN(SUBSTITUTE(SUBSTITUTE(SUBSTITUTE(SUBSTITUTE(D126,".",""),"/",""),"-","")," ",""))&lt;&gt;14,"CNPJ INVALIDO","OK"))</f>
      </c>
      <c r="Y126" s="3056">
        <f>IF(A126="","",IF(R126="","REST PENDENTE","REST OK"))</f>
      </c>
      <c r="Z126" s="3056">
        <f>IF(A126="","",IF(AND(R126&lt;&gt;"",COUNTIFS($D$3:$D$164,D126,$R$3:$R$164,"&lt;&gt;")&gt;1),"DUPLICADO","OK"))</f>
      </c>
      <c r="AA126" s="3056">
        <f>IF(A126="","",IF(OR(LEN(Q126)&gt;180,LEN(R126)&gt;180,LEN(S126)&gt;180,LEN(T126)&gt;180),"CAMINHO LONGO","OK"))</f>
      </c>
      <c r="AB126" s="3056">
        <f>IF(A126="","",IF(U126="","",IFERROR(INT(U126-TODAY()),"")))</f>
      </c>
      <c r="AC126" s="3056">
        <f>IF(A126="","",IF(AND(T126="",U126=""),"",IF(T126="","SEM CAMINHO",IF(U126="","SEM DATA",IFERROR(IF(AB126&lt;15,"VERMELHO",IF(AB126&lt;=30,"AMARELO","VERDE")),"DATA INVALIDA")))))</f>
      </c>
      <c r="AD126" s="3056">
        <f>IF(OR(A126="",U126="",NOT(ISNUMBER(AB126))),"",RANK(AB126,$AB$3:$AB$164,1)+COUNTIFS($AB$3:AB126,AB126)-1)</f>
      </c>
      <c r="AE126" s="1736"/>
    </row>
    <row r="127" spans="1:19" ht="22.0" hidden="false" customHeight="true" x14ac:dyDescent="0.25">
      <c r="A127" s="3099" t="s">
        <v>307</v>
      </c>
      <c r="B127" s="3098" t="s">
        <v>305</v>
      </c>
      <c r="C127" s="3098"/>
      <c r="D127" s="3098"/>
      <c r="E127" s="3098"/>
      <c r="F127" s="3098" t="s">
        <v>306</v>
      </c>
      <c r="G127" s="3098" t="s">
        <v>308</v>
      </c>
      <c r="H127" s="3098"/>
      <c r="I127" s="3098"/>
      <c r="J127" s="3098"/>
      <c r="K127" s="3098"/>
      <c r="L127" s="3098"/>
      <c r="M127" s="3098" t="s">
        <v>371</v>
      </c>
      <c r="N127" s="3098"/>
      <c r="O127" s="3098" t="s">
        <v>363</v>
      </c>
      <c r="P127" s="3098"/>
      <c r="Q127" s="3101"/>
      <c r="R127" s="3101"/>
      <c r="S127" s="3101"/>
      <c r="T127" s="3101"/>
      <c r="U127" s="3102"/>
      <c r="V127" s="3098"/>
      <c r="W127" s="3098"/>
      <c r="X127" s="3056">
        <f>IF(A127="","",IF(LEN(SUBSTITUTE(SUBSTITUTE(SUBSTITUTE(SUBSTITUTE(D127,".",""),"/",""),"-","")," ",""))&lt;&gt;14,"CNPJ INVALIDO","OK"))</f>
      </c>
      <c r="Y127" s="3056">
        <f>IF(A127="","",IF(R127="","REST PENDENTE","REST OK"))</f>
      </c>
      <c r="Z127" s="3056">
        <f>IF(A127="","",IF(AND(R127&lt;&gt;"",COUNTIFS($D$3:$D$164,D127,$R$3:$R$164,"&lt;&gt;")&gt;1),"DUPLICADO","OK"))</f>
      </c>
      <c r="AA127" s="3056">
        <f>IF(A127="","",IF(OR(LEN(Q127)&gt;180,LEN(R127)&gt;180,LEN(S127)&gt;180,LEN(T127)&gt;180),"CAMINHO LONGO","OK"))</f>
      </c>
      <c r="AB127" s="3056">
        <f>IF(A127="","",IF(U127="","",IFERROR(INT(U127-TODAY()),"")))</f>
      </c>
      <c r="AC127" s="3056">
        <f>IF(A127="","",IF(AND(T127="",U127=""),"",IF(T127="","SEM CAMINHO",IF(U127="","SEM DATA",IFERROR(IF(AB127&lt;15,"VERMELHO",IF(AB127&lt;=30,"AMARELO","VERDE")),"DATA INVALIDA")))))</f>
      </c>
      <c r="AD127" s="3056">
        <f>IF(OR(A127="",U127="",NOT(ISNUMBER(AB127))),"",RANK(AB127,$AB$3:$AB$164,1)+COUNTIFS($AB$3:AB127,AB127)-1)</f>
      </c>
      <c r="AE127" s="1736"/>
    </row>
    <row r="128" spans="1:19" ht="22.0" hidden="false" customHeight="true" x14ac:dyDescent="0.25">
      <c r="A128" s="3104" t="s">
        <v>309</v>
      </c>
      <c r="B128" s="3103" t="s">
        <v>9</v>
      </c>
      <c r="C128" s="3103" t="s">
        <v>69</v>
      </c>
      <c r="D128" s="3103" t="s">
        <v>310</v>
      </c>
      <c r="E128" s="3103"/>
      <c r="F128" s="3103" t="s">
        <v>311</v>
      </c>
      <c r="G128" s="3103" t="s">
        <v>13</v>
      </c>
      <c r="H128" s="3103" t="s">
        <v>49</v>
      </c>
      <c r="I128" s="3103"/>
      <c r="J128" s="3103"/>
      <c r="K128" s="3103"/>
      <c r="L128" s="3103"/>
      <c r="M128" s="3103" t="s">
        <v>376</v>
      </c>
      <c r="N128" s="3103"/>
      <c r="O128" s="3103" t="s">
        <v>365</v>
      </c>
      <c r="P128" s="3103"/>
      <c r="Q128" s="3106"/>
      <c r="R128" s="3106"/>
      <c r="S128" s="3106"/>
      <c r="T128" s="3106"/>
      <c r="U128" s="3107"/>
      <c r="V128" s="3103"/>
      <c r="W128" s="3103"/>
      <c r="X128" s="3056">
        <f>IF(A128="","",IF(LEN(SUBSTITUTE(SUBSTITUTE(SUBSTITUTE(SUBSTITUTE(D128,".",""),"/",""),"-","")," ",""))&lt;&gt;14,"CNPJ INVALIDO","OK"))</f>
      </c>
      <c r="Y128" s="3056">
        <f>IF(A128="","",IF(R128="","REST PENDENTE","REST OK"))</f>
      </c>
      <c r="Z128" s="3056">
        <f>IF(A128="","",IF(AND(R128&lt;&gt;"",COUNTIFS($D$3:$D$164,D128,$R$3:$R$164,"&lt;&gt;")&gt;1),"DUPLICADO","OK"))</f>
      </c>
      <c r="AA128" s="3056">
        <f>IF(A128="","",IF(OR(LEN(Q128)&gt;180,LEN(R128)&gt;180,LEN(S128)&gt;180,LEN(T128)&gt;180),"CAMINHO LONGO","OK"))</f>
      </c>
      <c r="AB128" s="3056">
        <f>IF(A128="","",IF(U128="","",IFERROR(INT(U128-TODAY()),"")))</f>
      </c>
      <c r="AC128" s="3056">
        <f>IF(A128="","",IF(AND(T128="",U128=""),"",IF(T128="","SEM CAMINHO",IF(U128="","SEM DATA",IFERROR(IF(AB128&lt;15,"VERMELHO",IF(AB128&lt;=30,"AMARELO","VERDE")),"DATA INVALIDA")))))</f>
      </c>
      <c r="AD128" s="3056">
        <f>IF(OR(A128="",U128="",NOT(ISNUMBER(AB128))),"",RANK(AB128,$AB$3:$AB$164,1)+COUNTIFS($AB$3:AB128,AB128)-1)</f>
      </c>
      <c r="AE128" s="1736"/>
    </row>
    <row r="129" spans="1:19" ht="22.0" hidden="false" customHeight="true" x14ac:dyDescent="0.25">
      <c r="A129" s="3099" t="s">
        <v>312</v>
      </c>
      <c r="B129" s="3098" t="s">
        <v>75</v>
      </c>
      <c r="C129" s="3098" t="s">
        <v>69</v>
      </c>
      <c r="D129" s="3098" t="s">
        <v>313</v>
      </c>
      <c r="E129" s="3098"/>
      <c r="F129" s="3098" t="s">
        <v>314</v>
      </c>
      <c r="G129" s="3098" t="s">
        <v>4</v>
      </c>
      <c r="H129" s="3098" t="s">
        <v>49</v>
      </c>
      <c r="I129" s="3098"/>
      <c r="J129" s="3098"/>
      <c r="K129" s="3098"/>
      <c r="L129" s="3098"/>
      <c r="M129" s="3098" t="s">
        <v>379</v>
      </c>
      <c r="N129" s="3098"/>
      <c r="O129" s="3098" t="s">
        <v>370</v>
      </c>
      <c r="P129" s="3098"/>
      <c r="Q129" s="3101"/>
      <c r="R129" s="3101"/>
      <c r="S129" s="3101"/>
      <c r="T129" s="3101"/>
      <c r="U129" s="3102"/>
      <c r="V129" s="3098"/>
      <c r="W129" s="3098"/>
      <c r="X129" s="3056">
        <f>IF(A129="","",IF(LEN(SUBSTITUTE(SUBSTITUTE(SUBSTITUTE(SUBSTITUTE(D129,".",""),"/",""),"-","")," ",""))&lt;&gt;14,"CNPJ INVALIDO","OK"))</f>
      </c>
      <c r="Y129" s="3056">
        <f>IF(A129="","",IF(R129="","REST PENDENTE","REST OK"))</f>
      </c>
      <c r="Z129" s="3056">
        <f>IF(A129="","",IF(AND(R129&lt;&gt;"",COUNTIFS($D$3:$D$164,D129,$R$3:$R$164,"&lt;&gt;")&gt;1),"DUPLICADO","OK"))</f>
      </c>
      <c r="AA129" s="3056">
        <f>IF(A129="","",IF(OR(LEN(Q129)&gt;180,LEN(R129)&gt;180,LEN(S129)&gt;180,LEN(T129)&gt;180),"CAMINHO LONGO","OK"))</f>
      </c>
      <c r="AB129" s="3056">
        <f>IF(A129="","",IF(U129="","",IFERROR(INT(U129-TODAY()),"")))</f>
      </c>
      <c r="AC129" s="3056">
        <f>IF(A129="","",IF(AND(T129="",U129=""),"",IF(T129="","SEM CAMINHO",IF(U129="","SEM DATA",IFERROR(IF(AB129&lt;15,"VERMELHO",IF(AB129&lt;=30,"AMARELO","VERDE")),"DATA INVALIDA")))))</f>
      </c>
      <c r="AD129" s="3056">
        <f>IF(OR(A129="",U129="",NOT(ISNUMBER(AB129))),"",RANK(AB129,$AB$3:$AB$164,1)+COUNTIFS($AB$3:AB129,AB129)-1)</f>
      </c>
      <c r="AE129" s="1736"/>
    </row>
    <row r="130" spans="1:19" ht="22.0" hidden="false" customHeight="true" x14ac:dyDescent="0.25">
      <c r="A130" s="3104" t="s">
        <v>315</v>
      </c>
      <c r="B130" s="3103" t="s">
        <v>45</v>
      </c>
      <c r="C130" s="3103" t="s">
        <v>316</v>
      </c>
      <c r="D130" s="3103" t="s">
        <v>317</v>
      </c>
      <c r="E130" s="3103"/>
      <c r="F130" s="3103"/>
      <c r="G130" s="3103" t="s">
        <v>13</v>
      </c>
      <c r="H130" s="3103"/>
      <c r="I130" s="3103"/>
      <c r="J130" s="3103"/>
      <c r="K130" s="3103"/>
      <c r="L130" s="3103"/>
      <c r="M130" s="3103" t="s">
        <v>399</v>
      </c>
      <c r="N130" s="3103" t="s">
        <v>374</v>
      </c>
      <c r="O130" s="3103" t="s">
        <v>367</v>
      </c>
      <c r="P130" s="3103"/>
      <c r="Q130" s="3106"/>
      <c r="R130" s="3106"/>
      <c r="S130" s="3106"/>
      <c r="T130" s="3106"/>
      <c r="U130" s="3107"/>
      <c r="V130" s="3103"/>
      <c r="W130" s="3103"/>
      <c r="X130" s="3056">
        <f>IF(A130="","",IF(LEN(SUBSTITUTE(SUBSTITUTE(SUBSTITUTE(SUBSTITUTE(D130,".",""),"/",""),"-","")," ",""))&lt;&gt;14,"CNPJ INVALIDO","OK"))</f>
      </c>
      <c r="Y130" s="3056">
        <f>IF(A130="","",IF(R130="","REST PENDENTE","REST OK"))</f>
      </c>
      <c r="Z130" s="3056">
        <f>IF(A130="","",IF(AND(R130&lt;&gt;"",COUNTIFS($D$3:$D$164,D130,$R$3:$R$164,"&lt;&gt;")&gt;1),"DUPLICADO","OK"))</f>
      </c>
      <c r="AA130" s="3056">
        <f>IF(A130="","",IF(OR(LEN(Q130)&gt;180,LEN(R130)&gt;180,LEN(S130)&gt;180,LEN(T130)&gt;180),"CAMINHO LONGO","OK"))</f>
      </c>
      <c r="AB130" s="3056">
        <f>IF(A130="","",IF(U130="","",IFERROR(INT(U130-TODAY()),"")))</f>
      </c>
      <c r="AC130" s="3056">
        <f>IF(A130="","",IF(AND(T130="",U130=""),"",IF(T130="","SEM CAMINHO",IF(U130="","SEM DATA",IFERROR(IF(AB130&lt;15,"VERMELHO",IF(AB130&lt;=30,"AMARELO","VERDE")),"DATA INVALIDA")))))</f>
      </c>
      <c r="AD130" s="3056">
        <f>IF(OR(A130="",U130="",NOT(ISNUMBER(AB130))),"",RANK(AB130,$AB$3:$AB$164,1)+COUNTIFS($AB$3:AB130,AB130)-1)</f>
      </c>
      <c r="AE130" s="1736"/>
    </row>
    <row r="131" spans="1:19" ht="22.0" hidden="false" customHeight="true" x14ac:dyDescent="0.25">
      <c r="A131" s="3099" t="s">
        <v>318</v>
      </c>
      <c r="B131" s="3098" t="s">
        <v>45</v>
      </c>
      <c r="C131" s="3098" t="s">
        <v>316</v>
      </c>
      <c r="D131" s="3098" t="s">
        <v>319</v>
      </c>
      <c r="E131" s="3098"/>
      <c r="F131" s="3098" t="s">
        <v>48</v>
      </c>
      <c r="G131" s="3098" t="s">
        <v>320</v>
      </c>
      <c r="H131" s="3098"/>
      <c r="I131" s="3098"/>
      <c r="J131" s="3098"/>
      <c r="K131" s="3098"/>
      <c r="L131" s="3098"/>
      <c r="M131" s="3098" t="s">
        <v>399</v>
      </c>
      <c r="N131" s="3098" t="s">
        <v>374</v>
      </c>
      <c r="O131" s="3098" t="s">
        <v>371</v>
      </c>
      <c r="P131" s="3098"/>
      <c r="Q131" s="3101"/>
      <c r="R131" s="3101"/>
      <c r="S131" s="3101"/>
      <c r="T131" s="3101"/>
      <c r="U131" s="3102"/>
      <c r="V131" s="3098"/>
      <c r="W131" s="3098"/>
      <c r="X131" s="3056">
        <f>IF(A131="","",IF(LEN(SUBSTITUTE(SUBSTITUTE(SUBSTITUTE(SUBSTITUTE(D131,".",""),"/",""),"-","")," ",""))&lt;&gt;14,"CNPJ INVALIDO","OK"))</f>
      </c>
      <c r="Y131" s="3056">
        <f>IF(A131="","",IF(R131="","REST PENDENTE","REST OK"))</f>
      </c>
      <c r="Z131" s="3056">
        <f>IF(A131="","",IF(AND(R131&lt;&gt;"",COUNTIFS($D$3:$D$164,D131,$R$3:$R$164,"&lt;&gt;")&gt;1),"DUPLICADO","OK"))</f>
      </c>
      <c r="AA131" s="3056">
        <f>IF(A131="","",IF(OR(LEN(Q131)&gt;180,LEN(R131)&gt;180,LEN(S131)&gt;180,LEN(T131)&gt;180),"CAMINHO LONGO","OK"))</f>
      </c>
      <c r="AB131" s="3056">
        <f>IF(A131="","",IF(U131="","",IFERROR(INT(U131-TODAY()),"")))</f>
      </c>
      <c r="AC131" s="3056">
        <f>IF(A131="","",IF(AND(T131="",U131=""),"",IF(T131="","SEM CAMINHO",IF(U131="","SEM DATA",IFERROR(IF(AB131&lt;15,"VERMELHO",IF(AB131&lt;=30,"AMARELO","VERDE")),"DATA INVALIDA")))))</f>
      </c>
      <c r="AD131" s="3056">
        <f>IF(OR(A131="",U131="",NOT(ISNUMBER(AB131))),"",RANK(AB131,$AB$3:$AB$164,1)+COUNTIFS($AB$3:AB131,AB131)-1)</f>
      </c>
      <c r="AE131" s="1736"/>
    </row>
    <row r="132" spans="1:19" ht="22.0" hidden="false" customHeight="true" x14ac:dyDescent="0.25">
      <c r="A132" s="3104" t="s">
        <v>321</v>
      </c>
      <c r="B132" s="3103" t="s">
        <v>45</v>
      </c>
      <c r="C132" s="3103" t="s">
        <v>316</v>
      </c>
      <c r="D132" s="3103" t="s">
        <v>322</v>
      </c>
      <c r="E132" s="3103"/>
      <c r="F132" s="3103" t="s">
        <v>48</v>
      </c>
      <c r="G132" s="3103" t="s">
        <v>320</v>
      </c>
      <c r="H132" s="3103"/>
      <c r="I132" s="3103"/>
      <c r="J132" s="3103"/>
      <c r="K132" s="3103"/>
      <c r="L132" s="3103"/>
      <c r="M132" s="3103" t="s">
        <v>379</v>
      </c>
      <c r="N132" s="3103" t="s">
        <v>374</v>
      </c>
      <c r="O132" s="3103" t="s">
        <v>370</v>
      </c>
      <c r="P132" s="3103"/>
      <c r="Q132" s="3106"/>
      <c r="R132" s="3106"/>
      <c r="S132" s="3106"/>
      <c r="T132" s="3106"/>
      <c r="U132" s="3107"/>
      <c r="V132" s="3103"/>
      <c r="W132" s="3103"/>
      <c r="X132" s="3056">
        <f>IF(A132="","",IF(LEN(SUBSTITUTE(SUBSTITUTE(SUBSTITUTE(SUBSTITUTE(D132,".",""),"/",""),"-","")," ",""))&lt;&gt;14,"CNPJ INVALIDO","OK"))</f>
      </c>
      <c r="Y132" s="3056">
        <f>IF(A132="","",IF(R132="","REST PENDENTE","REST OK"))</f>
      </c>
      <c r="Z132" s="3056">
        <f>IF(A132="","",IF(AND(R132&lt;&gt;"",COUNTIFS($D$3:$D$164,D132,$R$3:$R$164,"&lt;&gt;")&gt;1),"DUPLICADO","OK"))</f>
      </c>
      <c r="AA132" s="3056">
        <f>IF(A132="","",IF(OR(LEN(Q132)&gt;180,LEN(R132)&gt;180,LEN(S132)&gt;180,LEN(T132)&gt;180),"CAMINHO LONGO","OK"))</f>
      </c>
      <c r="AB132" s="3056">
        <f>IF(A132="","",IF(U132="","",IFERROR(INT(U132-TODAY()),"")))</f>
      </c>
      <c r="AC132" s="3056">
        <f>IF(A132="","",IF(AND(T132="",U132=""),"",IF(T132="","SEM CAMINHO",IF(U132="","SEM DATA",IFERROR(IF(AB132&lt;15,"VERMELHO",IF(AB132&lt;=30,"AMARELO","VERDE")),"DATA INVALIDA")))))</f>
      </c>
      <c r="AD132" s="3056">
        <f>IF(OR(A132="",U132="",NOT(ISNUMBER(AB132))),"",RANK(AB132,$AB$3:$AB$164,1)+COUNTIFS($AB$3:AB132,AB132)-1)</f>
      </c>
      <c r="AE132" s="1736"/>
    </row>
    <row r="133" spans="1:19" ht="22.0" hidden="false" customHeight="true" x14ac:dyDescent="0.25">
      <c r="A133" s="3099" t="s">
        <v>323</v>
      </c>
      <c r="B133" s="3098" t="s">
        <v>305</v>
      </c>
      <c r="C133" s="3098"/>
      <c r="D133" s="3098"/>
      <c r="E133" s="3098"/>
      <c r="F133" s="3098" t="s">
        <v>306</v>
      </c>
      <c r="G133" s="3098" t="s">
        <v>4</v>
      </c>
      <c r="H133" s="3098"/>
      <c r="I133" s="3098"/>
      <c r="J133" s="3098"/>
      <c r="K133" s="3098"/>
      <c r="L133" s="3098"/>
      <c r="M133" s="3098" t="s">
        <v>371</v>
      </c>
      <c r="N133" s="3098"/>
      <c r="O133" s="3098" t="s">
        <v>365</v>
      </c>
      <c r="P133" s="3098"/>
      <c r="Q133" s="3101"/>
      <c r="R133" s="3101"/>
      <c r="S133" s="3101"/>
      <c r="T133" s="3101"/>
      <c r="U133" s="3102"/>
      <c r="V133" s="3098"/>
      <c r="W133" s="3098"/>
      <c r="X133" s="3056">
        <f>IF(A133="","",IF(LEN(SUBSTITUTE(SUBSTITUTE(SUBSTITUTE(SUBSTITUTE(D133,".",""),"/",""),"-","")," ",""))&lt;&gt;14,"CNPJ INVALIDO","OK"))</f>
      </c>
      <c r="Y133" s="3056">
        <f>IF(A133="","",IF(R133="","REST PENDENTE","REST OK"))</f>
      </c>
      <c r="Z133" s="3056">
        <f>IF(A133="","",IF(AND(R133&lt;&gt;"",COUNTIFS($D$3:$D$164,D133,$R$3:$R$164,"&lt;&gt;")&gt;1),"DUPLICADO","OK"))</f>
      </c>
      <c r="AA133" s="3056">
        <f>IF(A133="","",IF(OR(LEN(Q133)&gt;180,LEN(R133)&gt;180,LEN(S133)&gt;180,LEN(T133)&gt;180),"CAMINHO LONGO","OK"))</f>
      </c>
      <c r="AB133" s="3056">
        <f>IF(A133="","",IF(U133="","",IFERROR(INT(U133-TODAY()),"")))</f>
      </c>
      <c r="AC133" s="3056">
        <f>IF(A133="","",IF(AND(T133="",U133=""),"",IF(T133="","SEM CAMINHO",IF(U133="","SEM DATA",IFERROR(IF(AB133&lt;15,"VERMELHO",IF(AB133&lt;=30,"AMARELO","VERDE")),"DATA INVALIDA")))))</f>
      </c>
      <c r="AD133" s="3056">
        <f>IF(OR(A133="",U133="",NOT(ISNUMBER(AB133))),"",RANK(AB133,$AB$3:$AB$164,1)+COUNTIFS($AB$3:AB133,AB133)-1)</f>
      </c>
      <c r="AE133" s="1736"/>
    </row>
    <row r="134" spans="1:19" ht="22.0" hidden="false" customHeight="true" x14ac:dyDescent="0.25">
      <c r="A134" s="3104" t="s">
        <v>324</v>
      </c>
      <c r="B134" s="3103" t="s">
        <v>75</v>
      </c>
      <c r="C134" s="3103"/>
      <c r="D134" s="3103"/>
      <c r="E134" s="3103"/>
      <c r="F134" s="3103"/>
      <c r="G134" s="3103"/>
      <c r="H134" s="3103"/>
      <c r="I134" s="3103"/>
      <c r="J134" s="3103"/>
      <c r="K134" s="3103"/>
      <c r="L134" s="3103"/>
      <c r="M134" s="3103" t="s">
        <v>371</v>
      </c>
      <c r="N134" s="3103"/>
      <c r="O134" s="3103" t="s">
        <v>371</v>
      </c>
      <c r="P134" s="3103"/>
      <c r="Q134" s="3106"/>
      <c r="R134" s="3106"/>
      <c r="S134" s="3106"/>
      <c r="T134" s="3106"/>
      <c r="U134" s="3107"/>
      <c r="V134" s="3103"/>
      <c r="W134" s="3103"/>
      <c r="X134" s="3056">
        <f>IF(A134="","",IF(LEN(SUBSTITUTE(SUBSTITUTE(SUBSTITUTE(SUBSTITUTE(D134,".",""),"/",""),"-","")," ",""))&lt;&gt;14,"CNPJ INVALIDO","OK"))</f>
      </c>
      <c r="Y134" s="3056">
        <f>IF(A134="","",IF(R134="","REST PENDENTE","REST OK"))</f>
      </c>
      <c r="Z134" s="3056">
        <f>IF(A134="","",IF(AND(R134&lt;&gt;"",COUNTIFS($D$3:$D$164,D134,$R$3:$R$164,"&lt;&gt;")&gt;1),"DUPLICADO","OK"))</f>
      </c>
      <c r="AA134" s="3056">
        <f>IF(A134="","",IF(OR(LEN(Q134)&gt;180,LEN(R134)&gt;180,LEN(S134)&gt;180,LEN(T134)&gt;180),"CAMINHO LONGO","OK"))</f>
      </c>
      <c r="AB134" s="3056">
        <f>IF(A134="","",IF(U134="","",IFERROR(INT(U134-TODAY()),"")))</f>
      </c>
      <c r="AC134" s="3056">
        <f>IF(A134="","",IF(AND(T134="",U134=""),"",IF(T134="","SEM CAMINHO",IF(U134="","SEM DATA",IFERROR(IF(AB134&lt;15,"VERMELHO",IF(AB134&lt;=30,"AMARELO","VERDE")),"DATA INVALIDA")))))</f>
      </c>
      <c r="AD134" s="3056">
        <f>IF(OR(A134="",U134="",NOT(ISNUMBER(AB134))),"",RANK(AB134,$AB$3:$AB$164,1)+COUNTIFS($AB$3:AB134,AB134)-1)</f>
      </c>
      <c r="AE134" s="1736"/>
    </row>
    <row r="135" ht="22.0" customHeight="true" hidden="false">
      <c r="A135" s="3099"/>
      <c r="B135" s="3098"/>
      <c r="C135" s="3098"/>
      <c r="D135" s="3098"/>
      <c r="E135" s="3098"/>
      <c r="F135" s="3098"/>
      <c r="G135" s="3098"/>
      <c r="H135" s="3098"/>
      <c r="I135" s="3098"/>
      <c r="J135" s="3098"/>
      <c r="K135" s="3098"/>
      <c r="L135" s="3098"/>
      <c r="M135" s="3098"/>
      <c r="N135" s="3098"/>
      <c r="O135" s="3098"/>
      <c r="P135" s="3098"/>
      <c r="Q135" s="3101"/>
      <c r="R135" s="3101"/>
      <c r="S135" s="3101"/>
      <c r="T135" s="3101"/>
      <c r="U135" s="3102"/>
      <c r="V135" s="3098"/>
      <c r="W135" s="3098"/>
      <c r="X135" s="3056">
        <f>IF(A135="","",IF(LEN(SUBSTITUTE(SUBSTITUTE(SUBSTITUTE(SUBSTITUTE(D135,".",""),"/",""),"-","")," ",""))&lt;&gt;14,"CNPJ INVALIDO","OK"))</f>
      </c>
      <c r="Y135" s="3056">
        <f>IF(A135="","",IF(R135="","REST PENDENTE","REST OK"))</f>
      </c>
      <c r="Z135" s="3056">
        <f>IF(A135="","",IF(AND(R135&lt;&gt;"",COUNTIFS($D$3:$D$164,D135,$R$3:$R$164,"&lt;&gt;")&gt;1),"DUPLICADO","OK"))</f>
      </c>
      <c r="AA135" s="3056">
        <f>IF(A135="","",IF(OR(LEN(Q135)&gt;180,LEN(R135)&gt;180,LEN(S135)&gt;180,LEN(T135)&gt;180),"CAMINHO LONGO","OK"))</f>
      </c>
      <c r="AB135" s="3056">
        <f>IF(A135="","",IF(U135="","",IFERROR(INT(U135-TODAY()),"")))</f>
      </c>
      <c r="AC135" s="3056">
        <f>IF(A135="","",IF(AND(T135="",U135=""),"",IF(T135="","SEM CAMINHO",IF(U135="","SEM DATA",IFERROR(IF(AB135&lt;15,"VERMELHO",IF(AB135&lt;=30,"AMARELO","VERDE")),"DATA INVALIDA")))))</f>
      </c>
      <c r="AD135" s="3056">
        <f>IF(OR(A135="",U135="",NOT(ISNUMBER(AB135))),"",RANK(AB135,$AB$3:$AB$164,1)+COUNTIFS($AB$3:AB135,AB135)-1)</f>
      </c>
      <c r="AE135" s="1736"/>
    </row>
    <row r="136" ht="22.0" customHeight="true" hidden="false">
      <c r="A136" s="3104"/>
      <c r="B136" s="3103"/>
      <c r="C136" s="3103"/>
      <c r="D136" s="3103"/>
      <c r="E136" s="3103"/>
      <c r="F136" s="3103"/>
      <c r="G136" s="3103"/>
      <c r="H136" s="3103"/>
      <c r="I136" s="3103"/>
      <c r="J136" s="3103"/>
      <c r="K136" s="3103"/>
      <c r="L136" s="3103"/>
      <c r="M136" s="3103"/>
      <c r="N136" s="3103"/>
      <c r="O136" s="3103"/>
      <c r="P136" s="3103"/>
      <c r="Q136" s="3106"/>
      <c r="R136" s="3106"/>
      <c r="S136" s="3106"/>
      <c r="T136" s="3106"/>
      <c r="U136" s="3107"/>
      <c r="V136" s="3103"/>
      <c r="W136" s="3103"/>
      <c r="X136" s="3056">
        <f>IF(A136="","",IF(LEN(SUBSTITUTE(SUBSTITUTE(SUBSTITUTE(SUBSTITUTE(D136,".",""),"/",""),"-","")," ",""))&lt;&gt;14,"CNPJ INVALIDO","OK"))</f>
      </c>
      <c r="Y136" s="3056">
        <f>IF(A136="","",IF(R136="","REST PENDENTE","REST OK"))</f>
      </c>
      <c r="Z136" s="3056">
        <f>IF(A136="","",IF(AND(R136&lt;&gt;"",COUNTIFS($D$3:$D$164,D136,$R$3:$R$164,"&lt;&gt;")&gt;1),"DUPLICADO","OK"))</f>
      </c>
      <c r="AA136" s="3056">
        <f>IF(A136="","",IF(OR(LEN(Q136)&gt;180,LEN(R136)&gt;180,LEN(S136)&gt;180,LEN(T136)&gt;180),"CAMINHO LONGO","OK"))</f>
      </c>
      <c r="AB136" s="3056">
        <f>IF(A136="","",IF(U136="","",IFERROR(INT(U136-TODAY()),"")))</f>
      </c>
      <c r="AC136" s="3056">
        <f>IF(A136="","",IF(AND(T136="",U136=""),"",IF(T136="","SEM CAMINHO",IF(U136="","SEM DATA",IFERROR(IF(AB136&lt;15,"VERMELHO",IF(AB136&lt;=30,"AMARELO","VERDE")),"DATA INVALIDA")))))</f>
      </c>
      <c r="AD136" s="3056">
        <f>IF(OR(A136="",U136="",NOT(ISNUMBER(AB136))),"",RANK(AB136,$AB$3:$AB$164,1)+COUNTIFS($AB$3:AB136,AB136)-1)</f>
      </c>
      <c r="AE136" s="1736"/>
    </row>
    <row r="137" ht="22.0" customHeight="true" hidden="false">
      <c r="A137" s="3099"/>
      <c r="B137" s="3098"/>
      <c r="C137" s="3098"/>
      <c r="D137" s="3098"/>
      <c r="E137" s="3098"/>
      <c r="F137" s="3098"/>
      <c r="G137" s="3098"/>
      <c r="H137" s="3098"/>
      <c r="I137" s="3098"/>
      <c r="J137" s="3098"/>
      <c r="K137" s="3098"/>
      <c r="L137" s="3098"/>
      <c r="M137" s="3098"/>
      <c r="N137" s="3098"/>
      <c r="O137" s="3098"/>
      <c r="P137" s="3098"/>
      <c r="Q137" s="3101"/>
      <c r="R137" s="3101"/>
      <c r="S137" s="3101"/>
      <c r="T137" s="3101"/>
      <c r="U137" s="3102"/>
      <c r="V137" s="3098"/>
      <c r="W137" s="3098"/>
      <c r="X137" s="3056">
        <f>IF(A137="","",IF(LEN(SUBSTITUTE(SUBSTITUTE(SUBSTITUTE(SUBSTITUTE(D137,".",""),"/",""),"-","")," ",""))&lt;&gt;14,"CNPJ INVALIDO","OK"))</f>
      </c>
      <c r="Y137" s="3056">
        <f>IF(A137="","",IF(R137="","REST PENDENTE","REST OK"))</f>
      </c>
      <c r="Z137" s="3056">
        <f>IF(A137="","",IF(AND(R137&lt;&gt;"",COUNTIFS($D$3:$D$164,D137,$R$3:$R$164,"&lt;&gt;")&gt;1),"DUPLICADO","OK"))</f>
      </c>
      <c r="AA137" s="3056">
        <f>IF(A137="","",IF(OR(LEN(Q137)&gt;180,LEN(R137)&gt;180,LEN(S137)&gt;180,LEN(T137)&gt;180),"CAMINHO LONGO","OK"))</f>
      </c>
      <c r="AB137" s="3056">
        <f>IF(A137="","",IF(U137="","",IFERROR(INT(U137-TODAY()),"")))</f>
      </c>
      <c r="AC137" s="3056">
        <f>IF(A137="","",IF(AND(T137="",U137=""),"",IF(T137="","SEM CAMINHO",IF(U137="","SEM DATA",IFERROR(IF(AB137&lt;15,"VERMELHO",IF(AB137&lt;=30,"AMARELO","VERDE")),"DATA INVALIDA")))))</f>
      </c>
      <c r="AD137" s="3056">
        <f>IF(OR(A137="",U137="",NOT(ISNUMBER(AB137))),"",RANK(AB137,$AB$3:$AB$164,1)+COUNTIFS($AB$3:AB137,AB137)-1)</f>
      </c>
      <c r="AE137" s="1736"/>
    </row>
    <row r="138" ht="22.0" customHeight="true" hidden="false">
      <c r="A138" s="3104"/>
      <c r="B138" s="3103"/>
      <c r="C138" s="3103"/>
      <c r="D138" s="3103"/>
      <c r="E138" s="3103"/>
      <c r="F138" s="3103"/>
      <c r="G138" s="3103"/>
      <c r="H138" s="3103"/>
      <c r="I138" s="3103"/>
      <c r="J138" s="3103"/>
      <c r="K138" s="3103"/>
      <c r="L138" s="3103"/>
      <c r="M138" s="3103"/>
      <c r="N138" s="3103"/>
      <c r="O138" s="3103"/>
      <c r="P138" s="3103"/>
      <c r="Q138" s="3106"/>
      <c r="R138" s="3106"/>
      <c r="S138" s="3106"/>
      <c r="T138" s="3106"/>
      <c r="U138" s="3107"/>
      <c r="V138" s="3103"/>
      <c r="W138" s="3103"/>
      <c r="X138" s="3056">
        <f>IF(A138="","",IF(LEN(SUBSTITUTE(SUBSTITUTE(SUBSTITUTE(SUBSTITUTE(D138,".",""),"/",""),"-","")," ",""))&lt;&gt;14,"CNPJ INVALIDO","OK"))</f>
      </c>
      <c r="Y138" s="3056">
        <f>IF(A138="","",IF(R138="","REST PENDENTE","REST OK"))</f>
      </c>
      <c r="Z138" s="3056">
        <f>IF(A138="","",IF(AND(R138&lt;&gt;"",COUNTIFS($D$3:$D$164,D138,$R$3:$R$164,"&lt;&gt;")&gt;1),"DUPLICADO","OK"))</f>
      </c>
      <c r="AA138" s="3056">
        <f>IF(A138="","",IF(OR(LEN(Q138)&gt;180,LEN(R138)&gt;180,LEN(S138)&gt;180,LEN(T138)&gt;180),"CAMINHO LONGO","OK"))</f>
      </c>
      <c r="AB138" s="3056">
        <f>IF(A138="","",IF(U138="","",IFERROR(INT(U138-TODAY()),"")))</f>
      </c>
      <c r="AC138" s="3056">
        <f>IF(A138="","",IF(AND(T138="",U138=""),"",IF(T138="","SEM CAMINHO",IF(U138="","SEM DATA",IFERROR(IF(AB138&lt;15,"VERMELHO",IF(AB138&lt;=30,"AMARELO","VERDE")),"DATA INVALIDA")))))</f>
      </c>
      <c r="AD138" s="3056">
        <f>IF(OR(A138="",U138="",NOT(ISNUMBER(AB138))),"",RANK(AB138,$AB$3:$AB$164,1)+COUNTIFS($AB$3:AB138,AB138)-1)</f>
      </c>
      <c r="AE138" s="1736"/>
    </row>
    <row r="139" ht="22.0" customHeight="true" hidden="false">
      <c r="A139" s="3099"/>
      <c r="B139" s="3098"/>
      <c r="C139" s="3098"/>
      <c r="D139" s="3098"/>
      <c r="E139" s="3098"/>
      <c r="F139" s="3098"/>
      <c r="G139" s="3098"/>
      <c r="H139" s="3098"/>
      <c r="I139" s="3098"/>
      <c r="J139" s="3098"/>
      <c r="K139" s="3098"/>
      <c r="L139" s="3098"/>
      <c r="M139" s="3098"/>
      <c r="N139" s="3098"/>
      <c r="O139" s="3098"/>
      <c r="P139" s="3098"/>
      <c r="Q139" s="3101"/>
      <c r="R139" s="3101"/>
      <c r="S139" s="3101"/>
      <c r="T139" s="3101"/>
      <c r="U139" s="3102"/>
      <c r="V139" s="3098"/>
      <c r="W139" s="3098"/>
      <c r="X139" s="3056">
        <f>IF(A139="","",IF(LEN(SUBSTITUTE(SUBSTITUTE(SUBSTITUTE(SUBSTITUTE(D139,".",""),"/",""),"-","")," ",""))&lt;&gt;14,"CNPJ INVALIDO","OK"))</f>
      </c>
      <c r="Y139" s="3056">
        <f>IF(A139="","",IF(R139="","REST PENDENTE","REST OK"))</f>
      </c>
      <c r="Z139" s="3056">
        <f>IF(A139="","",IF(AND(R139&lt;&gt;"",COUNTIFS($D$3:$D$164,D139,$R$3:$R$164,"&lt;&gt;")&gt;1),"DUPLICADO","OK"))</f>
      </c>
      <c r="AA139" s="3056">
        <f>IF(A139="","",IF(OR(LEN(Q139)&gt;180,LEN(R139)&gt;180,LEN(S139)&gt;180,LEN(T139)&gt;180),"CAMINHO LONGO","OK"))</f>
      </c>
      <c r="AB139" s="3056">
        <f>IF(A139="","",IF(U139="","",IFERROR(INT(U139-TODAY()),"")))</f>
      </c>
      <c r="AC139" s="3056">
        <f>IF(A139="","",IF(AND(T139="",U139=""),"",IF(T139="","SEM CAMINHO",IF(U139="","SEM DATA",IFERROR(IF(AB139&lt;15,"VERMELHO",IF(AB139&lt;=30,"AMARELO","VERDE")),"DATA INVALIDA")))))</f>
      </c>
      <c r="AD139" s="3056">
        <f>IF(OR(A139="",U139="",NOT(ISNUMBER(AB139))),"",RANK(AB139,$AB$3:$AB$164,1)+COUNTIFS($AB$3:AB139,AB139)-1)</f>
      </c>
      <c r="AE139" s="1736"/>
    </row>
    <row r="140" ht="22.0" customHeight="true" hidden="false">
      <c r="A140" s="3104"/>
      <c r="B140" s="3103"/>
      <c r="C140" s="3103"/>
      <c r="D140" s="3103"/>
      <c r="E140" s="3103"/>
      <c r="F140" s="3103"/>
      <c r="G140" s="3103"/>
      <c r="H140" s="3103"/>
      <c r="I140" s="3103"/>
      <c r="J140" s="3103"/>
      <c r="K140" s="3103"/>
      <c r="L140" s="3103"/>
      <c r="M140" s="3103"/>
      <c r="N140" s="3103"/>
      <c r="O140" s="3103"/>
      <c r="P140" s="3103"/>
      <c r="Q140" s="3106"/>
      <c r="R140" s="3106"/>
      <c r="S140" s="3106"/>
      <c r="T140" s="3106"/>
      <c r="U140" s="3107"/>
      <c r="V140" s="3103"/>
      <c r="W140" s="3103"/>
      <c r="X140" s="3056">
        <f>IF(A140="","",IF(LEN(SUBSTITUTE(SUBSTITUTE(SUBSTITUTE(SUBSTITUTE(D140,".",""),"/",""),"-","")," ",""))&lt;&gt;14,"CNPJ INVALIDO","OK"))</f>
      </c>
      <c r="Y140" s="3056">
        <f>IF(A140="","",IF(R140="","REST PENDENTE","REST OK"))</f>
      </c>
      <c r="Z140" s="3056">
        <f>IF(A140="","",IF(AND(R140&lt;&gt;"",COUNTIFS($D$3:$D$164,D140,$R$3:$R$164,"&lt;&gt;")&gt;1),"DUPLICADO","OK"))</f>
      </c>
      <c r="AA140" s="3056">
        <f>IF(A140="","",IF(OR(LEN(Q140)&gt;180,LEN(R140)&gt;180,LEN(S140)&gt;180,LEN(T140)&gt;180),"CAMINHO LONGO","OK"))</f>
      </c>
      <c r="AB140" s="3056">
        <f>IF(A140="","",IF(U140="","",IFERROR(INT(U140-TODAY()),"")))</f>
      </c>
      <c r="AC140" s="3056">
        <f>IF(A140="","",IF(AND(T140="",U140=""),"",IF(T140="","SEM CAMINHO",IF(U140="","SEM DATA",IFERROR(IF(AB140&lt;15,"VERMELHO",IF(AB140&lt;=30,"AMARELO","VERDE")),"DATA INVALIDA")))))</f>
      </c>
      <c r="AD140" s="3056">
        <f>IF(OR(A140="",U140="",NOT(ISNUMBER(AB140))),"",RANK(AB140,$AB$3:$AB$164,1)+COUNTIFS($AB$3:AB140,AB140)-1)</f>
      </c>
      <c r="AE140" s="1736"/>
    </row>
    <row r="141" ht="22.0" customHeight="true" hidden="false">
      <c r="A141" s="3099"/>
      <c r="B141" s="3098"/>
      <c r="C141" s="3098"/>
      <c r="D141" s="3098"/>
      <c r="E141" s="3098"/>
      <c r="F141" s="3098"/>
      <c r="G141" s="3098"/>
      <c r="H141" s="3098"/>
      <c r="I141" s="3098"/>
      <c r="J141" s="3098"/>
      <c r="K141" s="3098"/>
      <c r="L141" s="3098"/>
      <c r="M141" s="3098"/>
      <c r="N141" s="3098"/>
      <c r="O141" s="3098"/>
      <c r="P141" s="3098"/>
      <c r="Q141" s="3101"/>
      <c r="R141" s="3101"/>
      <c r="S141" s="3101"/>
      <c r="T141" s="3101"/>
      <c r="U141" s="3102"/>
      <c r="V141" s="3098"/>
      <c r="W141" s="3098"/>
      <c r="X141" s="3056">
        <f>IF(A141="","",IF(LEN(SUBSTITUTE(SUBSTITUTE(SUBSTITUTE(SUBSTITUTE(D141,".",""),"/",""),"-","")," ",""))&lt;&gt;14,"CNPJ INVALIDO","OK"))</f>
      </c>
      <c r="Y141" s="3056">
        <f>IF(A141="","",IF(R141="","REST PENDENTE","REST OK"))</f>
      </c>
      <c r="Z141" s="3056">
        <f>IF(A141="","",IF(AND(R141&lt;&gt;"",COUNTIFS($D$3:$D$164,D141,$R$3:$R$164,"&lt;&gt;")&gt;1),"DUPLICADO","OK"))</f>
      </c>
      <c r="AA141" s="3056">
        <f>IF(A141="","",IF(OR(LEN(Q141)&gt;180,LEN(R141)&gt;180,LEN(S141)&gt;180,LEN(T141)&gt;180),"CAMINHO LONGO","OK"))</f>
      </c>
      <c r="AB141" s="3056">
        <f>IF(A141="","",IF(U141="","",IFERROR(INT(U141-TODAY()),"")))</f>
      </c>
      <c r="AC141" s="3056">
        <f>IF(A141="","",IF(AND(T141="",U141=""),"",IF(T141="","SEM CAMINHO",IF(U141="","SEM DATA",IFERROR(IF(AB141&lt;15,"VERMELHO",IF(AB141&lt;=30,"AMARELO","VERDE")),"DATA INVALIDA")))))</f>
      </c>
      <c r="AD141" s="3056">
        <f>IF(OR(A141="",U141="",NOT(ISNUMBER(AB141))),"",RANK(AB141,$AB$3:$AB$164,1)+COUNTIFS($AB$3:AB141,AB141)-1)</f>
      </c>
      <c r="AE141" s="1736"/>
    </row>
    <row r="142" ht="22.0" customHeight="true" hidden="false">
      <c r="A142" s="3104"/>
      <c r="B142" s="3103"/>
      <c r="C142" s="3103"/>
      <c r="D142" s="3103"/>
      <c r="E142" s="3103"/>
      <c r="F142" s="3103"/>
      <c r="G142" s="3103"/>
      <c r="H142" s="3103"/>
      <c r="I142" s="3103"/>
      <c r="J142" s="3103"/>
      <c r="K142" s="3103"/>
      <c r="L142" s="3103"/>
      <c r="M142" s="3103"/>
      <c r="N142" s="3103"/>
      <c r="O142" s="3103"/>
      <c r="P142" s="3103"/>
      <c r="Q142" s="3106"/>
      <c r="R142" s="3106"/>
      <c r="S142" s="3106"/>
      <c r="T142" s="3106"/>
      <c r="U142" s="3107"/>
      <c r="V142" s="3103"/>
      <c r="W142" s="3103"/>
      <c r="X142" s="3056">
        <f>IF(A142="","",IF(LEN(SUBSTITUTE(SUBSTITUTE(SUBSTITUTE(SUBSTITUTE(D142,".",""),"/",""),"-","")," ",""))&lt;&gt;14,"CNPJ INVALIDO","OK"))</f>
      </c>
      <c r="Y142" s="3056">
        <f>IF(A142="","",IF(R142="","REST PENDENTE","REST OK"))</f>
      </c>
      <c r="Z142" s="3056">
        <f>IF(A142="","",IF(AND(R142&lt;&gt;"",COUNTIFS($D$3:$D$164,D142,$R$3:$R$164,"&lt;&gt;")&gt;1),"DUPLICADO","OK"))</f>
      </c>
      <c r="AA142" s="3056">
        <f>IF(A142="","",IF(OR(LEN(Q142)&gt;180,LEN(R142)&gt;180,LEN(S142)&gt;180,LEN(T142)&gt;180),"CAMINHO LONGO","OK"))</f>
      </c>
      <c r="AB142" s="3056">
        <f>IF(A142="","",IF(U142="","",IFERROR(INT(U142-TODAY()),"")))</f>
      </c>
      <c r="AC142" s="3056">
        <f>IF(A142="","",IF(AND(T142="",U142=""),"",IF(T142="","SEM CAMINHO",IF(U142="","SEM DATA",IFERROR(IF(AB142&lt;15,"VERMELHO",IF(AB142&lt;=30,"AMARELO","VERDE")),"DATA INVALIDA")))))</f>
      </c>
      <c r="AD142" s="3056">
        <f>IF(OR(A142="",U142="",NOT(ISNUMBER(AB142))),"",RANK(AB142,$AB$3:$AB$164,1)+COUNTIFS($AB$3:AB142,AB142)-1)</f>
      </c>
      <c r="AE142" s="1736"/>
    </row>
    <row r="143" ht="22.0" customHeight="true" hidden="false">
      <c r="A143" s="3099"/>
      <c r="B143" s="3098"/>
      <c r="C143" s="3098"/>
      <c r="D143" s="3098"/>
      <c r="E143" s="3098"/>
      <c r="F143" s="3098"/>
      <c r="G143" s="3098"/>
      <c r="H143" s="3098"/>
      <c r="I143" s="3098"/>
      <c r="J143" s="3098"/>
      <c r="K143" s="3098"/>
      <c r="L143" s="3098"/>
      <c r="M143" s="3098"/>
      <c r="N143" s="3098"/>
      <c r="O143" s="3098"/>
      <c r="P143" s="3098"/>
      <c r="Q143" s="3101"/>
      <c r="R143" s="3101"/>
      <c r="S143" s="3101"/>
      <c r="T143" s="3101"/>
      <c r="U143" s="3102"/>
      <c r="V143" s="3098"/>
      <c r="W143" s="3098"/>
      <c r="X143" s="3056">
        <f>IF(A143="","",IF(LEN(SUBSTITUTE(SUBSTITUTE(SUBSTITUTE(SUBSTITUTE(D143,".",""),"/",""),"-","")," ",""))&lt;&gt;14,"CNPJ INVALIDO","OK"))</f>
      </c>
      <c r="Y143" s="3056">
        <f>IF(A143="","",IF(R143="","REST PENDENTE","REST OK"))</f>
      </c>
      <c r="Z143" s="3056">
        <f>IF(A143="","",IF(AND(R143&lt;&gt;"",COUNTIFS($D$3:$D$164,D143,$R$3:$R$164,"&lt;&gt;")&gt;1),"DUPLICADO","OK"))</f>
      </c>
      <c r="AA143" s="3056">
        <f>IF(A143="","",IF(OR(LEN(Q143)&gt;180,LEN(R143)&gt;180,LEN(S143)&gt;180,LEN(T143)&gt;180),"CAMINHO LONGO","OK"))</f>
      </c>
      <c r="AB143" s="3056">
        <f>IF(A143="","",IF(U143="","",IFERROR(INT(U143-TODAY()),"")))</f>
      </c>
      <c r="AC143" s="3056">
        <f>IF(A143="","",IF(AND(T143="",U143=""),"",IF(T143="","SEM CAMINHO",IF(U143="","SEM DATA",IFERROR(IF(AB143&lt;15,"VERMELHO",IF(AB143&lt;=30,"AMARELO","VERDE")),"DATA INVALIDA")))))</f>
      </c>
      <c r="AD143" s="3056">
        <f>IF(OR(A143="",U143="",NOT(ISNUMBER(AB143))),"",RANK(AB143,$AB$3:$AB$164,1)+COUNTIFS($AB$3:AB143,AB143)-1)</f>
      </c>
      <c r="AE143" s="1736"/>
    </row>
    <row r="144" ht="22.0" customHeight="true" hidden="false">
      <c r="A144" s="3104"/>
      <c r="B144" s="3103"/>
      <c r="C144" s="3103"/>
      <c r="D144" s="3103"/>
      <c r="E144" s="3103"/>
      <c r="F144" s="3103"/>
      <c r="G144" s="3103"/>
      <c r="H144" s="3103"/>
      <c r="I144" s="3103"/>
      <c r="J144" s="3103"/>
      <c r="K144" s="3103"/>
      <c r="L144" s="3103"/>
      <c r="M144" s="3103"/>
      <c r="N144" s="3103"/>
      <c r="O144" s="3103"/>
      <c r="P144" s="3103"/>
      <c r="Q144" s="3106"/>
      <c r="R144" s="3106"/>
      <c r="S144" s="3106"/>
      <c r="T144" s="3106"/>
      <c r="U144" s="3107"/>
      <c r="V144" s="3103"/>
      <c r="W144" s="3103"/>
      <c r="X144" s="3056">
        <f>IF(A144="","",IF(LEN(SUBSTITUTE(SUBSTITUTE(SUBSTITUTE(SUBSTITUTE(D144,".",""),"/",""),"-","")," ",""))&lt;&gt;14,"CNPJ INVALIDO","OK"))</f>
      </c>
      <c r="Y144" s="3056">
        <f>IF(A144="","",IF(R144="","REST PENDENTE","REST OK"))</f>
      </c>
      <c r="Z144" s="3056">
        <f>IF(A144="","",IF(AND(R144&lt;&gt;"",COUNTIFS($D$3:$D$164,D144,$R$3:$R$164,"&lt;&gt;")&gt;1),"DUPLICADO","OK"))</f>
      </c>
      <c r="AA144" s="3056">
        <f>IF(A144="","",IF(OR(LEN(Q144)&gt;180,LEN(R144)&gt;180,LEN(S144)&gt;180,LEN(T144)&gt;180),"CAMINHO LONGO","OK"))</f>
      </c>
      <c r="AB144" s="3056">
        <f>IF(A144="","",IF(U144="","",IFERROR(INT(U144-TODAY()),"")))</f>
      </c>
      <c r="AC144" s="3056">
        <f>IF(A144="","",IF(AND(T144="",U144=""),"",IF(T144="","SEM CAMINHO",IF(U144="","SEM DATA",IFERROR(IF(AB144&lt;15,"VERMELHO",IF(AB144&lt;=30,"AMARELO","VERDE")),"DATA INVALIDA")))))</f>
      </c>
      <c r="AD144" s="3056">
        <f>IF(OR(A144="",U144="",NOT(ISNUMBER(AB144))),"",RANK(AB144,$AB$3:$AB$164,1)+COUNTIFS($AB$3:AB144,AB144)-1)</f>
      </c>
      <c r="AE144" s="1736"/>
    </row>
    <row r="145" ht="22.0" customHeight="true" hidden="false">
      <c r="A145" s="3099"/>
      <c r="B145" s="3098"/>
      <c r="C145" s="3098"/>
      <c r="D145" s="3098"/>
      <c r="E145" s="3098"/>
      <c r="F145" s="3098"/>
      <c r="G145" s="3098"/>
      <c r="H145" s="3098"/>
      <c r="I145" s="3098"/>
      <c r="J145" s="3098"/>
      <c r="K145" s="3098"/>
      <c r="L145" s="3098"/>
      <c r="M145" s="3098"/>
      <c r="N145" s="3098"/>
      <c r="O145" s="3098"/>
      <c r="P145" s="3098"/>
      <c r="Q145" s="3101"/>
      <c r="R145" s="3101"/>
      <c r="S145" s="3101"/>
      <c r="T145" s="3101"/>
      <c r="U145" s="3102"/>
      <c r="V145" s="3098"/>
      <c r="W145" s="3098"/>
      <c r="X145" s="3056">
        <f>IF(A145="","",IF(LEN(SUBSTITUTE(SUBSTITUTE(SUBSTITUTE(SUBSTITUTE(D145,".",""),"/",""),"-","")," ",""))&lt;&gt;14,"CNPJ INVALIDO","OK"))</f>
      </c>
      <c r="Y145" s="3056">
        <f>IF(A145="","",IF(R145="","REST PENDENTE","REST OK"))</f>
      </c>
      <c r="Z145" s="3056">
        <f>IF(A145="","",IF(AND(R145&lt;&gt;"",COUNTIFS($D$3:$D$164,D145,$R$3:$R$164,"&lt;&gt;")&gt;1),"DUPLICADO","OK"))</f>
      </c>
      <c r="AA145" s="3056">
        <f>IF(A145="","",IF(OR(LEN(Q145)&gt;180,LEN(R145)&gt;180,LEN(S145)&gt;180,LEN(T145)&gt;180),"CAMINHO LONGO","OK"))</f>
      </c>
      <c r="AB145" s="3056">
        <f>IF(A145="","",IF(U145="","",IFERROR(INT(U145-TODAY()),"")))</f>
      </c>
      <c r="AC145" s="3056">
        <f>IF(A145="","",IF(AND(T145="",U145=""),"",IF(T145="","SEM CAMINHO",IF(U145="","SEM DATA",IFERROR(IF(AB145&lt;15,"VERMELHO",IF(AB145&lt;=30,"AMARELO","VERDE")),"DATA INVALIDA")))))</f>
      </c>
      <c r="AD145" s="3056">
        <f>IF(OR(A145="",U145="",NOT(ISNUMBER(AB145))),"",RANK(AB145,$AB$3:$AB$164,1)+COUNTIFS($AB$3:AB145,AB145)-1)</f>
      </c>
      <c r="AE145" s="1736"/>
    </row>
    <row r="146" ht="22.0" customHeight="true" hidden="false">
      <c r="A146" s="3104"/>
      <c r="B146" s="3103"/>
      <c r="C146" s="3103"/>
      <c r="D146" s="3103"/>
      <c r="E146" s="3103"/>
      <c r="F146" s="3103"/>
      <c r="G146" s="3103"/>
      <c r="H146" s="3103"/>
      <c r="I146" s="3103"/>
      <c r="J146" s="3103"/>
      <c r="K146" s="3103"/>
      <c r="L146" s="3103"/>
      <c r="M146" s="3103"/>
      <c r="N146" s="3103"/>
      <c r="O146" s="3103"/>
      <c r="P146" s="3103"/>
      <c r="Q146" s="3106"/>
      <c r="R146" s="3106"/>
      <c r="S146" s="3106"/>
      <c r="T146" s="3106"/>
      <c r="U146" s="3107"/>
      <c r="V146" s="3103"/>
      <c r="W146" s="3103"/>
      <c r="X146" s="3056">
        <f>IF(A146="","",IF(LEN(SUBSTITUTE(SUBSTITUTE(SUBSTITUTE(SUBSTITUTE(D146,".",""),"/",""),"-","")," ",""))&lt;&gt;14,"CNPJ INVALIDO","OK"))</f>
      </c>
      <c r="Y146" s="3056">
        <f>IF(A146="","",IF(R146="","REST PENDENTE","REST OK"))</f>
      </c>
      <c r="Z146" s="3056">
        <f>IF(A146="","",IF(AND(R146&lt;&gt;"",COUNTIFS($D$3:$D$164,D146,$R$3:$R$164,"&lt;&gt;")&gt;1),"DUPLICADO","OK"))</f>
      </c>
      <c r="AA146" s="3056">
        <f>IF(A146="","",IF(OR(LEN(Q146)&gt;180,LEN(R146)&gt;180,LEN(S146)&gt;180,LEN(T146)&gt;180),"CAMINHO LONGO","OK"))</f>
      </c>
      <c r="AB146" s="3056">
        <f>IF(A146="","",IF(U146="","",IFERROR(INT(U146-TODAY()),"")))</f>
      </c>
      <c r="AC146" s="3056">
        <f>IF(A146="","",IF(AND(T146="",U146=""),"",IF(T146="","SEM CAMINHO",IF(U146="","SEM DATA",IFERROR(IF(AB146&lt;15,"VERMELHO",IF(AB146&lt;=30,"AMARELO","VERDE")),"DATA INVALIDA")))))</f>
      </c>
      <c r="AD146" s="3056">
        <f>IF(OR(A146="",U146="",NOT(ISNUMBER(AB146))),"",RANK(AB146,$AB$3:$AB$164,1)+COUNTIFS($AB$3:AB146,AB146)-1)</f>
      </c>
      <c r="AE146" s="1736"/>
    </row>
    <row r="147" ht="22.0" customHeight="true" hidden="false">
      <c r="A147" s="3099"/>
      <c r="B147" s="3098"/>
      <c r="C147" s="3098"/>
      <c r="D147" s="3098"/>
      <c r="E147" s="3098"/>
      <c r="F147" s="3098"/>
      <c r="G147" s="3098"/>
      <c r="H147" s="3098"/>
      <c r="I147" s="3098"/>
      <c r="J147" s="3098"/>
      <c r="K147" s="3098"/>
      <c r="L147" s="3098"/>
      <c r="M147" s="3098"/>
      <c r="N147" s="3098"/>
      <c r="O147" s="3098"/>
      <c r="P147" s="3098"/>
      <c r="Q147" s="3101"/>
      <c r="R147" s="3101"/>
      <c r="S147" s="3101"/>
      <c r="T147" s="3101"/>
      <c r="U147" s="3102"/>
      <c r="V147" s="3098"/>
      <c r="W147" s="3098"/>
      <c r="X147" s="3056">
        <f>IF(A147="","",IF(LEN(SUBSTITUTE(SUBSTITUTE(SUBSTITUTE(SUBSTITUTE(D147,".",""),"/",""),"-","")," ",""))&lt;&gt;14,"CNPJ INVALIDO","OK"))</f>
      </c>
      <c r="Y147" s="3056">
        <f>IF(A147="","",IF(R147="","REST PENDENTE","REST OK"))</f>
      </c>
      <c r="Z147" s="3056">
        <f>IF(A147="","",IF(AND(R147&lt;&gt;"",COUNTIFS($D$3:$D$164,D147,$R$3:$R$164,"&lt;&gt;")&gt;1),"DUPLICADO","OK"))</f>
      </c>
      <c r="AA147" s="3056">
        <f>IF(A147="","",IF(OR(LEN(Q147)&gt;180,LEN(R147)&gt;180,LEN(S147)&gt;180,LEN(T147)&gt;180),"CAMINHO LONGO","OK"))</f>
      </c>
      <c r="AB147" s="3056">
        <f>IF(A147="","",IF(U147="","",IFERROR(INT(U147-TODAY()),"")))</f>
      </c>
      <c r="AC147" s="3056">
        <f>IF(A147="","",IF(AND(T147="",U147=""),"",IF(T147="","SEM CAMINHO",IF(U147="","SEM DATA",IFERROR(IF(AB147&lt;15,"VERMELHO",IF(AB147&lt;=30,"AMARELO","VERDE")),"DATA INVALIDA")))))</f>
      </c>
      <c r="AD147" s="3056">
        <f>IF(OR(A147="",U147="",NOT(ISNUMBER(AB147))),"",RANK(AB147,$AB$3:$AB$164,1)+COUNTIFS($AB$3:AB147,AB147)-1)</f>
      </c>
      <c r="AE147" s="1736"/>
    </row>
    <row r="148" ht="22.0" customHeight="true" hidden="false">
      <c r="A148" s="3104"/>
      <c r="B148" s="3103"/>
      <c r="C148" s="3103"/>
      <c r="D148" s="3103"/>
      <c r="E148" s="3103"/>
      <c r="F148" s="3103"/>
      <c r="G148" s="3103"/>
      <c r="H148" s="3103"/>
      <c r="I148" s="3103"/>
      <c r="J148" s="3103"/>
      <c r="K148" s="3103"/>
      <c r="L148" s="3103"/>
      <c r="M148" s="3103"/>
      <c r="N148" s="3103"/>
      <c r="O148" s="3103"/>
      <c r="P148" s="3103"/>
      <c r="Q148" s="3106"/>
      <c r="R148" s="3106"/>
      <c r="S148" s="3106"/>
      <c r="T148" s="3106"/>
      <c r="U148" s="3107"/>
      <c r="V148" s="3103"/>
      <c r="W148" s="3103"/>
      <c r="X148" s="3056">
        <f>IF(A148="","",IF(LEN(SUBSTITUTE(SUBSTITUTE(SUBSTITUTE(SUBSTITUTE(D148,".",""),"/",""),"-","")," ",""))&lt;&gt;14,"CNPJ INVALIDO","OK"))</f>
      </c>
      <c r="Y148" s="3056">
        <f>IF(A148="","",IF(R148="","REST PENDENTE","REST OK"))</f>
      </c>
      <c r="Z148" s="3056">
        <f>IF(A148="","",IF(AND(R148&lt;&gt;"",COUNTIFS($D$3:$D$164,D148,$R$3:$R$164,"&lt;&gt;")&gt;1),"DUPLICADO","OK"))</f>
      </c>
      <c r="AA148" s="3056">
        <f>IF(A148="","",IF(OR(LEN(Q148)&gt;180,LEN(R148)&gt;180,LEN(S148)&gt;180,LEN(T148)&gt;180),"CAMINHO LONGO","OK"))</f>
      </c>
      <c r="AB148" s="3056">
        <f>IF(A148="","",IF(U148="","",IFERROR(INT(U148-TODAY()),"")))</f>
      </c>
      <c r="AC148" s="3056">
        <f>IF(A148="","",IF(AND(T148="",U148=""),"",IF(T148="","SEM CAMINHO",IF(U148="","SEM DATA",IFERROR(IF(AB148&lt;15,"VERMELHO",IF(AB148&lt;=30,"AMARELO","VERDE")),"DATA INVALIDA")))))</f>
      </c>
      <c r="AD148" s="3056">
        <f>IF(OR(A148="",U148="",NOT(ISNUMBER(AB148))),"",RANK(AB148,$AB$3:$AB$164,1)+COUNTIFS($AB$3:AB148,AB148)-1)</f>
      </c>
      <c r="AE148" s="1736"/>
    </row>
    <row r="149" ht="22.0" customHeight="true" hidden="false">
      <c r="A149" s="3099"/>
      <c r="B149" s="3098"/>
      <c r="C149" s="3098"/>
      <c r="D149" s="3098"/>
      <c r="E149" s="3098"/>
      <c r="F149" s="3098"/>
      <c r="G149" s="3098"/>
      <c r="H149" s="3098"/>
      <c r="I149" s="3098"/>
      <c r="J149" s="3098"/>
      <c r="K149" s="3098"/>
      <c r="L149" s="3098"/>
      <c r="M149" s="3098"/>
      <c r="N149" s="3098"/>
      <c r="O149" s="3098"/>
      <c r="P149" s="3098"/>
      <c r="Q149" s="3101"/>
      <c r="R149" s="3101"/>
      <c r="S149" s="3101"/>
      <c r="T149" s="3101"/>
      <c r="U149" s="3102"/>
      <c r="V149" s="3098"/>
      <c r="W149" s="3098"/>
      <c r="X149" s="3056">
        <f>IF(A149="","",IF(LEN(SUBSTITUTE(SUBSTITUTE(SUBSTITUTE(SUBSTITUTE(D149,".",""),"/",""),"-","")," ",""))&lt;&gt;14,"CNPJ INVALIDO","OK"))</f>
      </c>
      <c r="Y149" s="3056">
        <f>IF(A149="","",IF(R149="","REST PENDENTE","REST OK"))</f>
      </c>
      <c r="Z149" s="3056">
        <f>IF(A149="","",IF(AND(R149&lt;&gt;"",COUNTIFS($D$3:$D$164,D149,$R$3:$R$164,"&lt;&gt;")&gt;1),"DUPLICADO","OK"))</f>
      </c>
      <c r="AA149" s="3056">
        <f>IF(A149="","",IF(OR(LEN(Q149)&gt;180,LEN(R149)&gt;180,LEN(S149)&gt;180,LEN(T149)&gt;180),"CAMINHO LONGO","OK"))</f>
      </c>
      <c r="AB149" s="3056">
        <f>IF(A149="","",IF(U149="","",IFERROR(INT(U149-TODAY()),"")))</f>
      </c>
      <c r="AC149" s="3056">
        <f>IF(A149="","",IF(AND(T149="",U149=""),"",IF(T149="","SEM CAMINHO",IF(U149="","SEM DATA",IFERROR(IF(AB149&lt;15,"VERMELHO",IF(AB149&lt;=30,"AMARELO","VERDE")),"DATA INVALIDA")))))</f>
      </c>
      <c r="AD149" s="3056">
        <f>IF(OR(A149="",U149="",NOT(ISNUMBER(AB149))),"",RANK(AB149,$AB$3:$AB$164,1)+COUNTIFS($AB$3:AB149,AB149)-1)</f>
      </c>
      <c r="AE149" s="1736"/>
    </row>
    <row r="150" ht="22.0" customHeight="true" hidden="false">
      <c r="A150" s="3104"/>
      <c r="B150" s="3103"/>
      <c r="C150" s="3103"/>
      <c r="D150" s="3103"/>
      <c r="E150" s="3103"/>
      <c r="F150" s="3103"/>
      <c r="G150" s="3103"/>
      <c r="H150" s="3103"/>
      <c r="I150" s="3103"/>
      <c r="J150" s="3103"/>
      <c r="K150" s="3103"/>
      <c r="L150" s="3103"/>
      <c r="M150" s="3103"/>
      <c r="N150" s="3103"/>
      <c r="O150" s="3103"/>
      <c r="P150" s="3103"/>
      <c r="Q150" s="3106"/>
      <c r="R150" s="3106"/>
      <c r="S150" s="3106"/>
      <c r="T150" s="3106"/>
      <c r="U150" s="3107"/>
      <c r="V150" s="3103"/>
      <c r="W150" s="3103"/>
      <c r="X150" s="3056">
        <f>IF(A150="","",IF(LEN(SUBSTITUTE(SUBSTITUTE(SUBSTITUTE(SUBSTITUTE(D150,".",""),"/",""),"-","")," ",""))&lt;&gt;14,"CNPJ INVALIDO","OK"))</f>
      </c>
      <c r="Y150" s="3056">
        <f>IF(A150="","",IF(R150="","REST PENDENTE","REST OK"))</f>
      </c>
      <c r="Z150" s="3056">
        <f>IF(A150="","",IF(AND(R150&lt;&gt;"",COUNTIFS($D$3:$D$164,D150,$R$3:$R$164,"&lt;&gt;")&gt;1),"DUPLICADO","OK"))</f>
      </c>
      <c r="AA150" s="3056">
        <f>IF(A150="","",IF(OR(LEN(Q150)&gt;180,LEN(R150)&gt;180,LEN(S150)&gt;180,LEN(T150)&gt;180),"CAMINHO LONGO","OK"))</f>
      </c>
      <c r="AB150" s="3056">
        <f>IF(A150="","",IF(U150="","",IFERROR(INT(U150-TODAY()),"")))</f>
      </c>
      <c r="AC150" s="3056">
        <f>IF(A150="","",IF(AND(T150="",U150=""),"",IF(T150="","SEM CAMINHO",IF(U150="","SEM DATA",IFERROR(IF(AB150&lt;15,"VERMELHO",IF(AB150&lt;=30,"AMARELO","VERDE")),"DATA INVALIDA")))))</f>
      </c>
      <c r="AD150" s="3056">
        <f>IF(OR(A150="",U150="",NOT(ISNUMBER(AB150))),"",RANK(AB150,$AB$3:$AB$164,1)+COUNTIFS($AB$3:AB150,AB150)-1)</f>
      </c>
      <c r="AE150" s="1736"/>
    </row>
    <row r="151" ht="22.0" customHeight="true" hidden="false">
      <c r="A151" s="3099"/>
      <c r="B151" s="3098"/>
      <c r="C151" s="3098"/>
      <c r="D151" s="3098"/>
      <c r="E151" s="3098"/>
      <c r="F151" s="3098"/>
      <c r="G151" s="3098"/>
      <c r="H151" s="3098"/>
      <c r="I151" s="3098"/>
      <c r="J151" s="3098"/>
      <c r="K151" s="3098"/>
      <c r="L151" s="3098"/>
      <c r="M151" s="3098"/>
      <c r="N151" s="3098"/>
      <c r="O151" s="3098"/>
      <c r="P151" s="3098"/>
      <c r="Q151" s="3101"/>
      <c r="R151" s="3101"/>
      <c r="S151" s="3101"/>
      <c r="T151" s="3101"/>
      <c r="U151" s="3102"/>
      <c r="V151" s="3098"/>
      <c r="W151" s="3098"/>
      <c r="X151" s="3056">
        <f>IF(A151="","",IF(LEN(SUBSTITUTE(SUBSTITUTE(SUBSTITUTE(SUBSTITUTE(D151,".",""),"/",""),"-","")," ",""))&lt;&gt;14,"CNPJ INVALIDO","OK"))</f>
      </c>
      <c r="Y151" s="3056">
        <f>IF(A151="","",IF(R151="","REST PENDENTE","REST OK"))</f>
      </c>
      <c r="Z151" s="3056">
        <f>IF(A151="","",IF(AND(R151&lt;&gt;"",COUNTIFS($D$3:$D$164,D151,$R$3:$R$164,"&lt;&gt;")&gt;1),"DUPLICADO","OK"))</f>
      </c>
      <c r="AA151" s="3056">
        <f>IF(A151="","",IF(OR(LEN(Q151)&gt;180,LEN(R151)&gt;180,LEN(S151)&gt;180,LEN(T151)&gt;180),"CAMINHO LONGO","OK"))</f>
      </c>
      <c r="AB151" s="3056">
        <f>IF(A151="","",IF(U151="","",IFERROR(INT(U151-TODAY()),"")))</f>
      </c>
      <c r="AC151" s="3056">
        <f>IF(A151="","",IF(AND(T151="",U151=""),"",IF(T151="","SEM CAMINHO",IF(U151="","SEM DATA",IFERROR(IF(AB151&lt;15,"VERMELHO",IF(AB151&lt;=30,"AMARELO","VERDE")),"DATA INVALIDA")))))</f>
      </c>
      <c r="AD151" s="3056">
        <f>IF(OR(A151="",U151="",NOT(ISNUMBER(AB151))),"",RANK(AB151,$AB$3:$AB$164,1)+COUNTIFS($AB$3:AB151,AB151)-1)</f>
      </c>
      <c r="AE151" s="1736"/>
    </row>
    <row r="152" ht="22.0" customHeight="true" hidden="false">
      <c r="A152" s="3104"/>
      <c r="B152" s="3103"/>
      <c r="C152" s="3103"/>
      <c r="D152" s="3103"/>
      <c r="E152" s="3103"/>
      <c r="F152" s="3103"/>
      <c r="G152" s="3103"/>
      <c r="H152" s="3103"/>
      <c r="I152" s="3103"/>
      <c r="J152" s="3103"/>
      <c r="K152" s="3103"/>
      <c r="L152" s="3103"/>
      <c r="M152" s="3103"/>
      <c r="N152" s="3103"/>
      <c r="O152" s="3103"/>
      <c r="P152" s="3103"/>
      <c r="Q152" s="3106"/>
      <c r="R152" s="3106"/>
      <c r="S152" s="3106"/>
      <c r="T152" s="3106"/>
      <c r="U152" s="3107"/>
      <c r="V152" s="3103"/>
      <c r="W152" s="3103"/>
      <c r="X152" s="3056">
        <f>IF(A152="","",IF(LEN(SUBSTITUTE(SUBSTITUTE(SUBSTITUTE(SUBSTITUTE(D152,".",""),"/",""),"-","")," ",""))&lt;&gt;14,"CNPJ INVALIDO","OK"))</f>
      </c>
      <c r="Y152" s="3056">
        <f>IF(A152="","",IF(R152="","REST PENDENTE","REST OK"))</f>
      </c>
      <c r="Z152" s="3056">
        <f>IF(A152="","",IF(AND(R152&lt;&gt;"",COUNTIFS($D$3:$D$164,D152,$R$3:$R$164,"&lt;&gt;")&gt;1),"DUPLICADO","OK"))</f>
      </c>
      <c r="AA152" s="3056">
        <f>IF(A152="","",IF(OR(LEN(Q152)&gt;180,LEN(R152)&gt;180,LEN(S152)&gt;180,LEN(T152)&gt;180),"CAMINHO LONGO","OK"))</f>
      </c>
      <c r="AB152" s="3056">
        <f>IF(A152="","",IF(U152="","",IFERROR(INT(U152-TODAY()),"")))</f>
      </c>
      <c r="AC152" s="3056">
        <f>IF(A152="","",IF(AND(T152="",U152=""),"",IF(T152="","SEM CAMINHO",IF(U152="","SEM DATA",IFERROR(IF(AB152&lt;15,"VERMELHO",IF(AB152&lt;=30,"AMARELO","VERDE")),"DATA INVALIDA")))))</f>
      </c>
      <c r="AD152" s="3056">
        <f>IF(OR(A152="",U152="",NOT(ISNUMBER(AB152))),"",RANK(AB152,$AB$3:$AB$164,1)+COUNTIFS($AB$3:AB152,AB152)-1)</f>
      </c>
      <c r="AE152" s="1736"/>
    </row>
    <row r="153" ht="22.0" customHeight="true" hidden="false">
      <c r="A153" s="3099"/>
      <c r="B153" s="3098"/>
      <c r="C153" s="3098"/>
      <c r="D153" s="3098"/>
      <c r="E153" s="3098"/>
      <c r="F153" s="3098"/>
      <c r="G153" s="3098"/>
      <c r="H153" s="3098"/>
      <c r="I153" s="3098"/>
      <c r="J153" s="3098"/>
      <c r="K153" s="3098"/>
      <c r="L153" s="3098"/>
      <c r="M153" s="3098"/>
      <c r="N153" s="3098"/>
      <c r="O153" s="3098"/>
      <c r="P153" s="3098"/>
      <c r="Q153" s="3101"/>
      <c r="R153" s="3101"/>
      <c r="S153" s="3101"/>
      <c r="T153" s="3101"/>
      <c r="U153" s="3102"/>
      <c r="V153" s="3098"/>
      <c r="W153" s="3098"/>
      <c r="X153" s="3056">
        <f>IF(A153="","",IF(LEN(SUBSTITUTE(SUBSTITUTE(SUBSTITUTE(SUBSTITUTE(D153,".",""),"/",""),"-","")," ",""))&lt;&gt;14,"CNPJ INVALIDO","OK"))</f>
      </c>
      <c r="Y153" s="3056">
        <f>IF(A153="","",IF(R153="","REST PENDENTE","REST OK"))</f>
      </c>
      <c r="Z153" s="3056">
        <f>IF(A153="","",IF(AND(R153&lt;&gt;"",COUNTIFS($D$3:$D$164,D153,$R$3:$R$164,"&lt;&gt;")&gt;1),"DUPLICADO","OK"))</f>
      </c>
      <c r="AA153" s="3056">
        <f>IF(A153="","",IF(OR(LEN(Q153)&gt;180,LEN(R153)&gt;180,LEN(S153)&gt;180,LEN(T153)&gt;180),"CAMINHO LONGO","OK"))</f>
      </c>
      <c r="AB153" s="3056">
        <f>IF(A153="","",IF(U153="","",IFERROR(INT(U153-TODAY()),"")))</f>
      </c>
      <c r="AC153" s="3056">
        <f>IF(A153="","",IF(AND(T153="",U153=""),"",IF(T153="","SEM CAMINHO",IF(U153="","SEM DATA",IFERROR(IF(AB153&lt;15,"VERMELHO",IF(AB153&lt;=30,"AMARELO","VERDE")),"DATA INVALIDA")))))</f>
      </c>
      <c r="AD153" s="3056">
        <f>IF(OR(A153="",U153="",NOT(ISNUMBER(AB153))),"",RANK(AB153,$AB$3:$AB$164,1)+COUNTIFS($AB$3:AB153,AB153)-1)</f>
      </c>
      <c r="AE153" s="1736"/>
    </row>
    <row r="154" ht="22.0" customHeight="true" hidden="false">
      <c r="A154" s="3104"/>
      <c r="B154" s="3103"/>
      <c r="C154" s="3103"/>
      <c r="D154" s="3103"/>
      <c r="E154" s="3103"/>
      <c r="F154" s="3103"/>
      <c r="G154" s="3103"/>
      <c r="H154" s="3103"/>
      <c r="I154" s="3103"/>
      <c r="J154" s="3103"/>
      <c r="K154" s="3103"/>
      <c r="L154" s="3103"/>
      <c r="M154" s="3103"/>
      <c r="N154" s="3103"/>
      <c r="O154" s="3103"/>
      <c r="P154" s="3103"/>
      <c r="Q154" s="3106"/>
      <c r="R154" s="3106"/>
      <c r="S154" s="3106"/>
      <c r="T154" s="3106"/>
      <c r="U154" s="3107"/>
      <c r="V154" s="3103"/>
      <c r="W154" s="3103"/>
      <c r="X154" s="3056">
        <f>IF(A154="","",IF(LEN(SUBSTITUTE(SUBSTITUTE(SUBSTITUTE(SUBSTITUTE(D154,".",""),"/",""),"-","")," ",""))&lt;&gt;14,"CNPJ INVALIDO","OK"))</f>
      </c>
      <c r="Y154" s="3056">
        <f>IF(A154="","",IF(R154="","REST PENDENTE","REST OK"))</f>
      </c>
      <c r="Z154" s="3056">
        <f>IF(A154="","",IF(AND(R154&lt;&gt;"",COUNTIFS($D$3:$D$164,D154,$R$3:$R$164,"&lt;&gt;")&gt;1),"DUPLICADO","OK"))</f>
      </c>
      <c r="AA154" s="3056">
        <f>IF(A154="","",IF(OR(LEN(Q154)&gt;180,LEN(R154)&gt;180,LEN(S154)&gt;180,LEN(T154)&gt;180),"CAMINHO LONGO","OK"))</f>
      </c>
      <c r="AB154" s="3056">
        <f>IF(A154="","",IF(U154="","",IFERROR(INT(U154-TODAY()),"")))</f>
      </c>
      <c r="AC154" s="3056">
        <f>IF(A154="","",IF(AND(T154="",U154=""),"",IF(T154="","SEM CAMINHO",IF(U154="","SEM DATA",IFERROR(IF(AB154&lt;15,"VERMELHO",IF(AB154&lt;=30,"AMARELO","VERDE")),"DATA INVALIDA")))))</f>
      </c>
      <c r="AD154" s="3056">
        <f>IF(OR(A154="",U154="",NOT(ISNUMBER(AB154))),"",RANK(AB154,$AB$3:$AB$164,1)+COUNTIFS($AB$3:AB154,AB154)-1)</f>
      </c>
      <c r="AE154" s="1736"/>
    </row>
    <row r="155" ht="22.0" customHeight="true" hidden="false">
      <c r="A155" s="3099"/>
      <c r="B155" s="3098"/>
      <c r="C155" s="3098"/>
      <c r="D155" s="3098"/>
      <c r="E155" s="3098"/>
      <c r="F155" s="3098"/>
      <c r="G155" s="3098"/>
      <c r="H155" s="3098"/>
      <c r="I155" s="3098"/>
      <c r="J155" s="3098"/>
      <c r="K155" s="3098"/>
      <c r="L155" s="3098"/>
      <c r="M155" s="3098"/>
      <c r="N155" s="3098"/>
      <c r="O155" s="3098"/>
      <c r="P155" s="3098"/>
      <c r="Q155" s="3101"/>
      <c r="R155" s="3101"/>
      <c r="S155" s="3101"/>
      <c r="T155" s="3101"/>
      <c r="U155" s="3102"/>
      <c r="V155" s="3098"/>
      <c r="W155" s="3098"/>
      <c r="X155" s="3056">
        <f>IF(A155="","",IF(LEN(SUBSTITUTE(SUBSTITUTE(SUBSTITUTE(SUBSTITUTE(D155,".",""),"/",""),"-","")," ",""))&lt;&gt;14,"CNPJ INVALIDO","OK"))</f>
      </c>
      <c r="Y155" s="3056">
        <f>IF(A155="","",IF(R155="","REST PENDENTE","REST OK"))</f>
      </c>
      <c r="Z155" s="3056">
        <f>IF(A155="","",IF(AND(R155&lt;&gt;"",COUNTIFS($D$3:$D$164,D155,$R$3:$R$164,"&lt;&gt;")&gt;1),"DUPLICADO","OK"))</f>
      </c>
      <c r="AA155" s="3056">
        <f>IF(A155="","",IF(OR(LEN(Q155)&gt;180,LEN(R155)&gt;180,LEN(S155)&gt;180,LEN(T155)&gt;180),"CAMINHO LONGO","OK"))</f>
      </c>
      <c r="AB155" s="3056">
        <f>IF(A155="","",IF(U155="","",IFERROR(INT(U155-TODAY()),"")))</f>
      </c>
      <c r="AC155" s="3056">
        <f>IF(A155="","",IF(AND(T155="",U155=""),"",IF(T155="","SEM CAMINHO",IF(U155="","SEM DATA",IFERROR(IF(AB155&lt;15,"VERMELHO",IF(AB155&lt;=30,"AMARELO","VERDE")),"DATA INVALIDA")))))</f>
      </c>
      <c r="AD155" s="3056">
        <f>IF(OR(A155="",U155="",NOT(ISNUMBER(AB155))),"",RANK(AB155,$AB$3:$AB$164,1)+COUNTIFS($AB$3:AB155,AB155)-1)</f>
      </c>
      <c r="AE155" s="1736"/>
    </row>
    <row r="156" ht="22.0" customHeight="true" hidden="false">
      <c r="A156" s="3104"/>
      <c r="B156" s="3103"/>
      <c r="C156" s="3103"/>
      <c r="D156" s="3103"/>
      <c r="E156" s="3103"/>
      <c r="F156" s="3103"/>
      <c r="G156" s="3103"/>
      <c r="H156" s="3103"/>
      <c r="I156" s="3103"/>
      <c r="J156" s="3103"/>
      <c r="K156" s="3103"/>
      <c r="L156" s="3103"/>
      <c r="M156" s="3103"/>
      <c r="N156" s="3103"/>
      <c r="O156" s="3103"/>
      <c r="P156" s="3103"/>
      <c r="Q156" s="3106"/>
      <c r="R156" s="3106"/>
      <c r="S156" s="3106"/>
      <c r="T156" s="3106"/>
      <c r="U156" s="3107"/>
      <c r="V156" s="3103"/>
      <c r="W156" s="3103"/>
      <c r="X156" s="3056">
        <f>IF(A156="","",IF(LEN(SUBSTITUTE(SUBSTITUTE(SUBSTITUTE(SUBSTITUTE(D156,".",""),"/",""),"-","")," ",""))&lt;&gt;14,"CNPJ INVALIDO","OK"))</f>
      </c>
      <c r="Y156" s="3056">
        <f>IF(A156="","",IF(R156="","REST PENDENTE","REST OK"))</f>
      </c>
      <c r="Z156" s="3056">
        <f>IF(A156="","",IF(AND(R156&lt;&gt;"",COUNTIFS($D$3:$D$164,D156,$R$3:$R$164,"&lt;&gt;")&gt;1),"DUPLICADO","OK"))</f>
      </c>
      <c r="AA156" s="3056">
        <f>IF(A156="","",IF(OR(LEN(Q156)&gt;180,LEN(R156)&gt;180,LEN(S156)&gt;180,LEN(T156)&gt;180),"CAMINHO LONGO","OK"))</f>
      </c>
      <c r="AB156" s="3056">
        <f>IF(A156="","",IF(U156="","",IFERROR(INT(U156-TODAY()),"")))</f>
      </c>
      <c r="AC156" s="3056">
        <f>IF(A156="","",IF(AND(T156="",U156=""),"",IF(T156="","SEM CAMINHO",IF(U156="","SEM DATA",IFERROR(IF(AB156&lt;15,"VERMELHO",IF(AB156&lt;=30,"AMARELO","VERDE")),"DATA INVALIDA")))))</f>
      </c>
      <c r="AD156" s="3056">
        <f>IF(OR(A156="",U156="",NOT(ISNUMBER(AB156))),"",RANK(AB156,$AB$3:$AB$164,1)+COUNTIFS($AB$3:AB156,AB156)-1)</f>
      </c>
      <c r="AE156" s="1736"/>
    </row>
    <row r="157" ht="22.0" customHeight="true" hidden="false">
      <c r="A157" s="3099"/>
      <c r="B157" s="3098"/>
      <c r="C157" s="3098"/>
      <c r="D157" s="3098"/>
      <c r="E157" s="3098"/>
      <c r="F157" s="3098"/>
      <c r="G157" s="3098"/>
      <c r="H157" s="3098"/>
      <c r="I157" s="3098"/>
      <c r="J157" s="3098"/>
      <c r="K157" s="3098"/>
      <c r="L157" s="3098"/>
      <c r="M157" s="3098"/>
      <c r="N157" s="3098"/>
      <c r="O157" s="3098"/>
      <c r="P157" s="3098"/>
      <c r="Q157" s="3101"/>
      <c r="R157" s="3101"/>
      <c r="S157" s="3101"/>
      <c r="T157" s="3101"/>
      <c r="U157" s="3102"/>
      <c r="V157" s="3098"/>
      <c r="W157" s="3098"/>
      <c r="X157" s="3056">
        <f>IF(A157="","",IF(LEN(SUBSTITUTE(SUBSTITUTE(SUBSTITUTE(SUBSTITUTE(D157,".",""),"/",""),"-","")," ",""))&lt;&gt;14,"CNPJ INVALIDO","OK"))</f>
      </c>
      <c r="Y157" s="3056">
        <f>IF(A157="","",IF(R157="","REST PENDENTE","REST OK"))</f>
      </c>
      <c r="Z157" s="3056">
        <f>IF(A157="","",IF(AND(R157&lt;&gt;"",COUNTIFS($D$3:$D$164,D157,$R$3:$R$164,"&lt;&gt;")&gt;1),"DUPLICADO","OK"))</f>
      </c>
      <c r="AA157" s="3056">
        <f>IF(A157="","",IF(OR(LEN(Q157)&gt;180,LEN(R157)&gt;180,LEN(S157)&gt;180,LEN(T157)&gt;180),"CAMINHO LONGO","OK"))</f>
      </c>
      <c r="AB157" s="3056">
        <f>IF(A157="","",IF(U157="","",IFERROR(INT(U157-TODAY()),"")))</f>
      </c>
      <c r="AC157" s="3056">
        <f>IF(A157="","",IF(AND(T157="",U157=""),"",IF(T157="","SEM CAMINHO",IF(U157="","SEM DATA",IFERROR(IF(AB157&lt;15,"VERMELHO",IF(AB157&lt;=30,"AMARELO","VERDE")),"DATA INVALIDA")))))</f>
      </c>
      <c r="AD157" s="3056">
        <f>IF(OR(A157="",U157="",NOT(ISNUMBER(AB157))),"",RANK(AB157,$AB$3:$AB$164,1)+COUNTIFS($AB$3:AB157,AB157)-1)</f>
      </c>
      <c r="AE157" s="1736"/>
    </row>
    <row r="158" ht="22.0" customHeight="true" hidden="false">
      <c r="A158" s="3104"/>
      <c r="B158" s="3103"/>
      <c r="C158" s="3103"/>
      <c r="D158" s="3103"/>
      <c r="E158" s="3103"/>
      <c r="F158" s="3103"/>
      <c r="G158" s="3103"/>
      <c r="H158" s="3103"/>
      <c r="I158" s="3103"/>
      <c r="J158" s="3103"/>
      <c r="K158" s="3103"/>
      <c r="L158" s="3103"/>
      <c r="M158" s="3103"/>
      <c r="N158" s="3103"/>
      <c r="O158" s="3103"/>
      <c r="P158" s="3103"/>
      <c r="Q158" s="3106"/>
      <c r="R158" s="3106"/>
      <c r="S158" s="3106"/>
      <c r="T158" s="3106"/>
      <c r="U158" s="3107"/>
      <c r="V158" s="3103"/>
      <c r="W158" s="3103"/>
      <c r="X158" s="3056">
        <f>IF(A158="","",IF(LEN(SUBSTITUTE(SUBSTITUTE(SUBSTITUTE(SUBSTITUTE(D158,".",""),"/",""),"-","")," ",""))&lt;&gt;14,"CNPJ INVALIDO","OK"))</f>
      </c>
      <c r="Y158" s="3056">
        <f>IF(A158="","",IF(R158="","REST PENDENTE","REST OK"))</f>
      </c>
      <c r="Z158" s="3056">
        <f>IF(A158="","",IF(AND(R158&lt;&gt;"",COUNTIFS($D$3:$D$164,D158,$R$3:$R$164,"&lt;&gt;")&gt;1),"DUPLICADO","OK"))</f>
      </c>
      <c r="AA158" s="3056">
        <f>IF(A158="","",IF(OR(LEN(Q158)&gt;180,LEN(R158)&gt;180,LEN(S158)&gt;180,LEN(T158)&gt;180),"CAMINHO LONGO","OK"))</f>
      </c>
      <c r="AB158" s="3056">
        <f>IF(A158="","",IF(U158="","",IFERROR(INT(U158-TODAY()),"")))</f>
      </c>
      <c r="AC158" s="3056">
        <f>IF(A158="","",IF(AND(T158="",U158=""),"",IF(T158="","SEM CAMINHO",IF(U158="","SEM DATA",IFERROR(IF(AB158&lt;15,"VERMELHO",IF(AB158&lt;=30,"AMARELO","VERDE")),"DATA INVALIDA")))))</f>
      </c>
      <c r="AD158" s="3056">
        <f>IF(OR(A158="",U158="",NOT(ISNUMBER(AB158))),"",RANK(AB158,$AB$3:$AB$164,1)+COUNTIFS($AB$3:AB158,AB158)-1)</f>
      </c>
      <c r="AE158" s="1736"/>
    </row>
    <row r="159" ht="22.0" customHeight="true" hidden="false">
      <c r="A159" s="3099"/>
      <c r="B159" s="3098"/>
      <c r="C159" s="3098"/>
      <c r="D159" s="3098"/>
      <c r="E159" s="3098"/>
      <c r="F159" s="3098"/>
      <c r="G159" s="3098"/>
      <c r="H159" s="3098"/>
      <c r="I159" s="3098"/>
      <c r="J159" s="3098"/>
      <c r="K159" s="3098"/>
      <c r="L159" s="3098"/>
      <c r="M159" s="3098"/>
      <c r="N159" s="3098"/>
      <c r="O159" s="3098"/>
      <c r="P159" s="3098"/>
      <c r="Q159" s="3101"/>
      <c r="R159" s="3101"/>
      <c r="S159" s="3101"/>
      <c r="T159" s="3101"/>
      <c r="U159" s="3102"/>
      <c r="V159" s="3098"/>
      <c r="W159" s="3098"/>
      <c r="X159" s="3056">
        <f>IF(A159="","",IF(LEN(SUBSTITUTE(SUBSTITUTE(SUBSTITUTE(SUBSTITUTE(D159,".",""),"/",""),"-","")," ",""))&lt;&gt;14,"CNPJ INVALIDO","OK"))</f>
      </c>
      <c r="Y159" s="3056">
        <f>IF(A159="","",IF(R159="","REST PENDENTE","REST OK"))</f>
      </c>
      <c r="Z159" s="3056">
        <f>IF(A159="","",IF(AND(R159&lt;&gt;"",COUNTIFS($D$3:$D$164,D159,$R$3:$R$164,"&lt;&gt;")&gt;1),"DUPLICADO","OK"))</f>
      </c>
      <c r="AA159" s="3056">
        <f>IF(A159="","",IF(OR(LEN(Q159)&gt;180,LEN(R159)&gt;180,LEN(S159)&gt;180,LEN(T159)&gt;180),"CAMINHO LONGO","OK"))</f>
      </c>
      <c r="AB159" s="3056">
        <f>IF(A159="","",IF(U159="","",IFERROR(INT(U159-TODAY()),"")))</f>
      </c>
      <c r="AC159" s="3056">
        <f>IF(A159="","",IF(AND(T159="",U159=""),"",IF(T159="","SEM CAMINHO",IF(U159="","SEM DATA",IFERROR(IF(AB159&lt;15,"VERMELHO",IF(AB159&lt;=30,"AMARELO","VERDE")),"DATA INVALIDA")))))</f>
      </c>
      <c r="AD159" s="3056">
        <f>IF(OR(A159="",U159="",NOT(ISNUMBER(AB159))),"",RANK(AB159,$AB$3:$AB$164,1)+COUNTIFS($AB$3:AB159,AB159)-1)</f>
      </c>
      <c r="AE159" s="1736"/>
    </row>
    <row r="160" ht="22.0" customHeight="true" hidden="false">
      <c r="A160" s="3104"/>
      <c r="B160" s="3103"/>
      <c r="C160" s="3103"/>
      <c r="D160" s="3103"/>
      <c r="E160" s="3103"/>
      <c r="F160" s="3103"/>
      <c r="G160" s="3103"/>
      <c r="H160" s="3103"/>
      <c r="I160" s="3103"/>
      <c r="J160" s="3103"/>
      <c r="K160" s="3103"/>
      <c r="L160" s="3103"/>
      <c r="M160" s="3103"/>
      <c r="N160" s="3103"/>
      <c r="O160" s="3103"/>
      <c r="P160" s="3103"/>
      <c r="Q160" s="3106"/>
      <c r="R160" s="3106"/>
      <c r="S160" s="3106"/>
      <c r="T160" s="3106"/>
      <c r="U160" s="3107"/>
      <c r="V160" s="3103"/>
      <c r="W160" s="3103"/>
      <c r="X160" s="3056">
        <f>IF(A160="","",IF(LEN(SUBSTITUTE(SUBSTITUTE(SUBSTITUTE(SUBSTITUTE(D160,".",""),"/",""),"-","")," ",""))&lt;&gt;14,"CNPJ INVALIDO","OK"))</f>
      </c>
      <c r="Y160" s="3056">
        <f>IF(A160="","",IF(R160="","REST PENDENTE","REST OK"))</f>
      </c>
      <c r="Z160" s="3056">
        <f>IF(A160="","",IF(AND(R160&lt;&gt;"",COUNTIFS($D$3:$D$164,D160,$R$3:$R$164,"&lt;&gt;")&gt;1),"DUPLICADO","OK"))</f>
      </c>
      <c r="AA160" s="3056">
        <f>IF(A160="","",IF(OR(LEN(Q160)&gt;180,LEN(R160)&gt;180,LEN(S160)&gt;180,LEN(T160)&gt;180),"CAMINHO LONGO","OK"))</f>
      </c>
      <c r="AB160" s="3056">
        <f>IF(A160="","",IF(U160="","",IFERROR(INT(U160-TODAY()),"")))</f>
      </c>
      <c r="AC160" s="3056">
        <f>IF(A160="","",IF(AND(T160="",U160=""),"",IF(T160="","SEM CAMINHO",IF(U160="","SEM DATA",IFERROR(IF(AB160&lt;15,"VERMELHO",IF(AB160&lt;=30,"AMARELO","VERDE")),"DATA INVALIDA")))))</f>
      </c>
      <c r="AD160" s="3056">
        <f>IF(OR(A160="",U160="",NOT(ISNUMBER(AB160))),"",RANK(AB160,$AB$3:$AB$164,1)+COUNTIFS($AB$3:AB160,AB160)-1)</f>
      </c>
      <c r="AE160" s="1736"/>
    </row>
    <row r="161" ht="22.0" customHeight="true" hidden="false">
      <c r="A161" s="3099"/>
      <c r="B161" s="3098"/>
      <c r="C161" s="3098"/>
      <c r="D161" s="3098"/>
      <c r="E161" s="3098"/>
      <c r="F161" s="3098"/>
      <c r="G161" s="3098"/>
      <c r="H161" s="3098"/>
      <c r="I161" s="3098"/>
      <c r="J161" s="3098"/>
      <c r="K161" s="3098"/>
      <c r="L161" s="3098"/>
      <c r="M161" s="3098"/>
      <c r="N161" s="3098"/>
      <c r="O161" s="3098"/>
      <c r="P161" s="3098"/>
      <c r="Q161" s="3101"/>
      <c r="R161" s="3101"/>
      <c r="S161" s="3101"/>
      <c r="T161" s="3101"/>
      <c r="U161" s="3102"/>
      <c r="V161" s="3098"/>
      <c r="W161" s="3098"/>
      <c r="X161" s="3056">
        <f>IF(A161="","",IF(LEN(SUBSTITUTE(SUBSTITUTE(SUBSTITUTE(SUBSTITUTE(D161,".",""),"/",""),"-","")," ",""))&lt;&gt;14,"CNPJ INVALIDO","OK"))</f>
      </c>
      <c r="Y161" s="3056">
        <f>IF(A161="","",IF(R161="","REST PENDENTE","REST OK"))</f>
      </c>
      <c r="Z161" s="3056">
        <f>IF(A161="","",IF(AND(R161&lt;&gt;"",COUNTIFS($D$3:$D$164,D161,$R$3:$R$164,"&lt;&gt;")&gt;1),"DUPLICADO","OK"))</f>
      </c>
      <c r="AA161" s="3056">
        <f>IF(A161="","",IF(OR(LEN(Q161)&gt;180,LEN(R161)&gt;180,LEN(S161)&gt;180,LEN(T161)&gt;180),"CAMINHO LONGO","OK"))</f>
      </c>
      <c r="AB161" s="3056">
        <f>IF(A161="","",IF(U161="","",IFERROR(INT(U161-TODAY()),"")))</f>
      </c>
      <c r="AC161" s="3056">
        <f>IF(A161="","",IF(AND(T161="",U161=""),"",IF(T161="","SEM CAMINHO",IF(U161="","SEM DATA",IFERROR(IF(AB161&lt;15,"VERMELHO",IF(AB161&lt;=30,"AMARELO","VERDE")),"DATA INVALIDA")))))</f>
      </c>
      <c r="AD161" s="3056">
        <f>IF(OR(A161="",U161="",NOT(ISNUMBER(AB161))),"",RANK(AB161,$AB$3:$AB$164,1)+COUNTIFS($AB$3:AB161,AB161)-1)</f>
      </c>
      <c r="AE161" s="1736"/>
    </row>
    <row r="162" ht="22.0" customHeight="true" hidden="false">
      <c r="A162" s="3104"/>
      <c r="B162" s="3103"/>
      <c r="C162" s="3103"/>
      <c r="D162" s="3103"/>
      <c r="E162" s="3103"/>
      <c r="F162" s="3103"/>
      <c r="G162" s="3103"/>
      <c r="H162" s="3103"/>
      <c r="I162" s="3103"/>
      <c r="J162" s="3103"/>
      <c r="K162" s="3103"/>
      <c r="L162" s="3103"/>
      <c r="M162" s="3103"/>
      <c r="N162" s="3103"/>
      <c r="O162" s="3103"/>
      <c r="P162" s="3103"/>
      <c r="Q162" s="3106"/>
      <c r="R162" s="3106"/>
      <c r="S162" s="3106"/>
      <c r="T162" s="3106"/>
      <c r="U162" s="3107"/>
      <c r="V162" s="3103"/>
      <c r="W162" s="3103"/>
      <c r="X162" s="3056">
        <f>IF(A162="","",IF(LEN(SUBSTITUTE(SUBSTITUTE(SUBSTITUTE(SUBSTITUTE(D162,".",""),"/",""),"-","")," ",""))&lt;&gt;14,"CNPJ INVALIDO","OK"))</f>
      </c>
      <c r="Y162" s="3056">
        <f>IF(A162="","",IF(R162="","REST PENDENTE","REST OK"))</f>
      </c>
      <c r="Z162" s="3056">
        <f>IF(A162="","",IF(AND(R162&lt;&gt;"",COUNTIFS($D$3:$D$164,D162,$R$3:$R$164,"&lt;&gt;")&gt;1),"DUPLICADO","OK"))</f>
      </c>
      <c r="AA162" s="3056">
        <f>IF(A162="","",IF(OR(LEN(Q162)&gt;180,LEN(R162)&gt;180,LEN(S162)&gt;180,LEN(T162)&gt;180),"CAMINHO LONGO","OK"))</f>
      </c>
      <c r="AB162" s="3056">
        <f>IF(A162="","",IF(U162="","",IFERROR(INT(U162-TODAY()),"")))</f>
      </c>
      <c r="AC162" s="3056">
        <f>IF(A162="","",IF(AND(T162="",U162=""),"",IF(T162="","SEM CAMINHO",IF(U162="","SEM DATA",IFERROR(IF(AB162&lt;15,"VERMELHO",IF(AB162&lt;=30,"AMARELO","VERDE")),"DATA INVALIDA")))))</f>
      </c>
      <c r="AD162" s="3056">
        <f>IF(OR(A162="",U162="",NOT(ISNUMBER(AB162))),"",RANK(AB162,$AB$3:$AB$164,1)+COUNTIFS($AB$3:AB162,AB162)-1)</f>
      </c>
      <c r="AE162" s="1736"/>
    </row>
    <row r="163" ht="22.0" customHeight="true" hidden="false">
      <c r="A163" s="3099"/>
      <c r="B163" s="3098"/>
      <c r="C163" s="3098"/>
      <c r="D163" s="3098"/>
      <c r="E163" s="3098"/>
      <c r="F163" s="3098"/>
      <c r="G163" s="3098"/>
      <c r="H163" s="3098"/>
      <c r="I163" s="3098"/>
      <c r="J163" s="3098"/>
      <c r="K163" s="3098"/>
      <c r="L163" s="3098"/>
      <c r="M163" s="3098"/>
      <c r="N163" s="3098"/>
      <c r="O163" s="3098"/>
      <c r="P163" s="3098"/>
      <c r="Q163" s="3101"/>
      <c r="R163" s="3101"/>
      <c r="S163" s="3101"/>
      <c r="T163" s="3101"/>
      <c r="U163" s="3102"/>
      <c r="V163" s="3098"/>
      <c r="W163" s="3098"/>
      <c r="X163" s="3056">
        <f>IF(A163="","",IF(LEN(SUBSTITUTE(SUBSTITUTE(SUBSTITUTE(SUBSTITUTE(D163,".",""),"/",""),"-","")," ",""))&lt;&gt;14,"CNPJ INVALIDO","OK"))</f>
      </c>
      <c r="Y163" s="3056">
        <f>IF(A163="","",IF(R163="","REST PENDENTE","REST OK"))</f>
      </c>
      <c r="Z163" s="3056">
        <f>IF(A163="","",IF(AND(R163&lt;&gt;"",COUNTIFS($D$3:$D$164,D163,$R$3:$R$164,"&lt;&gt;")&gt;1),"DUPLICADO","OK"))</f>
      </c>
      <c r="AA163" s="3056">
        <f>IF(A163="","",IF(OR(LEN(Q163)&gt;180,LEN(R163)&gt;180,LEN(S163)&gt;180,LEN(T163)&gt;180),"CAMINHO LONGO","OK"))</f>
      </c>
      <c r="AB163" s="3056">
        <f>IF(A163="","",IF(U163="","",IFERROR(INT(U163-TODAY()),"")))</f>
      </c>
      <c r="AC163" s="3056">
        <f>IF(A163="","",IF(AND(T163="",U163=""),"",IF(T163="","SEM CAMINHO",IF(U163="","SEM DATA",IFERROR(IF(AB163&lt;15,"VERMELHO",IF(AB163&lt;=30,"AMARELO","VERDE")),"DATA INVALIDA")))))</f>
      </c>
      <c r="AD163" s="3056">
        <f>IF(OR(A163="",U163="",NOT(ISNUMBER(AB163))),"",RANK(AB163,$AB$3:$AB$164,1)+COUNTIFS($AB$3:AB163,AB163)-1)</f>
      </c>
      <c r="AE163" s="1736"/>
    </row>
    <row r="164" ht="22.0" customHeight="true" hidden="false">
      <c r="A164" s="3104"/>
      <c r="B164" s="3103"/>
      <c r="C164" s="3103"/>
      <c r="D164" s="3103"/>
      <c r="E164" s="3103"/>
      <c r="F164" s="3103"/>
      <c r="G164" s="3103"/>
      <c r="H164" s="3103"/>
      <c r="I164" s="3103"/>
      <c r="J164" s="3103"/>
      <c r="K164" s="3103"/>
      <c r="L164" s="3103"/>
      <c r="M164" s="3103"/>
      <c r="N164" s="3103"/>
      <c r="O164" s="3103"/>
      <c r="P164" s="3103"/>
      <c r="Q164" s="3106"/>
      <c r="R164" s="3106"/>
      <c r="S164" s="3106"/>
      <c r="T164" s="3106"/>
      <c r="U164" s="3107"/>
      <c r="V164" s="3103"/>
      <c r="W164" s="3103"/>
      <c r="X164" s="3056">
        <f>IF(A164="","",IF(LEN(SUBSTITUTE(SUBSTITUTE(SUBSTITUTE(SUBSTITUTE(D164,".",""),"/",""),"-","")," ",""))&lt;&gt;14,"CNPJ INVALIDO","OK"))</f>
      </c>
      <c r="Y164" s="3056">
        <f>IF(A164="","",IF(R164="","REST PENDENTE","REST OK"))</f>
      </c>
      <c r="Z164" s="3056">
        <f>IF(A164="","",IF(AND(R164&lt;&gt;"",COUNTIFS($D$3:$D$164,D164,$R$3:$R$164,"&lt;&gt;")&gt;1),"DUPLICADO","OK"))</f>
      </c>
      <c r="AA164" s="3056">
        <f>IF(A164="","",IF(OR(LEN(Q164)&gt;180,LEN(R164)&gt;180,LEN(S164)&gt;180,LEN(T164)&gt;180),"CAMINHO LONGO","OK"))</f>
      </c>
      <c r="AB164" s="3056">
        <f>IF(A164="","",IF(U164="","",IFERROR(INT(U164-TODAY()),"")))</f>
      </c>
      <c r="AC164" s="3056">
        <f>IF(A164="","",IF(AND(T164="",U164=""),"",IF(T164="","SEM CAMINHO",IF(U164="","SEM DATA",IFERROR(IF(AB164&lt;15,"VERMELHO",IF(AB164&lt;=30,"AMARELO","VERDE")),"DATA INVALIDA")))))</f>
      </c>
      <c r="AD164" s="3056">
        <f>IF(OR(A164="",U164="",NOT(ISNUMBER(AB164))),"",RANK(AB164,$AB$3:$AB$164,1)+COUNTIFS($AB$3:AB164,AB164)-1)</f>
      </c>
      <c r="AE164" s="1736"/>
    </row>
  </sheetData>
  <autoFilter ref="A2:W164"/>
  <mergeCells count="1">
    <mergeCell ref="A1:W1"/>
  </mergeCells>
  <phoneticPr fontId="6" type="noConversion"/>
  <printOptions gridLines="false"/>
  <pageMargins left="0.511811024" right="0.511811024" top="0.78740157499999996" bottom="0.78740157499999996" header="0.31496062000000002" footer="0.31496062000000002"/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664CF-DAE5-4396-BA73-B978C471E6A7}">
  <sheetPr codeName="Planilha1" filterMode="1"/>
  <dimension ref="A1:AE164"/>
  <sheetViews>
    <sheetView tabSelected="false" workbookViewId="0" showGridLines="false" zoomScale="90">
      <pane ySplit="2.0" topLeftCell="A3" activePane="bottomLeft" state="frozen"/>
      <selection pane="bottomLeft"/>
    </sheetView>
  </sheetViews>
  <sheetFormatPr defaultRowHeight="15" x14ac:dyDescent="0.25"/>
  <cols>
    <col min="1" max="1" customWidth="true" hidden="false" width="52.0"/>
    <col min="2" max="2" customWidth="true" hidden="false" width="22.0"/>
    <col min="3" max="3" customWidth="true" hidden="false" width="26.0"/>
    <col min="4" max="4" customWidth="true" hidden="false" width="20.0"/>
    <col min="5" max="5" customWidth="true" hidden="false" width="17.7109375"/>
    <col min="6" max="6" customWidth="true" hidden="false" width="18.0"/>
    <col min="7" max="7" customWidth="true" hidden="false" width="20.0"/>
    <col min="8" max="8" customWidth="true" hidden="false" width="8.7109375"/>
    <col min="9" max="9" customWidth="true" hidden="false" width="16.7109375"/>
    <col min="10" max="10" customWidth="true" hidden="false" width="10.85546875"/>
    <col min="11" max="11" customWidth="true" hidden="false" width="16.7109375"/>
    <col min="12" max="12" customWidth="true" hidden="false" width="11.7109375"/>
    <col min="13" max="13" customWidth="true" hidden="false" width="16.7109375"/>
    <col min="14" max="14" customWidth="true" hidden="false" width="10.28515625"/>
    <col min="15" max="15" customWidth="true" hidden="false" width="16.7109375"/>
    <col min="16" max="16" customWidth="true" hidden="false" width="13.7109375"/>
    <col min="17" max="17" customWidth="true" hidden="false" width="44.0"/>
    <col min="18" max="18" customWidth="true" hidden="false" width="62.0"/>
    <col min="19" max="19" customWidth="true" hidden="false" width="42.0"/>
    <col min="20" max="20" customWidth="true" hidden="false" width="48.0"/>
    <col min="21" max="21" customWidth="true" hidden="false" width="18.0"/>
    <col min="22" max="22" customWidth="true" hidden="false" width="24.0"/>
    <col min="23" max="23" customWidth="true" hidden="false" width="18.0"/>
    <col min="24" max="24" customWidth="true" hidden="true" width="22.0"/>
    <col min="25" max="25" customWidth="true" hidden="true" width="22.0"/>
    <col min="26" max="26" customWidth="true" hidden="true" width="22.0"/>
    <col min="27" max="27" customWidth="true" hidden="true" width="22.0"/>
    <col min="28" max="28" customWidth="true" hidden="true" width="22.0"/>
    <col min="29" max="29" customWidth="true" hidden="true" width="22.0"/>
    <col min="30" max="30" customWidth="true" hidden="true" width="22.0"/>
    <col min="31" max="31" customWidth="true" hidden="true" width="22.0"/>
  </cols>
  <sheetData>
    <row r="1" spans="1:19" ht="42.0" customHeight="true" x14ac:dyDescent="0.25">
      <c r="A1" s="3037" t="s">
        <v>407</v>
      </c>
      <c r="B1" s="3037"/>
      <c r="C1" s="3037"/>
      <c r="D1" s="3037"/>
      <c r="E1" s="3037"/>
      <c r="F1" s="3037"/>
      <c r="G1" s="3037"/>
      <c r="H1" s="3037"/>
      <c r="I1" s="3037"/>
      <c r="J1" s="3037"/>
      <c r="K1" s="3037"/>
      <c r="L1" s="3037"/>
      <c r="M1" s="3037"/>
      <c r="N1" s="3037"/>
      <c r="O1" s="3037"/>
      <c r="P1" s="3037"/>
      <c r="Q1" s="3037"/>
      <c r="R1" s="3037"/>
      <c r="S1" s="3037"/>
      <c r="T1" s="3037"/>
      <c r="U1" s="3037"/>
      <c r="V1" s="3037"/>
      <c r="W1" s="3037"/>
      <c r="X1" s="1716"/>
      <c r="AE1" s="0"/>
    </row>
    <row r="2" spans="1:19" ht="32.0" customHeight="true" thickBot="1" x14ac:dyDescent="0.3">
      <c r="A2" s="3038" t="s">
        <v>325</v>
      </c>
      <c r="B2" s="3038" t="s">
        <v>326</v>
      </c>
      <c r="C2" s="3038" t="s">
        <v>408</v>
      </c>
      <c r="D2" s="3038" t="s">
        <v>328</v>
      </c>
      <c r="E2" s="3038" t="s">
        <v>329</v>
      </c>
      <c r="F2" s="3038" t="s">
        <v>330</v>
      </c>
      <c r="G2" s="3038" t="s">
        <v>331</v>
      </c>
      <c r="H2" s="3038" t="s">
        <v>332</v>
      </c>
      <c r="I2" s="3038" t="s">
        <v>333</v>
      </c>
      <c r="J2" s="3038" t="s">
        <v>334</v>
      </c>
      <c r="K2" s="3038" t="s">
        <v>335</v>
      </c>
      <c r="L2" s="3038" t="s">
        <v>336</v>
      </c>
      <c r="M2" s="3038" t="s">
        <v>337</v>
      </c>
      <c r="N2" s="3038" t="s">
        <v>338</v>
      </c>
      <c r="O2" s="3038" t="s">
        <v>339</v>
      </c>
      <c r="P2" s="3038" t="s">
        <v>340</v>
      </c>
      <c r="Q2" s="3039" t="s">
        <v>409</v>
      </c>
      <c r="R2" s="3040" t="s">
        <v>410</v>
      </c>
      <c r="S2" s="3041" t="s">
        <v>523</v>
      </c>
      <c r="T2" s="3042" t="s">
        <v>470</v>
      </c>
      <c r="U2" s="3043" t="s">
        <v>471</v>
      </c>
      <c r="V2" s="3044" t="s">
        <v>472</v>
      </c>
      <c r="W2" s="3045" t="s">
        <v>412</v>
      </c>
      <c r="X2" s="3038" t="s">
        <v>413</v>
      </c>
      <c r="Y2" s="3038" t="s">
        <v>414</v>
      </c>
      <c r="Z2" s="3038" t="s">
        <v>415</v>
      </c>
      <c r="AA2" s="3038" t="s">
        <v>416</v>
      </c>
      <c r="AB2" s="3038" t="s">
        <v>473</v>
      </c>
      <c r="AC2" s="3038" t="s">
        <v>474</v>
      </c>
      <c r="AD2" s="3038" t="s">
        <v>475</v>
      </c>
      <c r="AE2" s="1717"/>
    </row>
    <row r="3" spans="1:19" ht="22.0" hidden="false" customHeight="true" thickTop="1" x14ac:dyDescent="0.25">
      <c r="A3" s="3109" t="s">
        <v>0</v>
      </c>
      <c r="B3" s="3108" t="s">
        <v>1</v>
      </c>
      <c r="C3" s="3108" t="s">
        <v>2</v>
      </c>
      <c r="D3" s="3108">
        <v>35381421000194</v>
      </c>
      <c r="E3" s="3108"/>
      <c r="F3" s="3108" t="s">
        <v>3</v>
      </c>
      <c r="G3" s="3108" t="s">
        <v>4</v>
      </c>
      <c r="H3" s="3108" t="s">
        <v>5</v>
      </c>
      <c r="I3" s="3108" t="s">
        <v>344</v>
      </c>
      <c r="J3" s="3108"/>
      <c r="K3" s="3108"/>
      <c r="L3" s="3108"/>
      <c r="M3" s="3108"/>
      <c r="N3" s="3108"/>
      <c r="O3" s="3108"/>
      <c r="P3" s="3108"/>
      <c r="Q3" s="3111"/>
      <c r="R3" s="3111"/>
      <c r="S3" s="3111"/>
      <c r="T3" s="3111"/>
      <c r="U3" s="3112"/>
      <c r="V3" s="3108"/>
      <c r="W3" s="3108" t="s">
        <v>417</v>
      </c>
      <c r="X3" s="3056">
        <f>IF(A3="","",IF(LEN(SUBSTITUTE(SUBSTITUTE(SUBSTITUTE(SUBSTITUTE(D3,".",""),"/",""),"-","")," ",""))&lt;&gt;14,"CNPJ INVALIDO","OK"))</f>
      </c>
      <c r="Y3" s="3056">
        <f>IF(A3="","",IF(R3="","REST PENDENTE","REST OK"))</f>
      </c>
      <c r="Z3" s="3056">
        <f>IF(A3="","",IF(AND(R3&lt;&gt;"",COUNTIFS($D$3:$D$164,D3,$R$3:$R$164,"&lt;&gt;")&gt;1),"DUPLICADO","OK"))</f>
      </c>
      <c r="AA3" s="3056">
        <f>IF(A3="","",IF(OR(LEN(Q3)&gt;180,LEN(R3)&gt;180,LEN(S3)&gt;180,LEN(T3)&gt;180),"CAMINHO LONGO","OK"))</f>
      </c>
      <c r="AB3" s="3056">
        <f>IF(A3="","",IF(U3="","",IFERROR(INT(U3-TODAY()),"")))</f>
      </c>
      <c r="AC3" s="3056">
        <f>IF(A3="","",IF(AND(T3="",U3=""),"",IF(T3="","SEM CAMINHO",IF(U3="","SEM DATA",IFERROR(IF(AB3&lt;15,"VERMELHO",IF(AB3&lt;=30,"AMARELO","VERDE")),"DATA INVALIDA")))))</f>
      </c>
      <c r="AD3" s="3056">
        <f>IF(OR(A3="",U3="",NOT(ISNUMBER(AB3))),"",RANK(AB3,$AB$3:$AB$164,1)+COUNTIFS($AB$3:AB3,AB3)-1)</f>
      </c>
      <c r="AE3" s="1736"/>
    </row>
    <row r="4" spans="1:19" ht="22.0" hidden="false" customHeight="true" x14ac:dyDescent="0.25">
      <c r="A4" s="3114" t="s">
        <v>6</v>
      </c>
      <c r="B4" s="3113" t="s">
        <v>1</v>
      </c>
      <c r="C4" s="3113" t="s">
        <v>2</v>
      </c>
      <c r="D4" s="3113" t="s">
        <v>7</v>
      </c>
      <c r="E4" s="3113"/>
      <c r="F4" s="3113" t="s">
        <v>3</v>
      </c>
      <c r="G4" s="3113" t="s">
        <v>4</v>
      </c>
      <c r="H4" s="3113" t="s">
        <v>5</v>
      </c>
      <c r="I4" s="3113" t="s">
        <v>344</v>
      </c>
      <c r="J4" s="3113"/>
      <c r="K4" s="3113"/>
      <c r="L4" s="3113"/>
      <c r="M4" s="3113"/>
      <c r="N4" s="3113"/>
      <c r="O4" s="3113"/>
      <c r="P4" s="3113"/>
      <c r="Q4" s="3116"/>
      <c r="R4" s="3116"/>
      <c r="S4" s="3116"/>
      <c r="T4" s="3116"/>
      <c r="U4" s="3117"/>
      <c r="V4" s="3113"/>
      <c r="W4" s="3113"/>
      <c r="X4" s="3056">
        <f>IF(A4="","",IF(LEN(SUBSTITUTE(SUBSTITUTE(SUBSTITUTE(SUBSTITUTE(D4,".",""),"/",""),"-","")," ",""))&lt;&gt;14,"CNPJ INVALIDO","OK"))</f>
      </c>
      <c r="Y4" s="3056">
        <f>IF(A4="","",IF(R4="","REST PENDENTE","REST OK"))</f>
      </c>
      <c r="Z4" s="3056">
        <f>IF(A4="","",IF(AND(R4&lt;&gt;"",COUNTIFS($D$3:$D$164,D4,$R$3:$R$164,"&lt;&gt;")&gt;1),"DUPLICADO","OK"))</f>
      </c>
      <c r="AA4" s="3056">
        <f>IF(A4="","",IF(OR(LEN(Q4)&gt;180,LEN(R4)&gt;180,LEN(S4)&gt;180,LEN(T4)&gt;180),"CAMINHO LONGO","OK"))</f>
      </c>
      <c r="AB4" s="3056">
        <f>IF(A4="","",IF(U4="","",IFERROR(INT(U4-TODAY()),"")))</f>
      </c>
      <c r="AC4" s="3056">
        <f>IF(A4="","",IF(AND(T4="",U4=""),"",IF(T4="","SEM CAMINHO",IF(U4="","SEM DATA",IFERROR(IF(AB4&lt;15,"VERMELHO",IF(AB4&lt;=30,"AMARELO","VERDE")),"DATA INVALIDA")))))</f>
      </c>
      <c r="AD4" s="3056">
        <f>IF(OR(A4="",U4="",NOT(ISNUMBER(AB4))),"",RANK(AB4,$AB$3:$AB$164,1)+COUNTIFS($AB$3:AB4,AB4)-1)</f>
      </c>
      <c r="AE4" s="1736"/>
    </row>
    <row r="5" spans="1:19" ht="22.0" hidden="false" customHeight="true" x14ac:dyDescent="0.25">
      <c r="A5" s="3109" t="s">
        <v>8</v>
      </c>
      <c r="B5" s="3108" t="s">
        <v>9</v>
      </c>
      <c r="C5" s="3108" t="s">
        <v>10</v>
      </c>
      <c r="D5" s="3108" t="s">
        <v>11</v>
      </c>
      <c r="E5" s="3108"/>
      <c r="F5" s="3108" t="s">
        <v>12</v>
      </c>
      <c r="G5" s="3108" t="s">
        <v>13</v>
      </c>
      <c r="H5" s="3108" t="s">
        <v>14</v>
      </c>
      <c r="I5" s="3108" t="s">
        <v>344</v>
      </c>
      <c r="J5" s="3108"/>
      <c r="K5" s="3108"/>
      <c r="L5" s="3108"/>
      <c r="M5" s="3108"/>
      <c r="N5" s="3108"/>
      <c r="O5" s="3108"/>
      <c r="P5" s="3108"/>
      <c r="Q5" s="3111"/>
      <c r="R5" s="3111"/>
      <c r="S5" s="3111"/>
      <c r="T5" s="3111"/>
      <c r="U5" s="3112"/>
      <c r="V5" s="3108"/>
      <c r="W5" s="3108"/>
      <c r="X5" s="3056">
        <f>IF(A5="","",IF(LEN(SUBSTITUTE(SUBSTITUTE(SUBSTITUTE(SUBSTITUTE(D5,".",""),"/",""),"-","")," ",""))&lt;&gt;14,"CNPJ INVALIDO","OK"))</f>
      </c>
      <c r="Y5" s="3056">
        <f>IF(A5="","",IF(R5="","REST PENDENTE","REST OK"))</f>
      </c>
      <c r="Z5" s="3056">
        <f>IF(A5="","",IF(AND(R5&lt;&gt;"",COUNTIFS($D$3:$D$164,D5,$R$3:$R$164,"&lt;&gt;")&gt;1),"DUPLICADO","OK"))</f>
      </c>
      <c r="AA5" s="3056">
        <f>IF(A5="","",IF(OR(LEN(Q5)&gt;180,LEN(R5)&gt;180,LEN(S5)&gt;180,LEN(T5)&gt;180),"CAMINHO LONGO","OK"))</f>
      </c>
      <c r="AB5" s="3056">
        <f>IF(A5="","",IF(U5="","",IFERROR(INT(U5-TODAY()),"")))</f>
      </c>
      <c r="AC5" s="3056">
        <f>IF(A5="","",IF(AND(T5="",U5=""),"",IF(T5="","SEM CAMINHO",IF(U5="","SEM DATA",IFERROR(IF(AB5&lt;15,"VERMELHO",IF(AB5&lt;=30,"AMARELO","VERDE")),"DATA INVALIDA")))))</f>
      </c>
      <c r="AD5" s="3056">
        <f>IF(OR(A5="",U5="",NOT(ISNUMBER(AB5))),"",RANK(AB5,$AB$3:$AB$164,1)+COUNTIFS($AB$3:AB5,AB5)-1)</f>
      </c>
      <c r="AE5" s="1736"/>
    </row>
    <row r="6" spans="1:19" ht="22.0" hidden="false" customHeight="true" x14ac:dyDescent="0.25">
      <c r="A6" s="3114" t="s">
        <v>15</v>
      </c>
      <c r="B6" s="3113" t="s">
        <v>9</v>
      </c>
      <c r="C6" s="3113" t="s">
        <v>16</v>
      </c>
      <c r="D6" s="3113" t="s">
        <v>17</v>
      </c>
      <c r="E6" s="3113"/>
      <c r="F6" s="3113" t="s">
        <v>12</v>
      </c>
      <c r="G6" s="3113" t="s">
        <v>13</v>
      </c>
      <c r="H6" s="3113" t="s">
        <v>14</v>
      </c>
      <c r="I6" s="3113" t="s">
        <v>344</v>
      </c>
      <c r="J6" s="3113" t="s">
        <v>344</v>
      </c>
      <c r="K6" s="3113" t="s">
        <v>344</v>
      </c>
      <c r="L6" s="3113" t="s">
        <v>344</v>
      </c>
      <c r="M6" s="3113" t="s">
        <v>344</v>
      </c>
      <c r="N6" s="3113" t="s">
        <v>344</v>
      </c>
      <c r="O6" s="3113" t="s">
        <v>344</v>
      </c>
      <c r="P6" s="3113" t="s">
        <v>344</v>
      </c>
      <c r="Q6" s="3116"/>
      <c r="R6" s="3116"/>
      <c r="S6" s="3116"/>
      <c r="T6" s="3116"/>
      <c r="U6" s="3117"/>
      <c r="V6" s="3113"/>
      <c r="W6" s="3113"/>
      <c r="X6" s="3056">
        <f>IF(A6="","",IF(LEN(SUBSTITUTE(SUBSTITUTE(SUBSTITUTE(SUBSTITUTE(D6,".",""),"/",""),"-","")," ",""))&lt;&gt;14,"CNPJ INVALIDO","OK"))</f>
      </c>
      <c r="Y6" s="3056">
        <f>IF(A6="","",IF(R6="","REST PENDENTE","REST OK"))</f>
      </c>
      <c r="Z6" s="3056">
        <f>IF(A6="","",IF(AND(R6&lt;&gt;"",COUNTIFS($D$3:$D$164,D6,$R$3:$R$164,"&lt;&gt;")&gt;1),"DUPLICADO","OK"))</f>
      </c>
      <c r="AA6" s="3056">
        <f>IF(A6="","",IF(OR(LEN(Q6)&gt;180,LEN(R6)&gt;180,LEN(S6)&gt;180,LEN(T6)&gt;180),"CAMINHO LONGO","OK"))</f>
      </c>
      <c r="AB6" s="3056">
        <f>IF(A6="","",IF(U6="","",IFERROR(INT(U6-TODAY()),"")))</f>
      </c>
      <c r="AC6" s="3056">
        <f>IF(A6="","",IF(AND(T6="",U6=""),"",IF(T6="","SEM CAMINHO",IF(U6="","SEM DATA",IFERROR(IF(AB6&lt;15,"VERMELHO",IF(AB6&lt;=30,"AMARELO","VERDE")),"DATA INVALIDA")))))</f>
      </c>
      <c r="AD6" s="3056">
        <f>IF(OR(A6="",U6="",NOT(ISNUMBER(AB6))),"",RANK(AB6,$AB$3:$AB$164,1)+COUNTIFS($AB$3:AB6,AB6)-1)</f>
      </c>
      <c r="AE6" s="1736"/>
    </row>
    <row r="7" spans="1:19" ht="22.0" hidden="false" customHeight="true" x14ac:dyDescent="0.25">
      <c r="A7" s="3109" t="s">
        <v>18</v>
      </c>
      <c r="B7" s="3108" t="s">
        <v>9</v>
      </c>
      <c r="C7" s="3108" t="s">
        <v>19</v>
      </c>
      <c r="D7" s="3108" t="s">
        <v>20</v>
      </c>
      <c r="E7" s="3108"/>
      <c r="F7" s="3108" t="s">
        <v>12</v>
      </c>
      <c r="G7" s="3108" t="s">
        <v>13</v>
      </c>
      <c r="H7" s="3108" t="s">
        <v>14</v>
      </c>
      <c r="I7" s="3108" t="s">
        <v>344</v>
      </c>
      <c r="J7" s="3108" t="s">
        <v>344</v>
      </c>
      <c r="K7" s="3108" t="s">
        <v>344</v>
      </c>
      <c r="L7" s="3108" t="s">
        <v>344</v>
      </c>
      <c r="M7" s="3108" t="s">
        <v>344</v>
      </c>
      <c r="N7" s="3108" t="s">
        <v>344</v>
      </c>
      <c r="O7" s="3108" t="s">
        <v>344</v>
      </c>
      <c r="P7" s="3108" t="s">
        <v>344</v>
      </c>
      <c r="Q7" s="3111"/>
      <c r="R7" s="3111"/>
      <c r="S7" s="3111"/>
      <c r="T7" s="3111"/>
      <c r="U7" s="3112"/>
      <c r="V7" s="3108"/>
      <c r="W7" s="3108"/>
      <c r="X7" s="3056">
        <f>IF(A7="","",IF(LEN(SUBSTITUTE(SUBSTITUTE(SUBSTITUTE(SUBSTITUTE(D7,".",""),"/",""),"-","")," ",""))&lt;&gt;14,"CNPJ INVALIDO","OK"))</f>
      </c>
      <c r="Y7" s="3056">
        <f>IF(A7="","",IF(R7="","REST PENDENTE","REST OK"))</f>
      </c>
      <c r="Z7" s="3056">
        <f>IF(A7="","",IF(AND(R7&lt;&gt;"",COUNTIFS($D$3:$D$164,D7,$R$3:$R$164,"&lt;&gt;")&gt;1),"DUPLICADO","OK"))</f>
      </c>
      <c r="AA7" s="3056">
        <f>IF(A7="","",IF(OR(LEN(Q7)&gt;180,LEN(R7)&gt;180,LEN(S7)&gt;180,LEN(T7)&gt;180),"CAMINHO LONGO","OK"))</f>
      </c>
      <c r="AB7" s="3056">
        <f>IF(A7="","",IF(U7="","",IFERROR(INT(U7-TODAY()),"")))</f>
      </c>
      <c r="AC7" s="3056">
        <f>IF(A7="","",IF(AND(T7="",U7=""),"",IF(T7="","SEM CAMINHO",IF(U7="","SEM DATA",IFERROR(IF(AB7&lt;15,"VERMELHO",IF(AB7&lt;=30,"AMARELO","VERDE")),"DATA INVALIDA")))))</f>
      </c>
      <c r="AD7" s="3056">
        <f>IF(OR(A7="",U7="",NOT(ISNUMBER(AB7))),"",RANK(AB7,$AB$3:$AB$164,1)+COUNTIFS($AB$3:AB7,AB7)-1)</f>
      </c>
      <c r="AE7" s="1736"/>
    </row>
    <row r="8" spans="1:19" ht="22.0" hidden="false" customHeight="true" x14ac:dyDescent="0.25">
      <c r="A8" s="3114" t="s">
        <v>21</v>
      </c>
      <c r="B8" s="3113" t="s">
        <v>9</v>
      </c>
      <c r="C8" s="3113" t="s">
        <v>19</v>
      </c>
      <c r="D8" s="3113" t="s">
        <v>22</v>
      </c>
      <c r="E8" s="3113"/>
      <c r="F8" s="3113" t="s">
        <v>12</v>
      </c>
      <c r="G8" s="3113" t="s">
        <v>13</v>
      </c>
      <c r="H8" s="3113" t="s">
        <v>14</v>
      </c>
      <c r="I8" s="3113" t="s">
        <v>344</v>
      </c>
      <c r="J8" s="3113" t="s">
        <v>344</v>
      </c>
      <c r="K8" s="3113" t="s">
        <v>344</v>
      </c>
      <c r="L8" s="3113" t="s">
        <v>344</v>
      </c>
      <c r="M8" s="3113" t="s">
        <v>344</v>
      </c>
      <c r="N8" s="3113" t="s">
        <v>344</v>
      </c>
      <c r="O8" s="3113" t="s">
        <v>344</v>
      </c>
      <c r="P8" s="3113" t="s">
        <v>344</v>
      </c>
      <c r="Q8" s="3116"/>
      <c r="R8" s="3116"/>
      <c r="S8" s="3116"/>
      <c r="T8" s="3116"/>
      <c r="U8" s="3117"/>
      <c r="V8" s="3113"/>
      <c r="W8" s="3113"/>
      <c r="X8" s="3056">
        <f>IF(A8="","",IF(LEN(SUBSTITUTE(SUBSTITUTE(SUBSTITUTE(SUBSTITUTE(D8,".",""),"/",""),"-","")," ",""))&lt;&gt;14,"CNPJ INVALIDO","OK"))</f>
      </c>
      <c r="Y8" s="3056">
        <f>IF(A8="","",IF(R8="","REST PENDENTE","REST OK"))</f>
      </c>
      <c r="Z8" s="3056">
        <f>IF(A8="","",IF(AND(R8&lt;&gt;"",COUNTIFS($D$3:$D$164,D8,$R$3:$R$164,"&lt;&gt;")&gt;1),"DUPLICADO","OK"))</f>
      </c>
      <c r="AA8" s="3056">
        <f>IF(A8="","",IF(OR(LEN(Q8)&gt;180,LEN(R8)&gt;180,LEN(S8)&gt;180,LEN(T8)&gt;180),"CAMINHO LONGO","OK"))</f>
      </c>
      <c r="AB8" s="3056">
        <f>IF(A8="","",IF(U8="","",IFERROR(INT(U8-TODAY()),"")))</f>
      </c>
      <c r="AC8" s="3056">
        <f>IF(A8="","",IF(AND(T8="",U8=""),"",IF(T8="","SEM CAMINHO",IF(U8="","SEM DATA",IFERROR(IF(AB8&lt;15,"VERMELHO",IF(AB8&lt;=30,"AMARELO","VERDE")),"DATA INVALIDA")))))</f>
      </c>
      <c r="AD8" s="3056">
        <f>IF(OR(A8="",U8="",NOT(ISNUMBER(AB8))),"",RANK(AB8,$AB$3:$AB$164,1)+COUNTIFS($AB$3:AB8,AB8)-1)</f>
      </c>
      <c r="AE8" s="1736"/>
    </row>
    <row r="9" spans="1:19" ht="22.0" hidden="false" customHeight="true" x14ac:dyDescent="0.25">
      <c r="A9" s="3109" t="s">
        <v>23</v>
      </c>
      <c r="B9" s="3108" t="s">
        <v>9</v>
      </c>
      <c r="C9" s="3108" t="s">
        <v>24</v>
      </c>
      <c r="D9" s="3108" t="s">
        <v>25</v>
      </c>
      <c r="E9" s="3108"/>
      <c r="F9" s="3108" t="s">
        <v>12</v>
      </c>
      <c r="G9" s="3108" t="s">
        <v>13</v>
      </c>
      <c r="H9" s="3108" t="s">
        <v>14</v>
      </c>
      <c r="I9" s="3108" t="s">
        <v>344</v>
      </c>
      <c r="J9" s="3108" t="s">
        <v>344</v>
      </c>
      <c r="K9" s="3108" t="s">
        <v>344</v>
      </c>
      <c r="L9" s="3108" t="s">
        <v>344</v>
      </c>
      <c r="M9" s="3108" t="s">
        <v>344</v>
      </c>
      <c r="N9" s="3108" t="s">
        <v>344</v>
      </c>
      <c r="O9" s="3108" t="s">
        <v>344</v>
      </c>
      <c r="P9" s="3108" t="s">
        <v>344</v>
      </c>
      <c r="Q9" s="3111"/>
      <c r="R9" s="3111"/>
      <c r="S9" s="3111"/>
      <c r="T9" s="3111"/>
      <c r="U9" s="3112"/>
      <c r="V9" s="3108"/>
      <c r="W9" s="3108"/>
      <c r="X9" s="3056">
        <f>IF(A9="","",IF(LEN(SUBSTITUTE(SUBSTITUTE(SUBSTITUTE(SUBSTITUTE(D9,".",""),"/",""),"-","")," ",""))&lt;&gt;14,"CNPJ INVALIDO","OK"))</f>
      </c>
      <c r="Y9" s="3056">
        <f>IF(A9="","",IF(R9="","REST PENDENTE","REST OK"))</f>
      </c>
      <c r="Z9" s="3056">
        <f>IF(A9="","",IF(AND(R9&lt;&gt;"",COUNTIFS($D$3:$D$164,D9,$R$3:$R$164,"&lt;&gt;")&gt;1),"DUPLICADO","OK"))</f>
      </c>
      <c r="AA9" s="3056">
        <f>IF(A9="","",IF(OR(LEN(Q9)&gt;180,LEN(R9)&gt;180,LEN(S9)&gt;180,LEN(T9)&gt;180),"CAMINHO LONGO","OK"))</f>
      </c>
      <c r="AB9" s="3056">
        <f>IF(A9="","",IF(U9="","",IFERROR(INT(U9-TODAY()),"")))</f>
      </c>
      <c r="AC9" s="3056">
        <f>IF(A9="","",IF(AND(T9="",U9=""),"",IF(T9="","SEM CAMINHO",IF(U9="","SEM DATA",IFERROR(IF(AB9&lt;15,"VERMELHO",IF(AB9&lt;=30,"AMARELO","VERDE")),"DATA INVALIDA")))))</f>
      </c>
      <c r="AD9" s="3056">
        <f>IF(OR(A9="",U9="",NOT(ISNUMBER(AB9))),"",RANK(AB9,$AB$3:$AB$164,1)+COUNTIFS($AB$3:AB9,AB9)-1)</f>
      </c>
      <c r="AE9" s="1736"/>
    </row>
    <row r="10" spans="1:19" ht="22.0" hidden="false" customHeight="true" x14ac:dyDescent="0.25">
      <c r="A10" s="3114" t="s">
        <v>26</v>
      </c>
      <c r="B10" s="3113" t="s">
        <v>9</v>
      </c>
      <c r="C10" s="3113" t="s">
        <v>27</v>
      </c>
      <c r="D10" s="3113" t="s">
        <v>28</v>
      </c>
      <c r="E10" s="3113"/>
      <c r="F10" s="3113" t="s">
        <v>12</v>
      </c>
      <c r="G10" s="3113" t="s">
        <v>13</v>
      </c>
      <c r="H10" s="3113" t="s">
        <v>14</v>
      </c>
      <c r="I10" s="3113" t="s">
        <v>344</v>
      </c>
      <c r="J10" s="3113" t="s">
        <v>344</v>
      </c>
      <c r="K10" s="3113" t="s">
        <v>344</v>
      </c>
      <c r="L10" s="3113" t="s">
        <v>344</v>
      </c>
      <c r="M10" s="3113" t="s">
        <v>344</v>
      </c>
      <c r="N10" s="3113" t="s">
        <v>344</v>
      </c>
      <c r="O10" s="3113" t="s">
        <v>344</v>
      </c>
      <c r="P10" s="3113" t="s">
        <v>344</v>
      </c>
      <c r="Q10" s="3116"/>
      <c r="R10" s="3116"/>
      <c r="S10" s="3116"/>
      <c r="T10" s="3116"/>
      <c r="U10" s="3117"/>
      <c r="V10" s="3113"/>
      <c r="W10" s="3113"/>
      <c r="X10" s="3056">
        <f>IF(A10="","",IF(LEN(SUBSTITUTE(SUBSTITUTE(SUBSTITUTE(SUBSTITUTE(D10,".",""),"/",""),"-","")," ",""))&lt;&gt;14,"CNPJ INVALIDO","OK"))</f>
      </c>
      <c r="Y10" s="3056">
        <f>IF(A10="","",IF(R10="","REST PENDENTE","REST OK"))</f>
      </c>
      <c r="Z10" s="3056">
        <f>IF(A10="","",IF(AND(R10&lt;&gt;"",COUNTIFS($D$3:$D$164,D10,$R$3:$R$164,"&lt;&gt;")&gt;1),"DUPLICADO","OK"))</f>
      </c>
      <c r="AA10" s="3056">
        <f>IF(A10="","",IF(OR(LEN(Q10)&gt;180,LEN(R10)&gt;180,LEN(S10)&gt;180,LEN(T10)&gt;180),"CAMINHO LONGO","OK"))</f>
      </c>
      <c r="AB10" s="3056">
        <f>IF(A10="","",IF(U10="","",IFERROR(INT(U10-TODAY()),"")))</f>
      </c>
      <c r="AC10" s="3056">
        <f>IF(A10="","",IF(AND(T10="",U10=""),"",IF(T10="","SEM CAMINHO",IF(U10="","SEM DATA",IFERROR(IF(AB10&lt;15,"VERMELHO",IF(AB10&lt;=30,"AMARELO","VERDE")),"DATA INVALIDA")))))</f>
      </c>
      <c r="AD10" s="3056">
        <f>IF(OR(A10="",U10="",NOT(ISNUMBER(AB10))),"",RANK(AB10,$AB$3:$AB$164,1)+COUNTIFS($AB$3:AB10,AB10)-1)</f>
      </c>
      <c r="AE10" s="1736"/>
    </row>
    <row r="11" spans="1:19" ht="22.0" hidden="false" customHeight="true" x14ac:dyDescent="0.25">
      <c r="A11" s="3109" t="s">
        <v>29</v>
      </c>
      <c r="B11" s="3108" t="s">
        <v>9</v>
      </c>
      <c r="C11" s="3108" t="s">
        <v>16</v>
      </c>
      <c r="D11" s="3108" t="s">
        <v>30</v>
      </c>
      <c r="E11" s="3108"/>
      <c r="F11" s="3108" t="s">
        <v>12</v>
      </c>
      <c r="G11" s="3108" t="s">
        <v>13</v>
      </c>
      <c r="H11" s="3108" t="s">
        <v>14</v>
      </c>
      <c r="I11" s="3108" t="s">
        <v>344</v>
      </c>
      <c r="J11" s="3108" t="s">
        <v>344</v>
      </c>
      <c r="K11" s="3108" t="s">
        <v>344</v>
      </c>
      <c r="L11" s="3108" t="s">
        <v>344</v>
      </c>
      <c r="M11" s="3108" t="s">
        <v>344</v>
      </c>
      <c r="N11" s="3108" t="s">
        <v>344</v>
      </c>
      <c r="O11" s="3108" t="s">
        <v>344</v>
      </c>
      <c r="P11" s="3108" t="s">
        <v>344</v>
      </c>
      <c r="Q11" s="3111"/>
      <c r="R11" s="3111"/>
      <c r="S11" s="3111"/>
      <c r="T11" s="3111"/>
      <c r="U11" s="3112"/>
      <c r="V11" s="3108"/>
      <c r="W11" s="3108"/>
      <c r="X11" s="3056">
        <f>IF(A11="","",IF(LEN(SUBSTITUTE(SUBSTITUTE(SUBSTITUTE(SUBSTITUTE(D11,".",""),"/",""),"-","")," ",""))&lt;&gt;14,"CNPJ INVALIDO","OK"))</f>
      </c>
      <c r="Y11" s="3056">
        <f>IF(A11="","",IF(R11="","REST PENDENTE","REST OK"))</f>
      </c>
      <c r="Z11" s="3056">
        <f>IF(A11="","",IF(AND(R11&lt;&gt;"",COUNTIFS($D$3:$D$164,D11,$R$3:$R$164,"&lt;&gt;")&gt;1),"DUPLICADO","OK"))</f>
      </c>
      <c r="AA11" s="3056">
        <f>IF(A11="","",IF(OR(LEN(Q11)&gt;180,LEN(R11)&gt;180,LEN(S11)&gt;180,LEN(T11)&gt;180),"CAMINHO LONGO","OK"))</f>
      </c>
      <c r="AB11" s="3056">
        <f>IF(A11="","",IF(U11="","",IFERROR(INT(U11-TODAY()),"")))</f>
      </c>
      <c r="AC11" s="3056">
        <f>IF(A11="","",IF(AND(T11="",U11=""),"",IF(T11="","SEM CAMINHO",IF(U11="","SEM DATA",IFERROR(IF(AB11&lt;15,"VERMELHO",IF(AB11&lt;=30,"AMARELO","VERDE")),"DATA INVALIDA")))))</f>
      </c>
      <c r="AD11" s="3056">
        <f>IF(OR(A11="",U11="",NOT(ISNUMBER(AB11))),"",RANK(AB11,$AB$3:$AB$164,1)+COUNTIFS($AB$3:AB11,AB11)-1)</f>
      </c>
      <c r="AE11" s="1736"/>
    </row>
    <row r="12" spans="1:19" ht="22.0" hidden="false" customHeight="true" x14ac:dyDescent="0.25">
      <c r="A12" s="3114" t="s">
        <v>31</v>
      </c>
      <c r="B12" s="3113" t="s">
        <v>9</v>
      </c>
      <c r="C12" s="3113" t="s">
        <v>24</v>
      </c>
      <c r="D12" s="3113" t="s">
        <v>32</v>
      </c>
      <c r="E12" s="3113"/>
      <c r="F12" s="3113" t="s">
        <v>12</v>
      </c>
      <c r="G12" s="3113" t="s">
        <v>13</v>
      </c>
      <c r="H12" s="3113" t="s">
        <v>14</v>
      </c>
      <c r="I12" s="3113" t="s">
        <v>344</v>
      </c>
      <c r="J12" s="3113" t="s">
        <v>344</v>
      </c>
      <c r="K12" s="3113" t="s">
        <v>344</v>
      </c>
      <c r="L12" s="3113" t="s">
        <v>344</v>
      </c>
      <c r="M12" s="3113" t="s">
        <v>344</v>
      </c>
      <c r="N12" s="3113" t="s">
        <v>344</v>
      </c>
      <c r="O12" s="3113" t="s">
        <v>344</v>
      </c>
      <c r="P12" s="3113" t="s">
        <v>344</v>
      </c>
      <c r="Q12" s="3116"/>
      <c r="R12" s="3116"/>
      <c r="S12" s="3116"/>
      <c r="T12" s="3116"/>
      <c r="U12" s="3117"/>
      <c r="V12" s="3113"/>
      <c r="W12" s="3113"/>
      <c r="X12" s="3056">
        <f>IF(A12="","",IF(LEN(SUBSTITUTE(SUBSTITUTE(SUBSTITUTE(SUBSTITUTE(D12,".",""),"/",""),"-","")," ",""))&lt;&gt;14,"CNPJ INVALIDO","OK"))</f>
      </c>
      <c r="Y12" s="3056">
        <f>IF(A12="","",IF(R12="","REST PENDENTE","REST OK"))</f>
      </c>
      <c r="Z12" s="3056">
        <f>IF(A12="","",IF(AND(R12&lt;&gt;"",COUNTIFS($D$3:$D$164,D12,$R$3:$R$164,"&lt;&gt;")&gt;1),"DUPLICADO","OK"))</f>
      </c>
      <c r="AA12" s="3056">
        <f>IF(A12="","",IF(OR(LEN(Q12)&gt;180,LEN(R12)&gt;180,LEN(S12)&gt;180,LEN(T12)&gt;180),"CAMINHO LONGO","OK"))</f>
      </c>
      <c r="AB12" s="3056">
        <f>IF(A12="","",IF(U12="","",IFERROR(INT(U12-TODAY()),"")))</f>
      </c>
      <c r="AC12" s="3056">
        <f>IF(A12="","",IF(AND(T12="",U12=""),"",IF(T12="","SEM CAMINHO",IF(U12="","SEM DATA",IFERROR(IF(AB12&lt;15,"VERMELHO",IF(AB12&lt;=30,"AMARELO","VERDE")),"DATA INVALIDA")))))</f>
      </c>
      <c r="AD12" s="3056">
        <f>IF(OR(A12="",U12="",NOT(ISNUMBER(AB12))),"",RANK(AB12,$AB$3:$AB$164,1)+COUNTIFS($AB$3:AB12,AB12)-1)</f>
      </c>
      <c r="AE12" s="1736"/>
    </row>
    <row r="13" spans="1:19" ht="22.0" hidden="false" customHeight="true" x14ac:dyDescent="0.25">
      <c r="A13" s="3109" t="s">
        <v>33</v>
      </c>
      <c r="B13" s="3108" t="s">
        <v>9</v>
      </c>
      <c r="C13" s="3108" t="s">
        <v>24</v>
      </c>
      <c r="D13" s="3108" t="s">
        <v>34</v>
      </c>
      <c r="E13" s="3108"/>
      <c r="F13" s="3108" t="s">
        <v>12</v>
      </c>
      <c r="G13" s="3108" t="s">
        <v>13</v>
      </c>
      <c r="H13" s="3108" t="s">
        <v>14</v>
      </c>
      <c r="I13" s="3108" t="s">
        <v>344</v>
      </c>
      <c r="J13" s="3108" t="s">
        <v>344</v>
      </c>
      <c r="K13" s="3108" t="s">
        <v>344</v>
      </c>
      <c r="L13" s="3108" t="s">
        <v>344</v>
      </c>
      <c r="M13" s="3108" t="s">
        <v>344</v>
      </c>
      <c r="N13" s="3108" t="s">
        <v>344</v>
      </c>
      <c r="O13" s="3108" t="s">
        <v>344</v>
      </c>
      <c r="P13" s="3108" t="s">
        <v>344</v>
      </c>
      <c r="Q13" s="3111"/>
      <c r="R13" s="3111"/>
      <c r="S13" s="3111"/>
      <c r="T13" s="3111"/>
      <c r="U13" s="3112"/>
      <c r="V13" s="3108"/>
      <c r="W13" s="3108"/>
      <c r="X13" s="3056">
        <f>IF(A13="","",IF(LEN(SUBSTITUTE(SUBSTITUTE(SUBSTITUTE(SUBSTITUTE(D13,".",""),"/",""),"-","")," ",""))&lt;&gt;14,"CNPJ INVALIDO","OK"))</f>
      </c>
      <c r="Y13" s="3056">
        <f>IF(A13="","",IF(R13="","REST PENDENTE","REST OK"))</f>
      </c>
      <c r="Z13" s="3056">
        <f>IF(A13="","",IF(AND(R13&lt;&gt;"",COUNTIFS($D$3:$D$164,D13,$R$3:$R$164,"&lt;&gt;")&gt;1),"DUPLICADO","OK"))</f>
      </c>
      <c r="AA13" s="3056">
        <f>IF(A13="","",IF(OR(LEN(Q13)&gt;180,LEN(R13)&gt;180,LEN(S13)&gt;180,LEN(T13)&gt;180),"CAMINHO LONGO","OK"))</f>
      </c>
      <c r="AB13" s="3056">
        <f>IF(A13="","",IF(U13="","",IFERROR(INT(U13-TODAY()),"")))</f>
      </c>
      <c r="AC13" s="3056">
        <f>IF(A13="","",IF(AND(T13="",U13=""),"",IF(T13="","SEM CAMINHO",IF(U13="","SEM DATA",IFERROR(IF(AB13&lt;15,"VERMELHO",IF(AB13&lt;=30,"AMARELO","VERDE")),"DATA INVALIDA")))))</f>
      </c>
      <c r="AD13" s="3056">
        <f>IF(OR(A13="",U13="",NOT(ISNUMBER(AB13))),"",RANK(AB13,$AB$3:$AB$164,1)+COUNTIFS($AB$3:AB13,AB13)-1)</f>
      </c>
      <c r="AE13" s="1736"/>
    </row>
    <row r="14" spans="1:19" ht="22.0" hidden="false" customHeight="true" x14ac:dyDescent="0.25">
      <c r="A14" s="3114" t="s">
        <v>35</v>
      </c>
      <c r="B14" s="3113" t="s">
        <v>9</v>
      </c>
      <c r="C14" s="3113" t="s">
        <v>24</v>
      </c>
      <c r="D14" s="3113" t="s">
        <v>36</v>
      </c>
      <c r="E14" s="3113"/>
      <c r="F14" s="3113" t="s">
        <v>37</v>
      </c>
      <c r="G14" s="3113" t="s">
        <v>13</v>
      </c>
      <c r="H14" s="3113" t="s">
        <v>14</v>
      </c>
      <c r="I14" s="3113" t="s">
        <v>344</v>
      </c>
      <c r="J14" s="3113" t="s">
        <v>344</v>
      </c>
      <c r="K14" s="3113" t="s">
        <v>344</v>
      </c>
      <c r="L14" s="3113" t="s">
        <v>344</v>
      </c>
      <c r="M14" s="3113" t="s">
        <v>344</v>
      </c>
      <c r="N14" s="3113" t="s">
        <v>344</v>
      </c>
      <c r="O14" s="3113" t="s">
        <v>344</v>
      </c>
      <c r="P14" s="3113" t="s">
        <v>344</v>
      </c>
      <c r="Q14" s="3116"/>
      <c r="R14" s="3116"/>
      <c r="S14" s="3116"/>
      <c r="T14" s="3116"/>
      <c r="U14" s="3117"/>
      <c r="V14" s="3113"/>
      <c r="W14" s="3113"/>
      <c r="X14" s="3056">
        <f>IF(A14="","",IF(LEN(SUBSTITUTE(SUBSTITUTE(SUBSTITUTE(SUBSTITUTE(D14,".",""),"/",""),"-","")," ",""))&lt;&gt;14,"CNPJ INVALIDO","OK"))</f>
      </c>
      <c r="Y14" s="3056">
        <f>IF(A14="","",IF(R14="","REST PENDENTE","REST OK"))</f>
      </c>
      <c r="Z14" s="3056">
        <f>IF(A14="","",IF(AND(R14&lt;&gt;"",COUNTIFS($D$3:$D$164,D14,$R$3:$R$164,"&lt;&gt;")&gt;1),"DUPLICADO","OK"))</f>
      </c>
      <c r="AA14" s="3056">
        <f>IF(A14="","",IF(OR(LEN(Q14)&gt;180,LEN(R14)&gt;180,LEN(S14)&gt;180,LEN(T14)&gt;180),"CAMINHO LONGO","OK"))</f>
      </c>
      <c r="AB14" s="3056">
        <f>IF(A14="","",IF(U14="","",IFERROR(INT(U14-TODAY()),"")))</f>
      </c>
      <c r="AC14" s="3056">
        <f>IF(A14="","",IF(AND(T14="",U14=""),"",IF(T14="","SEM CAMINHO",IF(U14="","SEM DATA",IFERROR(IF(AB14&lt;15,"VERMELHO",IF(AB14&lt;=30,"AMARELO","VERDE")),"DATA INVALIDA")))))</f>
      </c>
      <c r="AD14" s="3056">
        <f>IF(OR(A14="",U14="",NOT(ISNUMBER(AB14))),"",RANK(AB14,$AB$3:$AB$164,1)+COUNTIFS($AB$3:AB14,AB14)-1)</f>
      </c>
      <c r="AE14" s="1736"/>
    </row>
    <row r="15" spans="1:19" ht="22.0" hidden="false" customHeight="true" x14ac:dyDescent="0.25">
      <c r="A15" s="3109" t="s">
        <v>38</v>
      </c>
      <c r="B15" s="3108" t="s">
        <v>9</v>
      </c>
      <c r="C15" s="3108" t="s">
        <v>16</v>
      </c>
      <c r="D15" s="3108" t="s">
        <v>39</v>
      </c>
      <c r="E15" s="3108"/>
      <c r="F15" s="3108" t="s">
        <v>37</v>
      </c>
      <c r="G15" s="3108" t="s">
        <v>13</v>
      </c>
      <c r="H15" s="3108" t="s">
        <v>14</v>
      </c>
      <c r="I15" s="3108" t="s">
        <v>344</v>
      </c>
      <c r="J15" s="3108" t="s">
        <v>344</v>
      </c>
      <c r="K15" s="3108" t="s">
        <v>344</v>
      </c>
      <c r="L15" s="3108" t="s">
        <v>344</v>
      </c>
      <c r="M15" s="3108" t="s">
        <v>344</v>
      </c>
      <c r="N15" s="3108" t="s">
        <v>344</v>
      </c>
      <c r="O15" s="3108" t="s">
        <v>344</v>
      </c>
      <c r="P15" s="3108" t="s">
        <v>344</v>
      </c>
      <c r="Q15" s="3111"/>
      <c r="R15" s="3111"/>
      <c r="S15" s="3111"/>
      <c r="T15" s="3111"/>
      <c r="U15" s="3112"/>
      <c r="V15" s="3108"/>
      <c r="W15" s="3108"/>
      <c r="X15" s="3056">
        <f>IF(A15="","",IF(LEN(SUBSTITUTE(SUBSTITUTE(SUBSTITUTE(SUBSTITUTE(D15,".",""),"/",""),"-","")," ",""))&lt;&gt;14,"CNPJ INVALIDO","OK"))</f>
      </c>
      <c r="Y15" s="3056">
        <f>IF(A15="","",IF(R15="","REST PENDENTE","REST OK"))</f>
      </c>
      <c r="Z15" s="3056">
        <f>IF(A15="","",IF(AND(R15&lt;&gt;"",COUNTIFS($D$3:$D$164,D15,$R$3:$R$164,"&lt;&gt;")&gt;1),"DUPLICADO","OK"))</f>
      </c>
      <c r="AA15" s="3056">
        <f>IF(A15="","",IF(OR(LEN(Q15)&gt;180,LEN(R15)&gt;180,LEN(S15)&gt;180,LEN(T15)&gt;180),"CAMINHO LONGO","OK"))</f>
      </c>
      <c r="AB15" s="3056">
        <f>IF(A15="","",IF(U15="","",IFERROR(INT(U15-TODAY()),"")))</f>
      </c>
      <c r="AC15" s="3056">
        <f>IF(A15="","",IF(AND(T15="",U15=""),"",IF(T15="","SEM CAMINHO",IF(U15="","SEM DATA",IFERROR(IF(AB15&lt;15,"VERMELHO",IF(AB15&lt;=30,"AMARELO","VERDE")),"DATA INVALIDA")))))</f>
      </c>
      <c r="AD15" s="3056">
        <f>IF(OR(A15="",U15="",NOT(ISNUMBER(AB15))),"",RANK(AB15,$AB$3:$AB$164,1)+COUNTIFS($AB$3:AB15,AB15)-1)</f>
      </c>
      <c r="AE15" s="1736"/>
    </row>
    <row r="16" spans="1:19" ht="22.0" hidden="false" customHeight="true" x14ac:dyDescent="0.25">
      <c r="A16" s="3114" t="s">
        <v>40</v>
      </c>
      <c r="B16" s="3113" t="s">
        <v>9</v>
      </c>
      <c r="C16" s="3113" t="s">
        <v>24</v>
      </c>
      <c r="D16" s="3113">
        <v>17608570000161</v>
      </c>
      <c r="E16" s="3113"/>
      <c r="F16" s="3113" t="s">
        <v>12</v>
      </c>
      <c r="G16" s="3113" t="s">
        <v>41</v>
      </c>
      <c r="H16" s="3113" t="s">
        <v>5</v>
      </c>
      <c r="I16" s="3113" t="s">
        <v>344</v>
      </c>
      <c r="J16" s="3113" t="s">
        <v>344</v>
      </c>
      <c r="K16" s="3113" t="s">
        <v>344</v>
      </c>
      <c r="L16" s="3113" t="s">
        <v>344</v>
      </c>
      <c r="M16" s="3113" t="s">
        <v>344</v>
      </c>
      <c r="N16" s="3113" t="s">
        <v>344</v>
      </c>
      <c r="O16" s="3113" t="s">
        <v>344</v>
      </c>
      <c r="P16" s="3113" t="s">
        <v>344</v>
      </c>
      <c r="Q16" s="3116"/>
      <c r="R16" s="3116"/>
      <c r="S16" s="3116"/>
      <c r="T16" s="3116"/>
      <c r="U16" s="3117"/>
      <c r="V16" s="3113"/>
      <c r="W16" s="3113"/>
      <c r="X16" s="3056">
        <f>IF(A16="","",IF(LEN(SUBSTITUTE(SUBSTITUTE(SUBSTITUTE(SUBSTITUTE(D16,".",""),"/",""),"-","")," ",""))&lt;&gt;14,"CNPJ INVALIDO","OK"))</f>
      </c>
      <c r="Y16" s="3056">
        <f>IF(A16="","",IF(R16="","REST PENDENTE","REST OK"))</f>
      </c>
      <c r="Z16" s="3056">
        <f>IF(A16="","",IF(AND(R16&lt;&gt;"",COUNTIFS($D$3:$D$164,D16,$R$3:$R$164,"&lt;&gt;")&gt;1),"DUPLICADO","OK"))</f>
      </c>
      <c r="AA16" s="3056">
        <f>IF(A16="","",IF(OR(LEN(Q16)&gt;180,LEN(R16)&gt;180,LEN(S16)&gt;180,LEN(T16)&gt;180),"CAMINHO LONGO","OK"))</f>
      </c>
      <c r="AB16" s="3056">
        <f>IF(A16="","",IF(U16="","",IFERROR(INT(U16-TODAY()),"")))</f>
      </c>
      <c r="AC16" s="3056">
        <f>IF(A16="","",IF(AND(T16="",U16=""),"",IF(T16="","SEM CAMINHO",IF(U16="","SEM DATA",IFERROR(IF(AB16&lt;15,"VERMELHO",IF(AB16&lt;=30,"AMARELO","VERDE")),"DATA INVALIDA")))))</f>
      </c>
      <c r="AD16" s="3056">
        <f>IF(OR(A16="",U16="",NOT(ISNUMBER(AB16))),"",RANK(AB16,$AB$3:$AB$164,1)+COUNTIFS($AB$3:AB16,AB16)-1)</f>
      </c>
      <c r="AE16" s="1736"/>
    </row>
    <row r="17" spans="1:19" ht="22.0" hidden="false" customHeight="true" x14ac:dyDescent="0.25">
      <c r="A17" s="3109" t="s">
        <v>42</v>
      </c>
      <c r="B17" s="3108" t="s">
        <v>9</v>
      </c>
      <c r="C17" s="3108" t="s">
        <v>24</v>
      </c>
      <c r="D17" s="3108" t="s">
        <v>43</v>
      </c>
      <c r="E17" s="3108"/>
      <c r="F17" s="3108" t="s">
        <v>12</v>
      </c>
      <c r="G17" s="3108" t="s">
        <v>41</v>
      </c>
      <c r="H17" s="3108" t="s">
        <v>5</v>
      </c>
      <c r="I17" s="3108"/>
      <c r="J17" s="3108"/>
      <c r="K17" s="3108"/>
      <c r="L17" s="3108"/>
      <c r="M17" s="3108" t="s">
        <v>376</v>
      </c>
      <c r="N17" s="3108"/>
      <c r="O17" s="3108" t="s">
        <v>345</v>
      </c>
      <c r="P17" s="3108" t="s">
        <v>346</v>
      </c>
      <c r="Q17" s="3111"/>
      <c r="R17" s="3111"/>
      <c r="S17" s="3111"/>
      <c r="T17" s="3111"/>
      <c r="U17" s="3112"/>
      <c r="V17" s="3108"/>
      <c r="W17" s="3108"/>
      <c r="X17" s="3056">
        <f>IF(A17="","",IF(LEN(SUBSTITUTE(SUBSTITUTE(SUBSTITUTE(SUBSTITUTE(D17,".",""),"/",""),"-","")," ",""))&lt;&gt;14,"CNPJ INVALIDO","OK"))</f>
      </c>
      <c r="Y17" s="3056">
        <f>IF(A17="","",IF(R17="","REST PENDENTE","REST OK"))</f>
      </c>
      <c r="Z17" s="3056">
        <f>IF(A17="","",IF(AND(R17&lt;&gt;"",COUNTIFS($D$3:$D$164,D17,$R$3:$R$164,"&lt;&gt;")&gt;1),"DUPLICADO","OK"))</f>
      </c>
      <c r="AA17" s="3056">
        <f>IF(A17="","",IF(OR(LEN(Q17)&gt;180,LEN(R17)&gt;180,LEN(S17)&gt;180,LEN(T17)&gt;180),"CAMINHO LONGO","OK"))</f>
      </c>
      <c r="AB17" s="3056">
        <f>IF(A17="","",IF(U17="","",IFERROR(INT(U17-TODAY()),"")))</f>
      </c>
      <c r="AC17" s="3056">
        <f>IF(A17="","",IF(AND(T17="",U17=""),"",IF(T17="","SEM CAMINHO",IF(U17="","SEM DATA",IFERROR(IF(AB17&lt;15,"VERMELHO",IF(AB17&lt;=30,"AMARELO","VERDE")),"DATA INVALIDA")))))</f>
      </c>
      <c r="AD17" s="3056">
        <f>IF(OR(A17="",U17="",NOT(ISNUMBER(AB17))),"",RANK(AB17,$AB$3:$AB$164,1)+COUNTIFS($AB$3:AB17,AB17)-1)</f>
      </c>
      <c r="AE17" s="1736"/>
    </row>
    <row r="18" spans="1:19" ht="22.0" hidden="false" customHeight="true" x14ac:dyDescent="0.25">
      <c r="A18" s="3114" t="s">
        <v>44</v>
      </c>
      <c r="B18" s="3113" t="s">
        <v>45</v>
      </c>
      <c r="C18" s="3113" t="s">
        <v>46</v>
      </c>
      <c r="D18" s="3113" t="s">
        <v>47</v>
      </c>
      <c r="E18" s="3113"/>
      <c r="F18" s="3113" t="s">
        <v>48</v>
      </c>
      <c r="G18" s="3113" t="s">
        <v>13</v>
      </c>
      <c r="H18" s="3113" t="s">
        <v>49</v>
      </c>
      <c r="I18" s="3113"/>
      <c r="J18" s="3113"/>
      <c r="K18" s="3113"/>
      <c r="L18" s="3113"/>
      <c r="M18" s="3113" t="s">
        <v>377</v>
      </c>
      <c r="N18" s="3113"/>
      <c r="O18" s="3113" t="s">
        <v>347</v>
      </c>
      <c r="P18" s="3113"/>
      <c r="Q18" s="3116"/>
      <c r="R18" s="3116"/>
      <c r="S18" s="3116"/>
      <c r="T18" s="3116"/>
      <c r="U18" s="3117"/>
      <c r="V18" s="3113"/>
      <c r="W18" s="3113"/>
      <c r="X18" s="3056">
        <f>IF(A18="","",IF(LEN(SUBSTITUTE(SUBSTITUTE(SUBSTITUTE(SUBSTITUTE(D18,".",""),"/",""),"-","")," ",""))&lt;&gt;14,"CNPJ INVALIDO","OK"))</f>
      </c>
      <c r="Y18" s="3056">
        <f>IF(A18="","",IF(R18="","REST PENDENTE","REST OK"))</f>
      </c>
      <c r="Z18" s="3056">
        <f>IF(A18="","",IF(AND(R18&lt;&gt;"",COUNTIFS($D$3:$D$164,D18,$R$3:$R$164,"&lt;&gt;")&gt;1),"DUPLICADO","OK"))</f>
      </c>
      <c r="AA18" s="3056">
        <f>IF(A18="","",IF(OR(LEN(Q18)&gt;180,LEN(R18)&gt;180,LEN(S18)&gt;180,LEN(T18)&gt;180),"CAMINHO LONGO","OK"))</f>
      </c>
      <c r="AB18" s="3056">
        <f>IF(A18="","",IF(U18="","",IFERROR(INT(U18-TODAY()),"")))</f>
      </c>
      <c r="AC18" s="3056">
        <f>IF(A18="","",IF(AND(T18="",U18=""),"",IF(T18="","SEM CAMINHO",IF(U18="","SEM DATA",IFERROR(IF(AB18&lt;15,"VERMELHO",IF(AB18&lt;=30,"AMARELO","VERDE")),"DATA INVALIDA")))))</f>
      </c>
      <c r="AD18" s="3056">
        <f>IF(OR(A18="",U18="",NOT(ISNUMBER(AB18))),"",RANK(AB18,$AB$3:$AB$164,1)+COUNTIFS($AB$3:AB18,AB18)-1)</f>
      </c>
      <c r="AE18" s="1736"/>
    </row>
    <row r="19" spans="1:19" ht="22.0" hidden="false" customHeight="true" x14ac:dyDescent="0.25">
      <c r="A19" s="3109" t="s">
        <v>50</v>
      </c>
      <c r="B19" s="3108" t="s">
        <v>45</v>
      </c>
      <c r="C19" s="3108" t="s">
        <v>46</v>
      </c>
      <c r="D19" s="3108" t="s">
        <v>51</v>
      </c>
      <c r="E19" s="3108"/>
      <c r="F19" s="3108" t="s">
        <v>48</v>
      </c>
      <c r="G19" s="3108" t="s">
        <v>13</v>
      </c>
      <c r="H19" s="3108" t="s">
        <v>49</v>
      </c>
      <c r="I19" s="3108"/>
      <c r="J19" s="3108"/>
      <c r="K19" s="3108"/>
      <c r="L19" s="3108"/>
      <c r="M19" s="3108" t="s">
        <v>377</v>
      </c>
      <c r="N19" s="3108"/>
      <c r="O19" s="3108" t="s">
        <v>347</v>
      </c>
      <c r="P19" s="3108"/>
      <c r="Q19" s="3111"/>
      <c r="R19" s="3111"/>
      <c r="S19" s="3111"/>
      <c r="T19" s="3111"/>
      <c r="U19" s="3112"/>
      <c r="V19" s="3108"/>
      <c r="W19" s="3108"/>
      <c r="X19" s="3056">
        <f>IF(A19="","",IF(LEN(SUBSTITUTE(SUBSTITUTE(SUBSTITUTE(SUBSTITUTE(D19,".",""),"/",""),"-","")," ",""))&lt;&gt;14,"CNPJ INVALIDO","OK"))</f>
      </c>
      <c r="Y19" s="3056">
        <f>IF(A19="","",IF(R19="","REST PENDENTE","REST OK"))</f>
      </c>
      <c r="Z19" s="3056">
        <f>IF(A19="","",IF(AND(R19&lt;&gt;"",COUNTIFS($D$3:$D$164,D19,$R$3:$R$164,"&lt;&gt;")&gt;1),"DUPLICADO","OK"))</f>
      </c>
      <c r="AA19" s="3056">
        <f>IF(A19="","",IF(OR(LEN(Q19)&gt;180,LEN(R19)&gt;180,LEN(S19)&gt;180,LEN(T19)&gt;180),"CAMINHO LONGO","OK"))</f>
      </c>
      <c r="AB19" s="3056">
        <f>IF(A19="","",IF(U19="","",IFERROR(INT(U19-TODAY()),"")))</f>
      </c>
      <c r="AC19" s="3056">
        <f>IF(A19="","",IF(AND(T19="",U19=""),"",IF(T19="","SEM CAMINHO",IF(U19="","SEM DATA",IFERROR(IF(AB19&lt;15,"VERMELHO",IF(AB19&lt;=30,"AMARELO","VERDE")),"DATA INVALIDA")))))</f>
      </c>
      <c r="AD19" s="3056">
        <f>IF(OR(A19="",U19="",NOT(ISNUMBER(AB19))),"",RANK(AB19,$AB$3:$AB$164,1)+COUNTIFS($AB$3:AB19,AB19)-1)</f>
      </c>
      <c r="AE19" s="1736"/>
    </row>
    <row r="20" spans="1:19" ht="22.0" hidden="false" customHeight="true" x14ac:dyDescent="0.25">
      <c r="A20" s="3114" t="s">
        <v>52</v>
      </c>
      <c r="B20" s="3113" t="s">
        <v>45</v>
      </c>
      <c r="C20" s="3113" t="s">
        <v>46</v>
      </c>
      <c r="D20" s="3113" t="s">
        <v>53</v>
      </c>
      <c r="E20" s="3113"/>
      <c r="F20" s="3113" t="s">
        <v>48</v>
      </c>
      <c r="G20" s="3113" t="s">
        <v>13</v>
      </c>
      <c r="H20" s="3113" t="s">
        <v>14</v>
      </c>
      <c r="I20" s="3113"/>
      <c r="J20" s="3113"/>
      <c r="K20" s="3113"/>
      <c r="L20" s="3113"/>
      <c r="M20" s="3113" t="s">
        <v>377</v>
      </c>
      <c r="N20" s="3113"/>
      <c r="O20" s="3113" t="s">
        <v>347</v>
      </c>
      <c r="P20" s="3113"/>
      <c r="Q20" s="3116"/>
      <c r="R20" s="3116"/>
      <c r="S20" s="3116"/>
      <c r="T20" s="3116"/>
      <c r="U20" s="3117"/>
      <c r="V20" s="3113"/>
      <c r="W20" s="3113"/>
      <c r="X20" s="3056">
        <f>IF(A20="","",IF(LEN(SUBSTITUTE(SUBSTITUTE(SUBSTITUTE(SUBSTITUTE(D20,".",""),"/",""),"-","")," ",""))&lt;&gt;14,"CNPJ INVALIDO","OK"))</f>
      </c>
      <c r="Y20" s="3056">
        <f>IF(A20="","",IF(R20="","REST PENDENTE","REST OK"))</f>
      </c>
      <c r="Z20" s="3056">
        <f>IF(A20="","",IF(AND(R20&lt;&gt;"",COUNTIFS($D$3:$D$164,D20,$R$3:$R$164,"&lt;&gt;")&gt;1),"DUPLICADO","OK"))</f>
      </c>
      <c r="AA20" s="3056">
        <f>IF(A20="","",IF(OR(LEN(Q20)&gt;180,LEN(R20)&gt;180,LEN(S20)&gt;180,LEN(T20)&gt;180),"CAMINHO LONGO","OK"))</f>
      </c>
      <c r="AB20" s="3056">
        <f>IF(A20="","",IF(U20="","",IFERROR(INT(U20-TODAY()),"")))</f>
      </c>
      <c r="AC20" s="3056">
        <f>IF(A20="","",IF(AND(T20="",U20=""),"",IF(T20="","SEM CAMINHO",IF(U20="","SEM DATA",IFERROR(IF(AB20&lt;15,"VERMELHO",IF(AB20&lt;=30,"AMARELO","VERDE")),"DATA INVALIDA")))))</f>
      </c>
      <c r="AD20" s="3056">
        <f>IF(OR(A20="",U20="",NOT(ISNUMBER(AB20))),"",RANK(AB20,$AB$3:$AB$164,1)+COUNTIFS($AB$3:AB20,AB20)-1)</f>
      </c>
      <c r="AE20" s="1736"/>
    </row>
    <row r="21" spans="1:19" ht="22.0" hidden="false" customHeight="true" x14ac:dyDescent="0.25">
      <c r="A21" s="3109" t="s">
        <v>54</v>
      </c>
      <c r="B21" s="3108" t="s">
        <v>55</v>
      </c>
      <c r="C21" s="3108" t="s">
        <v>56</v>
      </c>
      <c r="D21" s="3108">
        <v>57123358000129</v>
      </c>
      <c r="E21" s="3108"/>
      <c r="F21" s="3108" t="s">
        <v>57</v>
      </c>
      <c r="G21" s="3108" t="s">
        <v>4</v>
      </c>
      <c r="H21" s="3108" t="s">
        <v>14</v>
      </c>
      <c r="I21" s="3108"/>
      <c r="J21" s="3108"/>
      <c r="K21" s="3108"/>
      <c r="L21" s="3108"/>
      <c r="M21" s="3108" t="s">
        <v>376</v>
      </c>
      <c r="N21" s="3108"/>
      <c r="O21" s="3108" t="s">
        <v>349</v>
      </c>
      <c r="P21" s="3108"/>
      <c r="Q21" s="3111"/>
      <c r="R21" s="3111"/>
      <c r="S21" s="3111"/>
      <c r="T21" s="3111"/>
      <c r="U21" s="3112"/>
      <c r="V21" s="3108"/>
      <c r="W21" s="3108"/>
      <c r="X21" s="3056">
        <f>IF(A21="","",IF(LEN(SUBSTITUTE(SUBSTITUTE(SUBSTITUTE(SUBSTITUTE(D21,".",""),"/",""),"-","")," ",""))&lt;&gt;14,"CNPJ INVALIDO","OK"))</f>
      </c>
      <c r="Y21" s="3056">
        <f>IF(A21="","",IF(R21="","REST PENDENTE","REST OK"))</f>
      </c>
      <c r="Z21" s="3056">
        <f>IF(A21="","",IF(AND(R21&lt;&gt;"",COUNTIFS($D$3:$D$164,D21,$R$3:$R$164,"&lt;&gt;")&gt;1),"DUPLICADO","OK"))</f>
      </c>
      <c r="AA21" s="3056">
        <f>IF(A21="","",IF(OR(LEN(Q21)&gt;180,LEN(R21)&gt;180,LEN(S21)&gt;180,LEN(T21)&gt;180),"CAMINHO LONGO","OK"))</f>
      </c>
      <c r="AB21" s="3056">
        <f>IF(A21="","",IF(U21="","",IFERROR(INT(U21-TODAY()),"")))</f>
      </c>
      <c r="AC21" s="3056">
        <f>IF(A21="","",IF(AND(T21="",U21=""),"",IF(T21="","SEM CAMINHO",IF(U21="","SEM DATA",IFERROR(IF(AB21&lt;15,"VERMELHO",IF(AB21&lt;=30,"AMARELO","VERDE")),"DATA INVALIDA")))))</f>
      </c>
      <c r="AD21" s="3056">
        <f>IF(OR(A21="",U21="",NOT(ISNUMBER(AB21))),"",RANK(AB21,$AB$3:$AB$164,1)+COUNTIFS($AB$3:AB21,AB21)-1)</f>
      </c>
      <c r="AE21" s="1736"/>
    </row>
    <row r="22" spans="1:19" ht="22.0" hidden="false" customHeight="true" x14ac:dyDescent="0.25">
      <c r="A22" s="3114" t="s">
        <v>58</v>
      </c>
      <c r="B22" s="3113" t="s">
        <v>45</v>
      </c>
      <c r="C22" s="3113" t="s">
        <v>59</v>
      </c>
      <c r="D22" s="3113">
        <v>40870380000130</v>
      </c>
      <c r="E22" s="3113"/>
      <c r="F22" s="3113" t="s">
        <v>48</v>
      </c>
      <c r="G22" s="3113" t="s">
        <v>4</v>
      </c>
      <c r="H22" s="3113" t="s">
        <v>14</v>
      </c>
      <c r="I22" s="3113"/>
      <c r="J22" s="3113"/>
      <c r="K22" s="3113"/>
      <c r="L22" s="3113"/>
      <c r="M22" s="3113" t="s">
        <v>378</v>
      </c>
      <c r="N22" s="3113"/>
      <c r="O22" s="3113" t="s">
        <v>348</v>
      </c>
      <c r="P22" s="3113"/>
      <c r="Q22" s="3116"/>
      <c r="R22" s="3116"/>
      <c r="S22" s="3116"/>
      <c r="T22" s="3116"/>
      <c r="U22" s="3117"/>
      <c r="V22" s="3113"/>
      <c r="W22" s="3113"/>
      <c r="X22" s="3056">
        <f>IF(A22="","",IF(LEN(SUBSTITUTE(SUBSTITUTE(SUBSTITUTE(SUBSTITUTE(D22,".",""),"/",""),"-","")," ",""))&lt;&gt;14,"CNPJ INVALIDO","OK"))</f>
      </c>
      <c r="Y22" s="3056">
        <f>IF(A22="","",IF(R22="","REST PENDENTE","REST OK"))</f>
      </c>
      <c r="Z22" s="3056">
        <f>IF(A22="","",IF(AND(R22&lt;&gt;"",COUNTIFS($D$3:$D$164,D22,$R$3:$R$164,"&lt;&gt;")&gt;1),"DUPLICADO","OK"))</f>
      </c>
      <c r="AA22" s="3056">
        <f>IF(A22="","",IF(OR(LEN(Q22)&gt;180,LEN(R22)&gt;180,LEN(S22)&gt;180,LEN(T22)&gt;180),"CAMINHO LONGO","OK"))</f>
      </c>
      <c r="AB22" s="3056">
        <f>IF(A22="","",IF(U22="","",IFERROR(INT(U22-TODAY()),"")))</f>
      </c>
      <c r="AC22" s="3056">
        <f>IF(A22="","",IF(AND(T22="",U22=""),"",IF(T22="","SEM CAMINHO",IF(U22="","SEM DATA",IFERROR(IF(AB22&lt;15,"VERMELHO",IF(AB22&lt;=30,"AMARELO","VERDE")),"DATA INVALIDA")))))</f>
      </c>
      <c r="AD22" s="3056">
        <f>IF(OR(A22="",U22="",NOT(ISNUMBER(AB22))),"",RANK(AB22,$AB$3:$AB$164,1)+COUNTIFS($AB$3:AB22,AB22)-1)</f>
      </c>
      <c r="AE22" s="1736"/>
    </row>
    <row r="23" spans="1:19" ht="22.0" hidden="false" customHeight="true" x14ac:dyDescent="0.25">
      <c r="A23" s="3109" t="s">
        <v>60</v>
      </c>
      <c r="B23" s="3108" t="s">
        <v>61</v>
      </c>
      <c r="C23" s="3108" t="s">
        <v>62</v>
      </c>
      <c r="D23" s="3108">
        <v>26837949000134</v>
      </c>
      <c r="E23" s="3108"/>
      <c r="F23" s="3108" t="s">
        <v>63</v>
      </c>
      <c r="G23" s="3108" t="s">
        <v>41</v>
      </c>
      <c r="H23" s="3108" t="s">
        <v>5</v>
      </c>
      <c r="I23" s="3108"/>
      <c r="J23" s="3108"/>
      <c r="K23" s="3108"/>
      <c r="L23" s="3108"/>
      <c r="M23" s="3108" t="s">
        <v>379</v>
      </c>
      <c r="N23" s="3108"/>
      <c r="O23" s="3108"/>
      <c r="P23" s="3108"/>
      <c r="Q23" s="3111"/>
      <c r="R23" s="3111"/>
      <c r="S23" s="3111"/>
      <c r="T23" s="3111"/>
      <c r="U23" s="3112"/>
      <c r="V23" s="3108"/>
      <c r="W23" s="3108"/>
      <c r="X23" s="3056">
        <f>IF(A23="","",IF(LEN(SUBSTITUTE(SUBSTITUTE(SUBSTITUTE(SUBSTITUTE(D23,".",""),"/",""),"-","")," ",""))&lt;&gt;14,"CNPJ INVALIDO","OK"))</f>
      </c>
      <c r="Y23" s="3056">
        <f>IF(A23="","",IF(R23="","REST PENDENTE","REST OK"))</f>
      </c>
      <c r="Z23" s="3056">
        <f>IF(A23="","",IF(AND(R23&lt;&gt;"",COUNTIFS($D$3:$D$164,D23,$R$3:$R$164,"&lt;&gt;")&gt;1),"DUPLICADO","OK"))</f>
      </c>
      <c r="AA23" s="3056">
        <f>IF(A23="","",IF(OR(LEN(Q23)&gt;180,LEN(R23)&gt;180,LEN(S23)&gt;180,LEN(T23)&gt;180),"CAMINHO LONGO","OK"))</f>
      </c>
      <c r="AB23" s="3056">
        <f>IF(A23="","",IF(U23="","",IFERROR(INT(U23-TODAY()),"")))</f>
      </c>
      <c r="AC23" s="3056">
        <f>IF(A23="","",IF(AND(T23="",U23=""),"",IF(T23="","SEM CAMINHO",IF(U23="","SEM DATA",IFERROR(IF(AB23&lt;15,"VERMELHO",IF(AB23&lt;=30,"AMARELO","VERDE")),"DATA INVALIDA")))))</f>
      </c>
      <c r="AD23" s="3056">
        <f>IF(OR(A23="",U23="",NOT(ISNUMBER(AB23))),"",RANK(AB23,$AB$3:$AB$164,1)+COUNTIFS($AB$3:AB23,AB23)-1)</f>
      </c>
      <c r="AE23" s="1736"/>
    </row>
    <row r="24" spans="1:19" ht="22.0" hidden="false" customHeight="true" x14ac:dyDescent="0.25">
      <c r="A24" s="3114" t="s">
        <v>64</v>
      </c>
      <c r="B24" s="3113" t="s">
        <v>65</v>
      </c>
      <c r="C24" s="3113" t="s">
        <v>62</v>
      </c>
      <c r="D24" s="3113">
        <v>12923820000134</v>
      </c>
      <c r="E24" s="3113"/>
      <c r="F24" s="3113" t="s">
        <v>66</v>
      </c>
      <c r="G24" s="3113" t="s">
        <v>13</v>
      </c>
      <c r="H24" s="3113" t="s">
        <v>49</v>
      </c>
      <c r="I24" s="3113"/>
      <c r="J24" s="3113"/>
      <c r="K24" s="3113"/>
      <c r="L24" s="3113"/>
      <c r="M24" s="3113" t="s">
        <v>377</v>
      </c>
      <c r="N24" s="3113"/>
      <c r="O24" s="3113" t="s">
        <v>347</v>
      </c>
      <c r="P24" s="3113"/>
      <c r="Q24" s="3116"/>
      <c r="R24" s="3116"/>
      <c r="S24" s="3116"/>
      <c r="T24" s="3116"/>
      <c r="U24" s="3117"/>
      <c r="V24" s="3113"/>
      <c r="W24" s="3113"/>
      <c r="X24" s="3056">
        <f>IF(A24="","",IF(LEN(SUBSTITUTE(SUBSTITUTE(SUBSTITUTE(SUBSTITUTE(D24,".",""),"/",""),"-","")," ",""))&lt;&gt;14,"CNPJ INVALIDO","OK"))</f>
      </c>
      <c r="Y24" s="3056">
        <f>IF(A24="","",IF(R24="","REST PENDENTE","REST OK"))</f>
      </c>
      <c r="Z24" s="3056">
        <f>IF(A24="","",IF(AND(R24&lt;&gt;"",COUNTIFS($D$3:$D$164,D24,$R$3:$R$164,"&lt;&gt;")&gt;1),"DUPLICADO","OK"))</f>
      </c>
      <c r="AA24" s="3056">
        <f>IF(A24="","",IF(OR(LEN(Q24)&gt;180,LEN(R24)&gt;180,LEN(S24)&gt;180,LEN(T24)&gt;180),"CAMINHO LONGO","OK"))</f>
      </c>
      <c r="AB24" s="3056">
        <f>IF(A24="","",IF(U24="","",IFERROR(INT(U24-TODAY()),"")))</f>
      </c>
      <c r="AC24" s="3056">
        <f>IF(A24="","",IF(AND(T24="",U24=""),"",IF(T24="","SEM CAMINHO",IF(U24="","SEM DATA",IFERROR(IF(AB24&lt;15,"VERMELHO",IF(AB24&lt;=30,"AMARELO","VERDE")),"DATA INVALIDA")))))</f>
      </c>
      <c r="AD24" s="3056">
        <f>IF(OR(A24="",U24="",NOT(ISNUMBER(AB24))),"",RANK(AB24,$AB$3:$AB$164,1)+COUNTIFS($AB$3:AB24,AB24)-1)</f>
      </c>
      <c r="AE24" s="1736"/>
    </row>
    <row r="25" spans="1:19" ht="22.0" hidden="false" customHeight="true" x14ac:dyDescent="0.25">
      <c r="A25" s="3109" t="s">
        <v>67</v>
      </c>
      <c r="B25" s="3108" t="s">
        <v>68</v>
      </c>
      <c r="C25" s="3108" t="s">
        <v>69</v>
      </c>
      <c r="D25" s="3108" t="s">
        <v>70</v>
      </c>
      <c r="E25" s="3108"/>
      <c r="F25" s="3108" t="s">
        <v>71</v>
      </c>
      <c r="G25" s="3108" t="s">
        <v>4</v>
      </c>
      <c r="H25" s="3108" t="s">
        <v>49</v>
      </c>
      <c r="I25" s="3108"/>
      <c r="J25" s="3108"/>
      <c r="K25" s="3108"/>
      <c r="L25" s="3108"/>
      <c r="M25" s="3108" t="s">
        <v>379</v>
      </c>
      <c r="N25" s="3108"/>
      <c r="O25" s="3108" t="s">
        <v>349</v>
      </c>
      <c r="P25" s="3108"/>
      <c r="Q25" s="3111"/>
      <c r="R25" s="3111"/>
      <c r="S25" s="3111"/>
      <c r="T25" s="3111"/>
      <c r="U25" s="3112"/>
      <c r="V25" s="3108"/>
      <c r="W25" s="3108"/>
      <c r="X25" s="3056">
        <f>IF(A25="","",IF(LEN(SUBSTITUTE(SUBSTITUTE(SUBSTITUTE(SUBSTITUTE(D25,".",""),"/",""),"-","")," ",""))&lt;&gt;14,"CNPJ INVALIDO","OK"))</f>
      </c>
      <c r="Y25" s="3056">
        <f>IF(A25="","",IF(R25="","REST PENDENTE","REST OK"))</f>
      </c>
      <c r="Z25" s="3056">
        <f>IF(A25="","",IF(AND(R25&lt;&gt;"",COUNTIFS($D$3:$D$164,D25,$R$3:$R$164,"&lt;&gt;")&gt;1),"DUPLICADO","OK"))</f>
      </c>
      <c r="AA25" s="3056">
        <f>IF(A25="","",IF(OR(LEN(Q25)&gt;180,LEN(R25)&gt;180,LEN(S25)&gt;180,LEN(T25)&gt;180),"CAMINHO LONGO","OK"))</f>
      </c>
      <c r="AB25" s="3056">
        <f>IF(A25="","",IF(U25="","",IFERROR(INT(U25-TODAY()),"")))</f>
      </c>
      <c r="AC25" s="3056">
        <f>IF(A25="","",IF(AND(T25="",U25=""),"",IF(T25="","SEM CAMINHO",IF(U25="","SEM DATA",IFERROR(IF(AB25&lt;15,"VERMELHO",IF(AB25&lt;=30,"AMARELO","VERDE")),"DATA INVALIDA")))))</f>
      </c>
      <c r="AD25" s="3056">
        <f>IF(OR(A25="",U25="",NOT(ISNUMBER(AB25))),"",RANK(AB25,$AB$3:$AB$164,1)+COUNTIFS($AB$3:AB25,AB25)-1)</f>
      </c>
      <c r="AE25" s="1736"/>
    </row>
    <row r="26" spans="1:19" ht="22.0" hidden="false" customHeight="true" x14ac:dyDescent="0.25">
      <c r="A26" s="3114" t="s">
        <v>72</v>
      </c>
      <c r="B26" s="3113" t="s">
        <v>9</v>
      </c>
      <c r="C26" s="3113" t="s">
        <v>24</v>
      </c>
      <c r="D26" s="3113">
        <v>41597807000130</v>
      </c>
      <c r="E26" s="3113"/>
      <c r="F26" s="3113" t="s">
        <v>73</v>
      </c>
      <c r="G26" s="3113" t="s">
        <v>4</v>
      </c>
      <c r="H26" s="3113" t="s">
        <v>5</v>
      </c>
      <c r="I26" s="3113"/>
      <c r="J26" s="3113"/>
      <c r="K26" s="3113"/>
      <c r="L26" s="3113"/>
      <c r="M26" s="3113" t="s">
        <v>379</v>
      </c>
      <c r="N26" s="3113"/>
      <c r="O26" s="3113" t="s">
        <v>347</v>
      </c>
      <c r="P26" s="3113"/>
      <c r="Q26" s="3116"/>
      <c r="R26" s="3116"/>
      <c r="S26" s="3116"/>
      <c r="T26" s="3116"/>
      <c r="U26" s="3117"/>
      <c r="V26" s="3113"/>
      <c r="W26" s="3113"/>
      <c r="X26" s="3056">
        <f>IF(A26="","",IF(LEN(SUBSTITUTE(SUBSTITUTE(SUBSTITUTE(SUBSTITUTE(D26,".",""),"/",""),"-","")," ",""))&lt;&gt;14,"CNPJ INVALIDO","OK"))</f>
      </c>
      <c r="Y26" s="3056">
        <f>IF(A26="","",IF(R26="","REST PENDENTE","REST OK"))</f>
      </c>
      <c r="Z26" s="3056">
        <f>IF(A26="","",IF(AND(R26&lt;&gt;"",COUNTIFS($D$3:$D$164,D26,$R$3:$R$164,"&lt;&gt;")&gt;1),"DUPLICADO","OK"))</f>
      </c>
      <c r="AA26" s="3056">
        <f>IF(A26="","",IF(OR(LEN(Q26)&gt;180,LEN(R26)&gt;180,LEN(S26)&gt;180,LEN(T26)&gt;180),"CAMINHO LONGO","OK"))</f>
      </c>
      <c r="AB26" s="3056">
        <f>IF(A26="","",IF(U26="","",IFERROR(INT(U26-TODAY()),"")))</f>
      </c>
      <c r="AC26" s="3056">
        <f>IF(A26="","",IF(AND(T26="",U26=""),"",IF(T26="","SEM CAMINHO",IF(U26="","SEM DATA",IFERROR(IF(AB26&lt;15,"VERMELHO",IF(AB26&lt;=30,"AMARELO","VERDE")),"DATA INVALIDA")))))</f>
      </c>
      <c r="AD26" s="3056">
        <f>IF(OR(A26="",U26="",NOT(ISNUMBER(AB26))),"",RANK(AB26,$AB$3:$AB$164,1)+COUNTIFS($AB$3:AB26,AB26)-1)</f>
      </c>
      <c r="AE26" s="1736"/>
    </row>
    <row r="27" spans="1:19" ht="22.0" hidden="false" customHeight="true" x14ac:dyDescent="0.25">
      <c r="A27" s="3109" t="s">
        <v>74</v>
      </c>
      <c r="B27" s="3108" t="s">
        <v>75</v>
      </c>
      <c r="C27" s="3108" t="s">
        <v>62</v>
      </c>
      <c r="D27" s="3108">
        <v>21430001000146</v>
      </c>
      <c r="E27" s="3108"/>
      <c r="F27" s="3108" t="s">
        <v>76</v>
      </c>
      <c r="G27" s="3108" t="s">
        <v>4</v>
      </c>
      <c r="H27" s="3108" t="s">
        <v>5</v>
      </c>
      <c r="I27" s="3108"/>
      <c r="J27" s="3108"/>
      <c r="K27" s="3108"/>
      <c r="L27" s="3108"/>
      <c r="M27" s="3108" t="s">
        <v>377</v>
      </c>
      <c r="N27" s="3108"/>
      <c r="O27" s="3108" t="s">
        <v>347</v>
      </c>
      <c r="P27" s="3108"/>
      <c r="Q27" s="3111"/>
      <c r="R27" s="3111"/>
      <c r="S27" s="3111"/>
      <c r="T27" s="3111"/>
      <c r="U27" s="3112"/>
      <c r="V27" s="3108"/>
      <c r="W27" s="3108"/>
      <c r="X27" s="3056">
        <f>IF(A27="","",IF(LEN(SUBSTITUTE(SUBSTITUTE(SUBSTITUTE(SUBSTITUTE(D27,".",""),"/",""),"-","")," ",""))&lt;&gt;14,"CNPJ INVALIDO","OK"))</f>
      </c>
      <c r="Y27" s="3056">
        <f>IF(A27="","",IF(R27="","REST PENDENTE","REST OK"))</f>
      </c>
      <c r="Z27" s="3056">
        <f>IF(A27="","",IF(AND(R27&lt;&gt;"",COUNTIFS($D$3:$D$164,D27,$R$3:$R$164,"&lt;&gt;")&gt;1),"DUPLICADO","OK"))</f>
      </c>
      <c r="AA27" s="3056">
        <f>IF(A27="","",IF(OR(LEN(Q27)&gt;180,LEN(R27)&gt;180,LEN(S27)&gt;180,LEN(T27)&gt;180),"CAMINHO LONGO","OK"))</f>
      </c>
      <c r="AB27" s="3056">
        <f>IF(A27="","",IF(U27="","",IFERROR(INT(U27-TODAY()),"")))</f>
      </c>
      <c r="AC27" s="3056">
        <f>IF(A27="","",IF(AND(T27="",U27=""),"",IF(T27="","SEM CAMINHO",IF(U27="","SEM DATA",IFERROR(IF(AB27&lt;15,"VERMELHO",IF(AB27&lt;=30,"AMARELO","VERDE")),"DATA INVALIDA")))))</f>
      </c>
      <c r="AD27" s="3056">
        <f>IF(OR(A27="",U27="",NOT(ISNUMBER(AB27))),"",RANK(AB27,$AB$3:$AB$164,1)+COUNTIFS($AB$3:AB27,AB27)-1)</f>
      </c>
      <c r="AE27" s="1736"/>
    </row>
    <row r="28" spans="1:19" ht="22.0" hidden="false" customHeight="true" x14ac:dyDescent="0.25">
      <c r="A28" s="3114" t="s">
        <v>77</v>
      </c>
      <c r="B28" s="3113" t="s">
        <v>78</v>
      </c>
      <c r="C28" s="3113" t="s">
        <v>79</v>
      </c>
      <c r="D28" s="3113" t="s">
        <v>80</v>
      </c>
      <c r="E28" s="3113"/>
      <c r="F28" s="3113" t="s">
        <v>81</v>
      </c>
      <c r="G28" s="3113" t="s">
        <v>13</v>
      </c>
      <c r="H28" s="3113" t="s">
        <v>49</v>
      </c>
      <c r="I28" s="3113"/>
      <c r="J28" s="3113"/>
      <c r="K28" s="3113"/>
      <c r="L28" s="3113"/>
      <c r="M28" s="3113" t="s">
        <v>377</v>
      </c>
      <c r="N28" s="3113"/>
      <c r="O28" s="3113" t="s">
        <v>347</v>
      </c>
      <c r="P28" s="3113"/>
      <c r="Q28" s="3116"/>
      <c r="R28" s="3116"/>
      <c r="S28" s="3116"/>
      <c r="T28" s="3116"/>
      <c r="U28" s="3117"/>
      <c r="V28" s="3113"/>
      <c r="W28" s="3113"/>
      <c r="X28" s="3056">
        <f>IF(A28="","",IF(LEN(SUBSTITUTE(SUBSTITUTE(SUBSTITUTE(SUBSTITUTE(D28,".",""),"/",""),"-","")," ",""))&lt;&gt;14,"CNPJ INVALIDO","OK"))</f>
      </c>
      <c r="Y28" s="3056">
        <f>IF(A28="","",IF(R28="","REST PENDENTE","REST OK"))</f>
      </c>
      <c r="Z28" s="3056">
        <f>IF(A28="","",IF(AND(R28&lt;&gt;"",COUNTIFS($D$3:$D$164,D28,$R$3:$R$164,"&lt;&gt;")&gt;1),"DUPLICADO","OK"))</f>
      </c>
      <c r="AA28" s="3056">
        <f>IF(A28="","",IF(OR(LEN(Q28)&gt;180,LEN(R28)&gt;180,LEN(S28)&gt;180,LEN(T28)&gt;180),"CAMINHO LONGO","OK"))</f>
      </c>
      <c r="AB28" s="3056">
        <f>IF(A28="","",IF(U28="","",IFERROR(INT(U28-TODAY()),"")))</f>
      </c>
      <c r="AC28" s="3056">
        <f>IF(A28="","",IF(AND(T28="",U28=""),"",IF(T28="","SEM CAMINHO",IF(U28="","SEM DATA",IFERROR(IF(AB28&lt;15,"VERMELHO",IF(AB28&lt;=30,"AMARELO","VERDE")),"DATA INVALIDA")))))</f>
      </c>
      <c r="AD28" s="3056">
        <f>IF(OR(A28="",U28="",NOT(ISNUMBER(AB28))),"",RANK(AB28,$AB$3:$AB$164,1)+COUNTIFS($AB$3:AB28,AB28)-1)</f>
      </c>
      <c r="AE28" s="1736"/>
    </row>
    <row r="29" spans="1:19" ht="22.0" hidden="false" customHeight="true" x14ac:dyDescent="0.25">
      <c r="A29" s="3109" t="s">
        <v>82</v>
      </c>
      <c r="B29" s="3108" t="s">
        <v>78</v>
      </c>
      <c r="C29" s="3108" t="s">
        <v>83</v>
      </c>
      <c r="D29" s="3108">
        <v>62220305000166</v>
      </c>
      <c r="E29" s="3108"/>
      <c r="F29" s="3108" t="s">
        <v>81</v>
      </c>
      <c r="G29" s="3108" t="s">
        <v>4</v>
      </c>
      <c r="H29" s="3108" t="s">
        <v>5</v>
      </c>
      <c r="I29" s="3108"/>
      <c r="J29" s="3108"/>
      <c r="K29" s="3108"/>
      <c r="L29" s="3108"/>
      <c r="M29" s="3108" t="s">
        <v>378</v>
      </c>
      <c r="N29" s="3108"/>
      <c r="O29" s="3108" t="s">
        <v>349</v>
      </c>
      <c r="P29" s="3108"/>
      <c r="Q29" s="3111"/>
      <c r="R29" s="3111"/>
      <c r="S29" s="3111"/>
      <c r="T29" s="3111"/>
      <c r="U29" s="3112"/>
      <c r="V29" s="3108"/>
      <c r="W29" s="3108"/>
      <c r="X29" s="3056">
        <f>IF(A29="","",IF(LEN(SUBSTITUTE(SUBSTITUTE(SUBSTITUTE(SUBSTITUTE(D29,".",""),"/",""),"-","")," ",""))&lt;&gt;14,"CNPJ INVALIDO","OK"))</f>
      </c>
      <c r="Y29" s="3056">
        <f>IF(A29="","",IF(R29="","REST PENDENTE","REST OK"))</f>
      </c>
      <c r="Z29" s="3056">
        <f>IF(A29="","",IF(AND(R29&lt;&gt;"",COUNTIFS($D$3:$D$164,D29,$R$3:$R$164,"&lt;&gt;")&gt;1),"DUPLICADO","OK"))</f>
      </c>
      <c r="AA29" s="3056">
        <f>IF(A29="","",IF(OR(LEN(Q29)&gt;180,LEN(R29)&gt;180,LEN(S29)&gt;180,LEN(T29)&gt;180),"CAMINHO LONGO","OK"))</f>
      </c>
      <c r="AB29" s="3056">
        <f>IF(A29="","",IF(U29="","",IFERROR(INT(U29-TODAY()),"")))</f>
      </c>
      <c r="AC29" s="3056">
        <f>IF(A29="","",IF(AND(T29="",U29=""),"",IF(T29="","SEM CAMINHO",IF(U29="","SEM DATA",IFERROR(IF(AB29&lt;15,"VERMELHO",IF(AB29&lt;=30,"AMARELO","VERDE")),"DATA INVALIDA")))))</f>
      </c>
      <c r="AD29" s="3056">
        <f>IF(OR(A29="",U29="",NOT(ISNUMBER(AB29))),"",RANK(AB29,$AB$3:$AB$164,1)+COUNTIFS($AB$3:AB29,AB29)-1)</f>
      </c>
      <c r="AE29" s="1736"/>
    </row>
    <row r="30" spans="1:19" ht="22.0" hidden="false" customHeight="true" x14ac:dyDescent="0.25">
      <c r="A30" s="3114" t="s">
        <v>84</v>
      </c>
      <c r="B30" s="3113" t="s">
        <v>85</v>
      </c>
      <c r="C30" s="3113" t="s">
        <v>46</v>
      </c>
      <c r="D30" s="3113">
        <v>10712858000132</v>
      </c>
      <c r="E30" s="3113"/>
      <c r="F30" s="3113" t="s">
        <v>86</v>
      </c>
      <c r="G30" s="3113" t="s">
        <v>13</v>
      </c>
      <c r="H30" s="3113" t="s">
        <v>5</v>
      </c>
      <c r="I30" s="3113"/>
      <c r="J30" s="3113"/>
      <c r="K30" s="3113"/>
      <c r="L30" s="3113"/>
      <c r="M30" s="3113" t="s">
        <v>377</v>
      </c>
      <c r="N30" s="3113"/>
      <c r="O30" s="3113" t="s">
        <v>349</v>
      </c>
      <c r="P30" s="3113"/>
      <c r="Q30" s="3116"/>
      <c r="R30" s="3116"/>
      <c r="S30" s="3116"/>
      <c r="T30" s="3116"/>
      <c r="U30" s="3117"/>
      <c r="V30" s="3113"/>
      <c r="W30" s="3113"/>
      <c r="X30" s="3056">
        <f>IF(A30="","",IF(LEN(SUBSTITUTE(SUBSTITUTE(SUBSTITUTE(SUBSTITUTE(D30,".",""),"/",""),"-","")," ",""))&lt;&gt;14,"CNPJ INVALIDO","OK"))</f>
      </c>
      <c r="Y30" s="3056">
        <f>IF(A30="","",IF(R30="","REST PENDENTE","REST OK"))</f>
      </c>
      <c r="Z30" s="3056">
        <f>IF(A30="","",IF(AND(R30&lt;&gt;"",COUNTIFS($D$3:$D$164,D30,$R$3:$R$164,"&lt;&gt;")&gt;1),"DUPLICADO","OK"))</f>
      </c>
      <c r="AA30" s="3056">
        <f>IF(A30="","",IF(OR(LEN(Q30)&gt;180,LEN(R30)&gt;180,LEN(S30)&gt;180,LEN(T30)&gt;180),"CAMINHO LONGO","OK"))</f>
      </c>
      <c r="AB30" s="3056">
        <f>IF(A30="","",IF(U30="","",IFERROR(INT(U30-TODAY()),"")))</f>
      </c>
      <c r="AC30" s="3056">
        <f>IF(A30="","",IF(AND(T30="",U30=""),"",IF(T30="","SEM CAMINHO",IF(U30="","SEM DATA",IFERROR(IF(AB30&lt;15,"VERMELHO",IF(AB30&lt;=30,"AMARELO","VERDE")),"DATA INVALIDA")))))</f>
      </c>
      <c r="AD30" s="3056">
        <f>IF(OR(A30="",U30="",NOT(ISNUMBER(AB30))),"",RANK(AB30,$AB$3:$AB$164,1)+COUNTIFS($AB$3:AB30,AB30)-1)</f>
      </c>
      <c r="AE30" s="1736"/>
    </row>
    <row r="31" spans="1:19" ht="22.0" hidden="false" customHeight="true" x14ac:dyDescent="0.25">
      <c r="A31" s="3109" t="s">
        <v>87</v>
      </c>
      <c r="B31" s="3108" t="s">
        <v>61</v>
      </c>
      <c r="C31" s="3108" t="s">
        <v>62</v>
      </c>
      <c r="D31" s="3108">
        <v>53665434000177</v>
      </c>
      <c r="E31" s="3108"/>
      <c r="F31" s="3108" t="s">
        <v>63</v>
      </c>
      <c r="G31" s="3108" t="s">
        <v>4</v>
      </c>
      <c r="H31" s="3108" t="s">
        <v>5</v>
      </c>
      <c r="I31" s="3108"/>
      <c r="J31" s="3108"/>
      <c r="K31" s="3108"/>
      <c r="L31" s="3108"/>
      <c r="M31" s="3108" t="s">
        <v>379</v>
      </c>
      <c r="N31" s="3108"/>
      <c r="O31" s="3108" t="s">
        <v>349</v>
      </c>
      <c r="P31" s="3108"/>
      <c r="Q31" s="3111"/>
      <c r="R31" s="3111"/>
      <c r="S31" s="3111"/>
      <c r="T31" s="3111"/>
      <c r="U31" s="3112"/>
      <c r="V31" s="3108"/>
      <c r="W31" s="3108"/>
      <c r="X31" s="3056">
        <f>IF(A31="","",IF(LEN(SUBSTITUTE(SUBSTITUTE(SUBSTITUTE(SUBSTITUTE(D31,".",""),"/",""),"-","")," ",""))&lt;&gt;14,"CNPJ INVALIDO","OK"))</f>
      </c>
      <c r="Y31" s="3056">
        <f>IF(A31="","",IF(R31="","REST PENDENTE","REST OK"))</f>
      </c>
      <c r="Z31" s="3056">
        <f>IF(A31="","",IF(AND(R31&lt;&gt;"",COUNTIFS($D$3:$D$164,D31,$R$3:$R$164,"&lt;&gt;")&gt;1),"DUPLICADO","OK"))</f>
      </c>
      <c r="AA31" s="3056">
        <f>IF(A31="","",IF(OR(LEN(Q31)&gt;180,LEN(R31)&gt;180,LEN(S31)&gt;180,LEN(T31)&gt;180),"CAMINHO LONGO","OK"))</f>
      </c>
      <c r="AB31" s="3056">
        <f>IF(A31="","",IF(U31="","",IFERROR(INT(U31-TODAY()),"")))</f>
      </c>
      <c r="AC31" s="3056">
        <f>IF(A31="","",IF(AND(T31="",U31=""),"",IF(T31="","SEM CAMINHO",IF(U31="","SEM DATA",IFERROR(IF(AB31&lt;15,"VERMELHO",IF(AB31&lt;=30,"AMARELO","VERDE")),"DATA INVALIDA")))))</f>
      </c>
      <c r="AD31" s="3056">
        <f>IF(OR(A31="",U31="",NOT(ISNUMBER(AB31))),"",RANK(AB31,$AB$3:$AB$164,1)+COUNTIFS($AB$3:AB31,AB31)-1)</f>
      </c>
      <c r="AE31" s="1736"/>
    </row>
    <row r="32" spans="1:19" ht="22.0" hidden="false" customHeight="true" x14ac:dyDescent="0.25">
      <c r="A32" s="3114" t="s">
        <v>88</v>
      </c>
      <c r="B32" s="3113" t="s">
        <v>61</v>
      </c>
      <c r="C32" s="3113" t="s">
        <v>62</v>
      </c>
      <c r="D32" s="3113">
        <v>53665515000177</v>
      </c>
      <c r="E32" s="3113"/>
      <c r="F32" s="3113" t="s">
        <v>63</v>
      </c>
      <c r="G32" s="3113" t="s">
        <v>4</v>
      </c>
      <c r="H32" s="3113" t="s">
        <v>5</v>
      </c>
      <c r="I32" s="3113"/>
      <c r="J32" s="3113"/>
      <c r="K32" s="3113"/>
      <c r="L32" s="3113"/>
      <c r="M32" s="3113" t="s">
        <v>379</v>
      </c>
      <c r="N32" s="3113"/>
      <c r="O32" s="3113" t="s">
        <v>349</v>
      </c>
      <c r="P32" s="3113"/>
      <c r="Q32" s="3116"/>
      <c r="R32" s="3116"/>
      <c r="S32" s="3116"/>
      <c r="T32" s="3116"/>
      <c r="U32" s="3117"/>
      <c r="V32" s="3113"/>
      <c r="W32" s="3113"/>
      <c r="X32" s="3056">
        <f>IF(A32="","",IF(LEN(SUBSTITUTE(SUBSTITUTE(SUBSTITUTE(SUBSTITUTE(D32,".",""),"/",""),"-","")," ",""))&lt;&gt;14,"CNPJ INVALIDO","OK"))</f>
      </c>
      <c r="Y32" s="3056">
        <f>IF(A32="","",IF(R32="","REST PENDENTE","REST OK"))</f>
      </c>
      <c r="Z32" s="3056">
        <f>IF(A32="","",IF(AND(R32&lt;&gt;"",COUNTIFS($D$3:$D$164,D32,$R$3:$R$164,"&lt;&gt;")&gt;1),"DUPLICADO","OK"))</f>
      </c>
      <c r="AA32" s="3056">
        <f>IF(A32="","",IF(OR(LEN(Q32)&gt;180,LEN(R32)&gt;180,LEN(S32)&gt;180,LEN(T32)&gt;180),"CAMINHO LONGO","OK"))</f>
      </c>
      <c r="AB32" s="3056">
        <f>IF(A32="","",IF(U32="","",IFERROR(INT(U32-TODAY()),"")))</f>
      </c>
      <c r="AC32" s="3056">
        <f>IF(A32="","",IF(AND(T32="",U32=""),"",IF(T32="","SEM CAMINHO",IF(U32="","SEM DATA",IFERROR(IF(AB32&lt;15,"VERMELHO",IF(AB32&lt;=30,"AMARELO","VERDE")),"DATA INVALIDA")))))</f>
      </c>
      <c r="AD32" s="3056">
        <f>IF(OR(A32="",U32="",NOT(ISNUMBER(AB32))),"",RANK(AB32,$AB$3:$AB$164,1)+COUNTIFS($AB$3:AB32,AB32)-1)</f>
      </c>
      <c r="AE32" s="1736"/>
    </row>
    <row r="33" spans="1:19" ht="22.0" hidden="false" customHeight="true" x14ac:dyDescent="0.25">
      <c r="A33" s="3109" t="s">
        <v>89</v>
      </c>
      <c r="B33" s="3108" t="s">
        <v>61</v>
      </c>
      <c r="C33" s="3108" t="s">
        <v>62</v>
      </c>
      <c r="D33" s="3108">
        <v>53666225000148</v>
      </c>
      <c r="E33" s="3108"/>
      <c r="F33" s="3108" t="s">
        <v>63</v>
      </c>
      <c r="G33" s="3108" t="s">
        <v>4</v>
      </c>
      <c r="H33" s="3108" t="s">
        <v>5</v>
      </c>
      <c r="I33" s="3108"/>
      <c r="J33" s="3108"/>
      <c r="K33" s="3108"/>
      <c r="L33" s="3108"/>
      <c r="M33" s="3108" t="s">
        <v>379</v>
      </c>
      <c r="N33" s="3108"/>
      <c r="O33" s="3108" t="s">
        <v>349</v>
      </c>
      <c r="P33" s="3108"/>
      <c r="Q33" s="3111"/>
      <c r="R33" s="3111"/>
      <c r="S33" s="3111"/>
      <c r="T33" s="3111"/>
      <c r="U33" s="3112"/>
      <c r="V33" s="3108"/>
      <c r="W33" s="3108"/>
      <c r="X33" s="3056">
        <f>IF(A33="","",IF(LEN(SUBSTITUTE(SUBSTITUTE(SUBSTITUTE(SUBSTITUTE(D33,".",""),"/",""),"-","")," ",""))&lt;&gt;14,"CNPJ INVALIDO","OK"))</f>
      </c>
      <c r="Y33" s="3056">
        <f>IF(A33="","",IF(R33="","REST PENDENTE","REST OK"))</f>
      </c>
      <c r="Z33" s="3056">
        <f>IF(A33="","",IF(AND(R33&lt;&gt;"",COUNTIFS($D$3:$D$164,D33,$R$3:$R$164,"&lt;&gt;")&gt;1),"DUPLICADO","OK"))</f>
      </c>
      <c r="AA33" s="3056">
        <f>IF(A33="","",IF(OR(LEN(Q33)&gt;180,LEN(R33)&gt;180,LEN(S33)&gt;180,LEN(T33)&gt;180),"CAMINHO LONGO","OK"))</f>
      </c>
      <c r="AB33" s="3056">
        <f>IF(A33="","",IF(U33="","",IFERROR(INT(U33-TODAY()),"")))</f>
      </c>
      <c r="AC33" s="3056">
        <f>IF(A33="","",IF(AND(T33="",U33=""),"",IF(T33="","SEM CAMINHO",IF(U33="","SEM DATA",IFERROR(IF(AB33&lt;15,"VERMELHO",IF(AB33&lt;=30,"AMARELO","VERDE")),"DATA INVALIDA")))))</f>
      </c>
      <c r="AD33" s="3056">
        <f>IF(OR(A33="",U33="",NOT(ISNUMBER(AB33))),"",RANK(AB33,$AB$3:$AB$164,1)+COUNTIFS($AB$3:AB33,AB33)-1)</f>
      </c>
      <c r="AE33" s="1736"/>
    </row>
    <row r="34" spans="1:19" ht="22.0" hidden="false" customHeight="true" x14ac:dyDescent="0.25">
      <c r="A34" s="3114" t="s">
        <v>90</v>
      </c>
      <c r="B34" s="3113" t="s">
        <v>61</v>
      </c>
      <c r="C34" s="3113" t="s">
        <v>62</v>
      </c>
      <c r="D34" s="3113">
        <v>17845752000156</v>
      </c>
      <c r="E34" s="3113"/>
      <c r="F34" s="3113" t="s">
        <v>63</v>
      </c>
      <c r="G34" s="3113" t="s">
        <v>41</v>
      </c>
      <c r="H34" s="3113" t="s">
        <v>5</v>
      </c>
      <c r="I34" s="3113"/>
      <c r="J34" s="3113"/>
      <c r="K34" s="3113"/>
      <c r="L34" s="3113"/>
      <c r="M34" s="3113" t="s">
        <v>380</v>
      </c>
      <c r="N34" s="3113"/>
      <c r="O34" s="3113" t="s">
        <v>349</v>
      </c>
      <c r="P34" s="3113"/>
      <c r="Q34" s="3116"/>
      <c r="R34" s="3116"/>
      <c r="S34" s="3116"/>
      <c r="T34" s="3116"/>
      <c r="U34" s="3117"/>
      <c r="V34" s="3113"/>
      <c r="W34" s="3113"/>
      <c r="X34" s="3056">
        <f>IF(A34="","",IF(LEN(SUBSTITUTE(SUBSTITUTE(SUBSTITUTE(SUBSTITUTE(D34,".",""),"/",""),"-","")," ",""))&lt;&gt;14,"CNPJ INVALIDO","OK"))</f>
      </c>
      <c r="Y34" s="3056">
        <f>IF(A34="","",IF(R34="","REST PENDENTE","REST OK"))</f>
      </c>
      <c r="Z34" s="3056">
        <f>IF(A34="","",IF(AND(R34&lt;&gt;"",COUNTIFS($D$3:$D$164,D34,$R$3:$R$164,"&lt;&gt;")&gt;1),"DUPLICADO","OK"))</f>
      </c>
      <c r="AA34" s="3056">
        <f>IF(A34="","",IF(OR(LEN(Q34)&gt;180,LEN(R34)&gt;180,LEN(S34)&gt;180,LEN(T34)&gt;180),"CAMINHO LONGO","OK"))</f>
      </c>
      <c r="AB34" s="3056">
        <f>IF(A34="","",IF(U34="","",IFERROR(INT(U34-TODAY()),"")))</f>
      </c>
      <c r="AC34" s="3056">
        <f>IF(A34="","",IF(AND(T34="",U34=""),"",IF(T34="","SEM CAMINHO",IF(U34="","SEM DATA",IFERROR(IF(AB34&lt;15,"VERMELHO",IF(AB34&lt;=30,"AMARELO","VERDE")),"DATA INVALIDA")))))</f>
      </c>
      <c r="AD34" s="3056">
        <f>IF(OR(A34="",U34="",NOT(ISNUMBER(AB34))),"",RANK(AB34,$AB$3:$AB$164,1)+COUNTIFS($AB$3:AB34,AB34)-1)</f>
      </c>
      <c r="AE34" s="1736"/>
    </row>
    <row r="35" spans="1:19" ht="22.0" hidden="false" customHeight="true" x14ac:dyDescent="0.25">
      <c r="A35" s="3109" t="s">
        <v>91</v>
      </c>
      <c r="B35" s="3108" t="s">
        <v>61</v>
      </c>
      <c r="C35" s="3108" t="s">
        <v>62</v>
      </c>
      <c r="D35" s="3108">
        <v>17813257000165</v>
      </c>
      <c r="E35" s="3108"/>
      <c r="F35" s="3108" t="s">
        <v>63</v>
      </c>
      <c r="G35" s="3108" t="s">
        <v>13</v>
      </c>
      <c r="H35" s="3108" t="s">
        <v>5</v>
      </c>
      <c r="I35" s="3108"/>
      <c r="J35" s="3108"/>
      <c r="K35" s="3108"/>
      <c r="L35" s="3108"/>
      <c r="M35" s="3108" t="s">
        <v>381</v>
      </c>
      <c r="N35" s="3108"/>
      <c r="O35" s="3108" t="s">
        <v>349</v>
      </c>
      <c r="P35" s="3108"/>
      <c r="Q35" s="3111"/>
      <c r="R35" s="3111"/>
      <c r="S35" s="3111"/>
      <c r="T35" s="3111"/>
      <c r="U35" s="3112"/>
      <c r="V35" s="3108"/>
      <c r="W35" s="3108"/>
      <c r="X35" s="3056">
        <f>IF(A35="","",IF(LEN(SUBSTITUTE(SUBSTITUTE(SUBSTITUTE(SUBSTITUTE(D35,".",""),"/",""),"-","")," ",""))&lt;&gt;14,"CNPJ INVALIDO","OK"))</f>
      </c>
      <c r="Y35" s="3056">
        <f>IF(A35="","",IF(R35="","REST PENDENTE","REST OK"))</f>
      </c>
      <c r="Z35" s="3056">
        <f>IF(A35="","",IF(AND(R35&lt;&gt;"",COUNTIFS($D$3:$D$164,D35,$R$3:$R$164,"&lt;&gt;")&gt;1),"DUPLICADO","OK"))</f>
      </c>
      <c r="AA35" s="3056">
        <f>IF(A35="","",IF(OR(LEN(Q35)&gt;180,LEN(R35)&gt;180,LEN(S35)&gt;180,LEN(T35)&gt;180),"CAMINHO LONGO","OK"))</f>
      </c>
      <c r="AB35" s="3056">
        <f>IF(A35="","",IF(U35="","",IFERROR(INT(U35-TODAY()),"")))</f>
      </c>
      <c r="AC35" s="3056">
        <f>IF(A35="","",IF(AND(T35="",U35=""),"",IF(T35="","SEM CAMINHO",IF(U35="","SEM DATA",IFERROR(IF(AB35&lt;15,"VERMELHO",IF(AB35&lt;=30,"AMARELO","VERDE")),"DATA INVALIDA")))))</f>
      </c>
      <c r="AD35" s="3056">
        <f>IF(OR(A35="",U35="",NOT(ISNUMBER(AB35))),"",RANK(AB35,$AB$3:$AB$164,1)+COUNTIFS($AB$3:AB35,AB35)-1)</f>
      </c>
      <c r="AE35" s="1736"/>
    </row>
    <row r="36" spans="1:19" ht="22.0" hidden="false" customHeight="true" x14ac:dyDescent="0.25">
      <c r="A36" s="3114" t="s">
        <v>92</v>
      </c>
      <c r="B36" s="3113" t="s">
        <v>1</v>
      </c>
      <c r="C36" s="3113" t="s">
        <v>93</v>
      </c>
      <c r="D36" s="3113" t="s">
        <v>94</v>
      </c>
      <c r="E36" s="3113"/>
      <c r="F36" s="3113" t="s">
        <v>3</v>
      </c>
      <c r="G36" s="3113" t="s">
        <v>4</v>
      </c>
      <c r="H36" s="3113" t="s">
        <v>5</v>
      </c>
      <c r="I36" s="3113"/>
      <c r="J36" s="3113"/>
      <c r="K36" s="3113"/>
      <c r="L36" s="3113"/>
      <c r="M36" s="3113" t="s">
        <v>377</v>
      </c>
      <c r="N36" s="3113"/>
      <c r="O36" s="3113" t="s">
        <v>349</v>
      </c>
      <c r="P36" s="3113"/>
      <c r="Q36" s="3116"/>
      <c r="R36" s="3116"/>
      <c r="S36" s="3116"/>
      <c r="T36" s="3116"/>
      <c r="U36" s="3117"/>
      <c r="V36" s="3113"/>
      <c r="W36" s="3113"/>
      <c r="X36" s="3056">
        <f>IF(A36="","",IF(LEN(SUBSTITUTE(SUBSTITUTE(SUBSTITUTE(SUBSTITUTE(D36,".",""),"/",""),"-","")," ",""))&lt;&gt;14,"CNPJ INVALIDO","OK"))</f>
      </c>
      <c r="Y36" s="3056">
        <f>IF(A36="","",IF(R36="","REST PENDENTE","REST OK"))</f>
      </c>
      <c r="Z36" s="3056">
        <f>IF(A36="","",IF(AND(R36&lt;&gt;"",COUNTIFS($D$3:$D$164,D36,$R$3:$R$164,"&lt;&gt;")&gt;1),"DUPLICADO","OK"))</f>
      </c>
      <c r="AA36" s="3056">
        <f>IF(A36="","",IF(OR(LEN(Q36)&gt;180,LEN(R36)&gt;180,LEN(S36)&gt;180,LEN(T36)&gt;180),"CAMINHO LONGO","OK"))</f>
      </c>
      <c r="AB36" s="3056">
        <f>IF(A36="","",IF(U36="","",IFERROR(INT(U36-TODAY()),"")))</f>
      </c>
      <c r="AC36" s="3056">
        <f>IF(A36="","",IF(AND(T36="",U36=""),"",IF(T36="","SEM CAMINHO",IF(U36="","SEM DATA",IFERROR(IF(AB36&lt;15,"VERMELHO",IF(AB36&lt;=30,"AMARELO","VERDE")),"DATA INVALIDA")))))</f>
      </c>
      <c r="AD36" s="3056">
        <f>IF(OR(A36="",U36="",NOT(ISNUMBER(AB36))),"",RANK(AB36,$AB$3:$AB$164,1)+COUNTIFS($AB$3:AB36,AB36)-1)</f>
      </c>
      <c r="AE36" s="1736"/>
    </row>
    <row r="37" spans="1:19" ht="22.0" hidden="false" customHeight="true" x14ac:dyDescent="0.25">
      <c r="A37" s="3109" t="s">
        <v>95</v>
      </c>
      <c r="B37" s="3108" t="s">
        <v>96</v>
      </c>
      <c r="C37" s="3108" t="s">
        <v>97</v>
      </c>
      <c r="D37" s="3108" t="s">
        <v>98</v>
      </c>
      <c r="E37" s="3108"/>
      <c r="F37" s="3108" t="s">
        <v>99</v>
      </c>
      <c r="G37" s="3108" t="s">
        <v>41</v>
      </c>
      <c r="H37" s="3108" t="s">
        <v>14</v>
      </c>
      <c r="I37" s="3108"/>
      <c r="J37" s="3108"/>
      <c r="K37" s="3108"/>
      <c r="L37" s="3108"/>
      <c r="M37" s="3108" t="s">
        <v>383</v>
      </c>
      <c r="N37" s="3108" t="s">
        <v>362</v>
      </c>
      <c r="O37" s="3108" t="s">
        <v>349</v>
      </c>
      <c r="P37" s="3108"/>
      <c r="Q37" s="3111"/>
      <c r="R37" s="3111"/>
      <c r="S37" s="3111"/>
      <c r="T37" s="3111"/>
      <c r="U37" s="3112"/>
      <c r="V37" s="3108"/>
      <c r="W37" s="3108"/>
      <c r="X37" s="3056">
        <f>IF(A37="","",IF(LEN(SUBSTITUTE(SUBSTITUTE(SUBSTITUTE(SUBSTITUTE(D37,".",""),"/",""),"-","")," ",""))&lt;&gt;14,"CNPJ INVALIDO","OK"))</f>
      </c>
      <c r="Y37" s="3056">
        <f>IF(A37="","",IF(R37="","REST PENDENTE","REST OK"))</f>
      </c>
      <c r="Z37" s="3056">
        <f>IF(A37="","",IF(AND(R37&lt;&gt;"",COUNTIFS($D$3:$D$164,D37,$R$3:$R$164,"&lt;&gt;")&gt;1),"DUPLICADO","OK"))</f>
      </c>
      <c r="AA37" s="3056">
        <f>IF(A37="","",IF(OR(LEN(Q37)&gt;180,LEN(R37)&gt;180,LEN(S37)&gt;180,LEN(T37)&gt;180),"CAMINHO LONGO","OK"))</f>
      </c>
      <c r="AB37" s="3056">
        <f>IF(A37="","",IF(U37="","",IFERROR(INT(U37-TODAY()),"")))</f>
      </c>
      <c r="AC37" s="3056">
        <f>IF(A37="","",IF(AND(T37="",U37=""),"",IF(T37="","SEM CAMINHO",IF(U37="","SEM DATA",IFERROR(IF(AB37&lt;15,"VERMELHO",IF(AB37&lt;=30,"AMARELO","VERDE")),"DATA INVALIDA")))))</f>
      </c>
      <c r="AD37" s="3056">
        <f>IF(OR(A37="",U37="",NOT(ISNUMBER(AB37))),"",RANK(AB37,$AB$3:$AB$164,1)+COUNTIFS($AB$3:AB37,AB37)-1)</f>
      </c>
      <c r="AE37" s="1736"/>
    </row>
    <row r="38" spans="1:19" ht="22.0" hidden="false" customHeight="true" x14ac:dyDescent="0.25">
      <c r="A38" s="3114" t="s">
        <v>95</v>
      </c>
      <c r="B38" s="3113" t="s">
        <v>96</v>
      </c>
      <c r="C38" s="3113" t="s">
        <v>97</v>
      </c>
      <c r="D38" s="3113" t="s">
        <v>100</v>
      </c>
      <c r="E38" s="3113"/>
      <c r="F38" s="3113" t="s">
        <v>99</v>
      </c>
      <c r="G38" s="3113" t="s">
        <v>13</v>
      </c>
      <c r="H38" s="3113" t="s">
        <v>14</v>
      </c>
      <c r="I38" s="3113"/>
      <c r="J38" s="3113"/>
      <c r="K38" s="3113"/>
      <c r="L38" s="3113"/>
      <c r="M38" s="3113" t="s">
        <v>382</v>
      </c>
      <c r="N38" s="3113" t="s">
        <v>362</v>
      </c>
      <c r="O38" s="3113" t="s">
        <v>349</v>
      </c>
      <c r="P38" s="3113"/>
      <c r="Q38" s="3116"/>
      <c r="R38" s="3116"/>
      <c r="S38" s="3116"/>
      <c r="T38" s="3116"/>
      <c r="U38" s="3117"/>
      <c r="V38" s="3113"/>
      <c r="W38" s="3113"/>
      <c r="X38" s="3056">
        <f>IF(A38="","",IF(LEN(SUBSTITUTE(SUBSTITUTE(SUBSTITUTE(SUBSTITUTE(D38,".",""),"/",""),"-","")," ",""))&lt;&gt;14,"CNPJ INVALIDO","OK"))</f>
      </c>
      <c r="Y38" s="3056">
        <f>IF(A38="","",IF(R38="","REST PENDENTE","REST OK"))</f>
      </c>
      <c r="Z38" s="3056">
        <f>IF(A38="","",IF(AND(R38&lt;&gt;"",COUNTIFS($D$3:$D$164,D38,$R$3:$R$164,"&lt;&gt;")&gt;1),"DUPLICADO","OK"))</f>
      </c>
      <c r="AA38" s="3056">
        <f>IF(A38="","",IF(OR(LEN(Q38)&gt;180,LEN(R38)&gt;180,LEN(S38)&gt;180,LEN(T38)&gt;180),"CAMINHO LONGO","OK"))</f>
      </c>
      <c r="AB38" s="3056">
        <f>IF(A38="","",IF(U38="","",IFERROR(INT(U38-TODAY()),"")))</f>
      </c>
      <c r="AC38" s="3056">
        <f>IF(A38="","",IF(AND(T38="",U38=""),"",IF(T38="","SEM CAMINHO",IF(U38="","SEM DATA",IFERROR(IF(AB38&lt;15,"VERMELHO",IF(AB38&lt;=30,"AMARELO","VERDE")),"DATA INVALIDA")))))</f>
      </c>
      <c r="AD38" s="3056">
        <f>IF(OR(A38="",U38="",NOT(ISNUMBER(AB38))),"",RANK(AB38,$AB$3:$AB$164,1)+COUNTIFS($AB$3:AB38,AB38)-1)</f>
      </c>
      <c r="AE38" s="1736"/>
    </row>
    <row r="39" spans="1:19" ht="22.0" hidden="false" customHeight="true" x14ac:dyDescent="0.25">
      <c r="A39" s="3109" t="s">
        <v>95</v>
      </c>
      <c r="B39" s="3108" t="s">
        <v>96</v>
      </c>
      <c r="C39" s="3108" t="s">
        <v>97</v>
      </c>
      <c r="D39" s="3108" t="s">
        <v>101</v>
      </c>
      <c r="E39" s="3108"/>
      <c r="F39" s="3108" t="s">
        <v>99</v>
      </c>
      <c r="G39" s="3108" t="s">
        <v>13</v>
      </c>
      <c r="H39" s="3108" t="s">
        <v>14</v>
      </c>
      <c r="I39" s="3108"/>
      <c r="J39" s="3108"/>
      <c r="K39" s="3108"/>
      <c r="L39" s="3108"/>
      <c r="M39" s="3108" t="s">
        <v>382</v>
      </c>
      <c r="N39" s="3108" t="s">
        <v>362</v>
      </c>
      <c r="O39" s="3108" t="s">
        <v>349</v>
      </c>
      <c r="P39" s="3108"/>
      <c r="Q39" s="3111"/>
      <c r="R39" s="3111"/>
      <c r="S39" s="3111"/>
      <c r="T39" s="3111"/>
      <c r="U39" s="3112"/>
      <c r="V39" s="3108"/>
      <c r="W39" s="3108"/>
      <c r="X39" s="3056">
        <f>IF(A39="","",IF(LEN(SUBSTITUTE(SUBSTITUTE(SUBSTITUTE(SUBSTITUTE(D39,".",""),"/",""),"-","")," ",""))&lt;&gt;14,"CNPJ INVALIDO","OK"))</f>
      </c>
      <c r="Y39" s="3056">
        <f>IF(A39="","",IF(R39="","REST PENDENTE","REST OK"))</f>
      </c>
      <c r="Z39" s="3056">
        <f>IF(A39="","",IF(AND(R39&lt;&gt;"",COUNTIFS($D$3:$D$164,D39,$R$3:$R$164,"&lt;&gt;")&gt;1),"DUPLICADO","OK"))</f>
      </c>
      <c r="AA39" s="3056">
        <f>IF(A39="","",IF(OR(LEN(Q39)&gt;180,LEN(R39)&gt;180,LEN(S39)&gt;180,LEN(T39)&gt;180),"CAMINHO LONGO","OK"))</f>
      </c>
      <c r="AB39" s="3056">
        <f>IF(A39="","",IF(U39="","",IFERROR(INT(U39-TODAY()),"")))</f>
      </c>
      <c r="AC39" s="3056">
        <f>IF(A39="","",IF(AND(T39="",U39=""),"",IF(T39="","SEM CAMINHO",IF(U39="","SEM DATA",IFERROR(IF(AB39&lt;15,"VERMELHO",IF(AB39&lt;=30,"AMARELO","VERDE")),"DATA INVALIDA")))))</f>
      </c>
      <c r="AD39" s="3056">
        <f>IF(OR(A39="",U39="",NOT(ISNUMBER(AB39))),"",RANK(AB39,$AB$3:$AB$164,1)+COUNTIFS($AB$3:AB39,AB39)-1)</f>
      </c>
      <c r="AE39" s="1736"/>
    </row>
    <row r="40" spans="1:19" ht="22.0" hidden="false" customHeight="true" x14ac:dyDescent="0.25">
      <c r="A40" s="3114" t="s">
        <v>95</v>
      </c>
      <c r="B40" s="3113" t="s">
        <v>96</v>
      </c>
      <c r="C40" s="3113" t="s">
        <v>97</v>
      </c>
      <c r="D40" s="3113" t="s">
        <v>102</v>
      </c>
      <c r="E40" s="3113"/>
      <c r="F40" s="3113" t="s">
        <v>99</v>
      </c>
      <c r="G40" s="3113" t="s">
        <v>13</v>
      </c>
      <c r="H40" s="3113" t="s">
        <v>14</v>
      </c>
      <c r="I40" s="3113"/>
      <c r="J40" s="3113"/>
      <c r="K40" s="3113"/>
      <c r="L40" s="3113"/>
      <c r="M40" s="3113" t="s">
        <v>382</v>
      </c>
      <c r="N40" s="3113" t="s">
        <v>362</v>
      </c>
      <c r="O40" s="3113" t="s">
        <v>349</v>
      </c>
      <c r="P40" s="3113"/>
      <c r="Q40" s="3116"/>
      <c r="R40" s="3116"/>
      <c r="S40" s="3116"/>
      <c r="T40" s="3116"/>
      <c r="U40" s="3117"/>
      <c r="V40" s="3113"/>
      <c r="W40" s="3113"/>
      <c r="X40" s="3056">
        <f>IF(A40="","",IF(LEN(SUBSTITUTE(SUBSTITUTE(SUBSTITUTE(SUBSTITUTE(D40,".",""),"/",""),"-","")," ",""))&lt;&gt;14,"CNPJ INVALIDO","OK"))</f>
      </c>
      <c r="Y40" s="3056">
        <f>IF(A40="","",IF(R40="","REST PENDENTE","REST OK"))</f>
      </c>
      <c r="Z40" s="3056">
        <f>IF(A40="","",IF(AND(R40&lt;&gt;"",COUNTIFS($D$3:$D$164,D40,$R$3:$R$164,"&lt;&gt;")&gt;1),"DUPLICADO","OK"))</f>
      </c>
      <c r="AA40" s="3056">
        <f>IF(A40="","",IF(OR(LEN(Q40)&gt;180,LEN(R40)&gt;180,LEN(S40)&gt;180,LEN(T40)&gt;180),"CAMINHO LONGO","OK"))</f>
      </c>
      <c r="AB40" s="3056">
        <f>IF(A40="","",IF(U40="","",IFERROR(INT(U40-TODAY()),"")))</f>
      </c>
      <c r="AC40" s="3056">
        <f>IF(A40="","",IF(AND(T40="",U40=""),"",IF(T40="","SEM CAMINHO",IF(U40="","SEM DATA",IFERROR(IF(AB40&lt;15,"VERMELHO",IF(AB40&lt;=30,"AMARELO","VERDE")),"DATA INVALIDA")))))</f>
      </c>
      <c r="AD40" s="3056">
        <f>IF(OR(A40="",U40="",NOT(ISNUMBER(AB40))),"",RANK(AB40,$AB$3:$AB$164,1)+COUNTIFS($AB$3:AB40,AB40)-1)</f>
      </c>
      <c r="AE40" s="1736"/>
    </row>
    <row r="41" spans="1:19" ht="22.0" hidden="false" customHeight="true" x14ac:dyDescent="0.25">
      <c r="A41" s="3109" t="s">
        <v>95</v>
      </c>
      <c r="B41" s="3108" t="s">
        <v>96</v>
      </c>
      <c r="C41" s="3108" t="s">
        <v>97</v>
      </c>
      <c r="D41" s="3108" t="s">
        <v>103</v>
      </c>
      <c r="E41" s="3108"/>
      <c r="F41" s="3108" t="s">
        <v>99</v>
      </c>
      <c r="G41" s="3108" t="s">
        <v>13</v>
      </c>
      <c r="H41" s="3108" t="s">
        <v>14</v>
      </c>
      <c r="I41" s="3108"/>
      <c r="J41" s="3108"/>
      <c r="K41" s="3108"/>
      <c r="L41" s="3108"/>
      <c r="M41" s="3108" t="s">
        <v>382</v>
      </c>
      <c r="N41" s="3108" t="s">
        <v>362</v>
      </c>
      <c r="O41" s="3108" t="s">
        <v>349</v>
      </c>
      <c r="P41" s="3108"/>
      <c r="Q41" s="3111"/>
      <c r="R41" s="3111"/>
      <c r="S41" s="3111"/>
      <c r="T41" s="3111"/>
      <c r="U41" s="3112"/>
      <c r="V41" s="3108"/>
      <c r="W41" s="3108"/>
      <c r="X41" s="3056">
        <f>IF(A41="","",IF(LEN(SUBSTITUTE(SUBSTITUTE(SUBSTITUTE(SUBSTITUTE(D41,".",""),"/",""),"-","")," ",""))&lt;&gt;14,"CNPJ INVALIDO","OK"))</f>
      </c>
      <c r="Y41" s="3056">
        <f>IF(A41="","",IF(R41="","REST PENDENTE","REST OK"))</f>
      </c>
      <c r="Z41" s="3056">
        <f>IF(A41="","",IF(AND(R41&lt;&gt;"",COUNTIFS($D$3:$D$164,D41,$R$3:$R$164,"&lt;&gt;")&gt;1),"DUPLICADO","OK"))</f>
      </c>
      <c r="AA41" s="3056">
        <f>IF(A41="","",IF(OR(LEN(Q41)&gt;180,LEN(R41)&gt;180,LEN(S41)&gt;180,LEN(T41)&gt;180),"CAMINHO LONGO","OK"))</f>
      </c>
      <c r="AB41" s="3056">
        <f>IF(A41="","",IF(U41="","",IFERROR(INT(U41-TODAY()),"")))</f>
      </c>
      <c r="AC41" s="3056">
        <f>IF(A41="","",IF(AND(T41="",U41=""),"",IF(T41="","SEM CAMINHO",IF(U41="","SEM DATA",IFERROR(IF(AB41&lt;15,"VERMELHO",IF(AB41&lt;=30,"AMARELO","VERDE")),"DATA INVALIDA")))))</f>
      </c>
      <c r="AD41" s="3056">
        <f>IF(OR(A41="",U41="",NOT(ISNUMBER(AB41))),"",RANK(AB41,$AB$3:$AB$164,1)+COUNTIFS($AB$3:AB41,AB41)-1)</f>
      </c>
      <c r="AE41" s="1736"/>
    </row>
    <row r="42" spans="1:19" ht="22.0" hidden="false" customHeight="true" x14ac:dyDescent="0.25">
      <c r="A42" s="3114" t="s">
        <v>95</v>
      </c>
      <c r="B42" s="3113" t="s">
        <v>96</v>
      </c>
      <c r="C42" s="3113" t="s">
        <v>104</v>
      </c>
      <c r="D42" s="3113" t="s">
        <v>105</v>
      </c>
      <c r="E42" s="3113"/>
      <c r="F42" s="3113" t="s">
        <v>99</v>
      </c>
      <c r="G42" s="3113" t="s">
        <v>13</v>
      </c>
      <c r="H42" s="3113" t="s">
        <v>14</v>
      </c>
      <c r="I42" s="3113"/>
      <c r="J42" s="3113"/>
      <c r="K42" s="3113"/>
      <c r="L42" s="3113"/>
      <c r="M42" s="3113" t="s">
        <v>382</v>
      </c>
      <c r="N42" s="3113" t="s">
        <v>362</v>
      </c>
      <c r="O42" s="3113" t="s">
        <v>349</v>
      </c>
      <c r="P42" s="3113"/>
      <c r="Q42" s="3116"/>
      <c r="R42" s="3116"/>
      <c r="S42" s="3116"/>
      <c r="T42" s="3116"/>
      <c r="U42" s="3117"/>
      <c r="V42" s="3113"/>
      <c r="W42" s="3113"/>
      <c r="X42" s="3056">
        <f>IF(A42="","",IF(LEN(SUBSTITUTE(SUBSTITUTE(SUBSTITUTE(SUBSTITUTE(D42,".",""),"/",""),"-","")," ",""))&lt;&gt;14,"CNPJ INVALIDO","OK"))</f>
      </c>
      <c r="Y42" s="3056">
        <f>IF(A42="","",IF(R42="","REST PENDENTE","REST OK"))</f>
      </c>
      <c r="Z42" s="3056">
        <f>IF(A42="","",IF(AND(R42&lt;&gt;"",COUNTIFS($D$3:$D$164,D42,$R$3:$R$164,"&lt;&gt;")&gt;1),"DUPLICADO","OK"))</f>
      </c>
      <c r="AA42" s="3056">
        <f>IF(A42="","",IF(OR(LEN(Q42)&gt;180,LEN(R42)&gt;180,LEN(S42)&gt;180,LEN(T42)&gt;180),"CAMINHO LONGO","OK"))</f>
      </c>
      <c r="AB42" s="3056">
        <f>IF(A42="","",IF(U42="","",IFERROR(INT(U42-TODAY()),"")))</f>
      </c>
      <c r="AC42" s="3056">
        <f>IF(A42="","",IF(AND(T42="",U42=""),"",IF(T42="","SEM CAMINHO",IF(U42="","SEM DATA",IFERROR(IF(AB42&lt;15,"VERMELHO",IF(AB42&lt;=30,"AMARELO","VERDE")),"DATA INVALIDA")))))</f>
      </c>
      <c r="AD42" s="3056">
        <f>IF(OR(A42="",U42="",NOT(ISNUMBER(AB42))),"",RANK(AB42,$AB$3:$AB$164,1)+COUNTIFS($AB$3:AB42,AB42)-1)</f>
      </c>
      <c r="AE42" s="1736"/>
    </row>
    <row r="43" spans="1:19" ht="22.0" hidden="false" customHeight="true" x14ac:dyDescent="0.25">
      <c r="A43" s="3109" t="s">
        <v>95</v>
      </c>
      <c r="B43" s="3108" t="s">
        <v>96</v>
      </c>
      <c r="C43" s="3108" t="s">
        <v>104</v>
      </c>
      <c r="D43" s="3108" t="s">
        <v>106</v>
      </c>
      <c r="E43" s="3108"/>
      <c r="F43" s="3108" t="s">
        <v>99</v>
      </c>
      <c r="G43" s="3108" t="s">
        <v>13</v>
      </c>
      <c r="H43" s="3108" t="s">
        <v>14</v>
      </c>
      <c r="I43" s="3108"/>
      <c r="J43" s="3108"/>
      <c r="K43" s="3108"/>
      <c r="L43" s="3108"/>
      <c r="M43" s="3108" t="s">
        <v>382</v>
      </c>
      <c r="N43" s="3108" t="s">
        <v>362</v>
      </c>
      <c r="O43" s="3108" t="s">
        <v>349</v>
      </c>
      <c r="P43" s="3108"/>
      <c r="Q43" s="3111"/>
      <c r="R43" s="3111"/>
      <c r="S43" s="3111"/>
      <c r="T43" s="3111"/>
      <c r="U43" s="3112"/>
      <c r="V43" s="3108"/>
      <c r="W43" s="3108"/>
      <c r="X43" s="3056">
        <f>IF(A43="","",IF(LEN(SUBSTITUTE(SUBSTITUTE(SUBSTITUTE(SUBSTITUTE(D43,".",""),"/",""),"-","")," ",""))&lt;&gt;14,"CNPJ INVALIDO","OK"))</f>
      </c>
      <c r="Y43" s="3056">
        <f>IF(A43="","",IF(R43="","REST PENDENTE","REST OK"))</f>
      </c>
      <c r="Z43" s="3056">
        <f>IF(A43="","",IF(AND(R43&lt;&gt;"",COUNTIFS($D$3:$D$164,D43,$R$3:$R$164,"&lt;&gt;")&gt;1),"DUPLICADO","OK"))</f>
      </c>
      <c r="AA43" s="3056">
        <f>IF(A43="","",IF(OR(LEN(Q43)&gt;180,LEN(R43)&gt;180,LEN(S43)&gt;180,LEN(T43)&gt;180),"CAMINHO LONGO","OK"))</f>
      </c>
      <c r="AB43" s="3056">
        <f>IF(A43="","",IF(U43="","",IFERROR(INT(U43-TODAY()),"")))</f>
      </c>
      <c r="AC43" s="3056">
        <f>IF(A43="","",IF(AND(T43="",U43=""),"",IF(T43="","SEM CAMINHO",IF(U43="","SEM DATA",IFERROR(IF(AB43&lt;15,"VERMELHO",IF(AB43&lt;=30,"AMARELO","VERDE")),"DATA INVALIDA")))))</f>
      </c>
      <c r="AD43" s="3056">
        <f>IF(OR(A43="",U43="",NOT(ISNUMBER(AB43))),"",RANK(AB43,$AB$3:$AB$164,1)+COUNTIFS($AB$3:AB43,AB43)-1)</f>
      </c>
      <c r="AE43" s="1736"/>
    </row>
    <row r="44" spans="1:19" ht="22.0" hidden="false" customHeight="true" x14ac:dyDescent="0.25">
      <c r="A44" s="3114" t="s">
        <v>107</v>
      </c>
      <c r="B44" s="3113" t="s">
        <v>108</v>
      </c>
      <c r="C44" s="3113" t="s">
        <v>62</v>
      </c>
      <c r="D44" s="3113">
        <v>50056304000149</v>
      </c>
      <c r="E44" s="3113"/>
      <c r="F44" s="3113" t="s">
        <v>109</v>
      </c>
      <c r="G44" s="3113" t="s">
        <v>4</v>
      </c>
      <c r="H44" s="3113" t="s">
        <v>49</v>
      </c>
      <c r="I44" s="3113"/>
      <c r="J44" s="3113"/>
      <c r="K44" s="3113"/>
      <c r="L44" s="3113"/>
      <c r="M44" s="3113" t="s">
        <v>379</v>
      </c>
      <c r="N44" s="3113"/>
      <c r="O44" s="3113" t="s">
        <v>349</v>
      </c>
      <c r="P44" s="3113"/>
      <c r="Q44" s="3116"/>
      <c r="R44" s="3116"/>
      <c r="S44" s="3116"/>
      <c r="T44" s="3116"/>
      <c r="U44" s="3117"/>
      <c r="V44" s="3113"/>
      <c r="W44" s="3113"/>
      <c r="X44" s="3056">
        <f>IF(A44="","",IF(LEN(SUBSTITUTE(SUBSTITUTE(SUBSTITUTE(SUBSTITUTE(D44,".",""),"/",""),"-","")," ",""))&lt;&gt;14,"CNPJ INVALIDO","OK"))</f>
      </c>
      <c r="Y44" s="3056">
        <f>IF(A44="","",IF(R44="","REST PENDENTE","REST OK"))</f>
      </c>
      <c r="Z44" s="3056">
        <f>IF(A44="","",IF(AND(R44&lt;&gt;"",COUNTIFS($D$3:$D$164,D44,$R$3:$R$164,"&lt;&gt;")&gt;1),"DUPLICADO","OK"))</f>
      </c>
      <c r="AA44" s="3056">
        <f>IF(A44="","",IF(OR(LEN(Q44)&gt;180,LEN(R44)&gt;180,LEN(S44)&gt;180,LEN(T44)&gt;180),"CAMINHO LONGO","OK"))</f>
      </c>
      <c r="AB44" s="3056">
        <f>IF(A44="","",IF(U44="","",IFERROR(INT(U44-TODAY()),"")))</f>
      </c>
      <c r="AC44" s="3056">
        <f>IF(A44="","",IF(AND(T44="",U44=""),"",IF(T44="","SEM CAMINHO",IF(U44="","SEM DATA",IFERROR(IF(AB44&lt;15,"VERMELHO",IF(AB44&lt;=30,"AMARELO","VERDE")),"DATA INVALIDA")))))</f>
      </c>
      <c r="AD44" s="3056">
        <f>IF(OR(A44="",U44="",NOT(ISNUMBER(AB44))),"",RANK(AB44,$AB$3:$AB$164,1)+COUNTIFS($AB$3:AB44,AB44)-1)</f>
      </c>
      <c r="AE44" s="1736"/>
    </row>
    <row r="45" spans="1:19" ht="22.0" hidden="false" customHeight="true" x14ac:dyDescent="0.25">
      <c r="A45" s="3109" t="s">
        <v>110</v>
      </c>
      <c r="B45" s="3108" t="s">
        <v>108</v>
      </c>
      <c r="C45" s="3108" t="s">
        <v>62</v>
      </c>
      <c r="D45" s="3108">
        <v>59971731000127</v>
      </c>
      <c r="E45" s="3108"/>
      <c r="F45" s="3108" t="s">
        <v>109</v>
      </c>
      <c r="G45" s="3108" t="s">
        <v>4</v>
      </c>
      <c r="H45" s="3108" t="s">
        <v>49</v>
      </c>
      <c r="I45" s="3108"/>
      <c r="J45" s="3108"/>
      <c r="K45" s="3108"/>
      <c r="L45" s="3108"/>
      <c r="M45" s="3108" t="s">
        <v>379</v>
      </c>
      <c r="N45" s="3108"/>
      <c r="O45" s="3108" t="s">
        <v>349</v>
      </c>
      <c r="P45" s="3108"/>
      <c r="Q45" s="3111"/>
      <c r="R45" s="3111"/>
      <c r="S45" s="3111"/>
      <c r="T45" s="3111"/>
      <c r="U45" s="3112"/>
      <c r="V45" s="3108"/>
      <c r="W45" s="3108"/>
      <c r="X45" s="3056">
        <f>IF(A45="","",IF(LEN(SUBSTITUTE(SUBSTITUTE(SUBSTITUTE(SUBSTITUTE(D45,".",""),"/",""),"-","")," ",""))&lt;&gt;14,"CNPJ INVALIDO","OK"))</f>
      </c>
      <c r="Y45" s="3056">
        <f>IF(A45="","",IF(R45="","REST PENDENTE","REST OK"))</f>
      </c>
      <c r="Z45" s="3056">
        <f>IF(A45="","",IF(AND(R45&lt;&gt;"",COUNTIFS($D$3:$D$164,D45,$R$3:$R$164,"&lt;&gt;")&gt;1),"DUPLICADO","OK"))</f>
      </c>
      <c r="AA45" s="3056">
        <f>IF(A45="","",IF(OR(LEN(Q45)&gt;180,LEN(R45)&gt;180,LEN(S45)&gt;180,LEN(T45)&gt;180),"CAMINHO LONGO","OK"))</f>
      </c>
      <c r="AB45" s="3056">
        <f>IF(A45="","",IF(U45="","",IFERROR(INT(U45-TODAY()),"")))</f>
      </c>
      <c r="AC45" s="3056">
        <f>IF(A45="","",IF(AND(T45="",U45=""),"",IF(T45="","SEM CAMINHO",IF(U45="","SEM DATA",IFERROR(IF(AB45&lt;15,"VERMELHO",IF(AB45&lt;=30,"AMARELO","VERDE")),"DATA INVALIDA")))))</f>
      </c>
      <c r="AD45" s="3056">
        <f>IF(OR(A45="",U45="",NOT(ISNUMBER(AB45))),"",RANK(AB45,$AB$3:$AB$164,1)+COUNTIFS($AB$3:AB45,AB45)-1)</f>
      </c>
      <c r="AE45" s="1736"/>
    </row>
    <row r="46" spans="1:19" ht="22.0" hidden="false" customHeight="true" x14ac:dyDescent="0.25">
      <c r="A46" s="3114" t="s">
        <v>111</v>
      </c>
      <c r="B46" s="3113" t="s">
        <v>108</v>
      </c>
      <c r="C46" s="3113" t="s">
        <v>69</v>
      </c>
      <c r="D46" s="3113" t="s">
        <v>112</v>
      </c>
      <c r="E46" s="3113"/>
      <c r="F46" s="3113" t="s">
        <v>113</v>
      </c>
      <c r="G46" s="3113" t="s">
        <v>13</v>
      </c>
      <c r="H46" s="3113" t="s">
        <v>49</v>
      </c>
      <c r="I46" s="3113"/>
      <c r="J46" s="3113"/>
      <c r="K46" s="3113"/>
      <c r="L46" s="3113"/>
      <c r="M46" s="3113" t="s">
        <v>377</v>
      </c>
      <c r="N46" s="3113"/>
      <c r="O46" s="3113" t="s">
        <v>347</v>
      </c>
      <c r="P46" s="3113"/>
      <c r="Q46" s="3116"/>
      <c r="R46" s="3116"/>
      <c r="S46" s="3116"/>
      <c r="T46" s="3116"/>
      <c r="U46" s="3117"/>
      <c r="V46" s="3113"/>
      <c r="W46" s="3113"/>
      <c r="X46" s="3056">
        <f>IF(A46="","",IF(LEN(SUBSTITUTE(SUBSTITUTE(SUBSTITUTE(SUBSTITUTE(D46,".",""),"/",""),"-","")," ",""))&lt;&gt;14,"CNPJ INVALIDO","OK"))</f>
      </c>
      <c r="Y46" s="3056">
        <f>IF(A46="","",IF(R46="","REST PENDENTE","REST OK"))</f>
      </c>
      <c r="Z46" s="3056">
        <f>IF(A46="","",IF(AND(R46&lt;&gt;"",COUNTIFS($D$3:$D$164,D46,$R$3:$R$164,"&lt;&gt;")&gt;1),"DUPLICADO","OK"))</f>
      </c>
      <c r="AA46" s="3056">
        <f>IF(A46="","",IF(OR(LEN(Q46)&gt;180,LEN(R46)&gt;180,LEN(S46)&gt;180,LEN(T46)&gt;180),"CAMINHO LONGO","OK"))</f>
      </c>
      <c r="AB46" s="3056">
        <f>IF(A46="","",IF(U46="","",IFERROR(INT(U46-TODAY()),"")))</f>
      </c>
      <c r="AC46" s="3056">
        <f>IF(A46="","",IF(AND(T46="",U46=""),"",IF(T46="","SEM CAMINHO",IF(U46="","SEM DATA",IFERROR(IF(AB46&lt;15,"VERMELHO",IF(AB46&lt;=30,"AMARELO","VERDE")),"DATA INVALIDA")))))</f>
      </c>
      <c r="AD46" s="3056">
        <f>IF(OR(A46="",U46="",NOT(ISNUMBER(AB46))),"",RANK(AB46,$AB$3:$AB$164,1)+COUNTIFS($AB$3:AB46,AB46)-1)</f>
      </c>
      <c r="AE46" s="1736"/>
    </row>
    <row r="47" spans="1:19" ht="22.0" hidden="false" customHeight="true" x14ac:dyDescent="0.25">
      <c r="A47" s="3109" t="s">
        <v>114</v>
      </c>
      <c r="B47" s="3108" t="s">
        <v>115</v>
      </c>
      <c r="C47" s="3108" t="s">
        <v>116</v>
      </c>
      <c r="D47" s="3108" t="s">
        <v>117</v>
      </c>
      <c r="E47" s="3108"/>
      <c r="F47" s="3108" t="s">
        <v>118</v>
      </c>
      <c r="G47" s="3108" t="s">
        <v>13</v>
      </c>
      <c r="H47" s="3108" t="s">
        <v>14</v>
      </c>
      <c r="I47" s="3108"/>
      <c r="J47" s="3108"/>
      <c r="K47" s="3108"/>
      <c r="L47" s="3108"/>
      <c r="M47" s="3108" t="s">
        <v>377</v>
      </c>
      <c r="N47" s="3108"/>
      <c r="O47" s="3108" t="s">
        <v>350</v>
      </c>
      <c r="P47" s="3108"/>
      <c r="Q47" s="3111"/>
      <c r="R47" s="3111"/>
      <c r="S47" s="3111"/>
      <c r="T47" s="3111"/>
      <c r="U47" s="3112"/>
      <c r="V47" s="3108"/>
      <c r="W47" s="3108"/>
      <c r="X47" s="3056">
        <f>IF(A47="","",IF(LEN(SUBSTITUTE(SUBSTITUTE(SUBSTITUTE(SUBSTITUTE(D47,".",""),"/",""),"-","")," ",""))&lt;&gt;14,"CNPJ INVALIDO","OK"))</f>
      </c>
      <c r="Y47" s="3056">
        <f>IF(A47="","",IF(R47="","REST PENDENTE","REST OK"))</f>
      </c>
      <c r="Z47" s="3056">
        <f>IF(A47="","",IF(AND(R47&lt;&gt;"",COUNTIFS($D$3:$D$164,D47,$R$3:$R$164,"&lt;&gt;")&gt;1),"DUPLICADO","OK"))</f>
      </c>
      <c r="AA47" s="3056">
        <f>IF(A47="","",IF(OR(LEN(Q47)&gt;180,LEN(R47)&gt;180,LEN(S47)&gt;180,LEN(T47)&gt;180),"CAMINHO LONGO","OK"))</f>
      </c>
      <c r="AB47" s="3056">
        <f>IF(A47="","",IF(U47="","",IFERROR(INT(U47-TODAY()),"")))</f>
      </c>
      <c r="AC47" s="3056">
        <f>IF(A47="","",IF(AND(T47="",U47=""),"",IF(T47="","SEM CAMINHO",IF(U47="","SEM DATA",IFERROR(IF(AB47&lt;15,"VERMELHO",IF(AB47&lt;=30,"AMARELO","VERDE")),"DATA INVALIDA")))))</f>
      </c>
      <c r="AD47" s="3056">
        <f>IF(OR(A47="",U47="",NOT(ISNUMBER(AB47))),"",RANK(AB47,$AB$3:$AB$164,1)+COUNTIFS($AB$3:AB47,AB47)-1)</f>
      </c>
      <c r="AE47" s="1736"/>
    </row>
    <row r="48" spans="1:19" ht="22.0" hidden="false" customHeight="true" x14ac:dyDescent="0.25">
      <c r="A48" s="3114" t="s">
        <v>119</v>
      </c>
      <c r="B48" s="3113" t="s">
        <v>115</v>
      </c>
      <c r="C48" s="3113" t="s">
        <v>116</v>
      </c>
      <c r="D48" s="3113" t="s">
        <v>120</v>
      </c>
      <c r="E48" s="3113"/>
      <c r="F48" s="3113" t="s">
        <v>118</v>
      </c>
      <c r="G48" s="3113" t="s">
        <v>13</v>
      </c>
      <c r="H48" s="3113" t="s">
        <v>14</v>
      </c>
      <c r="I48" s="3113"/>
      <c r="J48" s="3113"/>
      <c r="K48" s="3113"/>
      <c r="L48" s="3113"/>
      <c r="M48" s="3113" t="s">
        <v>376</v>
      </c>
      <c r="N48" s="3113"/>
      <c r="O48" s="3113" t="s">
        <v>347</v>
      </c>
      <c r="P48" s="3113"/>
      <c r="Q48" s="3116"/>
      <c r="R48" s="3116"/>
      <c r="S48" s="3116"/>
      <c r="T48" s="3116"/>
      <c r="U48" s="3117"/>
      <c r="V48" s="3113"/>
      <c r="W48" s="3113"/>
      <c r="X48" s="3056">
        <f>IF(A48="","",IF(LEN(SUBSTITUTE(SUBSTITUTE(SUBSTITUTE(SUBSTITUTE(D48,".",""),"/",""),"-","")," ",""))&lt;&gt;14,"CNPJ INVALIDO","OK"))</f>
      </c>
      <c r="Y48" s="3056">
        <f>IF(A48="","",IF(R48="","REST PENDENTE","REST OK"))</f>
      </c>
      <c r="Z48" s="3056">
        <f>IF(A48="","",IF(AND(R48&lt;&gt;"",COUNTIFS($D$3:$D$164,D48,$R$3:$R$164,"&lt;&gt;")&gt;1),"DUPLICADO","OK"))</f>
      </c>
      <c r="AA48" s="3056">
        <f>IF(A48="","",IF(OR(LEN(Q48)&gt;180,LEN(R48)&gt;180,LEN(S48)&gt;180,LEN(T48)&gt;180),"CAMINHO LONGO","OK"))</f>
      </c>
      <c r="AB48" s="3056">
        <f>IF(A48="","",IF(U48="","",IFERROR(INT(U48-TODAY()),"")))</f>
      </c>
      <c r="AC48" s="3056">
        <f>IF(A48="","",IF(AND(T48="",U48=""),"",IF(T48="","SEM CAMINHO",IF(U48="","SEM DATA",IFERROR(IF(AB48&lt;15,"VERMELHO",IF(AB48&lt;=30,"AMARELO","VERDE")),"DATA INVALIDA")))))</f>
      </c>
      <c r="AD48" s="3056">
        <f>IF(OR(A48="",U48="",NOT(ISNUMBER(AB48))),"",RANK(AB48,$AB$3:$AB$164,1)+COUNTIFS($AB$3:AB48,AB48)-1)</f>
      </c>
      <c r="AE48" s="1736"/>
    </row>
    <row r="49" spans="1:19" ht="22.0" hidden="false" customHeight="true" x14ac:dyDescent="0.25">
      <c r="A49" s="3109" t="s">
        <v>121</v>
      </c>
      <c r="B49" s="3108" t="s">
        <v>115</v>
      </c>
      <c r="C49" s="3108" t="s">
        <v>122</v>
      </c>
      <c r="D49" s="3108">
        <v>44742752000101</v>
      </c>
      <c r="E49" s="3108"/>
      <c r="F49" s="3108" t="s">
        <v>118</v>
      </c>
      <c r="G49" s="3108" t="s">
        <v>4</v>
      </c>
      <c r="H49" s="3108" t="s">
        <v>5</v>
      </c>
      <c r="I49" s="3108"/>
      <c r="J49" s="3108"/>
      <c r="K49" s="3108"/>
      <c r="L49" s="3108"/>
      <c r="M49" s="3108" t="s">
        <v>376</v>
      </c>
      <c r="N49" s="3108"/>
      <c r="O49" s="3108" t="s">
        <v>349</v>
      </c>
      <c r="P49" s="3108"/>
      <c r="Q49" s="3111"/>
      <c r="R49" s="3111"/>
      <c r="S49" s="3111"/>
      <c r="T49" s="3111"/>
      <c r="U49" s="3112"/>
      <c r="V49" s="3108"/>
      <c r="W49" s="3108"/>
      <c r="X49" s="3056">
        <f>IF(A49="","",IF(LEN(SUBSTITUTE(SUBSTITUTE(SUBSTITUTE(SUBSTITUTE(D49,".",""),"/",""),"-","")," ",""))&lt;&gt;14,"CNPJ INVALIDO","OK"))</f>
      </c>
      <c r="Y49" s="3056">
        <f>IF(A49="","",IF(R49="","REST PENDENTE","REST OK"))</f>
      </c>
      <c r="Z49" s="3056">
        <f>IF(A49="","",IF(AND(R49&lt;&gt;"",COUNTIFS($D$3:$D$164,D49,$R$3:$R$164,"&lt;&gt;")&gt;1),"DUPLICADO","OK"))</f>
      </c>
      <c r="AA49" s="3056">
        <f>IF(A49="","",IF(OR(LEN(Q49)&gt;180,LEN(R49)&gt;180,LEN(S49)&gt;180,LEN(T49)&gt;180),"CAMINHO LONGO","OK"))</f>
      </c>
      <c r="AB49" s="3056">
        <f>IF(A49="","",IF(U49="","",IFERROR(INT(U49-TODAY()),"")))</f>
      </c>
      <c r="AC49" s="3056">
        <f>IF(A49="","",IF(AND(T49="",U49=""),"",IF(T49="","SEM CAMINHO",IF(U49="","SEM DATA",IFERROR(IF(AB49&lt;15,"VERMELHO",IF(AB49&lt;=30,"AMARELO","VERDE")),"DATA INVALIDA")))))</f>
      </c>
      <c r="AD49" s="3056">
        <f>IF(OR(A49="",U49="",NOT(ISNUMBER(AB49))),"",RANK(AB49,$AB$3:$AB$164,1)+COUNTIFS($AB$3:AB49,AB49)-1)</f>
      </c>
      <c r="AE49" s="1736"/>
    </row>
    <row r="50" spans="1:19" ht="22.0" hidden="false" customHeight="true" x14ac:dyDescent="0.25">
      <c r="A50" s="3114" t="s">
        <v>123</v>
      </c>
      <c r="B50" s="3113" t="s">
        <v>115</v>
      </c>
      <c r="C50" s="3113" t="s">
        <v>116</v>
      </c>
      <c r="D50" s="3113" t="s">
        <v>124</v>
      </c>
      <c r="E50" s="3113"/>
      <c r="F50" s="3113" t="s">
        <v>125</v>
      </c>
      <c r="G50" s="3113" t="s">
        <v>13</v>
      </c>
      <c r="H50" s="3113" t="s">
        <v>14</v>
      </c>
      <c r="I50" s="3113"/>
      <c r="J50" s="3113"/>
      <c r="K50" s="3113"/>
      <c r="L50" s="3113"/>
      <c r="M50" s="3113" t="s">
        <v>379</v>
      </c>
      <c r="N50" s="3113"/>
      <c r="O50" s="3113" t="s">
        <v>349</v>
      </c>
      <c r="P50" s="3113"/>
      <c r="Q50" s="3116"/>
      <c r="R50" s="3116"/>
      <c r="S50" s="3116"/>
      <c r="T50" s="3116"/>
      <c r="U50" s="3117"/>
      <c r="V50" s="3113"/>
      <c r="W50" s="3113"/>
      <c r="X50" s="3056">
        <f>IF(A50="","",IF(LEN(SUBSTITUTE(SUBSTITUTE(SUBSTITUTE(SUBSTITUTE(D50,".",""),"/",""),"-","")," ",""))&lt;&gt;14,"CNPJ INVALIDO","OK"))</f>
      </c>
      <c r="Y50" s="3056">
        <f>IF(A50="","",IF(R50="","REST PENDENTE","REST OK"))</f>
      </c>
      <c r="Z50" s="3056">
        <f>IF(A50="","",IF(AND(R50&lt;&gt;"",COUNTIFS($D$3:$D$164,D50,$R$3:$R$164,"&lt;&gt;")&gt;1),"DUPLICADO","OK"))</f>
      </c>
      <c r="AA50" s="3056">
        <f>IF(A50="","",IF(OR(LEN(Q50)&gt;180,LEN(R50)&gt;180,LEN(S50)&gt;180,LEN(T50)&gt;180),"CAMINHO LONGO","OK"))</f>
      </c>
      <c r="AB50" s="3056">
        <f>IF(A50="","",IF(U50="","",IFERROR(INT(U50-TODAY()),"")))</f>
      </c>
      <c r="AC50" s="3056">
        <f>IF(A50="","",IF(AND(T50="",U50=""),"",IF(T50="","SEM CAMINHO",IF(U50="","SEM DATA",IFERROR(IF(AB50&lt;15,"VERMELHO",IF(AB50&lt;=30,"AMARELO","VERDE")),"DATA INVALIDA")))))</f>
      </c>
      <c r="AD50" s="3056">
        <f>IF(OR(A50="",U50="",NOT(ISNUMBER(AB50))),"",RANK(AB50,$AB$3:$AB$164,1)+COUNTIFS($AB$3:AB50,AB50)-1)</f>
      </c>
      <c r="AE50" s="1736"/>
    </row>
    <row r="51" spans="1:19" ht="22.0" hidden="false" customHeight="true" x14ac:dyDescent="0.25">
      <c r="A51" s="3109" t="s">
        <v>126</v>
      </c>
      <c r="B51" s="3108" t="s">
        <v>115</v>
      </c>
      <c r="C51" s="3108" t="s">
        <v>122</v>
      </c>
      <c r="D51" s="3108">
        <v>44777527000100</v>
      </c>
      <c r="E51" s="3108"/>
      <c r="F51" s="3108" t="s">
        <v>125</v>
      </c>
      <c r="G51" s="3108" t="s">
        <v>4</v>
      </c>
      <c r="H51" s="3108" t="s">
        <v>5</v>
      </c>
      <c r="I51" s="3108"/>
      <c r="J51" s="3108"/>
      <c r="K51" s="3108"/>
      <c r="L51" s="3108"/>
      <c r="M51" s="3108" t="s">
        <v>379</v>
      </c>
      <c r="N51" s="3108"/>
      <c r="O51" s="3108" t="s">
        <v>349</v>
      </c>
      <c r="P51" s="3108"/>
      <c r="Q51" s="3111"/>
      <c r="R51" s="3111"/>
      <c r="S51" s="3111"/>
      <c r="T51" s="3111"/>
      <c r="U51" s="3112"/>
      <c r="V51" s="3108"/>
      <c r="W51" s="3108"/>
      <c r="X51" s="3056">
        <f>IF(A51="","",IF(LEN(SUBSTITUTE(SUBSTITUTE(SUBSTITUTE(SUBSTITUTE(D51,".",""),"/",""),"-","")," ",""))&lt;&gt;14,"CNPJ INVALIDO","OK"))</f>
      </c>
      <c r="Y51" s="3056">
        <f>IF(A51="","",IF(R51="","REST PENDENTE","REST OK"))</f>
      </c>
      <c r="Z51" s="3056">
        <f>IF(A51="","",IF(AND(R51&lt;&gt;"",COUNTIFS($D$3:$D$164,D51,$R$3:$R$164,"&lt;&gt;")&gt;1),"DUPLICADO","OK"))</f>
      </c>
      <c r="AA51" s="3056">
        <f>IF(A51="","",IF(OR(LEN(Q51)&gt;180,LEN(R51)&gt;180,LEN(S51)&gt;180,LEN(T51)&gt;180),"CAMINHO LONGO","OK"))</f>
      </c>
      <c r="AB51" s="3056">
        <f>IF(A51="","",IF(U51="","",IFERROR(INT(U51-TODAY()),"")))</f>
      </c>
      <c r="AC51" s="3056">
        <f>IF(A51="","",IF(AND(T51="",U51=""),"",IF(T51="","SEM CAMINHO",IF(U51="","SEM DATA",IFERROR(IF(AB51&lt;15,"VERMELHO",IF(AB51&lt;=30,"AMARELO","VERDE")),"DATA INVALIDA")))))</f>
      </c>
      <c r="AD51" s="3056">
        <f>IF(OR(A51="",U51="",NOT(ISNUMBER(AB51))),"",RANK(AB51,$AB$3:$AB$164,1)+COUNTIFS($AB$3:AB51,AB51)-1)</f>
      </c>
      <c r="AE51" s="1736"/>
    </row>
    <row r="52" spans="1:19" ht="22.0" hidden="false" customHeight="true" x14ac:dyDescent="0.25">
      <c r="A52" s="3114" t="s">
        <v>127</v>
      </c>
      <c r="B52" s="3113" t="s">
        <v>115</v>
      </c>
      <c r="C52" s="3113" t="s">
        <v>122</v>
      </c>
      <c r="D52" s="3113">
        <v>44796284000140</v>
      </c>
      <c r="E52" s="3113"/>
      <c r="F52" s="3113" t="s">
        <v>125</v>
      </c>
      <c r="G52" s="3113" t="s">
        <v>4</v>
      </c>
      <c r="H52" s="3113" t="s">
        <v>5</v>
      </c>
      <c r="I52" s="3113"/>
      <c r="J52" s="3113"/>
      <c r="K52" s="3113"/>
      <c r="L52" s="3113"/>
      <c r="M52" s="3113" t="s">
        <v>379</v>
      </c>
      <c r="N52" s="3113"/>
      <c r="O52" s="3113" t="s">
        <v>349</v>
      </c>
      <c r="P52" s="3113"/>
      <c r="Q52" s="3116"/>
      <c r="R52" s="3116"/>
      <c r="S52" s="3116"/>
      <c r="T52" s="3116"/>
      <c r="U52" s="3117"/>
      <c r="V52" s="3113"/>
      <c r="W52" s="3113"/>
      <c r="X52" s="3056">
        <f>IF(A52="","",IF(LEN(SUBSTITUTE(SUBSTITUTE(SUBSTITUTE(SUBSTITUTE(D52,".",""),"/",""),"-","")," ",""))&lt;&gt;14,"CNPJ INVALIDO","OK"))</f>
      </c>
      <c r="Y52" s="3056">
        <f>IF(A52="","",IF(R52="","REST PENDENTE","REST OK"))</f>
      </c>
      <c r="Z52" s="3056">
        <f>IF(A52="","",IF(AND(R52&lt;&gt;"",COUNTIFS($D$3:$D$164,D52,$R$3:$R$164,"&lt;&gt;")&gt;1),"DUPLICADO","OK"))</f>
      </c>
      <c r="AA52" s="3056">
        <f>IF(A52="","",IF(OR(LEN(Q52)&gt;180,LEN(R52)&gt;180,LEN(S52)&gt;180,LEN(T52)&gt;180),"CAMINHO LONGO","OK"))</f>
      </c>
      <c r="AB52" s="3056">
        <f>IF(A52="","",IF(U52="","",IFERROR(INT(U52-TODAY()),"")))</f>
      </c>
      <c r="AC52" s="3056">
        <f>IF(A52="","",IF(AND(T52="",U52=""),"",IF(T52="","SEM CAMINHO",IF(U52="","SEM DATA",IFERROR(IF(AB52&lt;15,"VERMELHO",IF(AB52&lt;=30,"AMARELO","VERDE")),"DATA INVALIDA")))))</f>
      </c>
      <c r="AD52" s="3056">
        <f>IF(OR(A52="",U52="",NOT(ISNUMBER(AB52))),"",RANK(AB52,$AB$3:$AB$164,1)+COUNTIFS($AB$3:AB52,AB52)-1)</f>
      </c>
      <c r="AE52" s="1736"/>
    </row>
    <row r="53" spans="1:19" ht="22.0" customHeight="true" thickTop="1" x14ac:dyDescent="0.25" hidden="false">
      <c r="A53" s="3109" t="s">
        <v>128</v>
      </c>
      <c r="B53" s="3108" t="s">
        <v>129</v>
      </c>
      <c r="C53" s="3108" t="s">
        <v>16</v>
      </c>
      <c r="D53" s="3108" t="s">
        <v>130</v>
      </c>
      <c r="E53" s="3108"/>
      <c r="F53" s="3108" t="s">
        <v>109</v>
      </c>
      <c r="G53" s="3108" t="s">
        <v>13</v>
      </c>
      <c r="H53" s="3108" t="s">
        <v>14</v>
      </c>
      <c r="I53" s="3108"/>
      <c r="J53" s="3108"/>
      <c r="K53" s="3108"/>
      <c r="L53" s="3108"/>
      <c r="M53" s="3108" t="s">
        <v>384</v>
      </c>
      <c r="N53" s="3108"/>
      <c r="O53" s="3108"/>
      <c r="P53" s="3108"/>
      <c r="Q53" s="3111"/>
      <c r="R53" s="3111"/>
      <c r="S53" s="3111"/>
      <c r="T53" s="3111"/>
      <c r="U53" s="3112"/>
      <c r="V53" s="3108"/>
      <c r="W53" s="3108"/>
      <c r="X53" s="3056">
        <f>IF(A53="","",IF(LEN(SUBSTITUTE(SUBSTITUTE(SUBSTITUTE(SUBSTITUTE(D53,".",""),"/",""),"-","")," ",""))&lt;&gt;14,"CNPJ INVALIDO","OK"))</f>
      </c>
      <c r="Y53" s="3056">
        <f>IF(A53="","",IF(R53="","REST PENDENTE","REST OK"))</f>
      </c>
      <c r="Z53" s="3056">
        <f>IF(A53="","",IF(AND(R53&lt;&gt;"",COUNTIFS($D$3:$D$164,D53,$R$3:$R$164,"&lt;&gt;")&gt;1),"DUPLICADO","OK"))</f>
      </c>
      <c r="AA53" s="3056">
        <f>IF(A53="","",IF(OR(LEN(Q53)&gt;180,LEN(R53)&gt;180,LEN(S53)&gt;180,LEN(T53)&gt;180),"CAMINHO LONGO","OK"))</f>
      </c>
      <c r="AB53" s="3056">
        <f>IF(A53="","",IF(U53="","",IFERROR(INT(U53-TODAY()),"")))</f>
      </c>
      <c r="AC53" s="3056">
        <f>IF(A53="","",IF(AND(T53="",U53=""),"",IF(T53="","SEM CAMINHO",IF(U53="","SEM DATA",IFERROR(IF(AB53&lt;15,"VERMELHO",IF(AB53&lt;=30,"AMARELO","VERDE")),"DATA INVALIDA")))))</f>
      </c>
      <c r="AD53" s="3056">
        <f>IF(OR(A53="",U53="",NOT(ISNUMBER(AB53))),"",RANK(AB53,$AB$3:$AB$164,1)+COUNTIFS($AB$3:AB53,AB53)-1)</f>
      </c>
      <c r="AE53" s="1736"/>
    </row>
    <row r="54" spans="1:19" ht="22.0" hidden="false" customHeight="true" x14ac:dyDescent="0.25">
      <c r="A54" s="3114" t="s">
        <v>131</v>
      </c>
      <c r="B54" s="3113" t="s">
        <v>132</v>
      </c>
      <c r="C54" s="3113" t="s">
        <v>62</v>
      </c>
      <c r="D54" s="3113">
        <v>19318532000108</v>
      </c>
      <c r="E54" s="3113"/>
      <c r="F54" s="3113" t="s">
        <v>66</v>
      </c>
      <c r="G54" s="3113" t="s">
        <v>4</v>
      </c>
      <c r="H54" s="3113" t="s">
        <v>5</v>
      </c>
      <c r="I54" s="3113"/>
      <c r="J54" s="3113"/>
      <c r="K54" s="3113"/>
      <c r="L54" s="3113"/>
      <c r="M54" s="3113" t="s">
        <v>377</v>
      </c>
      <c r="N54" s="3113"/>
      <c r="O54" s="3113" t="s">
        <v>347</v>
      </c>
      <c r="P54" s="3113"/>
      <c r="Q54" s="3116"/>
      <c r="R54" s="3116"/>
      <c r="S54" s="3116"/>
      <c r="T54" s="3116"/>
      <c r="U54" s="3117"/>
      <c r="V54" s="3113"/>
      <c r="W54" s="3113"/>
      <c r="X54" s="3056">
        <f>IF(A54="","",IF(LEN(SUBSTITUTE(SUBSTITUTE(SUBSTITUTE(SUBSTITUTE(D54,".",""),"/",""),"-","")," ",""))&lt;&gt;14,"CNPJ INVALIDO","OK"))</f>
      </c>
      <c r="Y54" s="3056">
        <f>IF(A54="","",IF(R54="","REST PENDENTE","REST OK"))</f>
      </c>
      <c r="Z54" s="3056">
        <f>IF(A54="","",IF(AND(R54&lt;&gt;"",COUNTIFS($D$3:$D$164,D54,$R$3:$R$164,"&lt;&gt;")&gt;1),"DUPLICADO","OK"))</f>
      </c>
      <c r="AA54" s="3056">
        <f>IF(A54="","",IF(OR(LEN(Q54)&gt;180,LEN(R54)&gt;180,LEN(S54)&gt;180,LEN(T54)&gt;180),"CAMINHO LONGO","OK"))</f>
      </c>
      <c r="AB54" s="3056">
        <f>IF(A54="","",IF(U54="","",IFERROR(INT(U54-TODAY()),"")))</f>
      </c>
      <c r="AC54" s="3056">
        <f>IF(A54="","",IF(AND(T54="",U54=""),"",IF(T54="","SEM CAMINHO",IF(U54="","SEM DATA",IFERROR(IF(AB54&lt;15,"VERMELHO",IF(AB54&lt;=30,"AMARELO","VERDE")),"DATA INVALIDA")))))</f>
      </c>
      <c r="AD54" s="3056">
        <f>IF(OR(A54="",U54="",NOT(ISNUMBER(AB54))),"",RANK(AB54,$AB$3:$AB$164,1)+COUNTIFS($AB$3:AB54,AB54)-1)</f>
      </c>
      <c r="AE54" s="1736"/>
    </row>
    <row r="55" spans="1:19" ht="22.0" hidden="false" customHeight="true" x14ac:dyDescent="0.25">
      <c r="A55" s="3109" t="s">
        <v>133</v>
      </c>
      <c r="B55" s="3108" t="s">
        <v>134</v>
      </c>
      <c r="C55" s="3108" t="s">
        <v>116</v>
      </c>
      <c r="D55" s="3108" t="s">
        <v>135</v>
      </c>
      <c r="E55" s="3108"/>
      <c r="F55" s="3108" t="s">
        <v>136</v>
      </c>
      <c r="G55" s="3108" t="s">
        <v>41</v>
      </c>
      <c r="H55" s="3108" t="s">
        <v>5</v>
      </c>
      <c r="I55" s="3108"/>
      <c r="J55" s="3108"/>
      <c r="K55" s="3108"/>
      <c r="L55" s="3108"/>
      <c r="M55" s="3108" t="s">
        <v>379</v>
      </c>
      <c r="N55" s="3108"/>
      <c r="O55" s="3108" t="s">
        <v>351</v>
      </c>
      <c r="P55" s="3108"/>
      <c r="Q55" s="3111"/>
      <c r="R55" s="3111"/>
      <c r="S55" s="3111"/>
      <c r="T55" s="3111"/>
      <c r="U55" s="3112"/>
      <c r="V55" s="3108"/>
      <c r="W55" s="3108"/>
      <c r="X55" s="3056">
        <f>IF(A55="","",IF(LEN(SUBSTITUTE(SUBSTITUTE(SUBSTITUTE(SUBSTITUTE(D55,".",""),"/",""),"-","")," ",""))&lt;&gt;14,"CNPJ INVALIDO","OK"))</f>
      </c>
      <c r="Y55" s="3056">
        <f>IF(A55="","",IF(R55="","REST PENDENTE","REST OK"))</f>
      </c>
      <c r="Z55" s="3056">
        <f>IF(A55="","",IF(AND(R55&lt;&gt;"",COUNTIFS($D$3:$D$164,D55,$R$3:$R$164,"&lt;&gt;")&gt;1),"DUPLICADO","OK"))</f>
      </c>
      <c r="AA55" s="3056">
        <f>IF(A55="","",IF(OR(LEN(Q55)&gt;180,LEN(R55)&gt;180,LEN(S55)&gt;180,LEN(T55)&gt;180),"CAMINHO LONGO","OK"))</f>
      </c>
      <c r="AB55" s="3056">
        <f>IF(A55="","",IF(U55="","",IFERROR(INT(U55-TODAY()),"")))</f>
      </c>
      <c r="AC55" s="3056">
        <f>IF(A55="","",IF(AND(T55="",U55=""),"",IF(T55="","SEM CAMINHO",IF(U55="","SEM DATA",IFERROR(IF(AB55&lt;15,"VERMELHO",IF(AB55&lt;=30,"AMARELO","VERDE")),"DATA INVALIDA")))))</f>
      </c>
      <c r="AD55" s="3056">
        <f>IF(OR(A55="",U55="",NOT(ISNUMBER(AB55))),"",RANK(AB55,$AB$3:$AB$164,1)+COUNTIFS($AB$3:AB55,AB55)-1)</f>
      </c>
      <c r="AE55" s="1736"/>
    </row>
    <row r="56" spans="1:19" ht="22.0" hidden="false" customHeight="true" x14ac:dyDescent="0.25">
      <c r="A56" s="3114" t="s">
        <v>137</v>
      </c>
      <c r="B56" s="3113" t="s">
        <v>134</v>
      </c>
      <c r="C56" s="3113" t="s">
        <v>122</v>
      </c>
      <c r="D56" s="3113">
        <v>34046667000147</v>
      </c>
      <c r="E56" s="3113"/>
      <c r="F56" s="3113" t="s">
        <v>138</v>
      </c>
      <c r="G56" s="3113" t="s">
        <v>4</v>
      </c>
      <c r="H56" s="3113" t="s">
        <v>5</v>
      </c>
      <c r="I56" s="3113"/>
      <c r="J56" s="3113"/>
      <c r="K56" s="3113"/>
      <c r="L56" s="3113"/>
      <c r="M56" s="3113" t="s">
        <v>385</v>
      </c>
      <c r="N56" s="3113"/>
      <c r="O56" s="3113" t="s">
        <v>351</v>
      </c>
      <c r="P56" s="3113"/>
      <c r="Q56" s="3116"/>
      <c r="R56" s="3116"/>
      <c r="S56" s="3116"/>
      <c r="T56" s="3116"/>
      <c r="U56" s="3117"/>
      <c r="V56" s="3113"/>
      <c r="W56" s="3113"/>
      <c r="X56" s="3056">
        <f>IF(A56="","",IF(LEN(SUBSTITUTE(SUBSTITUTE(SUBSTITUTE(SUBSTITUTE(D56,".",""),"/",""),"-","")," ",""))&lt;&gt;14,"CNPJ INVALIDO","OK"))</f>
      </c>
      <c r="Y56" s="3056">
        <f>IF(A56="","",IF(R56="","REST PENDENTE","REST OK"))</f>
      </c>
      <c r="Z56" s="3056">
        <f>IF(A56="","",IF(AND(R56&lt;&gt;"",COUNTIFS($D$3:$D$164,D56,$R$3:$R$164,"&lt;&gt;")&gt;1),"DUPLICADO","OK"))</f>
      </c>
      <c r="AA56" s="3056">
        <f>IF(A56="","",IF(OR(LEN(Q56)&gt;180,LEN(R56)&gt;180,LEN(S56)&gt;180,LEN(T56)&gt;180),"CAMINHO LONGO","OK"))</f>
      </c>
      <c r="AB56" s="3056">
        <f>IF(A56="","",IF(U56="","",IFERROR(INT(U56-TODAY()),"")))</f>
      </c>
      <c r="AC56" s="3056">
        <f>IF(A56="","",IF(AND(T56="",U56=""),"",IF(T56="","SEM CAMINHO",IF(U56="","SEM DATA",IFERROR(IF(AB56&lt;15,"VERMELHO",IF(AB56&lt;=30,"AMARELO","VERDE")),"DATA INVALIDA")))))</f>
      </c>
      <c r="AD56" s="3056">
        <f>IF(OR(A56="",U56="",NOT(ISNUMBER(AB56))),"",RANK(AB56,$AB$3:$AB$164,1)+COUNTIFS($AB$3:AB56,AB56)-1)</f>
      </c>
      <c r="AE56" s="1736"/>
    </row>
    <row r="57" spans="1:19" ht="22.0" hidden="false" customHeight="true" x14ac:dyDescent="0.25">
      <c r="A57" s="3109" t="s">
        <v>139</v>
      </c>
      <c r="B57" s="3108" t="s">
        <v>134</v>
      </c>
      <c r="C57" s="3108" t="s">
        <v>122</v>
      </c>
      <c r="D57" s="3108">
        <v>40932575000167</v>
      </c>
      <c r="E57" s="3108"/>
      <c r="F57" s="3108" t="s">
        <v>140</v>
      </c>
      <c r="G57" s="3108" t="s">
        <v>4</v>
      </c>
      <c r="H57" s="3108" t="s">
        <v>5</v>
      </c>
      <c r="I57" s="3108"/>
      <c r="J57" s="3108"/>
      <c r="K57" s="3108"/>
      <c r="L57" s="3108"/>
      <c r="M57" s="3108" t="s">
        <v>379</v>
      </c>
      <c r="N57" s="3108"/>
      <c r="O57" s="3108" t="s">
        <v>351</v>
      </c>
      <c r="P57" s="3108"/>
      <c r="Q57" s="3111"/>
      <c r="R57" s="3111"/>
      <c r="S57" s="3111"/>
      <c r="T57" s="3111"/>
      <c r="U57" s="3112"/>
      <c r="V57" s="3108"/>
      <c r="W57" s="3108"/>
      <c r="X57" s="3056">
        <f>IF(A57="","",IF(LEN(SUBSTITUTE(SUBSTITUTE(SUBSTITUTE(SUBSTITUTE(D57,".",""),"/",""),"-","")," ",""))&lt;&gt;14,"CNPJ INVALIDO","OK"))</f>
      </c>
      <c r="Y57" s="3056">
        <f>IF(A57="","",IF(R57="","REST PENDENTE","REST OK"))</f>
      </c>
      <c r="Z57" s="3056">
        <f>IF(A57="","",IF(AND(R57&lt;&gt;"",COUNTIFS($D$3:$D$164,D57,$R$3:$R$164,"&lt;&gt;")&gt;1),"DUPLICADO","OK"))</f>
      </c>
      <c r="AA57" s="3056">
        <f>IF(A57="","",IF(OR(LEN(Q57)&gt;180,LEN(R57)&gt;180,LEN(S57)&gt;180,LEN(T57)&gt;180),"CAMINHO LONGO","OK"))</f>
      </c>
      <c r="AB57" s="3056">
        <f>IF(A57="","",IF(U57="","",IFERROR(INT(U57-TODAY()),"")))</f>
      </c>
      <c r="AC57" s="3056">
        <f>IF(A57="","",IF(AND(T57="",U57=""),"",IF(T57="","SEM CAMINHO",IF(U57="","SEM DATA",IFERROR(IF(AB57&lt;15,"VERMELHO",IF(AB57&lt;=30,"AMARELO","VERDE")),"DATA INVALIDA")))))</f>
      </c>
      <c r="AD57" s="3056">
        <f>IF(OR(A57="",U57="",NOT(ISNUMBER(AB57))),"",RANK(AB57,$AB$3:$AB$164,1)+COUNTIFS($AB$3:AB57,AB57)-1)</f>
      </c>
      <c r="AE57" s="1736"/>
    </row>
    <row r="58" spans="1:19" ht="22.0" hidden="false" customHeight="true" x14ac:dyDescent="0.25">
      <c r="A58" s="3114" t="s">
        <v>141</v>
      </c>
      <c r="B58" s="3113" t="s">
        <v>142</v>
      </c>
      <c r="C58" s="3113" t="s">
        <v>62</v>
      </c>
      <c r="D58" s="3113" t="s">
        <v>143</v>
      </c>
      <c r="E58" s="3113"/>
      <c r="F58" s="3113" t="s">
        <v>144</v>
      </c>
      <c r="G58" s="3113" t="s">
        <v>13</v>
      </c>
      <c r="H58" s="3113" t="s">
        <v>49</v>
      </c>
      <c r="I58" s="3113"/>
      <c r="J58" s="3113"/>
      <c r="K58" s="3113"/>
      <c r="L58" s="3113"/>
      <c r="M58" s="3113" t="s">
        <v>385</v>
      </c>
      <c r="N58" s="3113"/>
      <c r="O58" s="3113" t="s">
        <v>347</v>
      </c>
      <c r="P58" s="3113"/>
      <c r="Q58" s="3116"/>
      <c r="R58" s="3116"/>
      <c r="S58" s="3116"/>
      <c r="T58" s="3116"/>
      <c r="U58" s="3117"/>
      <c r="V58" s="3113"/>
      <c r="W58" s="3113"/>
      <c r="X58" s="3056">
        <f>IF(A58="","",IF(LEN(SUBSTITUTE(SUBSTITUTE(SUBSTITUTE(SUBSTITUTE(D58,".",""),"/",""),"-","")," ",""))&lt;&gt;14,"CNPJ INVALIDO","OK"))</f>
      </c>
      <c r="Y58" s="3056">
        <f>IF(A58="","",IF(R58="","REST PENDENTE","REST OK"))</f>
      </c>
      <c r="Z58" s="3056">
        <f>IF(A58="","",IF(AND(R58&lt;&gt;"",COUNTIFS($D$3:$D$164,D58,$R$3:$R$164,"&lt;&gt;")&gt;1),"DUPLICADO","OK"))</f>
      </c>
      <c r="AA58" s="3056">
        <f>IF(A58="","",IF(OR(LEN(Q58)&gt;180,LEN(R58)&gt;180,LEN(S58)&gt;180,LEN(T58)&gt;180),"CAMINHO LONGO","OK"))</f>
      </c>
      <c r="AB58" s="3056">
        <f>IF(A58="","",IF(U58="","",IFERROR(INT(U58-TODAY()),"")))</f>
      </c>
      <c r="AC58" s="3056">
        <f>IF(A58="","",IF(AND(T58="",U58=""),"",IF(T58="","SEM CAMINHO",IF(U58="","SEM DATA",IFERROR(IF(AB58&lt;15,"VERMELHO",IF(AB58&lt;=30,"AMARELO","VERDE")),"DATA INVALIDA")))))</f>
      </c>
      <c r="AD58" s="3056">
        <f>IF(OR(A58="",U58="",NOT(ISNUMBER(AB58))),"",RANK(AB58,$AB$3:$AB$164,1)+COUNTIFS($AB$3:AB58,AB58)-1)</f>
      </c>
      <c r="AE58" s="1736"/>
    </row>
    <row r="59" spans="1:19" ht="22.0" hidden="false" customHeight="true" x14ac:dyDescent="0.25">
      <c r="A59" s="3109" t="s">
        <v>145</v>
      </c>
      <c r="B59" s="3108" t="s">
        <v>142</v>
      </c>
      <c r="C59" s="3108" t="s">
        <v>62</v>
      </c>
      <c r="D59" s="3108">
        <v>60906391000130</v>
      </c>
      <c r="E59" s="3108"/>
      <c r="F59" s="3108" t="s">
        <v>144</v>
      </c>
      <c r="G59" s="3108" t="s">
        <v>4</v>
      </c>
      <c r="H59" s="3108" t="s">
        <v>49</v>
      </c>
      <c r="I59" s="3108"/>
      <c r="J59" s="3108"/>
      <c r="K59" s="3108"/>
      <c r="L59" s="3108"/>
      <c r="M59" s="3108" t="s">
        <v>385</v>
      </c>
      <c r="N59" s="3108"/>
      <c r="O59" s="3108" t="s">
        <v>351</v>
      </c>
      <c r="P59" s="3108"/>
      <c r="Q59" s="3111"/>
      <c r="R59" s="3111"/>
      <c r="S59" s="3111"/>
      <c r="T59" s="3111"/>
      <c r="U59" s="3112"/>
      <c r="V59" s="3108"/>
      <c r="W59" s="3108"/>
      <c r="X59" s="3056">
        <f>IF(A59="","",IF(LEN(SUBSTITUTE(SUBSTITUTE(SUBSTITUTE(SUBSTITUTE(D59,".",""),"/",""),"-","")," ",""))&lt;&gt;14,"CNPJ INVALIDO","OK"))</f>
      </c>
      <c r="Y59" s="3056">
        <f>IF(A59="","",IF(R59="","REST PENDENTE","REST OK"))</f>
      </c>
      <c r="Z59" s="3056">
        <f>IF(A59="","",IF(AND(R59&lt;&gt;"",COUNTIFS($D$3:$D$164,D59,$R$3:$R$164,"&lt;&gt;")&gt;1),"DUPLICADO","OK"))</f>
      </c>
      <c r="AA59" s="3056">
        <f>IF(A59="","",IF(OR(LEN(Q59)&gt;180,LEN(R59)&gt;180,LEN(S59)&gt;180,LEN(T59)&gt;180),"CAMINHO LONGO","OK"))</f>
      </c>
      <c r="AB59" s="3056">
        <f>IF(A59="","",IF(U59="","",IFERROR(INT(U59-TODAY()),"")))</f>
      </c>
      <c r="AC59" s="3056">
        <f>IF(A59="","",IF(AND(T59="",U59=""),"",IF(T59="","SEM CAMINHO",IF(U59="","SEM DATA",IFERROR(IF(AB59&lt;15,"VERMELHO",IF(AB59&lt;=30,"AMARELO","VERDE")),"DATA INVALIDA")))))</f>
      </c>
      <c r="AD59" s="3056">
        <f>IF(OR(A59="",U59="",NOT(ISNUMBER(AB59))),"",RANK(AB59,$AB$3:$AB$164,1)+COUNTIFS($AB$3:AB59,AB59)-1)</f>
      </c>
      <c r="AE59" s="1736"/>
    </row>
    <row r="60" spans="1:19" ht="22.0" hidden="false" customHeight="true" x14ac:dyDescent="0.25">
      <c r="A60" s="3114" t="s">
        <v>146</v>
      </c>
      <c r="B60" s="3113" t="s">
        <v>75</v>
      </c>
      <c r="C60" s="3113" t="s">
        <v>62</v>
      </c>
      <c r="D60" s="3113">
        <v>41762299000107</v>
      </c>
      <c r="E60" s="3113"/>
      <c r="F60" s="3113" t="s">
        <v>147</v>
      </c>
      <c r="G60" s="3113" t="s">
        <v>4</v>
      </c>
      <c r="H60" s="3113" t="s">
        <v>5</v>
      </c>
      <c r="I60" s="3113"/>
      <c r="J60" s="3113"/>
      <c r="K60" s="3113"/>
      <c r="L60" s="3113"/>
      <c r="M60" s="3113" t="s">
        <v>379</v>
      </c>
      <c r="N60" s="3113"/>
      <c r="O60" s="3113" t="s">
        <v>352</v>
      </c>
      <c r="P60" s="3113"/>
      <c r="Q60" s="3116"/>
      <c r="R60" s="3116"/>
      <c r="S60" s="3116"/>
      <c r="T60" s="3116"/>
      <c r="U60" s="3117"/>
      <c r="V60" s="3113"/>
      <c r="W60" s="3113"/>
      <c r="X60" s="3056">
        <f>IF(A60="","",IF(LEN(SUBSTITUTE(SUBSTITUTE(SUBSTITUTE(SUBSTITUTE(D60,".",""),"/",""),"-","")," ",""))&lt;&gt;14,"CNPJ INVALIDO","OK"))</f>
      </c>
      <c r="Y60" s="3056">
        <f>IF(A60="","",IF(R60="","REST PENDENTE","REST OK"))</f>
      </c>
      <c r="Z60" s="3056">
        <f>IF(A60="","",IF(AND(R60&lt;&gt;"",COUNTIFS($D$3:$D$164,D60,$R$3:$R$164,"&lt;&gt;")&gt;1),"DUPLICADO","OK"))</f>
      </c>
      <c r="AA60" s="3056">
        <f>IF(A60="","",IF(OR(LEN(Q60)&gt;180,LEN(R60)&gt;180,LEN(S60)&gt;180,LEN(T60)&gt;180),"CAMINHO LONGO","OK"))</f>
      </c>
      <c r="AB60" s="3056">
        <f>IF(A60="","",IF(U60="","",IFERROR(INT(U60-TODAY()),"")))</f>
      </c>
      <c r="AC60" s="3056">
        <f>IF(A60="","",IF(AND(T60="",U60=""),"",IF(T60="","SEM CAMINHO",IF(U60="","SEM DATA",IFERROR(IF(AB60&lt;15,"VERMELHO",IF(AB60&lt;=30,"AMARELO","VERDE")),"DATA INVALIDA")))))</f>
      </c>
      <c r="AD60" s="3056">
        <f>IF(OR(A60="",U60="",NOT(ISNUMBER(AB60))),"",RANK(AB60,$AB$3:$AB$164,1)+COUNTIFS($AB$3:AB60,AB60)-1)</f>
      </c>
      <c r="AE60" s="1736"/>
    </row>
    <row r="61" spans="1:19" ht="22.0" hidden="false" customHeight="true" x14ac:dyDescent="0.25">
      <c r="A61" s="3109" t="s">
        <v>148</v>
      </c>
      <c r="B61" s="3108" t="s">
        <v>149</v>
      </c>
      <c r="C61" s="3108" t="s">
        <v>59</v>
      </c>
      <c r="D61" s="3108">
        <v>52090662000101</v>
      </c>
      <c r="E61" s="3108"/>
      <c r="F61" s="3108" t="s">
        <v>150</v>
      </c>
      <c r="G61" s="3108" t="s">
        <v>4</v>
      </c>
      <c r="H61" s="3108" t="s">
        <v>5</v>
      </c>
      <c r="I61" s="3108"/>
      <c r="J61" s="3108"/>
      <c r="K61" s="3108"/>
      <c r="L61" s="3108"/>
      <c r="M61" s="3108" t="s">
        <v>379</v>
      </c>
      <c r="N61" s="3108"/>
      <c r="O61" s="3108" t="s">
        <v>351</v>
      </c>
      <c r="P61" s="3108"/>
      <c r="Q61" s="3111"/>
      <c r="R61" s="3111"/>
      <c r="S61" s="3111"/>
      <c r="T61" s="3111"/>
      <c r="U61" s="3112"/>
      <c r="V61" s="3108"/>
      <c r="W61" s="3108"/>
      <c r="X61" s="3056">
        <f>IF(A61="","",IF(LEN(SUBSTITUTE(SUBSTITUTE(SUBSTITUTE(SUBSTITUTE(D61,".",""),"/",""),"-","")," ",""))&lt;&gt;14,"CNPJ INVALIDO","OK"))</f>
      </c>
      <c r="Y61" s="3056">
        <f>IF(A61="","",IF(R61="","REST PENDENTE","REST OK"))</f>
      </c>
      <c r="Z61" s="3056">
        <f>IF(A61="","",IF(AND(R61&lt;&gt;"",COUNTIFS($D$3:$D$164,D61,$R$3:$R$164,"&lt;&gt;")&gt;1),"DUPLICADO","OK"))</f>
      </c>
      <c r="AA61" s="3056">
        <f>IF(A61="","",IF(OR(LEN(Q61)&gt;180,LEN(R61)&gt;180,LEN(S61)&gt;180,LEN(T61)&gt;180),"CAMINHO LONGO","OK"))</f>
      </c>
      <c r="AB61" s="3056">
        <f>IF(A61="","",IF(U61="","",IFERROR(INT(U61-TODAY()),"")))</f>
      </c>
      <c r="AC61" s="3056">
        <f>IF(A61="","",IF(AND(T61="",U61=""),"",IF(T61="","SEM CAMINHO",IF(U61="","SEM DATA",IFERROR(IF(AB61&lt;15,"VERMELHO",IF(AB61&lt;=30,"AMARELO","VERDE")),"DATA INVALIDA")))))</f>
      </c>
      <c r="AD61" s="3056">
        <f>IF(OR(A61="",U61="",NOT(ISNUMBER(AB61))),"",RANK(AB61,$AB$3:$AB$164,1)+COUNTIFS($AB$3:AB61,AB61)-1)</f>
      </c>
      <c r="AE61" s="1736"/>
    </row>
    <row r="62" spans="1:19" ht="22.0" hidden="false" customHeight="true" x14ac:dyDescent="0.25">
      <c r="A62" s="3114" t="s">
        <v>151</v>
      </c>
      <c r="B62" s="3113" t="s">
        <v>149</v>
      </c>
      <c r="C62" s="3113" t="s">
        <v>46</v>
      </c>
      <c r="D62" s="3113" t="s">
        <v>152</v>
      </c>
      <c r="E62" s="3113"/>
      <c r="F62" s="3113" t="s">
        <v>150</v>
      </c>
      <c r="G62" s="3113" t="s">
        <v>13</v>
      </c>
      <c r="H62" s="3113" t="s">
        <v>49</v>
      </c>
      <c r="I62" s="3113"/>
      <c r="J62" s="3113"/>
      <c r="K62" s="3113"/>
      <c r="L62" s="3113"/>
      <c r="M62" s="3113" t="s">
        <v>377</v>
      </c>
      <c r="N62" s="3113"/>
      <c r="O62" s="3113" t="s">
        <v>347</v>
      </c>
      <c r="P62" s="3113"/>
      <c r="Q62" s="3116"/>
      <c r="R62" s="3116"/>
      <c r="S62" s="3116"/>
      <c r="T62" s="3116"/>
      <c r="U62" s="3117"/>
      <c r="V62" s="3113"/>
      <c r="W62" s="3113"/>
      <c r="X62" s="3056">
        <f>IF(A62="","",IF(LEN(SUBSTITUTE(SUBSTITUTE(SUBSTITUTE(SUBSTITUTE(D62,".",""),"/",""),"-","")," ",""))&lt;&gt;14,"CNPJ INVALIDO","OK"))</f>
      </c>
      <c r="Y62" s="3056">
        <f>IF(A62="","",IF(R62="","REST PENDENTE","REST OK"))</f>
      </c>
      <c r="Z62" s="3056">
        <f>IF(A62="","",IF(AND(R62&lt;&gt;"",COUNTIFS($D$3:$D$164,D62,$R$3:$R$164,"&lt;&gt;")&gt;1),"DUPLICADO","OK"))</f>
      </c>
      <c r="AA62" s="3056">
        <f>IF(A62="","",IF(OR(LEN(Q62)&gt;180,LEN(R62)&gt;180,LEN(S62)&gt;180,LEN(T62)&gt;180),"CAMINHO LONGO","OK"))</f>
      </c>
      <c r="AB62" s="3056">
        <f>IF(A62="","",IF(U62="","",IFERROR(INT(U62-TODAY()),"")))</f>
      </c>
      <c r="AC62" s="3056">
        <f>IF(A62="","",IF(AND(T62="",U62=""),"",IF(T62="","SEM CAMINHO",IF(U62="","SEM DATA",IFERROR(IF(AB62&lt;15,"VERMELHO",IF(AB62&lt;=30,"AMARELO","VERDE")),"DATA INVALIDA")))))</f>
      </c>
      <c r="AD62" s="3056">
        <f>IF(OR(A62="",U62="",NOT(ISNUMBER(AB62))),"",RANK(AB62,$AB$3:$AB$164,1)+COUNTIFS($AB$3:AB62,AB62)-1)</f>
      </c>
      <c r="AE62" s="1736"/>
    </row>
    <row r="63" spans="1:19" ht="22.0" hidden="false" customHeight="true" x14ac:dyDescent="0.25">
      <c r="A63" s="3109" t="s">
        <v>153</v>
      </c>
      <c r="B63" s="3108" t="s">
        <v>149</v>
      </c>
      <c r="C63" s="3108" t="s">
        <v>46</v>
      </c>
      <c r="D63" s="3108" t="s">
        <v>154</v>
      </c>
      <c r="E63" s="3108"/>
      <c r="F63" s="3108" t="s">
        <v>150</v>
      </c>
      <c r="G63" s="3108" t="s">
        <v>13</v>
      </c>
      <c r="H63" s="3108" t="s">
        <v>49</v>
      </c>
      <c r="I63" s="3108"/>
      <c r="J63" s="3108"/>
      <c r="K63" s="3108"/>
      <c r="L63" s="3108"/>
      <c r="M63" s="3108" t="s">
        <v>377</v>
      </c>
      <c r="N63" s="3108"/>
      <c r="O63" s="3108" t="s">
        <v>347</v>
      </c>
      <c r="P63" s="3108"/>
      <c r="Q63" s="3111"/>
      <c r="R63" s="3111"/>
      <c r="S63" s="3111"/>
      <c r="T63" s="3111"/>
      <c r="U63" s="3112"/>
      <c r="V63" s="3108"/>
      <c r="W63" s="3108"/>
      <c r="X63" s="3056">
        <f>IF(A63="","",IF(LEN(SUBSTITUTE(SUBSTITUTE(SUBSTITUTE(SUBSTITUTE(D63,".",""),"/",""),"-","")," ",""))&lt;&gt;14,"CNPJ INVALIDO","OK"))</f>
      </c>
      <c r="Y63" s="3056">
        <f>IF(A63="","",IF(R63="","REST PENDENTE","REST OK"))</f>
      </c>
      <c r="Z63" s="3056">
        <f>IF(A63="","",IF(AND(R63&lt;&gt;"",COUNTIFS($D$3:$D$164,D63,$R$3:$R$164,"&lt;&gt;")&gt;1),"DUPLICADO","OK"))</f>
      </c>
      <c r="AA63" s="3056">
        <f>IF(A63="","",IF(OR(LEN(Q63)&gt;180,LEN(R63)&gt;180,LEN(S63)&gt;180,LEN(T63)&gt;180),"CAMINHO LONGO","OK"))</f>
      </c>
      <c r="AB63" s="3056">
        <f>IF(A63="","",IF(U63="","",IFERROR(INT(U63-TODAY()),"")))</f>
      </c>
      <c r="AC63" s="3056">
        <f>IF(A63="","",IF(AND(T63="",U63=""),"",IF(T63="","SEM CAMINHO",IF(U63="","SEM DATA",IFERROR(IF(AB63&lt;15,"VERMELHO",IF(AB63&lt;=30,"AMARELO","VERDE")),"DATA INVALIDA")))))</f>
      </c>
      <c r="AD63" s="3056">
        <f>IF(OR(A63="",U63="",NOT(ISNUMBER(AB63))),"",RANK(AB63,$AB$3:$AB$164,1)+COUNTIFS($AB$3:AB63,AB63)-1)</f>
      </c>
      <c r="AE63" s="1736"/>
    </row>
    <row r="64" spans="1:19" ht="22.0" hidden="false" customHeight="true" x14ac:dyDescent="0.25">
      <c r="A64" s="3114" t="s">
        <v>155</v>
      </c>
      <c r="B64" s="3113" t="s">
        <v>61</v>
      </c>
      <c r="C64" s="3113" t="s">
        <v>62</v>
      </c>
      <c r="D64" s="3113">
        <v>8587897000103</v>
      </c>
      <c r="E64" s="3113"/>
      <c r="F64" s="3113" t="s">
        <v>63</v>
      </c>
      <c r="G64" s="3113" t="s">
        <v>41</v>
      </c>
      <c r="H64" s="3113" t="s">
        <v>5</v>
      </c>
      <c r="I64" s="3113"/>
      <c r="J64" s="3113"/>
      <c r="K64" s="3113"/>
      <c r="L64" s="3113"/>
      <c r="M64" s="3113" t="s">
        <v>379</v>
      </c>
      <c r="N64" s="3113"/>
      <c r="O64" s="3113" t="s">
        <v>351</v>
      </c>
      <c r="P64" s="3113"/>
      <c r="Q64" s="3116"/>
      <c r="R64" s="3116"/>
      <c r="S64" s="3116"/>
      <c r="T64" s="3116"/>
      <c r="U64" s="3117"/>
      <c r="V64" s="3113"/>
      <c r="W64" s="3113"/>
      <c r="X64" s="3056">
        <f>IF(A64="","",IF(LEN(SUBSTITUTE(SUBSTITUTE(SUBSTITUTE(SUBSTITUTE(D64,".",""),"/",""),"-","")," ",""))&lt;&gt;14,"CNPJ INVALIDO","OK"))</f>
      </c>
      <c r="Y64" s="3056">
        <f>IF(A64="","",IF(R64="","REST PENDENTE","REST OK"))</f>
      </c>
      <c r="Z64" s="3056">
        <f>IF(A64="","",IF(AND(R64&lt;&gt;"",COUNTIFS($D$3:$D$164,D64,$R$3:$R$164,"&lt;&gt;")&gt;1),"DUPLICADO","OK"))</f>
      </c>
      <c r="AA64" s="3056">
        <f>IF(A64="","",IF(OR(LEN(Q64)&gt;180,LEN(R64)&gt;180,LEN(S64)&gt;180,LEN(T64)&gt;180),"CAMINHO LONGO","OK"))</f>
      </c>
      <c r="AB64" s="3056">
        <f>IF(A64="","",IF(U64="","",IFERROR(INT(U64-TODAY()),"")))</f>
      </c>
      <c r="AC64" s="3056">
        <f>IF(A64="","",IF(AND(T64="",U64=""),"",IF(T64="","SEM CAMINHO",IF(U64="","SEM DATA",IFERROR(IF(AB64&lt;15,"VERMELHO",IF(AB64&lt;=30,"AMARELO","VERDE")),"DATA INVALIDA")))))</f>
      </c>
      <c r="AD64" s="3056">
        <f>IF(OR(A64="",U64="",NOT(ISNUMBER(AB64))),"",RANK(AB64,$AB$3:$AB$164,1)+COUNTIFS($AB$3:AB64,AB64)-1)</f>
      </c>
      <c r="AE64" s="1736"/>
    </row>
    <row r="65" spans="1:19" ht="22.0" hidden="false" customHeight="true" x14ac:dyDescent="0.25">
      <c r="A65" s="3109" t="s">
        <v>156</v>
      </c>
      <c r="B65" s="3108" t="s">
        <v>61</v>
      </c>
      <c r="C65" s="3108" t="s">
        <v>62</v>
      </c>
      <c r="D65" s="3108">
        <v>17845713000159</v>
      </c>
      <c r="E65" s="3108"/>
      <c r="F65" s="3108" t="s">
        <v>63</v>
      </c>
      <c r="G65" s="3108" t="s">
        <v>41</v>
      </c>
      <c r="H65" s="3108" t="s">
        <v>5</v>
      </c>
      <c r="I65" s="3108"/>
      <c r="J65" s="3108"/>
      <c r="K65" s="3108"/>
      <c r="L65" s="3108"/>
      <c r="M65" s="3108" t="s">
        <v>379</v>
      </c>
      <c r="N65" s="3108"/>
      <c r="O65" s="3108" t="s">
        <v>351</v>
      </c>
      <c r="P65" s="3108"/>
      <c r="Q65" s="3111"/>
      <c r="R65" s="3111"/>
      <c r="S65" s="3111"/>
      <c r="T65" s="3111"/>
      <c r="U65" s="3112"/>
      <c r="V65" s="3108"/>
      <c r="W65" s="3108"/>
      <c r="X65" s="3056">
        <f>IF(A65="","",IF(LEN(SUBSTITUTE(SUBSTITUTE(SUBSTITUTE(SUBSTITUTE(D65,".",""),"/",""),"-","")," ",""))&lt;&gt;14,"CNPJ INVALIDO","OK"))</f>
      </c>
      <c r="Y65" s="3056">
        <f>IF(A65="","",IF(R65="","REST PENDENTE","REST OK"))</f>
      </c>
      <c r="Z65" s="3056">
        <f>IF(A65="","",IF(AND(R65&lt;&gt;"",COUNTIFS($D$3:$D$164,D65,$R$3:$R$164,"&lt;&gt;")&gt;1),"DUPLICADO","OK"))</f>
      </c>
      <c r="AA65" s="3056">
        <f>IF(A65="","",IF(OR(LEN(Q65)&gt;180,LEN(R65)&gt;180,LEN(S65)&gt;180,LEN(T65)&gt;180),"CAMINHO LONGO","OK"))</f>
      </c>
      <c r="AB65" s="3056">
        <f>IF(A65="","",IF(U65="","",IFERROR(INT(U65-TODAY()),"")))</f>
      </c>
      <c r="AC65" s="3056">
        <f>IF(A65="","",IF(AND(T65="",U65=""),"",IF(T65="","SEM CAMINHO",IF(U65="","SEM DATA",IFERROR(IF(AB65&lt;15,"VERMELHO",IF(AB65&lt;=30,"AMARELO","VERDE")),"DATA INVALIDA")))))</f>
      </c>
      <c r="AD65" s="3056">
        <f>IF(OR(A65="",U65="",NOT(ISNUMBER(AB65))),"",RANK(AB65,$AB$3:$AB$164,1)+COUNTIFS($AB$3:AB65,AB65)-1)</f>
      </c>
      <c r="AE65" s="1736"/>
    </row>
    <row r="66" spans="1:19" ht="22.0" hidden="false" customHeight="true" x14ac:dyDescent="0.25">
      <c r="A66" s="3114" t="s">
        <v>157</v>
      </c>
      <c r="B66" s="3113" t="s">
        <v>61</v>
      </c>
      <c r="C66" s="3113" t="s">
        <v>62</v>
      </c>
      <c r="D66" s="3113">
        <v>37646098000169</v>
      </c>
      <c r="E66" s="3113"/>
      <c r="F66" s="3113" t="s">
        <v>63</v>
      </c>
      <c r="G66" s="3113" t="s">
        <v>41</v>
      </c>
      <c r="H66" s="3113" t="s">
        <v>5</v>
      </c>
      <c r="I66" s="3113"/>
      <c r="J66" s="3113"/>
      <c r="K66" s="3113"/>
      <c r="L66" s="3113"/>
      <c r="M66" s="3113" t="s">
        <v>379</v>
      </c>
      <c r="N66" s="3113"/>
      <c r="O66" s="3113" t="s">
        <v>353</v>
      </c>
      <c r="P66" s="3113"/>
      <c r="Q66" s="3116"/>
      <c r="R66" s="3116"/>
      <c r="S66" s="3116"/>
      <c r="T66" s="3116"/>
      <c r="U66" s="3117"/>
      <c r="V66" s="3113"/>
      <c r="W66" s="3113"/>
      <c r="X66" s="3056">
        <f>IF(A66="","",IF(LEN(SUBSTITUTE(SUBSTITUTE(SUBSTITUTE(SUBSTITUTE(D66,".",""),"/",""),"-","")," ",""))&lt;&gt;14,"CNPJ INVALIDO","OK"))</f>
      </c>
      <c r="Y66" s="3056">
        <f>IF(A66="","",IF(R66="","REST PENDENTE","REST OK"))</f>
      </c>
      <c r="Z66" s="3056">
        <f>IF(A66="","",IF(AND(R66&lt;&gt;"",COUNTIFS($D$3:$D$164,D66,$R$3:$R$164,"&lt;&gt;")&gt;1),"DUPLICADO","OK"))</f>
      </c>
      <c r="AA66" s="3056">
        <f>IF(A66="","",IF(OR(LEN(Q66)&gt;180,LEN(R66)&gt;180,LEN(S66)&gt;180,LEN(T66)&gt;180),"CAMINHO LONGO","OK"))</f>
      </c>
      <c r="AB66" s="3056">
        <f>IF(A66="","",IF(U66="","",IFERROR(INT(U66-TODAY()),"")))</f>
      </c>
      <c r="AC66" s="3056">
        <f>IF(A66="","",IF(AND(T66="",U66=""),"",IF(T66="","SEM CAMINHO",IF(U66="","SEM DATA",IFERROR(IF(AB66&lt;15,"VERMELHO",IF(AB66&lt;=30,"AMARELO","VERDE")),"DATA INVALIDA")))))</f>
      </c>
      <c r="AD66" s="3056">
        <f>IF(OR(A66="",U66="",NOT(ISNUMBER(AB66))),"",RANK(AB66,$AB$3:$AB$164,1)+COUNTIFS($AB$3:AB66,AB66)-1)</f>
      </c>
      <c r="AE66" s="1736"/>
    </row>
    <row r="67" spans="1:19" ht="22.0" hidden="false" customHeight="true" x14ac:dyDescent="0.25">
      <c r="A67" s="3109" t="s">
        <v>158</v>
      </c>
      <c r="B67" s="3108" t="s">
        <v>159</v>
      </c>
      <c r="C67" s="3108" t="s">
        <v>62</v>
      </c>
      <c r="D67" s="3108">
        <v>44470328000147</v>
      </c>
      <c r="E67" s="3108"/>
      <c r="F67" s="3108" t="s">
        <v>160</v>
      </c>
      <c r="G67" s="3108" t="s">
        <v>4</v>
      </c>
      <c r="H67" s="3108" t="s">
        <v>5</v>
      </c>
      <c r="I67" s="3108"/>
      <c r="J67" s="3108"/>
      <c r="K67" s="3108"/>
      <c r="L67" s="3108"/>
      <c r="M67" s="3108" t="s">
        <v>377</v>
      </c>
      <c r="N67" s="3108"/>
      <c r="O67" s="3108" t="s">
        <v>347</v>
      </c>
      <c r="P67" s="3108"/>
      <c r="Q67" s="3111"/>
      <c r="R67" s="3111"/>
      <c r="S67" s="3111"/>
      <c r="T67" s="3111"/>
      <c r="U67" s="3112"/>
      <c r="V67" s="3108"/>
      <c r="W67" s="3108"/>
      <c r="X67" s="3056">
        <f>IF(A67="","",IF(LEN(SUBSTITUTE(SUBSTITUTE(SUBSTITUTE(SUBSTITUTE(D67,".",""),"/",""),"-","")," ",""))&lt;&gt;14,"CNPJ INVALIDO","OK"))</f>
      </c>
      <c r="Y67" s="3056">
        <f>IF(A67="","",IF(R67="","REST PENDENTE","REST OK"))</f>
      </c>
      <c r="Z67" s="3056">
        <f>IF(A67="","",IF(AND(R67&lt;&gt;"",COUNTIFS($D$3:$D$164,D67,$R$3:$R$164,"&lt;&gt;")&gt;1),"DUPLICADO","OK"))</f>
      </c>
      <c r="AA67" s="3056">
        <f>IF(A67="","",IF(OR(LEN(Q67)&gt;180,LEN(R67)&gt;180,LEN(S67)&gt;180,LEN(T67)&gt;180),"CAMINHO LONGO","OK"))</f>
      </c>
      <c r="AB67" s="3056">
        <f>IF(A67="","",IF(U67="","",IFERROR(INT(U67-TODAY()),"")))</f>
      </c>
      <c r="AC67" s="3056">
        <f>IF(A67="","",IF(AND(T67="",U67=""),"",IF(T67="","SEM CAMINHO",IF(U67="","SEM DATA",IFERROR(IF(AB67&lt;15,"VERMELHO",IF(AB67&lt;=30,"AMARELO","VERDE")),"DATA INVALIDA")))))</f>
      </c>
      <c r="AD67" s="3056">
        <f>IF(OR(A67="",U67="",NOT(ISNUMBER(AB67))),"",RANK(AB67,$AB$3:$AB$164,1)+COUNTIFS($AB$3:AB67,AB67)-1)</f>
      </c>
      <c r="AE67" s="1736"/>
    </row>
    <row r="68" spans="1:19" ht="22.0" hidden="false" customHeight="true" x14ac:dyDescent="0.25">
      <c r="A68" s="3114" t="s">
        <v>161</v>
      </c>
      <c r="B68" s="3113" t="s">
        <v>162</v>
      </c>
      <c r="C68" s="3113" t="s">
        <v>163</v>
      </c>
      <c r="D68" s="3113" t="s">
        <v>164</v>
      </c>
      <c r="E68" s="3113"/>
      <c r="F68" s="3113"/>
      <c r="G68" s="3113" t="s">
        <v>41</v>
      </c>
      <c r="H68" s="3113" t="s">
        <v>14</v>
      </c>
      <c r="I68" s="3113"/>
      <c r="J68" s="3113"/>
      <c r="K68" s="3113"/>
      <c r="L68" s="3113"/>
      <c r="M68" s="3113" t="s">
        <v>385</v>
      </c>
      <c r="N68" s="3113" t="s">
        <v>362</v>
      </c>
      <c r="O68" s="3113" t="s">
        <v>362</v>
      </c>
      <c r="P68" s="3113"/>
      <c r="Q68" s="3116"/>
      <c r="R68" s="3116"/>
      <c r="S68" s="3116"/>
      <c r="T68" s="3116"/>
      <c r="U68" s="3117"/>
      <c r="V68" s="3113"/>
      <c r="W68" s="3113"/>
      <c r="X68" s="3056">
        <f>IF(A68="","",IF(LEN(SUBSTITUTE(SUBSTITUTE(SUBSTITUTE(SUBSTITUTE(D68,".",""),"/",""),"-","")," ",""))&lt;&gt;14,"CNPJ INVALIDO","OK"))</f>
      </c>
      <c r="Y68" s="3056">
        <f>IF(A68="","",IF(R68="","REST PENDENTE","REST OK"))</f>
      </c>
      <c r="Z68" s="3056">
        <f>IF(A68="","",IF(AND(R68&lt;&gt;"",COUNTIFS($D$3:$D$164,D68,$R$3:$R$164,"&lt;&gt;")&gt;1),"DUPLICADO","OK"))</f>
      </c>
      <c r="AA68" s="3056">
        <f>IF(A68="","",IF(OR(LEN(Q68)&gt;180,LEN(R68)&gt;180,LEN(S68)&gt;180,LEN(T68)&gt;180),"CAMINHO LONGO","OK"))</f>
      </c>
      <c r="AB68" s="3056">
        <f>IF(A68="","",IF(U68="","",IFERROR(INT(U68-TODAY()),"")))</f>
      </c>
      <c r="AC68" s="3056">
        <f>IF(A68="","",IF(AND(T68="",U68=""),"",IF(T68="","SEM CAMINHO",IF(U68="","SEM DATA",IFERROR(IF(AB68&lt;15,"VERMELHO",IF(AB68&lt;=30,"AMARELO","VERDE")),"DATA INVALIDA")))))</f>
      </c>
      <c r="AD68" s="3056">
        <f>IF(OR(A68="",U68="",NOT(ISNUMBER(AB68))),"",RANK(AB68,$AB$3:$AB$164,1)+COUNTIFS($AB$3:AB68,AB68)-1)</f>
      </c>
      <c r="AE68" s="1736"/>
    </row>
    <row r="69" spans="1:19" ht="22.0" hidden="false" customHeight="true" x14ac:dyDescent="0.25">
      <c r="A69" s="3109" t="s">
        <v>165</v>
      </c>
      <c r="B69" s="3108" t="s">
        <v>162</v>
      </c>
      <c r="C69" s="3108" t="s">
        <v>163</v>
      </c>
      <c r="D69" s="3108" t="s">
        <v>166</v>
      </c>
      <c r="E69" s="3108"/>
      <c r="F69" s="3108" t="s">
        <v>167</v>
      </c>
      <c r="G69" s="3108" t="s">
        <v>13</v>
      </c>
      <c r="H69" s="3108" t="s">
        <v>14</v>
      </c>
      <c r="I69" s="3108"/>
      <c r="J69" s="3108"/>
      <c r="K69" s="3108"/>
      <c r="L69" s="3108"/>
      <c r="M69" s="3108" t="s">
        <v>385</v>
      </c>
      <c r="N69" s="3108" t="s">
        <v>362</v>
      </c>
      <c r="O69" s="3108" t="s">
        <v>362</v>
      </c>
      <c r="P69" s="3108"/>
      <c r="Q69" s="3111"/>
      <c r="R69" s="3111"/>
      <c r="S69" s="3111"/>
      <c r="T69" s="3111"/>
      <c r="U69" s="3112"/>
      <c r="V69" s="3108"/>
      <c r="W69" s="3108"/>
      <c r="X69" s="3056">
        <f>IF(A69="","",IF(LEN(SUBSTITUTE(SUBSTITUTE(SUBSTITUTE(SUBSTITUTE(D69,".",""),"/",""),"-","")," ",""))&lt;&gt;14,"CNPJ INVALIDO","OK"))</f>
      </c>
      <c r="Y69" s="3056">
        <f>IF(A69="","",IF(R69="","REST PENDENTE","REST OK"))</f>
      </c>
      <c r="Z69" s="3056">
        <f>IF(A69="","",IF(AND(R69&lt;&gt;"",COUNTIFS($D$3:$D$164,D69,$R$3:$R$164,"&lt;&gt;")&gt;1),"DUPLICADO","OK"))</f>
      </c>
      <c r="AA69" s="3056">
        <f>IF(A69="","",IF(OR(LEN(Q69)&gt;180,LEN(R69)&gt;180,LEN(S69)&gt;180,LEN(T69)&gt;180),"CAMINHO LONGO","OK"))</f>
      </c>
      <c r="AB69" s="3056">
        <f>IF(A69="","",IF(U69="","",IFERROR(INT(U69-TODAY()),"")))</f>
      </c>
      <c r="AC69" s="3056">
        <f>IF(A69="","",IF(AND(T69="",U69=""),"",IF(T69="","SEM CAMINHO",IF(U69="","SEM DATA",IFERROR(IF(AB69&lt;15,"VERMELHO",IF(AB69&lt;=30,"AMARELO","VERDE")),"DATA INVALIDA")))))</f>
      </c>
      <c r="AD69" s="3056">
        <f>IF(OR(A69="",U69="",NOT(ISNUMBER(AB69))),"",RANK(AB69,$AB$3:$AB$164,1)+COUNTIFS($AB$3:AB69,AB69)-1)</f>
      </c>
      <c r="AE69" s="1736"/>
    </row>
    <row r="70" spans="1:19" ht="22.0" hidden="false" customHeight="true" x14ac:dyDescent="0.25">
      <c r="A70" s="3114" t="s">
        <v>168</v>
      </c>
      <c r="B70" s="3113" t="s">
        <v>162</v>
      </c>
      <c r="C70" s="3113" t="s">
        <v>163</v>
      </c>
      <c r="D70" s="3113" t="s">
        <v>169</v>
      </c>
      <c r="E70" s="3113"/>
      <c r="F70" s="3113" t="s">
        <v>167</v>
      </c>
      <c r="G70" s="3113" t="s">
        <v>13</v>
      </c>
      <c r="H70" s="3113" t="s">
        <v>14</v>
      </c>
      <c r="I70" s="3113"/>
      <c r="J70" s="3113"/>
      <c r="K70" s="3113"/>
      <c r="L70" s="3113"/>
      <c r="M70" s="3113" t="s">
        <v>385</v>
      </c>
      <c r="N70" s="3113" t="s">
        <v>362</v>
      </c>
      <c r="O70" s="3113" t="s">
        <v>362</v>
      </c>
      <c r="P70" s="3113"/>
      <c r="Q70" s="3116"/>
      <c r="R70" s="3116"/>
      <c r="S70" s="3116"/>
      <c r="T70" s="3116"/>
      <c r="U70" s="3117"/>
      <c r="V70" s="3113"/>
      <c r="W70" s="3113"/>
      <c r="X70" s="3056">
        <f>IF(A70="","",IF(LEN(SUBSTITUTE(SUBSTITUTE(SUBSTITUTE(SUBSTITUTE(D70,".",""),"/",""),"-","")," ",""))&lt;&gt;14,"CNPJ INVALIDO","OK"))</f>
      </c>
      <c r="Y70" s="3056">
        <f>IF(A70="","",IF(R70="","REST PENDENTE","REST OK"))</f>
      </c>
      <c r="Z70" s="3056">
        <f>IF(A70="","",IF(AND(R70&lt;&gt;"",COUNTIFS($D$3:$D$164,D70,$R$3:$R$164,"&lt;&gt;")&gt;1),"DUPLICADO","OK"))</f>
      </c>
      <c r="AA70" s="3056">
        <f>IF(A70="","",IF(OR(LEN(Q70)&gt;180,LEN(R70)&gt;180,LEN(S70)&gt;180,LEN(T70)&gt;180),"CAMINHO LONGO","OK"))</f>
      </c>
      <c r="AB70" s="3056">
        <f>IF(A70="","",IF(U70="","",IFERROR(INT(U70-TODAY()),"")))</f>
      </c>
      <c r="AC70" s="3056">
        <f>IF(A70="","",IF(AND(T70="",U70=""),"",IF(T70="","SEM CAMINHO",IF(U70="","SEM DATA",IFERROR(IF(AB70&lt;15,"VERMELHO",IF(AB70&lt;=30,"AMARELO","VERDE")),"DATA INVALIDA")))))</f>
      </c>
      <c r="AD70" s="3056">
        <f>IF(OR(A70="",U70="",NOT(ISNUMBER(AB70))),"",RANK(AB70,$AB$3:$AB$164,1)+COUNTIFS($AB$3:AB70,AB70)-1)</f>
      </c>
      <c r="AE70" s="1736"/>
    </row>
    <row r="71" spans="1:19" ht="22.0" hidden="false" customHeight="true" x14ac:dyDescent="0.25">
      <c r="A71" s="3109" t="s">
        <v>170</v>
      </c>
      <c r="B71" s="3108" t="s">
        <v>162</v>
      </c>
      <c r="C71" s="3108" t="s">
        <v>163</v>
      </c>
      <c r="D71" s="3108" t="s">
        <v>171</v>
      </c>
      <c r="E71" s="3108"/>
      <c r="F71" s="3108" t="s">
        <v>167</v>
      </c>
      <c r="G71" s="3108" t="s">
        <v>13</v>
      </c>
      <c r="H71" s="3108" t="s">
        <v>14</v>
      </c>
      <c r="I71" s="3108"/>
      <c r="J71" s="3108"/>
      <c r="K71" s="3108"/>
      <c r="L71" s="3108"/>
      <c r="M71" s="3108" t="s">
        <v>385</v>
      </c>
      <c r="N71" s="3108" t="s">
        <v>362</v>
      </c>
      <c r="O71" s="3108" t="s">
        <v>362</v>
      </c>
      <c r="P71" s="3108"/>
      <c r="Q71" s="3111"/>
      <c r="R71" s="3111"/>
      <c r="S71" s="3111"/>
      <c r="T71" s="3111"/>
      <c r="U71" s="3112"/>
      <c r="V71" s="3108"/>
      <c r="W71" s="3108"/>
      <c r="X71" s="3056">
        <f>IF(A71="","",IF(LEN(SUBSTITUTE(SUBSTITUTE(SUBSTITUTE(SUBSTITUTE(D71,".",""),"/",""),"-","")," ",""))&lt;&gt;14,"CNPJ INVALIDO","OK"))</f>
      </c>
      <c r="Y71" s="3056">
        <f>IF(A71="","",IF(R71="","REST PENDENTE","REST OK"))</f>
      </c>
      <c r="Z71" s="3056">
        <f>IF(A71="","",IF(AND(R71&lt;&gt;"",COUNTIFS($D$3:$D$164,D71,$R$3:$R$164,"&lt;&gt;")&gt;1),"DUPLICADO","OK"))</f>
      </c>
      <c r="AA71" s="3056">
        <f>IF(A71="","",IF(OR(LEN(Q71)&gt;180,LEN(R71)&gt;180,LEN(S71)&gt;180,LEN(T71)&gt;180),"CAMINHO LONGO","OK"))</f>
      </c>
      <c r="AB71" s="3056">
        <f>IF(A71="","",IF(U71="","",IFERROR(INT(U71-TODAY()),"")))</f>
      </c>
      <c r="AC71" s="3056">
        <f>IF(A71="","",IF(AND(T71="",U71=""),"",IF(T71="","SEM CAMINHO",IF(U71="","SEM DATA",IFERROR(IF(AB71&lt;15,"VERMELHO",IF(AB71&lt;=30,"AMARELO","VERDE")),"DATA INVALIDA")))))</f>
      </c>
      <c r="AD71" s="3056">
        <f>IF(OR(A71="",U71="",NOT(ISNUMBER(AB71))),"",RANK(AB71,$AB$3:$AB$164,1)+COUNTIFS($AB$3:AB71,AB71)-1)</f>
      </c>
      <c r="AE71" s="1736"/>
    </row>
    <row r="72" spans="1:19" ht="22.0" hidden="false" customHeight="true" x14ac:dyDescent="0.25">
      <c r="A72" s="3114" t="s">
        <v>172</v>
      </c>
      <c r="B72" s="3113" t="s">
        <v>162</v>
      </c>
      <c r="C72" s="3113" t="s">
        <v>163</v>
      </c>
      <c r="D72" s="3113" t="s">
        <v>173</v>
      </c>
      <c r="E72" s="3113"/>
      <c r="F72" s="3113" t="s">
        <v>167</v>
      </c>
      <c r="G72" s="3113" t="s">
        <v>13</v>
      </c>
      <c r="H72" s="3113" t="s">
        <v>14</v>
      </c>
      <c r="I72" s="3113"/>
      <c r="J72" s="3113"/>
      <c r="K72" s="3113"/>
      <c r="L72" s="3113"/>
      <c r="M72" s="3113" t="s">
        <v>385</v>
      </c>
      <c r="N72" s="3113" t="s">
        <v>362</v>
      </c>
      <c r="O72" s="3113" t="s">
        <v>362</v>
      </c>
      <c r="P72" s="3113"/>
      <c r="Q72" s="3116"/>
      <c r="R72" s="3116"/>
      <c r="S72" s="3116"/>
      <c r="T72" s="3116"/>
      <c r="U72" s="3117"/>
      <c r="V72" s="3113"/>
      <c r="W72" s="3113"/>
      <c r="X72" s="3056">
        <f>IF(A72="","",IF(LEN(SUBSTITUTE(SUBSTITUTE(SUBSTITUTE(SUBSTITUTE(D72,".",""),"/",""),"-","")," ",""))&lt;&gt;14,"CNPJ INVALIDO","OK"))</f>
      </c>
      <c r="Y72" s="3056">
        <f>IF(A72="","",IF(R72="","REST PENDENTE","REST OK"))</f>
      </c>
      <c r="Z72" s="3056">
        <f>IF(A72="","",IF(AND(R72&lt;&gt;"",COUNTIFS($D$3:$D$164,D72,$R$3:$R$164,"&lt;&gt;")&gt;1),"DUPLICADO","OK"))</f>
      </c>
      <c r="AA72" s="3056">
        <f>IF(A72="","",IF(OR(LEN(Q72)&gt;180,LEN(R72)&gt;180,LEN(S72)&gt;180,LEN(T72)&gt;180),"CAMINHO LONGO","OK"))</f>
      </c>
      <c r="AB72" s="3056">
        <f>IF(A72="","",IF(U72="","",IFERROR(INT(U72-TODAY()),"")))</f>
      </c>
      <c r="AC72" s="3056">
        <f>IF(A72="","",IF(AND(T72="",U72=""),"",IF(T72="","SEM CAMINHO",IF(U72="","SEM DATA",IFERROR(IF(AB72&lt;15,"VERMELHO",IF(AB72&lt;=30,"AMARELO","VERDE")),"DATA INVALIDA")))))</f>
      </c>
      <c r="AD72" s="3056">
        <f>IF(OR(A72="",U72="",NOT(ISNUMBER(AB72))),"",RANK(AB72,$AB$3:$AB$164,1)+COUNTIFS($AB$3:AB72,AB72)-1)</f>
      </c>
      <c r="AE72" s="1736"/>
    </row>
    <row r="73" spans="1:19" ht="22.0" hidden="false" customHeight="true" x14ac:dyDescent="0.25">
      <c r="A73" s="3109" t="s">
        <v>174</v>
      </c>
      <c r="B73" s="3108" t="s">
        <v>162</v>
      </c>
      <c r="C73" s="3108" t="s">
        <v>163</v>
      </c>
      <c r="D73" s="3108" t="s">
        <v>175</v>
      </c>
      <c r="E73" s="3108"/>
      <c r="F73" s="3108" t="s">
        <v>167</v>
      </c>
      <c r="G73" s="3108" t="s">
        <v>13</v>
      </c>
      <c r="H73" s="3108" t="s">
        <v>14</v>
      </c>
      <c r="I73" s="3108"/>
      <c r="J73" s="3108"/>
      <c r="K73" s="3108"/>
      <c r="L73" s="3108"/>
      <c r="M73" s="3108" t="s">
        <v>385</v>
      </c>
      <c r="N73" s="3108" t="s">
        <v>362</v>
      </c>
      <c r="O73" s="3108" t="s">
        <v>362</v>
      </c>
      <c r="P73" s="3108"/>
      <c r="Q73" s="3111"/>
      <c r="R73" s="3111"/>
      <c r="S73" s="3111"/>
      <c r="T73" s="3111"/>
      <c r="U73" s="3112"/>
      <c r="V73" s="3108"/>
      <c r="W73" s="3108"/>
      <c r="X73" s="3056">
        <f>IF(A73="","",IF(LEN(SUBSTITUTE(SUBSTITUTE(SUBSTITUTE(SUBSTITUTE(D73,".",""),"/",""),"-","")," ",""))&lt;&gt;14,"CNPJ INVALIDO","OK"))</f>
      </c>
      <c r="Y73" s="3056">
        <f>IF(A73="","",IF(R73="","REST PENDENTE","REST OK"))</f>
      </c>
      <c r="Z73" s="3056">
        <f>IF(A73="","",IF(AND(R73&lt;&gt;"",COUNTIFS($D$3:$D$164,D73,$R$3:$R$164,"&lt;&gt;")&gt;1),"DUPLICADO","OK"))</f>
      </c>
      <c r="AA73" s="3056">
        <f>IF(A73="","",IF(OR(LEN(Q73)&gt;180,LEN(R73)&gt;180,LEN(S73)&gt;180,LEN(T73)&gt;180),"CAMINHO LONGO","OK"))</f>
      </c>
      <c r="AB73" s="3056">
        <f>IF(A73="","",IF(U73="","",IFERROR(INT(U73-TODAY()),"")))</f>
      </c>
      <c r="AC73" s="3056">
        <f>IF(A73="","",IF(AND(T73="",U73=""),"",IF(T73="","SEM CAMINHO",IF(U73="","SEM DATA",IFERROR(IF(AB73&lt;15,"VERMELHO",IF(AB73&lt;=30,"AMARELO","VERDE")),"DATA INVALIDA")))))</f>
      </c>
      <c r="AD73" s="3056">
        <f>IF(OR(A73="",U73="",NOT(ISNUMBER(AB73))),"",RANK(AB73,$AB$3:$AB$164,1)+COUNTIFS($AB$3:AB73,AB73)-1)</f>
      </c>
      <c r="AE73" s="1736"/>
    </row>
    <row r="74" spans="1:19" ht="22.0" hidden="false" customHeight="true" x14ac:dyDescent="0.25">
      <c r="A74" s="3114" t="s">
        <v>176</v>
      </c>
      <c r="B74" s="3113" t="s">
        <v>162</v>
      </c>
      <c r="C74" s="3113" t="s">
        <v>163</v>
      </c>
      <c r="D74" s="3113" t="s">
        <v>177</v>
      </c>
      <c r="E74" s="3113"/>
      <c r="F74" s="3113"/>
      <c r="G74" s="3113" t="s">
        <v>4</v>
      </c>
      <c r="H74" s="3113" t="s">
        <v>14</v>
      </c>
      <c r="I74" s="3113"/>
      <c r="J74" s="3113"/>
      <c r="K74" s="3113"/>
      <c r="L74" s="3113"/>
      <c r="M74" s="3113" t="s">
        <v>385</v>
      </c>
      <c r="N74" s="3113" t="s">
        <v>362</v>
      </c>
      <c r="O74" s="3113" t="s">
        <v>350</v>
      </c>
      <c r="P74" s="3113"/>
      <c r="Q74" s="3116"/>
      <c r="R74" s="3116"/>
      <c r="S74" s="3116"/>
      <c r="T74" s="3116"/>
      <c r="U74" s="3117"/>
      <c r="V74" s="3113"/>
      <c r="W74" s="3113"/>
      <c r="X74" s="3056">
        <f>IF(A74="","",IF(LEN(SUBSTITUTE(SUBSTITUTE(SUBSTITUTE(SUBSTITUTE(D74,".",""),"/",""),"-","")," ",""))&lt;&gt;14,"CNPJ INVALIDO","OK"))</f>
      </c>
      <c r="Y74" s="3056">
        <f>IF(A74="","",IF(R74="","REST PENDENTE","REST OK"))</f>
      </c>
      <c r="Z74" s="3056">
        <f>IF(A74="","",IF(AND(R74&lt;&gt;"",COUNTIFS($D$3:$D$164,D74,$R$3:$R$164,"&lt;&gt;")&gt;1),"DUPLICADO","OK"))</f>
      </c>
      <c r="AA74" s="3056">
        <f>IF(A74="","",IF(OR(LEN(Q74)&gt;180,LEN(R74)&gt;180,LEN(S74)&gt;180,LEN(T74)&gt;180),"CAMINHO LONGO","OK"))</f>
      </c>
      <c r="AB74" s="3056">
        <f>IF(A74="","",IF(U74="","",IFERROR(INT(U74-TODAY()),"")))</f>
      </c>
      <c r="AC74" s="3056">
        <f>IF(A74="","",IF(AND(T74="",U74=""),"",IF(T74="","SEM CAMINHO",IF(U74="","SEM DATA",IFERROR(IF(AB74&lt;15,"VERMELHO",IF(AB74&lt;=30,"AMARELO","VERDE")),"DATA INVALIDA")))))</f>
      </c>
      <c r="AD74" s="3056">
        <f>IF(OR(A74="",U74="",NOT(ISNUMBER(AB74))),"",RANK(AB74,$AB$3:$AB$164,1)+COUNTIFS($AB$3:AB74,AB74)-1)</f>
      </c>
      <c r="AE74" s="1736"/>
    </row>
    <row r="75" spans="1:19" ht="22.0" hidden="false" customHeight="true" x14ac:dyDescent="0.25">
      <c r="A75" s="3109" t="s">
        <v>178</v>
      </c>
      <c r="B75" s="3108" t="s">
        <v>162</v>
      </c>
      <c r="C75" s="3108" t="s">
        <v>163</v>
      </c>
      <c r="D75" s="3108" t="s">
        <v>179</v>
      </c>
      <c r="E75" s="3108"/>
      <c r="F75" s="3108"/>
      <c r="G75" s="3108" t="s">
        <v>4</v>
      </c>
      <c r="H75" s="3108" t="s">
        <v>14</v>
      </c>
      <c r="I75" s="3108"/>
      <c r="J75" s="3108"/>
      <c r="K75" s="3108"/>
      <c r="L75" s="3108"/>
      <c r="M75" s="3108" t="s">
        <v>385</v>
      </c>
      <c r="N75" s="3108" t="s">
        <v>362</v>
      </c>
      <c r="O75" s="3108" t="s">
        <v>350</v>
      </c>
      <c r="P75" s="3108"/>
      <c r="Q75" s="3111"/>
      <c r="R75" s="3111"/>
      <c r="S75" s="3111"/>
      <c r="T75" s="3111"/>
      <c r="U75" s="3112"/>
      <c r="V75" s="3108"/>
      <c r="W75" s="3108"/>
      <c r="X75" s="3056">
        <f>IF(A75="","",IF(LEN(SUBSTITUTE(SUBSTITUTE(SUBSTITUTE(SUBSTITUTE(D75,".",""),"/",""),"-","")," ",""))&lt;&gt;14,"CNPJ INVALIDO","OK"))</f>
      </c>
      <c r="Y75" s="3056">
        <f>IF(A75="","",IF(R75="","REST PENDENTE","REST OK"))</f>
      </c>
      <c r="Z75" s="3056">
        <f>IF(A75="","",IF(AND(R75&lt;&gt;"",COUNTIFS($D$3:$D$164,D75,$R$3:$R$164,"&lt;&gt;")&gt;1),"DUPLICADO","OK"))</f>
      </c>
      <c r="AA75" s="3056">
        <f>IF(A75="","",IF(OR(LEN(Q75)&gt;180,LEN(R75)&gt;180,LEN(S75)&gt;180,LEN(T75)&gt;180),"CAMINHO LONGO","OK"))</f>
      </c>
      <c r="AB75" s="3056">
        <f>IF(A75="","",IF(U75="","",IFERROR(INT(U75-TODAY()),"")))</f>
      </c>
      <c r="AC75" s="3056">
        <f>IF(A75="","",IF(AND(T75="",U75=""),"",IF(T75="","SEM CAMINHO",IF(U75="","SEM DATA",IFERROR(IF(AB75&lt;15,"VERMELHO",IF(AB75&lt;=30,"AMARELO","VERDE")),"DATA INVALIDA")))))</f>
      </c>
      <c r="AD75" s="3056">
        <f>IF(OR(A75="",U75="",NOT(ISNUMBER(AB75))),"",RANK(AB75,$AB$3:$AB$164,1)+COUNTIFS($AB$3:AB75,AB75)-1)</f>
      </c>
      <c r="AE75" s="1736"/>
    </row>
    <row r="76" spans="1:19" ht="22.0" hidden="false" customHeight="true" x14ac:dyDescent="0.25">
      <c r="A76" s="3114" t="s">
        <v>180</v>
      </c>
      <c r="B76" s="3113" t="s">
        <v>9</v>
      </c>
      <c r="C76" s="3113" t="s">
        <v>24</v>
      </c>
      <c r="D76" s="3113">
        <v>10977876000146</v>
      </c>
      <c r="E76" s="3113"/>
      <c r="F76" s="3113" t="s">
        <v>12</v>
      </c>
      <c r="G76" s="3113" t="s">
        <v>4</v>
      </c>
      <c r="H76" s="3113" t="s">
        <v>5</v>
      </c>
      <c r="I76" s="3113"/>
      <c r="J76" s="3113"/>
      <c r="K76" s="3113"/>
      <c r="L76" s="3113"/>
      <c r="M76" s="3113" t="s">
        <v>385</v>
      </c>
      <c r="N76" s="3113"/>
      <c r="O76" s="3113" t="s">
        <v>351</v>
      </c>
      <c r="P76" s="3113"/>
      <c r="Q76" s="3116"/>
      <c r="R76" s="3116"/>
      <c r="S76" s="3116"/>
      <c r="T76" s="3116"/>
      <c r="U76" s="3117"/>
      <c r="V76" s="3113"/>
      <c r="W76" s="3113"/>
      <c r="X76" s="3056">
        <f>IF(A76="","",IF(LEN(SUBSTITUTE(SUBSTITUTE(SUBSTITUTE(SUBSTITUTE(D76,".",""),"/",""),"-","")," ",""))&lt;&gt;14,"CNPJ INVALIDO","OK"))</f>
      </c>
      <c r="Y76" s="3056">
        <f>IF(A76="","",IF(R76="","REST PENDENTE","REST OK"))</f>
      </c>
      <c r="Z76" s="3056">
        <f>IF(A76="","",IF(AND(R76&lt;&gt;"",COUNTIFS($D$3:$D$164,D76,$R$3:$R$164,"&lt;&gt;")&gt;1),"DUPLICADO","OK"))</f>
      </c>
      <c r="AA76" s="3056">
        <f>IF(A76="","",IF(OR(LEN(Q76)&gt;180,LEN(R76)&gt;180,LEN(S76)&gt;180,LEN(T76)&gt;180),"CAMINHO LONGO","OK"))</f>
      </c>
      <c r="AB76" s="3056">
        <f>IF(A76="","",IF(U76="","",IFERROR(INT(U76-TODAY()),"")))</f>
      </c>
      <c r="AC76" s="3056">
        <f>IF(A76="","",IF(AND(T76="",U76=""),"",IF(T76="","SEM CAMINHO",IF(U76="","SEM DATA",IFERROR(IF(AB76&lt;15,"VERMELHO",IF(AB76&lt;=30,"AMARELO","VERDE")),"DATA INVALIDA")))))</f>
      </c>
      <c r="AD76" s="3056">
        <f>IF(OR(A76="",U76="",NOT(ISNUMBER(AB76))),"",RANK(AB76,$AB$3:$AB$164,1)+COUNTIFS($AB$3:AB76,AB76)-1)</f>
      </c>
      <c r="AE76" s="1736"/>
    </row>
    <row r="77" spans="1:19" ht="22.0" hidden="false" customHeight="true" x14ac:dyDescent="0.25">
      <c r="A77" s="3109" t="s">
        <v>181</v>
      </c>
      <c r="B77" s="3108" t="s">
        <v>182</v>
      </c>
      <c r="C77" s="3108" t="s">
        <v>79</v>
      </c>
      <c r="D77" s="3108" t="s">
        <v>183</v>
      </c>
      <c r="E77" s="3108"/>
      <c r="F77" s="3108" t="s">
        <v>184</v>
      </c>
      <c r="G77" s="3108" t="s">
        <v>13</v>
      </c>
      <c r="H77" s="3108" t="s">
        <v>5</v>
      </c>
      <c r="I77" s="3108"/>
      <c r="J77" s="3108"/>
      <c r="K77" s="3108"/>
      <c r="L77" s="3108"/>
      <c r="M77" s="3108" t="s">
        <v>375</v>
      </c>
      <c r="N77" s="3108"/>
      <c r="O77" s="3108" t="s">
        <v>351</v>
      </c>
      <c r="P77" s="3108"/>
      <c r="Q77" s="3111"/>
      <c r="R77" s="3111"/>
      <c r="S77" s="3111"/>
      <c r="T77" s="3111"/>
      <c r="U77" s="3112"/>
      <c r="V77" s="3108"/>
      <c r="W77" s="3108"/>
      <c r="X77" s="3056">
        <f>IF(A77="","",IF(LEN(SUBSTITUTE(SUBSTITUTE(SUBSTITUTE(SUBSTITUTE(D77,".",""),"/",""),"-","")," ",""))&lt;&gt;14,"CNPJ INVALIDO","OK"))</f>
      </c>
      <c r="Y77" s="3056">
        <f>IF(A77="","",IF(R77="","REST PENDENTE","REST OK"))</f>
      </c>
      <c r="Z77" s="3056">
        <f>IF(A77="","",IF(AND(R77&lt;&gt;"",COUNTIFS($D$3:$D$164,D77,$R$3:$R$164,"&lt;&gt;")&gt;1),"DUPLICADO","OK"))</f>
      </c>
      <c r="AA77" s="3056">
        <f>IF(A77="","",IF(OR(LEN(Q77)&gt;180,LEN(R77)&gt;180,LEN(S77)&gt;180,LEN(T77)&gt;180),"CAMINHO LONGO","OK"))</f>
      </c>
      <c r="AB77" s="3056">
        <f>IF(A77="","",IF(U77="","",IFERROR(INT(U77-TODAY()),"")))</f>
      </c>
      <c r="AC77" s="3056">
        <f>IF(A77="","",IF(AND(T77="",U77=""),"",IF(T77="","SEM CAMINHO",IF(U77="","SEM DATA",IFERROR(IF(AB77&lt;15,"VERMELHO",IF(AB77&lt;=30,"AMARELO","VERDE")),"DATA INVALIDA")))))</f>
      </c>
      <c r="AD77" s="3056">
        <f>IF(OR(A77="",U77="",NOT(ISNUMBER(AB77))),"",RANK(AB77,$AB$3:$AB$164,1)+COUNTIFS($AB$3:AB77,AB77)-1)</f>
      </c>
      <c r="AE77" s="1736"/>
    </row>
    <row r="78" spans="1:19" ht="22.0" hidden="false" customHeight="true" x14ac:dyDescent="0.25">
      <c r="A78" s="3114" t="s">
        <v>185</v>
      </c>
      <c r="B78" s="3113" t="s">
        <v>182</v>
      </c>
      <c r="C78" s="3113" t="s">
        <v>79</v>
      </c>
      <c r="D78" s="3113" t="s">
        <v>186</v>
      </c>
      <c r="E78" s="3113"/>
      <c r="F78" s="3113" t="s">
        <v>184</v>
      </c>
      <c r="G78" s="3113" t="s">
        <v>13</v>
      </c>
      <c r="H78" s="3113" t="s">
        <v>14</v>
      </c>
      <c r="I78" s="3113"/>
      <c r="J78" s="3113"/>
      <c r="K78" s="3113"/>
      <c r="L78" s="3113"/>
      <c r="M78" s="3113" t="s">
        <v>355</v>
      </c>
      <c r="N78" s="3113"/>
      <c r="O78" s="3113" t="s">
        <v>354</v>
      </c>
      <c r="P78" s="3113"/>
      <c r="Q78" s="3116"/>
      <c r="R78" s="3116"/>
      <c r="S78" s="3116"/>
      <c r="T78" s="3116"/>
      <c r="U78" s="3117"/>
      <c r="V78" s="3113"/>
      <c r="W78" s="3113"/>
      <c r="X78" s="3056">
        <f>IF(A78="","",IF(LEN(SUBSTITUTE(SUBSTITUTE(SUBSTITUTE(SUBSTITUTE(D78,".",""),"/",""),"-","")," ",""))&lt;&gt;14,"CNPJ INVALIDO","OK"))</f>
      </c>
      <c r="Y78" s="3056">
        <f>IF(A78="","",IF(R78="","REST PENDENTE","REST OK"))</f>
      </c>
      <c r="Z78" s="3056">
        <f>IF(A78="","",IF(AND(R78&lt;&gt;"",COUNTIFS($D$3:$D$164,D78,$R$3:$R$164,"&lt;&gt;")&gt;1),"DUPLICADO","OK"))</f>
      </c>
      <c r="AA78" s="3056">
        <f>IF(A78="","",IF(OR(LEN(Q78)&gt;180,LEN(R78)&gt;180,LEN(S78)&gt;180,LEN(T78)&gt;180),"CAMINHO LONGO","OK"))</f>
      </c>
      <c r="AB78" s="3056">
        <f>IF(A78="","",IF(U78="","",IFERROR(INT(U78-TODAY()),"")))</f>
      </c>
      <c r="AC78" s="3056">
        <f>IF(A78="","",IF(AND(T78="",U78=""),"",IF(T78="","SEM CAMINHO",IF(U78="","SEM DATA",IFERROR(IF(AB78&lt;15,"VERMELHO",IF(AB78&lt;=30,"AMARELO","VERDE")),"DATA INVALIDA")))))</f>
      </c>
      <c r="AD78" s="3056">
        <f>IF(OR(A78="",U78="",NOT(ISNUMBER(AB78))),"",RANK(AB78,$AB$3:$AB$164,1)+COUNTIFS($AB$3:AB78,AB78)-1)</f>
      </c>
      <c r="AE78" s="1736"/>
    </row>
    <row r="79" spans="1:19" ht="22.0" hidden="false" customHeight="true" x14ac:dyDescent="0.25">
      <c r="A79" s="3109" t="s">
        <v>187</v>
      </c>
      <c r="B79" s="3108" t="s">
        <v>188</v>
      </c>
      <c r="C79" s="3108" t="s">
        <v>62</v>
      </c>
      <c r="D79" s="3108">
        <v>40920539000183</v>
      </c>
      <c r="E79" s="3108"/>
      <c r="F79" s="3108" t="s">
        <v>189</v>
      </c>
      <c r="G79" s="3108" t="s">
        <v>4</v>
      </c>
      <c r="H79" s="3108" t="s">
        <v>5</v>
      </c>
      <c r="I79" s="3108"/>
      <c r="J79" s="3108"/>
      <c r="K79" s="3108"/>
      <c r="L79" s="3108"/>
      <c r="M79" s="3108" t="s">
        <v>385</v>
      </c>
      <c r="N79" s="3108"/>
      <c r="O79" s="3108"/>
      <c r="P79" s="3108"/>
      <c r="Q79" s="3111"/>
      <c r="R79" s="3111"/>
      <c r="S79" s="3111"/>
      <c r="T79" s="3111"/>
      <c r="U79" s="3112"/>
      <c r="V79" s="3108"/>
      <c r="W79" s="3108"/>
      <c r="X79" s="3056">
        <f>IF(A79="","",IF(LEN(SUBSTITUTE(SUBSTITUTE(SUBSTITUTE(SUBSTITUTE(D79,".",""),"/",""),"-","")," ",""))&lt;&gt;14,"CNPJ INVALIDO","OK"))</f>
      </c>
      <c r="Y79" s="3056">
        <f>IF(A79="","",IF(R79="","REST PENDENTE","REST OK"))</f>
      </c>
      <c r="Z79" s="3056">
        <f>IF(A79="","",IF(AND(R79&lt;&gt;"",COUNTIFS($D$3:$D$164,D79,$R$3:$R$164,"&lt;&gt;")&gt;1),"DUPLICADO","OK"))</f>
      </c>
      <c r="AA79" s="3056">
        <f>IF(A79="","",IF(OR(LEN(Q79)&gt;180,LEN(R79)&gt;180,LEN(S79)&gt;180,LEN(T79)&gt;180),"CAMINHO LONGO","OK"))</f>
      </c>
      <c r="AB79" s="3056">
        <f>IF(A79="","",IF(U79="","",IFERROR(INT(U79-TODAY()),"")))</f>
      </c>
      <c r="AC79" s="3056">
        <f>IF(A79="","",IF(AND(T79="",U79=""),"",IF(T79="","SEM CAMINHO",IF(U79="","SEM DATA",IFERROR(IF(AB79&lt;15,"VERMELHO",IF(AB79&lt;=30,"AMARELO","VERDE")),"DATA INVALIDA")))))</f>
      </c>
      <c r="AD79" s="3056">
        <f>IF(OR(A79="",U79="",NOT(ISNUMBER(AB79))),"",RANK(AB79,$AB$3:$AB$164,1)+COUNTIFS($AB$3:AB79,AB79)-1)</f>
      </c>
      <c r="AE79" s="1736"/>
    </row>
    <row r="80" spans="1:19" ht="22.0" hidden="false" customHeight="true" x14ac:dyDescent="0.25">
      <c r="A80" s="3114" t="s">
        <v>190</v>
      </c>
      <c r="B80" s="3113" t="s">
        <v>188</v>
      </c>
      <c r="C80" s="3113" t="s">
        <v>69</v>
      </c>
      <c r="D80" s="3113" t="s">
        <v>191</v>
      </c>
      <c r="E80" s="3113"/>
      <c r="F80" s="3113" t="s">
        <v>189</v>
      </c>
      <c r="G80" s="3113" t="s">
        <v>41</v>
      </c>
      <c r="H80" s="3113" t="s">
        <v>5</v>
      </c>
      <c r="I80" s="3113"/>
      <c r="J80" s="3113"/>
      <c r="K80" s="3113"/>
      <c r="L80" s="3113"/>
      <c r="M80" s="3113" t="s">
        <v>379</v>
      </c>
      <c r="N80" s="3113"/>
      <c r="O80" s="3113" t="s">
        <v>350</v>
      </c>
      <c r="P80" s="3113"/>
      <c r="Q80" s="3116"/>
      <c r="R80" s="3116"/>
      <c r="S80" s="3116"/>
      <c r="T80" s="3116"/>
      <c r="U80" s="3117"/>
      <c r="V80" s="3113"/>
      <c r="W80" s="3113"/>
      <c r="X80" s="3056">
        <f>IF(A80="","",IF(LEN(SUBSTITUTE(SUBSTITUTE(SUBSTITUTE(SUBSTITUTE(D80,".",""),"/",""),"-","")," ",""))&lt;&gt;14,"CNPJ INVALIDO","OK"))</f>
      </c>
      <c r="Y80" s="3056">
        <f>IF(A80="","",IF(R80="","REST PENDENTE","REST OK"))</f>
      </c>
      <c r="Z80" s="3056">
        <f>IF(A80="","",IF(AND(R80&lt;&gt;"",COUNTIFS($D$3:$D$164,D80,$R$3:$R$164,"&lt;&gt;")&gt;1),"DUPLICADO","OK"))</f>
      </c>
      <c r="AA80" s="3056">
        <f>IF(A80="","",IF(OR(LEN(Q80)&gt;180,LEN(R80)&gt;180,LEN(S80)&gt;180,LEN(T80)&gt;180),"CAMINHO LONGO","OK"))</f>
      </c>
      <c r="AB80" s="3056">
        <f>IF(A80="","",IF(U80="","",IFERROR(INT(U80-TODAY()),"")))</f>
      </c>
      <c r="AC80" s="3056">
        <f>IF(A80="","",IF(AND(T80="",U80=""),"",IF(T80="","SEM CAMINHO",IF(U80="","SEM DATA",IFERROR(IF(AB80&lt;15,"VERMELHO",IF(AB80&lt;=30,"AMARELO","VERDE")),"DATA INVALIDA")))))</f>
      </c>
      <c r="AD80" s="3056">
        <f>IF(OR(A80="",U80="",NOT(ISNUMBER(AB80))),"",RANK(AB80,$AB$3:$AB$164,1)+COUNTIFS($AB$3:AB80,AB80)-1)</f>
      </c>
      <c r="AE80" s="1736"/>
    </row>
    <row r="81" spans="1:19" ht="22.0" hidden="false" customHeight="true" x14ac:dyDescent="0.25">
      <c r="A81" s="3109" t="s">
        <v>192</v>
      </c>
      <c r="B81" s="3108" t="s">
        <v>188</v>
      </c>
      <c r="C81" s="3108" t="s">
        <v>69</v>
      </c>
      <c r="D81" s="3108" t="s">
        <v>193</v>
      </c>
      <c r="E81" s="3108"/>
      <c r="F81" s="3108" t="s">
        <v>189</v>
      </c>
      <c r="G81" s="3108" t="s">
        <v>13</v>
      </c>
      <c r="H81" s="3108" t="s">
        <v>14</v>
      </c>
      <c r="I81" s="3108"/>
      <c r="J81" s="3108"/>
      <c r="K81" s="3108"/>
      <c r="L81" s="3108"/>
      <c r="M81" s="3108" t="s">
        <v>386</v>
      </c>
      <c r="N81" s="3108"/>
      <c r="O81" s="3108" t="s">
        <v>347</v>
      </c>
      <c r="P81" s="3108"/>
      <c r="Q81" s="3111"/>
      <c r="R81" s="3111"/>
      <c r="S81" s="3111"/>
      <c r="T81" s="3111"/>
      <c r="U81" s="3112"/>
      <c r="V81" s="3108"/>
      <c r="W81" s="3108"/>
      <c r="X81" s="3056">
        <f>IF(A81="","",IF(LEN(SUBSTITUTE(SUBSTITUTE(SUBSTITUTE(SUBSTITUTE(D81,".",""),"/",""),"-","")," ",""))&lt;&gt;14,"CNPJ INVALIDO","OK"))</f>
      </c>
      <c r="Y81" s="3056">
        <f>IF(A81="","",IF(R81="","REST PENDENTE","REST OK"))</f>
      </c>
      <c r="Z81" s="3056">
        <f>IF(A81="","",IF(AND(R81&lt;&gt;"",COUNTIFS($D$3:$D$164,D81,$R$3:$R$164,"&lt;&gt;")&gt;1),"DUPLICADO","OK"))</f>
      </c>
      <c r="AA81" s="3056">
        <f>IF(A81="","",IF(OR(LEN(Q81)&gt;180,LEN(R81)&gt;180,LEN(S81)&gt;180,LEN(T81)&gt;180),"CAMINHO LONGO","OK"))</f>
      </c>
      <c r="AB81" s="3056">
        <f>IF(A81="","",IF(U81="","",IFERROR(INT(U81-TODAY()),"")))</f>
      </c>
      <c r="AC81" s="3056">
        <f>IF(A81="","",IF(AND(T81="",U81=""),"",IF(T81="","SEM CAMINHO",IF(U81="","SEM DATA",IFERROR(IF(AB81&lt;15,"VERMELHO",IF(AB81&lt;=30,"AMARELO","VERDE")),"DATA INVALIDA")))))</f>
      </c>
      <c r="AD81" s="3056">
        <f>IF(OR(A81="",U81="",NOT(ISNUMBER(AB81))),"",RANK(AB81,$AB$3:$AB$164,1)+COUNTIFS($AB$3:AB81,AB81)-1)</f>
      </c>
      <c r="AE81" s="1736"/>
    </row>
    <row r="82" spans="1:19" ht="22.0" hidden="false" customHeight="true" x14ac:dyDescent="0.25">
      <c r="A82" s="3114" t="s">
        <v>194</v>
      </c>
      <c r="B82" s="3113" t="s">
        <v>1</v>
      </c>
      <c r="C82" s="3113" t="s">
        <v>195</v>
      </c>
      <c r="D82" s="3113" t="s">
        <v>196</v>
      </c>
      <c r="E82" s="3113"/>
      <c r="F82" s="3113" t="s">
        <v>3</v>
      </c>
      <c r="G82" s="3113" t="s">
        <v>197</v>
      </c>
      <c r="H82" s="3113" t="s">
        <v>49</v>
      </c>
      <c r="I82" s="3113"/>
      <c r="J82" s="3113"/>
      <c r="K82" s="3113"/>
      <c r="L82" s="3113"/>
      <c r="M82" s="3113" t="s">
        <v>376</v>
      </c>
      <c r="N82" s="3113" t="s">
        <v>361</v>
      </c>
      <c r="O82" s="3113" t="s">
        <v>351</v>
      </c>
      <c r="P82" s="3113"/>
      <c r="Q82" s="3116"/>
      <c r="R82" s="3116"/>
      <c r="S82" s="3116"/>
      <c r="T82" s="3116"/>
      <c r="U82" s="3117"/>
      <c r="V82" s="3113"/>
      <c r="W82" s="3113"/>
      <c r="X82" s="3056">
        <f>IF(A82="","",IF(LEN(SUBSTITUTE(SUBSTITUTE(SUBSTITUTE(SUBSTITUTE(D82,".",""),"/",""),"-","")," ",""))&lt;&gt;14,"CNPJ INVALIDO","OK"))</f>
      </c>
      <c r="Y82" s="3056">
        <f>IF(A82="","",IF(R82="","REST PENDENTE","REST OK"))</f>
      </c>
      <c r="Z82" s="3056">
        <f>IF(A82="","",IF(AND(R82&lt;&gt;"",COUNTIFS($D$3:$D$164,D82,$R$3:$R$164,"&lt;&gt;")&gt;1),"DUPLICADO","OK"))</f>
      </c>
      <c r="AA82" s="3056">
        <f>IF(A82="","",IF(OR(LEN(Q82)&gt;180,LEN(R82)&gt;180,LEN(S82)&gt;180,LEN(T82)&gt;180),"CAMINHO LONGO","OK"))</f>
      </c>
      <c r="AB82" s="3056">
        <f>IF(A82="","",IF(U82="","",IFERROR(INT(U82-TODAY()),"")))</f>
      </c>
      <c r="AC82" s="3056">
        <f>IF(A82="","",IF(AND(T82="",U82=""),"",IF(T82="","SEM CAMINHO",IF(U82="","SEM DATA",IFERROR(IF(AB82&lt;15,"VERMELHO",IF(AB82&lt;=30,"AMARELO","VERDE")),"DATA INVALIDA")))))</f>
      </c>
      <c r="AD82" s="3056">
        <f>IF(OR(A82="",U82="",NOT(ISNUMBER(AB82))),"",RANK(AB82,$AB$3:$AB$164,1)+COUNTIFS($AB$3:AB82,AB82)-1)</f>
      </c>
      <c r="AE82" s="1736"/>
    </row>
    <row r="83" spans="1:19" ht="22.0" hidden="false" customHeight="true" x14ac:dyDescent="0.25">
      <c r="A83" s="3109" t="s">
        <v>198</v>
      </c>
      <c r="B83" s="3108" t="s">
        <v>1</v>
      </c>
      <c r="C83" s="3108" t="s">
        <v>195</v>
      </c>
      <c r="D83" s="3108" t="s">
        <v>199</v>
      </c>
      <c r="E83" s="3108"/>
      <c r="F83" s="3108" t="s">
        <v>3</v>
      </c>
      <c r="G83" s="3108" t="s">
        <v>4</v>
      </c>
      <c r="H83" s="3108" t="s">
        <v>49</v>
      </c>
      <c r="I83" s="3108"/>
      <c r="J83" s="3108"/>
      <c r="K83" s="3108"/>
      <c r="L83" s="3108"/>
      <c r="M83" s="3108" t="s">
        <v>376</v>
      </c>
      <c r="N83" s="3108" t="s">
        <v>361</v>
      </c>
      <c r="O83" s="3108" t="s">
        <v>351</v>
      </c>
      <c r="P83" s="3108"/>
      <c r="Q83" s="3111"/>
      <c r="R83" s="3111"/>
      <c r="S83" s="3111"/>
      <c r="T83" s="3111"/>
      <c r="U83" s="3112"/>
      <c r="V83" s="3108"/>
      <c r="W83" s="3108"/>
      <c r="X83" s="3056">
        <f>IF(A83="","",IF(LEN(SUBSTITUTE(SUBSTITUTE(SUBSTITUTE(SUBSTITUTE(D83,".",""),"/",""),"-","")," ",""))&lt;&gt;14,"CNPJ INVALIDO","OK"))</f>
      </c>
      <c r="Y83" s="3056">
        <f>IF(A83="","",IF(R83="","REST PENDENTE","REST OK"))</f>
      </c>
      <c r="Z83" s="3056">
        <f>IF(A83="","",IF(AND(R83&lt;&gt;"",COUNTIFS($D$3:$D$164,D83,$R$3:$R$164,"&lt;&gt;")&gt;1),"DUPLICADO","OK"))</f>
      </c>
      <c r="AA83" s="3056">
        <f>IF(A83="","",IF(OR(LEN(Q83)&gt;180,LEN(R83)&gt;180,LEN(S83)&gt;180,LEN(T83)&gt;180),"CAMINHO LONGO","OK"))</f>
      </c>
      <c r="AB83" s="3056">
        <f>IF(A83="","",IF(U83="","",IFERROR(INT(U83-TODAY()),"")))</f>
      </c>
      <c r="AC83" s="3056">
        <f>IF(A83="","",IF(AND(T83="",U83=""),"",IF(T83="","SEM CAMINHO",IF(U83="","SEM DATA",IFERROR(IF(AB83&lt;15,"VERMELHO",IF(AB83&lt;=30,"AMARELO","VERDE")),"DATA INVALIDA")))))</f>
      </c>
      <c r="AD83" s="3056">
        <f>IF(OR(A83="",U83="",NOT(ISNUMBER(AB83))),"",RANK(AB83,$AB$3:$AB$164,1)+COUNTIFS($AB$3:AB83,AB83)-1)</f>
      </c>
      <c r="AE83" s="1736"/>
    </row>
    <row r="84" spans="1:19" ht="22.0" hidden="false" customHeight="true" x14ac:dyDescent="0.25">
      <c r="A84" s="3114" t="s">
        <v>200</v>
      </c>
      <c r="B84" s="3113" t="s">
        <v>1</v>
      </c>
      <c r="C84" s="3113" t="s">
        <v>195</v>
      </c>
      <c r="D84" s="3113" t="s">
        <v>201</v>
      </c>
      <c r="E84" s="3113"/>
      <c r="F84" s="3113" t="s">
        <v>3</v>
      </c>
      <c r="G84" s="3113" t="s">
        <v>4</v>
      </c>
      <c r="H84" s="3113" t="s">
        <v>49</v>
      </c>
      <c r="I84" s="3113"/>
      <c r="J84" s="3113"/>
      <c r="K84" s="3113"/>
      <c r="L84" s="3113"/>
      <c r="M84" s="3113" t="s">
        <v>376</v>
      </c>
      <c r="N84" s="3113" t="s">
        <v>361</v>
      </c>
      <c r="O84" s="3113" t="s">
        <v>351</v>
      </c>
      <c r="P84" s="3113"/>
      <c r="Q84" s="3116"/>
      <c r="R84" s="3116"/>
      <c r="S84" s="3116"/>
      <c r="T84" s="3116"/>
      <c r="U84" s="3117"/>
      <c r="V84" s="3113"/>
      <c r="W84" s="3113"/>
      <c r="X84" s="3056">
        <f>IF(A84="","",IF(LEN(SUBSTITUTE(SUBSTITUTE(SUBSTITUTE(SUBSTITUTE(D84,".",""),"/",""),"-","")," ",""))&lt;&gt;14,"CNPJ INVALIDO","OK"))</f>
      </c>
      <c r="Y84" s="3056">
        <f>IF(A84="","",IF(R84="","REST PENDENTE","REST OK"))</f>
      </c>
      <c r="Z84" s="3056">
        <f>IF(A84="","",IF(AND(R84&lt;&gt;"",COUNTIFS($D$3:$D$164,D84,$R$3:$R$164,"&lt;&gt;")&gt;1),"DUPLICADO","OK"))</f>
      </c>
      <c r="AA84" s="3056">
        <f>IF(A84="","",IF(OR(LEN(Q84)&gt;180,LEN(R84)&gt;180,LEN(S84)&gt;180,LEN(T84)&gt;180),"CAMINHO LONGO","OK"))</f>
      </c>
      <c r="AB84" s="3056">
        <f>IF(A84="","",IF(U84="","",IFERROR(INT(U84-TODAY()),"")))</f>
      </c>
      <c r="AC84" s="3056">
        <f>IF(A84="","",IF(AND(T84="",U84=""),"",IF(T84="","SEM CAMINHO",IF(U84="","SEM DATA",IFERROR(IF(AB84&lt;15,"VERMELHO",IF(AB84&lt;=30,"AMARELO","VERDE")),"DATA INVALIDA")))))</f>
      </c>
      <c r="AD84" s="3056">
        <f>IF(OR(A84="",U84="",NOT(ISNUMBER(AB84))),"",RANK(AB84,$AB$3:$AB$164,1)+COUNTIFS($AB$3:AB84,AB84)-1)</f>
      </c>
      <c r="AE84" s="1736"/>
    </row>
    <row r="85" spans="1:19" ht="22.0" hidden="false" customHeight="true" x14ac:dyDescent="0.25">
      <c r="A85" s="3109" t="s">
        <v>202</v>
      </c>
      <c r="B85" s="3108" t="s">
        <v>203</v>
      </c>
      <c r="C85" s="3108" t="s">
        <v>204</v>
      </c>
      <c r="D85" s="3108">
        <v>48579725000102</v>
      </c>
      <c r="E85" s="3108"/>
      <c r="F85" s="3108" t="s">
        <v>205</v>
      </c>
      <c r="G85" s="3108" t="s">
        <v>13</v>
      </c>
      <c r="H85" s="3108" t="s">
        <v>5</v>
      </c>
      <c r="I85" s="3108"/>
      <c r="J85" s="3108"/>
      <c r="K85" s="3108"/>
      <c r="L85" s="3108"/>
      <c r="M85" s="3108" t="s">
        <v>379</v>
      </c>
      <c r="N85" s="3108"/>
      <c r="O85" s="3108" t="s">
        <v>356</v>
      </c>
      <c r="P85" s="3108"/>
      <c r="Q85" s="3111"/>
      <c r="R85" s="3111"/>
      <c r="S85" s="3111"/>
      <c r="T85" s="3111"/>
      <c r="U85" s="3112"/>
      <c r="V85" s="3108"/>
      <c r="W85" s="3108"/>
      <c r="X85" s="3056">
        <f>IF(A85="","",IF(LEN(SUBSTITUTE(SUBSTITUTE(SUBSTITUTE(SUBSTITUTE(D85,".",""),"/",""),"-","")," ",""))&lt;&gt;14,"CNPJ INVALIDO","OK"))</f>
      </c>
      <c r="Y85" s="3056">
        <f>IF(A85="","",IF(R85="","REST PENDENTE","REST OK"))</f>
      </c>
      <c r="Z85" s="3056">
        <f>IF(A85="","",IF(AND(R85&lt;&gt;"",COUNTIFS($D$3:$D$164,D85,$R$3:$R$164,"&lt;&gt;")&gt;1),"DUPLICADO","OK"))</f>
      </c>
      <c r="AA85" s="3056">
        <f>IF(A85="","",IF(OR(LEN(Q85)&gt;180,LEN(R85)&gt;180,LEN(S85)&gt;180,LEN(T85)&gt;180),"CAMINHO LONGO","OK"))</f>
      </c>
      <c r="AB85" s="3056">
        <f>IF(A85="","",IF(U85="","",IFERROR(INT(U85-TODAY()),"")))</f>
      </c>
      <c r="AC85" s="3056">
        <f>IF(A85="","",IF(AND(T85="",U85=""),"",IF(T85="","SEM CAMINHO",IF(U85="","SEM DATA",IFERROR(IF(AB85&lt;15,"VERMELHO",IF(AB85&lt;=30,"AMARELO","VERDE")),"DATA INVALIDA")))))</f>
      </c>
      <c r="AD85" s="3056">
        <f>IF(OR(A85="",U85="",NOT(ISNUMBER(AB85))),"",RANK(AB85,$AB$3:$AB$164,1)+COUNTIFS($AB$3:AB85,AB85)-1)</f>
      </c>
      <c r="AE85" s="1736"/>
    </row>
    <row r="86" spans="1:19" ht="22.0" hidden="false" customHeight="true" x14ac:dyDescent="0.25">
      <c r="A86" s="3114" t="s">
        <v>206</v>
      </c>
      <c r="B86" s="3113" t="s">
        <v>207</v>
      </c>
      <c r="C86" s="3113" t="s">
        <v>62</v>
      </c>
      <c r="D86" s="3113">
        <v>21879417000146</v>
      </c>
      <c r="E86" s="3113"/>
      <c r="F86" s="3113" t="s">
        <v>208</v>
      </c>
      <c r="G86" s="3113" t="s">
        <v>41</v>
      </c>
      <c r="H86" s="3113" t="s">
        <v>5</v>
      </c>
      <c r="I86" s="3113"/>
      <c r="J86" s="3113"/>
      <c r="K86" s="3113"/>
      <c r="L86" s="3113"/>
      <c r="M86" s="3113" t="s">
        <v>379</v>
      </c>
      <c r="N86" s="3113"/>
      <c r="O86" s="3113" t="s">
        <v>349</v>
      </c>
      <c r="P86" s="3113"/>
      <c r="Q86" s="3116"/>
      <c r="R86" s="3116"/>
      <c r="S86" s="3116"/>
      <c r="T86" s="3116"/>
      <c r="U86" s="3117"/>
      <c r="V86" s="3113"/>
      <c r="W86" s="3113"/>
      <c r="X86" s="3056">
        <f>IF(A86="","",IF(LEN(SUBSTITUTE(SUBSTITUTE(SUBSTITUTE(SUBSTITUTE(D86,".",""),"/",""),"-","")," ",""))&lt;&gt;14,"CNPJ INVALIDO","OK"))</f>
      </c>
      <c r="Y86" s="3056">
        <f>IF(A86="","",IF(R86="","REST PENDENTE","REST OK"))</f>
      </c>
      <c r="Z86" s="3056">
        <f>IF(A86="","",IF(AND(R86&lt;&gt;"",COUNTIFS($D$3:$D$164,D86,$R$3:$R$164,"&lt;&gt;")&gt;1),"DUPLICADO","OK"))</f>
      </c>
      <c r="AA86" s="3056">
        <f>IF(A86="","",IF(OR(LEN(Q86)&gt;180,LEN(R86)&gt;180,LEN(S86)&gt;180,LEN(T86)&gt;180),"CAMINHO LONGO","OK"))</f>
      </c>
      <c r="AB86" s="3056">
        <f>IF(A86="","",IF(U86="","",IFERROR(INT(U86-TODAY()),"")))</f>
      </c>
      <c r="AC86" s="3056">
        <f>IF(A86="","",IF(AND(T86="",U86=""),"",IF(T86="","SEM CAMINHO",IF(U86="","SEM DATA",IFERROR(IF(AB86&lt;15,"VERMELHO",IF(AB86&lt;=30,"AMARELO","VERDE")),"DATA INVALIDA")))))</f>
      </c>
      <c r="AD86" s="3056">
        <f>IF(OR(A86="",U86="",NOT(ISNUMBER(AB86))),"",RANK(AB86,$AB$3:$AB$164,1)+COUNTIFS($AB$3:AB86,AB86)-1)</f>
      </c>
      <c r="AE86" s="1736"/>
    </row>
    <row r="87" spans="1:19" ht="22.0" hidden="false" customHeight="true" x14ac:dyDescent="0.25">
      <c r="A87" s="3109" t="s">
        <v>209</v>
      </c>
      <c r="B87" s="3108" t="s">
        <v>207</v>
      </c>
      <c r="C87" s="3108" t="s">
        <v>62</v>
      </c>
      <c r="D87" s="3108" t="s">
        <v>388</v>
      </c>
      <c r="E87" s="3108"/>
      <c r="F87" s="3108" t="s">
        <v>208</v>
      </c>
      <c r="G87" s="3108" t="s">
        <v>4</v>
      </c>
      <c r="H87" s="3108" t="s">
        <v>5</v>
      </c>
      <c r="I87" s="3108"/>
      <c r="J87" s="3108"/>
      <c r="K87" s="3108"/>
      <c r="L87" s="3108"/>
      <c r="M87" s="3108" t="s">
        <v>379</v>
      </c>
      <c r="N87" s="3108"/>
      <c r="O87" s="3108" t="s">
        <v>349</v>
      </c>
      <c r="P87" s="3108"/>
      <c r="Q87" s="3111"/>
      <c r="R87" s="3111"/>
      <c r="S87" s="3111"/>
      <c r="T87" s="3111"/>
      <c r="U87" s="3112"/>
      <c r="V87" s="3108"/>
      <c r="W87" s="3108"/>
      <c r="X87" s="3056">
        <f>IF(A87="","",IF(LEN(SUBSTITUTE(SUBSTITUTE(SUBSTITUTE(SUBSTITUTE(D87,".",""),"/",""),"-","")," ",""))&lt;&gt;14,"CNPJ INVALIDO","OK"))</f>
      </c>
      <c r="Y87" s="3056">
        <f>IF(A87="","",IF(R87="","REST PENDENTE","REST OK"))</f>
      </c>
      <c r="Z87" s="3056">
        <f>IF(A87="","",IF(AND(R87&lt;&gt;"",COUNTIFS($D$3:$D$164,D87,$R$3:$R$164,"&lt;&gt;")&gt;1),"DUPLICADO","OK"))</f>
      </c>
      <c r="AA87" s="3056">
        <f>IF(A87="","",IF(OR(LEN(Q87)&gt;180,LEN(R87)&gt;180,LEN(S87)&gt;180,LEN(T87)&gt;180),"CAMINHO LONGO","OK"))</f>
      </c>
      <c r="AB87" s="3056">
        <f>IF(A87="","",IF(U87="","",IFERROR(INT(U87-TODAY()),"")))</f>
      </c>
      <c r="AC87" s="3056">
        <f>IF(A87="","",IF(AND(T87="",U87=""),"",IF(T87="","SEM CAMINHO",IF(U87="","SEM DATA",IFERROR(IF(AB87&lt;15,"VERMELHO",IF(AB87&lt;=30,"AMARELO","VERDE")),"DATA INVALIDA")))))</f>
      </c>
      <c r="AD87" s="3056">
        <f>IF(OR(A87="",U87="",NOT(ISNUMBER(AB87))),"",RANK(AB87,$AB$3:$AB$164,1)+COUNTIFS($AB$3:AB87,AB87)-1)</f>
      </c>
      <c r="AE87" s="1736"/>
    </row>
    <row r="88" spans="1:19" ht="22.0" hidden="false" customHeight="true" x14ac:dyDescent="0.25">
      <c r="A88" s="3114" t="s">
        <v>210</v>
      </c>
      <c r="B88" s="3113" t="s">
        <v>211</v>
      </c>
      <c r="C88" s="3113" t="s">
        <v>69</v>
      </c>
      <c r="D88" s="3113" t="s">
        <v>387</v>
      </c>
      <c r="E88" s="3113"/>
      <c r="F88" s="3113"/>
      <c r="G88" s="3113" t="s">
        <v>4</v>
      </c>
      <c r="H88" s="3113" t="s">
        <v>49</v>
      </c>
      <c r="I88" s="3113"/>
      <c r="J88" s="3113"/>
      <c r="K88" s="3113"/>
      <c r="L88" s="3113"/>
      <c r="M88" s="3113" t="s">
        <v>379</v>
      </c>
      <c r="N88" s="3113"/>
      <c r="O88" s="3113" t="s">
        <v>349</v>
      </c>
      <c r="P88" s="3113"/>
      <c r="Q88" s="3116"/>
      <c r="R88" s="3116"/>
      <c r="S88" s="3116"/>
      <c r="T88" s="3116"/>
      <c r="U88" s="3117"/>
      <c r="V88" s="3113"/>
      <c r="W88" s="3113"/>
      <c r="X88" s="3056">
        <f>IF(A88="","",IF(LEN(SUBSTITUTE(SUBSTITUTE(SUBSTITUTE(SUBSTITUTE(D88,".",""),"/",""),"-","")," ",""))&lt;&gt;14,"CNPJ INVALIDO","OK"))</f>
      </c>
      <c r="Y88" s="3056">
        <f>IF(A88="","",IF(R88="","REST PENDENTE","REST OK"))</f>
      </c>
      <c r="Z88" s="3056">
        <f>IF(A88="","",IF(AND(R88&lt;&gt;"",COUNTIFS($D$3:$D$164,D88,$R$3:$R$164,"&lt;&gt;")&gt;1),"DUPLICADO","OK"))</f>
      </c>
      <c r="AA88" s="3056">
        <f>IF(A88="","",IF(OR(LEN(Q88)&gt;180,LEN(R88)&gt;180,LEN(S88)&gt;180,LEN(T88)&gt;180),"CAMINHO LONGO","OK"))</f>
      </c>
      <c r="AB88" s="3056">
        <f>IF(A88="","",IF(U88="","",IFERROR(INT(U88-TODAY()),"")))</f>
      </c>
      <c r="AC88" s="3056">
        <f>IF(A88="","",IF(AND(T88="",U88=""),"",IF(T88="","SEM CAMINHO",IF(U88="","SEM DATA",IFERROR(IF(AB88&lt;15,"VERMELHO",IF(AB88&lt;=30,"AMARELO","VERDE")),"DATA INVALIDA")))))</f>
      </c>
      <c r="AD88" s="3056">
        <f>IF(OR(A88="",U88="",NOT(ISNUMBER(AB88))),"",RANK(AB88,$AB$3:$AB$164,1)+COUNTIFS($AB$3:AB88,AB88)-1)</f>
      </c>
      <c r="AE88" s="1736"/>
    </row>
    <row r="89" spans="1:19" ht="22.0" hidden="false" customHeight="true" x14ac:dyDescent="0.25">
      <c r="A89" s="3109" t="s">
        <v>212</v>
      </c>
      <c r="B89" s="3108" t="s">
        <v>211</v>
      </c>
      <c r="C89" s="3108" t="s">
        <v>69</v>
      </c>
      <c r="D89" s="3108"/>
      <c r="E89" s="3108"/>
      <c r="F89" s="3108"/>
      <c r="G89" s="3108" t="s">
        <v>4</v>
      </c>
      <c r="H89" s="3108" t="s">
        <v>49</v>
      </c>
      <c r="I89" s="3108"/>
      <c r="J89" s="3108"/>
      <c r="K89" s="3108"/>
      <c r="L89" s="3108"/>
      <c r="M89" s="3108" t="s">
        <v>379</v>
      </c>
      <c r="N89" s="3108"/>
      <c r="O89" s="3108" t="s">
        <v>349</v>
      </c>
      <c r="P89" s="3108"/>
      <c r="Q89" s="3111"/>
      <c r="R89" s="3111"/>
      <c r="S89" s="3111"/>
      <c r="T89" s="3111"/>
      <c r="U89" s="3112"/>
      <c r="V89" s="3108"/>
      <c r="W89" s="3108"/>
      <c r="X89" s="3056">
        <f>IF(A89="","",IF(LEN(SUBSTITUTE(SUBSTITUTE(SUBSTITUTE(SUBSTITUTE(D89,".",""),"/",""),"-","")," ",""))&lt;&gt;14,"CNPJ INVALIDO","OK"))</f>
      </c>
      <c r="Y89" s="3056">
        <f>IF(A89="","",IF(R89="","REST PENDENTE","REST OK"))</f>
      </c>
      <c r="Z89" s="3056">
        <f>IF(A89="","",IF(AND(R89&lt;&gt;"",COUNTIFS($D$3:$D$164,D89,$R$3:$R$164,"&lt;&gt;")&gt;1),"DUPLICADO","OK"))</f>
      </c>
      <c r="AA89" s="3056">
        <f>IF(A89="","",IF(OR(LEN(Q89)&gt;180,LEN(R89)&gt;180,LEN(S89)&gt;180,LEN(T89)&gt;180),"CAMINHO LONGO","OK"))</f>
      </c>
      <c r="AB89" s="3056">
        <f>IF(A89="","",IF(U89="","",IFERROR(INT(U89-TODAY()),"")))</f>
      </c>
      <c r="AC89" s="3056">
        <f>IF(A89="","",IF(AND(T89="",U89=""),"",IF(T89="","SEM CAMINHO",IF(U89="","SEM DATA",IFERROR(IF(AB89&lt;15,"VERMELHO",IF(AB89&lt;=30,"AMARELO","VERDE")),"DATA INVALIDA")))))</f>
      </c>
      <c r="AD89" s="3056">
        <f>IF(OR(A89="",U89="",NOT(ISNUMBER(AB89))),"",RANK(AB89,$AB$3:$AB$164,1)+COUNTIFS($AB$3:AB89,AB89)-1)</f>
      </c>
      <c r="AE89" s="1736"/>
    </row>
    <row r="90" spans="1:19" ht="22.0" hidden="false" customHeight="true" x14ac:dyDescent="0.25">
      <c r="A90" s="3114" t="s">
        <v>213</v>
      </c>
      <c r="B90" s="3113" t="s">
        <v>214</v>
      </c>
      <c r="C90" s="3113" t="s">
        <v>62</v>
      </c>
      <c r="D90" s="3113">
        <v>44868733000118</v>
      </c>
      <c r="E90" s="3113"/>
      <c r="F90" s="3113" t="s">
        <v>215</v>
      </c>
      <c r="G90" s="3113" t="s">
        <v>4</v>
      </c>
      <c r="H90" s="3113" t="s">
        <v>5</v>
      </c>
      <c r="I90" s="3113"/>
      <c r="J90" s="3113"/>
      <c r="K90" s="3113"/>
      <c r="L90" s="3113"/>
      <c r="M90" s="3113" t="s">
        <v>379</v>
      </c>
      <c r="N90" s="3113"/>
      <c r="O90" s="3113" t="s">
        <v>350</v>
      </c>
      <c r="P90" s="3113"/>
      <c r="Q90" s="3116"/>
      <c r="R90" s="3116"/>
      <c r="S90" s="3116"/>
      <c r="T90" s="3116"/>
      <c r="U90" s="3117"/>
      <c r="V90" s="3113"/>
      <c r="W90" s="3113"/>
      <c r="X90" s="3056">
        <f>IF(A90="","",IF(LEN(SUBSTITUTE(SUBSTITUTE(SUBSTITUTE(SUBSTITUTE(D90,".",""),"/",""),"-","")," ",""))&lt;&gt;14,"CNPJ INVALIDO","OK"))</f>
      </c>
      <c r="Y90" s="3056">
        <f>IF(A90="","",IF(R90="","REST PENDENTE","REST OK"))</f>
      </c>
      <c r="Z90" s="3056">
        <f>IF(A90="","",IF(AND(R90&lt;&gt;"",COUNTIFS($D$3:$D$164,D90,$R$3:$R$164,"&lt;&gt;")&gt;1),"DUPLICADO","OK"))</f>
      </c>
      <c r="AA90" s="3056">
        <f>IF(A90="","",IF(OR(LEN(Q90)&gt;180,LEN(R90)&gt;180,LEN(S90)&gt;180,LEN(T90)&gt;180),"CAMINHO LONGO","OK"))</f>
      </c>
      <c r="AB90" s="3056">
        <f>IF(A90="","",IF(U90="","",IFERROR(INT(U90-TODAY()),"")))</f>
      </c>
      <c r="AC90" s="3056">
        <f>IF(A90="","",IF(AND(T90="",U90=""),"",IF(T90="","SEM CAMINHO",IF(U90="","SEM DATA",IFERROR(IF(AB90&lt;15,"VERMELHO",IF(AB90&lt;=30,"AMARELO","VERDE")),"DATA INVALIDA")))))</f>
      </c>
      <c r="AD90" s="3056">
        <f>IF(OR(A90="",U90="",NOT(ISNUMBER(AB90))),"",RANK(AB90,$AB$3:$AB$164,1)+COUNTIFS($AB$3:AB90,AB90)-1)</f>
      </c>
      <c r="AE90" s="1736"/>
    </row>
    <row r="91" spans="1:19" ht="22.0" hidden="false" customHeight="true" x14ac:dyDescent="0.25">
      <c r="A91" s="3109" t="s">
        <v>216</v>
      </c>
      <c r="B91" s="3108" t="s">
        <v>9</v>
      </c>
      <c r="C91" s="3108" t="s">
        <v>69</v>
      </c>
      <c r="D91" s="3108" t="s">
        <v>217</v>
      </c>
      <c r="E91" s="3108"/>
      <c r="F91" s="3108" t="s">
        <v>12</v>
      </c>
      <c r="G91" s="3108" t="s">
        <v>13</v>
      </c>
      <c r="H91" s="3108" t="s">
        <v>49</v>
      </c>
      <c r="I91" s="3108"/>
      <c r="J91" s="3108"/>
      <c r="K91" s="3108"/>
      <c r="L91" s="3108"/>
      <c r="M91" s="3108" t="s">
        <v>379</v>
      </c>
      <c r="N91" s="3108"/>
      <c r="O91" s="3108" t="s">
        <v>349</v>
      </c>
      <c r="P91" s="3108"/>
      <c r="Q91" s="3111"/>
      <c r="R91" s="3111"/>
      <c r="S91" s="3111"/>
      <c r="T91" s="3111"/>
      <c r="U91" s="3112"/>
      <c r="V91" s="3108"/>
      <c r="W91" s="3108"/>
      <c r="X91" s="3056">
        <f>IF(A91="","",IF(LEN(SUBSTITUTE(SUBSTITUTE(SUBSTITUTE(SUBSTITUTE(D91,".",""),"/",""),"-","")," ",""))&lt;&gt;14,"CNPJ INVALIDO","OK"))</f>
      </c>
      <c r="Y91" s="3056">
        <f>IF(A91="","",IF(R91="","REST PENDENTE","REST OK"))</f>
      </c>
      <c r="Z91" s="3056">
        <f>IF(A91="","",IF(AND(R91&lt;&gt;"",COUNTIFS($D$3:$D$164,D91,$R$3:$R$164,"&lt;&gt;")&gt;1),"DUPLICADO","OK"))</f>
      </c>
      <c r="AA91" s="3056">
        <f>IF(A91="","",IF(OR(LEN(Q91)&gt;180,LEN(R91)&gt;180,LEN(S91)&gt;180,LEN(T91)&gt;180),"CAMINHO LONGO","OK"))</f>
      </c>
      <c r="AB91" s="3056">
        <f>IF(A91="","",IF(U91="","",IFERROR(INT(U91-TODAY()),"")))</f>
      </c>
      <c r="AC91" s="3056">
        <f>IF(A91="","",IF(AND(T91="",U91=""),"",IF(T91="","SEM CAMINHO",IF(U91="","SEM DATA",IFERROR(IF(AB91&lt;15,"VERMELHO",IF(AB91&lt;=30,"AMARELO","VERDE")),"DATA INVALIDA")))))</f>
      </c>
      <c r="AD91" s="3056">
        <f>IF(OR(A91="",U91="",NOT(ISNUMBER(AB91))),"",RANK(AB91,$AB$3:$AB$164,1)+COUNTIFS($AB$3:AB91,AB91)-1)</f>
      </c>
      <c r="AE91" s="1736"/>
    </row>
    <row r="92" spans="1:19" ht="22.0" hidden="false" customHeight="true" x14ac:dyDescent="0.25">
      <c r="A92" s="3114" t="s">
        <v>218</v>
      </c>
      <c r="B92" s="3113" t="s">
        <v>219</v>
      </c>
      <c r="C92" s="3113" t="s">
        <v>62</v>
      </c>
      <c r="D92" s="3113">
        <v>51987426000111</v>
      </c>
      <c r="E92" s="3113"/>
      <c r="F92" s="3113" t="s">
        <v>220</v>
      </c>
      <c r="G92" s="3113" t="s">
        <v>4</v>
      </c>
      <c r="H92" s="3113" t="s">
        <v>5</v>
      </c>
      <c r="I92" s="3113"/>
      <c r="J92" s="3113"/>
      <c r="K92" s="3113"/>
      <c r="L92" s="3113"/>
      <c r="M92" s="3113" t="s">
        <v>389</v>
      </c>
      <c r="N92" s="3113"/>
      <c r="O92" s="3113" t="s">
        <v>350</v>
      </c>
      <c r="P92" s="3113"/>
      <c r="Q92" s="3116"/>
      <c r="R92" s="3116"/>
      <c r="S92" s="3116"/>
      <c r="T92" s="3116"/>
      <c r="U92" s="3117"/>
      <c r="V92" s="3113"/>
      <c r="W92" s="3113"/>
      <c r="X92" s="3056">
        <f>IF(A92="","",IF(LEN(SUBSTITUTE(SUBSTITUTE(SUBSTITUTE(SUBSTITUTE(D92,".",""),"/",""),"-","")," ",""))&lt;&gt;14,"CNPJ INVALIDO","OK"))</f>
      </c>
      <c r="Y92" s="3056">
        <f>IF(A92="","",IF(R92="","REST PENDENTE","REST OK"))</f>
      </c>
      <c r="Z92" s="3056">
        <f>IF(A92="","",IF(AND(R92&lt;&gt;"",COUNTIFS($D$3:$D$164,D92,$R$3:$R$164,"&lt;&gt;")&gt;1),"DUPLICADO","OK"))</f>
      </c>
      <c r="AA92" s="3056">
        <f>IF(A92="","",IF(OR(LEN(Q92)&gt;180,LEN(R92)&gt;180,LEN(S92)&gt;180,LEN(T92)&gt;180),"CAMINHO LONGO","OK"))</f>
      </c>
      <c r="AB92" s="3056">
        <f>IF(A92="","",IF(U92="","",IFERROR(INT(U92-TODAY()),"")))</f>
      </c>
      <c r="AC92" s="3056">
        <f>IF(A92="","",IF(AND(T92="",U92=""),"",IF(T92="","SEM CAMINHO",IF(U92="","SEM DATA",IFERROR(IF(AB92&lt;15,"VERMELHO",IF(AB92&lt;=30,"AMARELO","VERDE")),"DATA INVALIDA")))))</f>
      </c>
      <c r="AD92" s="3056">
        <f>IF(OR(A92="",U92="",NOT(ISNUMBER(AB92))),"",RANK(AB92,$AB$3:$AB$164,1)+COUNTIFS($AB$3:AB92,AB92)-1)</f>
      </c>
      <c r="AE92" s="1736"/>
    </row>
    <row r="93" spans="1:19" ht="22.0" hidden="false" customHeight="true" x14ac:dyDescent="0.25">
      <c r="A93" s="3109" t="s">
        <v>221</v>
      </c>
      <c r="B93" s="3108" t="s">
        <v>222</v>
      </c>
      <c r="C93" s="3108" t="s">
        <v>62</v>
      </c>
      <c r="D93" s="3108" t="s">
        <v>390</v>
      </c>
      <c r="E93" s="3108"/>
      <c r="F93" s="3108" t="s">
        <v>223</v>
      </c>
      <c r="G93" s="3108" t="s">
        <v>13</v>
      </c>
      <c r="H93" s="3108" t="s">
        <v>49</v>
      </c>
      <c r="I93" s="3108"/>
      <c r="J93" s="3108"/>
      <c r="K93" s="3108"/>
      <c r="L93" s="3108"/>
      <c r="M93" s="3108" t="s">
        <v>389</v>
      </c>
      <c r="N93" s="3108"/>
      <c r="O93" s="3108" t="s">
        <v>350</v>
      </c>
      <c r="P93" s="3108"/>
      <c r="Q93" s="3111"/>
      <c r="R93" s="3111"/>
      <c r="S93" s="3111"/>
      <c r="T93" s="3111"/>
      <c r="U93" s="3112"/>
      <c r="V93" s="3108"/>
      <c r="W93" s="3108"/>
      <c r="X93" s="3056">
        <f>IF(A93="","",IF(LEN(SUBSTITUTE(SUBSTITUTE(SUBSTITUTE(SUBSTITUTE(D93,".",""),"/",""),"-","")," ",""))&lt;&gt;14,"CNPJ INVALIDO","OK"))</f>
      </c>
      <c r="Y93" s="3056">
        <f>IF(A93="","",IF(R93="","REST PENDENTE","REST OK"))</f>
      </c>
      <c r="Z93" s="3056">
        <f>IF(A93="","",IF(AND(R93&lt;&gt;"",COUNTIFS($D$3:$D$164,D93,$R$3:$R$164,"&lt;&gt;")&gt;1),"DUPLICADO","OK"))</f>
      </c>
      <c r="AA93" s="3056">
        <f>IF(A93="","",IF(OR(LEN(Q93)&gt;180,LEN(R93)&gt;180,LEN(S93)&gt;180,LEN(T93)&gt;180),"CAMINHO LONGO","OK"))</f>
      </c>
      <c r="AB93" s="3056">
        <f>IF(A93="","",IF(U93="","",IFERROR(INT(U93-TODAY()),"")))</f>
      </c>
      <c r="AC93" s="3056">
        <f>IF(A93="","",IF(AND(T93="",U93=""),"",IF(T93="","SEM CAMINHO",IF(U93="","SEM DATA",IFERROR(IF(AB93&lt;15,"VERMELHO",IF(AB93&lt;=30,"AMARELO","VERDE")),"DATA INVALIDA")))))</f>
      </c>
      <c r="AD93" s="3056">
        <f>IF(OR(A93="",U93="",NOT(ISNUMBER(AB93))),"",RANK(AB93,$AB$3:$AB$164,1)+COUNTIFS($AB$3:AB93,AB93)-1)</f>
      </c>
      <c r="AE93" s="1736"/>
    </row>
    <row r="94" spans="1:19" ht="22.0" hidden="false" customHeight="true" x14ac:dyDescent="0.25">
      <c r="A94" s="3114" t="s">
        <v>224</v>
      </c>
      <c r="B94" s="3113" t="s">
        <v>182</v>
      </c>
      <c r="C94" s="3113" t="s">
        <v>83</v>
      </c>
      <c r="D94" s="3113">
        <v>21371431000134</v>
      </c>
      <c r="E94" s="3113"/>
      <c r="F94" s="3113" t="s">
        <v>225</v>
      </c>
      <c r="G94" s="3113" t="s">
        <v>4</v>
      </c>
      <c r="H94" s="3113" t="s">
        <v>5</v>
      </c>
      <c r="I94" s="3113"/>
      <c r="J94" s="3113"/>
      <c r="K94" s="3113"/>
      <c r="L94" s="3113"/>
      <c r="M94" s="3113" t="s">
        <v>375</v>
      </c>
      <c r="N94" s="3113"/>
      <c r="O94" s="3113" t="s">
        <v>357</v>
      </c>
      <c r="P94" s="3113"/>
      <c r="Q94" s="3116"/>
      <c r="R94" s="3116"/>
      <c r="S94" s="3116"/>
      <c r="T94" s="3116"/>
      <c r="U94" s="3117"/>
      <c r="V94" s="3113"/>
      <c r="W94" s="3113"/>
      <c r="X94" s="3056">
        <f>IF(A94="","",IF(LEN(SUBSTITUTE(SUBSTITUTE(SUBSTITUTE(SUBSTITUTE(D94,".",""),"/",""),"-","")," ",""))&lt;&gt;14,"CNPJ INVALIDO","OK"))</f>
      </c>
      <c r="Y94" s="3056">
        <f>IF(A94="","",IF(R94="","REST PENDENTE","REST OK"))</f>
      </c>
      <c r="Z94" s="3056">
        <f>IF(A94="","",IF(AND(R94&lt;&gt;"",COUNTIFS($D$3:$D$164,D94,$R$3:$R$164,"&lt;&gt;")&gt;1),"DUPLICADO","OK"))</f>
      </c>
      <c r="AA94" s="3056">
        <f>IF(A94="","",IF(OR(LEN(Q94)&gt;180,LEN(R94)&gt;180,LEN(S94)&gt;180,LEN(T94)&gt;180),"CAMINHO LONGO","OK"))</f>
      </c>
      <c r="AB94" s="3056">
        <f>IF(A94="","",IF(U94="","",IFERROR(INT(U94-TODAY()),"")))</f>
      </c>
      <c r="AC94" s="3056">
        <f>IF(A94="","",IF(AND(T94="",U94=""),"",IF(T94="","SEM CAMINHO",IF(U94="","SEM DATA",IFERROR(IF(AB94&lt;15,"VERMELHO",IF(AB94&lt;=30,"AMARELO","VERDE")),"DATA INVALIDA")))))</f>
      </c>
      <c r="AD94" s="3056">
        <f>IF(OR(A94="",U94="",NOT(ISNUMBER(AB94))),"",RANK(AB94,$AB$3:$AB$164,1)+COUNTIFS($AB$3:AB94,AB94)-1)</f>
      </c>
      <c r="AE94" s="1736"/>
    </row>
    <row r="95" spans="1:19" ht="22.0" hidden="false" customHeight="true" x14ac:dyDescent="0.25">
      <c r="A95" s="3109" t="s">
        <v>226</v>
      </c>
      <c r="B95" s="3108" t="s">
        <v>227</v>
      </c>
      <c r="C95" s="3108" t="s">
        <v>122</v>
      </c>
      <c r="D95" s="3108">
        <v>9421791000106</v>
      </c>
      <c r="E95" s="3108"/>
      <c r="F95" s="3108" t="s">
        <v>228</v>
      </c>
      <c r="G95" s="3108" t="s">
        <v>4</v>
      </c>
      <c r="H95" s="3108" t="s">
        <v>5</v>
      </c>
      <c r="I95" s="3108"/>
      <c r="J95" s="3108"/>
      <c r="K95" s="3108"/>
      <c r="L95" s="3108"/>
      <c r="M95" s="3108" t="s">
        <v>379</v>
      </c>
      <c r="N95" s="3108"/>
      <c r="O95" s="3108" t="s">
        <v>349</v>
      </c>
      <c r="P95" s="3108"/>
      <c r="Q95" s="3111"/>
      <c r="R95" s="3111"/>
      <c r="S95" s="3111"/>
      <c r="T95" s="3111"/>
      <c r="U95" s="3112"/>
      <c r="V95" s="3108"/>
      <c r="W95" s="3108"/>
      <c r="X95" s="3056">
        <f>IF(A95="","",IF(LEN(SUBSTITUTE(SUBSTITUTE(SUBSTITUTE(SUBSTITUTE(D95,".",""),"/",""),"-","")," ",""))&lt;&gt;14,"CNPJ INVALIDO","OK"))</f>
      </c>
      <c r="Y95" s="3056">
        <f>IF(A95="","",IF(R95="","REST PENDENTE","REST OK"))</f>
      </c>
      <c r="Z95" s="3056">
        <f>IF(A95="","",IF(AND(R95&lt;&gt;"",COUNTIFS($D$3:$D$164,D95,$R$3:$R$164,"&lt;&gt;")&gt;1),"DUPLICADO","OK"))</f>
      </c>
      <c r="AA95" s="3056">
        <f>IF(A95="","",IF(OR(LEN(Q95)&gt;180,LEN(R95)&gt;180,LEN(S95)&gt;180,LEN(T95)&gt;180),"CAMINHO LONGO","OK"))</f>
      </c>
      <c r="AB95" s="3056">
        <f>IF(A95="","",IF(U95="","",IFERROR(INT(U95-TODAY()),"")))</f>
      </c>
      <c r="AC95" s="3056">
        <f>IF(A95="","",IF(AND(T95="",U95=""),"",IF(T95="","SEM CAMINHO",IF(U95="","SEM DATA",IFERROR(IF(AB95&lt;15,"VERMELHO",IF(AB95&lt;=30,"AMARELO","VERDE")),"DATA INVALIDA")))))</f>
      </c>
      <c r="AD95" s="3056">
        <f>IF(OR(A95="",U95="",NOT(ISNUMBER(AB95))),"",RANK(AB95,$AB$3:$AB$164,1)+COUNTIFS($AB$3:AB95,AB95)-1)</f>
      </c>
      <c r="AE95" s="1736"/>
    </row>
    <row r="96" spans="1:19" ht="22.0" hidden="false" customHeight="true" x14ac:dyDescent="0.25">
      <c r="A96" s="3114" t="s">
        <v>229</v>
      </c>
      <c r="B96" s="3113" t="s">
        <v>96</v>
      </c>
      <c r="C96" s="3113" t="s">
        <v>230</v>
      </c>
      <c r="D96" s="3113" t="s">
        <v>391</v>
      </c>
      <c r="E96" s="3113"/>
      <c r="F96" s="3113" t="s">
        <v>99</v>
      </c>
      <c r="G96" s="3113" t="s">
        <v>4</v>
      </c>
      <c r="H96" s="3113" t="s">
        <v>14</v>
      </c>
      <c r="I96" s="3113"/>
      <c r="J96" s="3113"/>
      <c r="K96" s="3113"/>
      <c r="L96" s="3113"/>
      <c r="M96" s="3113" t="s">
        <v>376</v>
      </c>
      <c r="N96" s="3113"/>
      <c r="O96" s="3113" t="s">
        <v>349</v>
      </c>
      <c r="P96" s="3113"/>
      <c r="Q96" s="3116"/>
      <c r="R96" s="3116"/>
      <c r="S96" s="3116"/>
      <c r="T96" s="3116"/>
      <c r="U96" s="3117"/>
      <c r="V96" s="3113"/>
      <c r="W96" s="3113"/>
      <c r="X96" s="3056">
        <f>IF(A96="","",IF(LEN(SUBSTITUTE(SUBSTITUTE(SUBSTITUTE(SUBSTITUTE(D96,".",""),"/",""),"-","")," ",""))&lt;&gt;14,"CNPJ INVALIDO","OK"))</f>
      </c>
      <c r="Y96" s="3056">
        <f>IF(A96="","",IF(R96="","REST PENDENTE","REST OK"))</f>
      </c>
      <c r="Z96" s="3056">
        <f>IF(A96="","",IF(AND(R96&lt;&gt;"",COUNTIFS($D$3:$D$164,D96,$R$3:$R$164,"&lt;&gt;")&gt;1),"DUPLICADO","OK"))</f>
      </c>
      <c r="AA96" s="3056">
        <f>IF(A96="","",IF(OR(LEN(Q96)&gt;180,LEN(R96)&gt;180,LEN(S96)&gt;180,LEN(T96)&gt;180),"CAMINHO LONGO","OK"))</f>
      </c>
      <c r="AB96" s="3056">
        <f>IF(A96="","",IF(U96="","",IFERROR(INT(U96-TODAY()),"")))</f>
      </c>
      <c r="AC96" s="3056">
        <f>IF(A96="","",IF(AND(T96="",U96=""),"",IF(T96="","SEM CAMINHO",IF(U96="","SEM DATA",IFERROR(IF(AB96&lt;15,"VERMELHO",IF(AB96&lt;=30,"AMARELO","VERDE")),"DATA INVALIDA")))))</f>
      </c>
      <c r="AD96" s="3056">
        <f>IF(OR(A96="",U96="",NOT(ISNUMBER(AB96))),"",RANK(AB96,$AB$3:$AB$164,1)+COUNTIFS($AB$3:AB96,AB96)-1)</f>
      </c>
      <c r="AE96" s="1736"/>
    </row>
    <row r="97" spans="1:19" ht="22.0" hidden="false" customHeight="true" x14ac:dyDescent="0.25">
      <c r="A97" s="3109" t="s">
        <v>231</v>
      </c>
      <c r="B97" s="3108" t="s">
        <v>211</v>
      </c>
      <c r="C97" s="3108" t="s">
        <v>69</v>
      </c>
      <c r="D97" s="3108" t="s">
        <v>232</v>
      </c>
      <c r="E97" s="3108"/>
      <c r="F97" s="3108"/>
      <c r="G97" s="3108" t="s">
        <v>4</v>
      </c>
      <c r="H97" s="3108" t="s">
        <v>49</v>
      </c>
      <c r="I97" s="3108"/>
      <c r="J97" s="3108"/>
      <c r="K97" s="3108"/>
      <c r="L97" s="3108"/>
      <c r="M97" s="3108" t="s">
        <v>379</v>
      </c>
      <c r="N97" s="3108"/>
      <c r="O97" s="3108" t="s">
        <v>349</v>
      </c>
      <c r="P97" s="3108"/>
      <c r="Q97" s="3111"/>
      <c r="R97" s="3111"/>
      <c r="S97" s="3111"/>
      <c r="T97" s="3111"/>
      <c r="U97" s="3112"/>
      <c r="V97" s="3108"/>
      <c r="W97" s="3108"/>
      <c r="X97" s="3056">
        <f>IF(A97="","",IF(LEN(SUBSTITUTE(SUBSTITUTE(SUBSTITUTE(SUBSTITUTE(D97,".",""),"/",""),"-","")," ",""))&lt;&gt;14,"CNPJ INVALIDO","OK"))</f>
      </c>
      <c r="Y97" s="3056">
        <f>IF(A97="","",IF(R97="","REST PENDENTE","REST OK"))</f>
      </c>
      <c r="Z97" s="3056">
        <f>IF(A97="","",IF(AND(R97&lt;&gt;"",COUNTIFS($D$3:$D$164,D97,$R$3:$R$164,"&lt;&gt;")&gt;1),"DUPLICADO","OK"))</f>
      </c>
      <c r="AA97" s="3056">
        <f>IF(A97="","",IF(OR(LEN(Q97)&gt;180,LEN(R97)&gt;180,LEN(S97)&gt;180,LEN(T97)&gt;180),"CAMINHO LONGO","OK"))</f>
      </c>
      <c r="AB97" s="3056">
        <f>IF(A97="","",IF(U97="","",IFERROR(INT(U97-TODAY()),"")))</f>
      </c>
      <c r="AC97" s="3056">
        <f>IF(A97="","",IF(AND(T97="",U97=""),"",IF(T97="","SEM CAMINHO",IF(U97="","SEM DATA",IFERROR(IF(AB97&lt;15,"VERMELHO",IF(AB97&lt;=30,"AMARELO","VERDE")),"DATA INVALIDA")))))</f>
      </c>
      <c r="AD97" s="3056">
        <f>IF(OR(A97="",U97="",NOT(ISNUMBER(AB97))),"",RANK(AB97,$AB$3:$AB$164,1)+COUNTIFS($AB$3:AB97,AB97)-1)</f>
      </c>
      <c r="AE97" s="1736"/>
    </row>
    <row r="98" spans="1:19" ht="22.0" hidden="false" customHeight="true" x14ac:dyDescent="0.25">
      <c r="A98" s="3114" t="s">
        <v>233</v>
      </c>
      <c r="B98" s="3113" t="s">
        <v>134</v>
      </c>
      <c r="C98" s="3113" t="s">
        <v>116</v>
      </c>
      <c r="D98" s="3113" t="s">
        <v>234</v>
      </c>
      <c r="E98" s="3113"/>
      <c r="F98" s="3113" t="s">
        <v>138</v>
      </c>
      <c r="G98" s="3113" t="s">
        <v>13</v>
      </c>
      <c r="H98" s="3113" t="s">
        <v>14</v>
      </c>
      <c r="I98" s="3113"/>
      <c r="J98" s="3113"/>
      <c r="K98" s="3113"/>
      <c r="L98" s="3113"/>
      <c r="M98" s="3113" t="s">
        <v>359</v>
      </c>
      <c r="N98" s="3113"/>
      <c r="O98" s="3113" t="s">
        <v>358</v>
      </c>
      <c r="P98" s="3113"/>
      <c r="Q98" s="3116"/>
      <c r="R98" s="3116"/>
      <c r="S98" s="3116"/>
      <c r="T98" s="3116"/>
      <c r="U98" s="3117"/>
      <c r="V98" s="3113"/>
      <c r="W98" s="3113"/>
      <c r="X98" s="3056">
        <f>IF(A98="","",IF(LEN(SUBSTITUTE(SUBSTITUTE(SUBSTITUTE(SUBSTITUTE(D98,".",""),"/",""),"-","")," ",""))&lt;&gt;14,"CNPJ INVALIDO","OK"))</f>
      </c>
      <c r="Y98" s="3056">
        <f>IF(A98="","",IF(R98="","REST PENDENTE","REST OK"))</f>
      </c>
      <c r="Z98" s="3056">
        <f>IF(A98="","",IF(AND(R98&lt;&gt;"",COUNTIFS($D$3:$D$164,D98,$R$3:$R$164,"&lt;&gt;")&gt;1),"DUPLICADO","OK"))</f>
      </c>
      <c r="AA98" s="3056">
        <f>IF(A98="","",IF(OR(LEN(Q98)&gt;180,LEN(R98)&gt;180,LEN(S98)&gt;180,LEN(T98)&gt;180),"CAMINHO LONGO","OK"))</f>
      </c>
      <c r="AB98" s="3056">
        <f>IF(A98="","",IF(U98="","",IFERROR(INT(U98-TODAY()),"")))</f>
      </c>
      <c r="AC98" s="3056">
        <f>IF(A98="","",IF(AND(T98="",U98=""),"",IF(T98="","SEM CAMINHO",IF(U98="","SEM DATA",IFERROR(IF(AB98&lt;15,"VERMELHO",IF(AB98&lt;=30,"AMARELO","VERDE")),"DATA INVALIDA")))))</f>
      </c>
      <c r="AD98" s="3056">
        <f>IF(OR(A98="",U98="",NOT(ISNUMBER(AB98))),"",RANK(AB98,$AB$3:$AB$164,1)+COUNTIFS($AB$3:AB98,AB98)-1)</f>
      </c>
      <c r="AE98" s="1736"/>
    </row>
    <row r="99" spans="1:19" ht="22.0" hidden="false" customHeight="true" x14ac:dyDescent="0.25">
      <c r="A99" s="3109" t="s">
        <v>235</v>
      </c>
      <c r="B99" s="3108" t="s">
        <v>134</v>
      </c>
      <c r="C99" s="3108" t="s">
        <v>116</v>
      </c>
      <c r="D99" s="3108" t="s">
        <v>236</v>
      </c>
      <c r="E99" s="3108"/>
      <c r="F99" s="3108" t="s">
        <v>138</v>
      </c>
      <c r="G99" s="3108" t="s">
        <v>13</v>
      </c>
      <c r="H99" s="3108" t="s">
        <v>14</v>
      </c>
      <c r="I99" s="3108"/>
      <c r="J99" s="3108"/>
      <c r="K99" s="3108"/>
      <c r="L99" s="3108"/>
      <c r="M99" s="3108" t="s">
        <v>359</v>
      </c>
      <c r="N99" s="3108"/>
      <c r="O99" s="3108" t="s">
        <v>358</v>
      </c>
      <c r="P99" s="3108"/>
      <c r="Q99" s="3111"/>
      <c r="R99" s="3111"/>
      <c r="S99" s="3111"/>
      <c r="T99" s="3111"/>
      <c r="U99" s="3112"/>
      <c r="V99" s="3108"/>
      <c r="W99" s="3108"/>
      <c r="X99" s="3056">
        <f>IF(A99="","",IF(LEN(SUBSTITUTE(SUBSTITUTE(SUBSTITUTE(SUBSTITUTE(D99,".",""),"/",""),"-","")," ",""))&lt;&gt;14,"CNPJ INVALIDO","OK"))</f>
      </c>
      <c r="Y99" s="3056">
        <f>IF(A99="","",IF(R99="","REST PENDENTE","REST OK"))</f>
      </c>
      <c r="Z99" s="3056">
        <f>IF(A99="","",IF(AND(R99&lt;&gt;"",COUNTIFS($D$3:$D$164,D99,$R$3:$R$164,"&lt;&gt;")&gt;1),"DUPLICADO","OK"))</f>
      </c>
      <c r="AA99" s="3056">
        <f>IF(A99="","",IF(OR(LEN(Q99)&gt;180,LEN(R99)&gt;180,LEN(S99)&gt;180,LEN(T99)&gt;180),"CAMINHO LONGO","OK"))</f>
      </c>
      <c r="AB99" s="3056">
        <f>IF(A99="","",IF(U99="","",IFERROR(INT(U99-TODAY()),"")))</f>
      </c>
      <c r="AC99" s="3056">
        <f>IF(A99="","",IF(AND(T99="",U99=""),"",IF(T99="","SEM CAMINHO",IF(U99="","SEM DATA",IFERROR(IF(AB99&lt;15,"VERMELHO",IF(AB99&lt;=30,"AMARELO","VERDE")),"DATA INVALIDA")))))</f>
      </c>
      <c r="AD99" s="3056">
        <f>IF(OR(A99="",U99="",NOT(ISNUMBER(AB99))),"",RANK(AB99,$AB$3:$AB$164,1)+COUNTIFS($AB$3:AB99,AB99)-1)</f>
      </c>
      <c r="AE99" s="1736"/>
    </row>
    <row r="100" spans="1:19" ht="22.0" hidden="false" customHeight="true" x14ac:dyDescent="0.25">
      <c r="A100" s="3114" t="s">
        <v>237</v>
      </c>
      <c r="B100" s="3113" t="s">
        <v>134</v>
      </c>
      <c r="C100" s="3113" t="s">
        <v>116</v>
      </c>
      <c r="D100" s="3113" t="s">
        <v>238</v>
      </c>
      <c r="E100" s="3113"/>
      <c r="F100" s="3113" t="s">
        <v>138</v>
      </c>
      <c r="G100" s="3113" t="s">
        <v>13</v>
      </c>
      <c r="H100" s="3113" t="s">
        <v>14</v>
      </c>
      <c r="I100" s="3113"/>
      <c r="J100" s="3113"/>
      <c r="K100" s="3113"/>
      <c r="L100" s="3113"/>
      <c r="M100" s="3113" t="s">
        <v>359</v>
      </c>
      <c r="N100" s="3113"/>
      <c r="O100" s="3113" t="s">
        <v>358</v>
      </c>
      <c r="P100" s="3113"/>
      <c r="Q100" s="3116"/>
      <c r="R100" s="3116"/>
      <c r="S100" s="3116"/>
      <c r="T100" s="3116"/>
      <c r="U100" s="3117"/>
      <c r="V100" s="3113"/>
      <c r="W100" s="3113"/>
      <c r="X100" s="3056">
        <f>IF(A100="","",IF(LEN(SUBSTITUTE(SUBSTITUTE(SUBSTITUTE(SUBSTITUTE(D100,".",""),"/",""),"-","")," ",""))&lt;&gt;14,"CNPJ INVALIDO","OK"))</f>
      </c>
      <c r="Y100" s="3056">
        <f>IF(A100="","",IF(R100="","REST PENDENTE","REST OK"))</f>
      </c>
      <c r="Z100" s="3056">
        <f>IF(A100="","",IF(AND(R100&lt;&gt;"",COUNTIFS($D$3:$D$164,D100,$R$3:$R$164,"&lt;&gt;")&gt;1),"DUPLICADO","OK"))</f>
      </c>
      <c r="AA100" s="3056">
        <f>IF(A100="","",IF(OR(LEN(Q100)&gt;180,LEN(R100)&gt;180,LEN(S100)&gt;180,LEN(T100)&gt;180),"CAMINHO LONGO","OK"))</f>
      </c>
      <c r="AB100" s="3056">
        <f>IF(A100="","",IF(U100="","",IFERROR(INT(U100-TODAY()),"")))</f>
      </c>
      <c r="AC100" s="3056">
        <f>IF(A100="","",IF(AND(T100="",U100=""),"",IF(T100="","SEM CAMINHO",IF(U100="","SEM DATA",IFERROR(IF(AB100&lt;15,"VERMELHO",IF(AB100&lt;=30,"AMARELO","VERDE")),"DATA INVALIDA")))))</f>
      </c>
      <c r="AD100" s="3056">
        <f>IF(OR(A100="",U100="",NOT(ISNUMBER(AB100))),"",RANK(AB100,$AB$3:$AB$164,1)+COUNTIFS($AB$3:AB100,AB100)-1)</f>
      </c>
      <c r="AE100" s="1736"/>
    </row>
    <row r="101" spans="1:19" ht="22.0" hidden="false" customHeight="true" x14ac:dyDescent="0.25">
      <c r="A101" s="3109" t="s">
        <v>239</v>
      </c>
      <c r="B101" s="3108" t="s">
        <v>55</v>
      </c>
      <c r="C101" s="3108" t="s">
        <v>56</v>
      </c>
      <c r="D101" s="3108" t="s">
        <v>240</v>
      </c>
      <c r="E101" s="3108"/>
      <c r="F101" s="3108" t="s">
        <v>57</v>
      </c>
      <c r="G101" s="3108" t="s">
        <v>13</v>
      </c>
      <c r="H101" s="3108" t="s">
        <v>5</v>
      </c>
      <c r="I101" s="3108"/>
      <c r="J101" s="3108"/>
      <c r="K101" s="3108"/>
      <c r="L101" s="3108"/>
      <c r="M101" s="3108" t="s">
        <v>376</v>
      </c>
      <c r="N101" s="3108" t="s">
        <v>361</v>
      </c>
      <c r="O101" s="3108" t="s">
        <v>349</v>
      </c>
      <c r="P101" s="3108"/>
      <c r="Q101" s="3111"/>
      <c r="R101" s="3111"/>
      <c r="S101" s="3111"/>
      <c r="T101" s="3111"/>
      <c r="U101" s="3112"/>
      <c r="V101" s="3108"/>
      <c r="W101" s="3108"/>
      <c r="X101" s="3056">
        <f>IF(A101="","",IF(LEN(SUBSTITUTE(SUBSTITUTE(SUBSTITUTE(SUBSTITUTE(D101,".",""),"/",""),"-","")," ",""))&lt;&gt;14,"CNPJ INVALIDO","OK"))</f>
      </c>
      <c r="Y101" s="3056">
        <f>IF(A101="","",IF(R101="","REST PENDENTE","REST OK"))</f>
      </c>
      <c r="Z101" s="3056">
        <f>IF(A101="","",IF(AND(R101&lt;&gt;"",COUNTIFS($D$3:$D$164,D101,$R$3:$R$164,"&lt;&gt;")&gt;1),"DUPLICADO","OK"))</f>
      </c>
      <c r="AA101" s="3056">
        <f>IF(A101="","",IF(OR(LEN(Q101)&gt;180,LEN(R101)&gt;180,LEN(S101)&gt;180,LEN(T101)&gt;180),"CAMINHO LONGO","OK"))</f>
      </c>
      <c r="AB101" s="3056">
        <f>IF(A101="","",IF(U101="","",IFERROR(INT(U101-TODAY()),"")))</f>
      </c>
      <c r="AC101" s="3056">
        <f>IF(A101="","",IF(AND(T101="",U101=""),"",IF(T101="","SEM CAMINHO",IF(U101="","SEM DATA",IFERROR(IF(AB101&lt;15,"VERMELHO",IF(AB101&lt;=30,"AMARELO","VERDE")),"DATA INVALIDA")))))</f>
      </c>
      <c r="AD101" s="3056">
        <f>IF(OR(A101="",U101="",NOT(ISNUMBER(AB101))),"",RANK(AB101,$AB$3:$AB$164,1)+COUNTIFS($AB$3:AB101,AB101)-1)</f>
      </c>
      <c r="AE101" s="1736"/>
    </row>
    <row r="102" spans="1:19" ht="22.0" hidden="false" customHeight="true" x14ac:dyDescent="0.25">
      <c r="A102" s="3114" t="s">
        <v>241</v>
      </c>
      <c r="B102" s="3113" t="s">
        <v>55</v>
      </c>
      <c r="C102" s="3113" t="s">
        <v>242</v>
      </c>
      <c r="D102" s="3113" t="s">
        <v>243</v>
      </c>
      <c r="E102" s="3113"/>
      <c r="F102" s="3113" t="s">
        <v>57</v>
      </c>
      <c r="G102" s="3113" t="s">
        <v>13</v>
      </c>
      <c r="H102" s="3113" t="s">
        <v>5</v>
      </c>
      <c r="I102" s="3113"/>
      <c r="J102" s="3113"/>
      <c r="K102" s="3113"/>
      <c r="L102" s="3113"/>
      <c r="M102" s="3113" t="s">
        <v>376</v>
      </c>
      <c r="N102" s="3113" t="s">
        <v>372</v>
      </c>
      <c r="O102" s="3113" t="s">
        <v>349</v>
      </c>
      <c r="P102" s="3113"/>
      <c r="Q102" s="3116"/>
      <c r="R102" s="3116"/>
      <c r="S102" s="3116"/>
      <c r="T102" s="3116"/>
      <c r="U102" s="3117"/>
      <c r="V102" s="3113"/>
      <c r="W102" s="3113"/>
      <c r="X102" s="3056">
        <f>IF(A102="","",IF(LEN(SUBSTITUTE(SUBSTITUTE(SUBSTITUTE(SUBSTITUTE(D102,".",""),"/",""),"-","")," ",""))&lt;&gt;14,"CNPJ INVALIDO","OK"))</f>
      </c>
      <c r="Y102" s="3056">
        <f>IF(A102="","",IF(R102="","REST PENDENTE","REST OK"))</f>
      </c>
      <c r="Z102" s="3056">
        <f>IF(A102="","",IF(AND(R102&lt;&gt;"",COUNTIFS($D$3:$D$164,D102,$R$3:$R$164,"&lt;&gt;")&gt;1),"DUPLICADO","OK"))</f>
      </c>
      <c r="AA102" s="3056">
        <f>IF(A102="","",IF(OR(LEN(Q102)&gt;180,LEN(R102)&gt;180,LEN(S102)&gt;180,LEN(T102)&gt;180),"CAMINHO LONGO","OK"))</f>
      </c>
      <c r="AB102" s="3056">
        <f>IF(A102="","",IF(U102="","",IFERROR(INT(U102-TODAY()),"")))</f>
      </c>
      <c r="AC102" s="3056">
        <f>IF(A102="","",IF(AND(T102="",U102=""),"",IF(T102="","SEM CAMINHO",IF(U102="","SEM DATA",IFERROR(IF(AB102&lt;15,"VERMELHO",IF(AB102&lt;=30,"AMARELO","VERDE")),"DATA INVALIDA")))))</f>
      </c>
      <c r="AD102" s="3056">
        <f>IF(OR(A102="",U102="",NOT(ISNUMBER(AB102))),"",RANK(AB102,$AB$3:$AB$164,1)+COUNTIFS($AB$3:AB102,AB102)-1)</f>
      </c>
      <c r="AE102" s="1736"/>
    </row>
    <row r="103" spans="1:19" ht="22.0" hidden="false" customHeight="true" x14ac:dyDescent="0.25">
      <c r="A103" s="3109" t="s">
        <v>244</v>
      </c>
      <c r="B103" s="3108" t="s">
        <v>55</v>
      </c>
      <c r="C103" s="3108" t="s">
        <v>245</v>
      </c>
      <c r="D103" s="3108" t="s">
        <v>246</v>
      </c>
      <c r="E103" s="3108"/>
      <c r="F103" s="3108" t="s">
        <v>57</v>
      </c>
      <c r="G103" s="3108" t="s">
        <v>13</v>
      </c>
      <c r="H103" s="3108" t="s">
        <v>5</v>
      </c>
      <c r="I103" s="3108"/>
      <c r="J103" s="3108"/>
      <c r="K103" s="3108"/>
      <c r="L103" s="3108"/>
      <c r="M103" s="3108" t="s">
        <v>376</v>
      </c>
      <c r="N103" s="3108" t="s">
        <v>361</v>
      </c>
      <c r="O103" s="3108" t="s">
        <v>349</v>
      </c>
      <c r="P103" s="3108"/>
      <c r="Q103" s="3111"/>
      <c r="R103" s="3111"/>
      <c r="S103" s="3111"/>
      <c r="T103" s="3111"/>
      <c r="U103" s="3112"/>
      <c r="V103" s="3108"/>
      <c r="W103" s="3108"/>
      <c r="X103" s="3056">
        <f>IF(A103="","",IF(LEN(SUBSTITUTE(SUBSTITUTE(SUBSTITUTE(SUBSTITUTE(D103,".",""),"/",""),"-","")," ",""))&lt;&gt;14,"CNPJ INVALIDO","OK"))</f>
      </c>
      <c r="Y103" s="3056">
        <f>IF(A103="","",IF(R103="","REST PENDENTE","REST OK"))</f>
      </c>
      <c r="Z103" s="3056">
        <f>IF(A103="","",IF(AND(R103&lt;&gt;"",COUNTIFS($D$3:$D$164,D103,$R$3:$R$164,"&lt;&gt;")&gt;1),"DUPLICADO","OK"))</f>
      </c>
      <c r="AA103" s="3056">
        <f>IF(A103="","",IF(OR(LEN(Q103)&gt;180,LEN(R103)&gt;180,LEN(S103)&gt;180,LEN(T103)&gt;180),"CAMINHO LONGO","OK"))</f>
      </c>
      <c r="AB103" s="3056">
        <f>IF(A103="","",IF(U103="","",IFERROR(INT(U103-TODAY()),"")))</f>
      </c>
      <c r="AC103" s="3056">
        <f>IF(A103="","",IF(AND(T103="",U103=""),"",IF(T103="","SEM CAMINHO",IF(U103="","SEM DATA",IFERROR(IF(AB103&lt;15,"VERMELHO",IF(AB103&lt;=30,"AMARELO","VERDE")),"DATA INVALIDA")))))</f>
      </c>
      <c r="AD103" s="3056">
        <f>IF(OR(A103="",U103="",NOT(ISNUMBER(AB103))),"",RANK(AB103,$AB$3:$AB$164,1)+COUNTIFS($AB$3:AB103,AB103)-1)</f>
      </c>
      <c r="AE103" s="1736"/>
    </row>
    <row r="104" spans="1:19" ht="22.0" hidden="false" customHeight="true" x14ac:dyDescent="0.25">
      <c r="A104" s="3114" t="s">
        <v>247</v>
      </c>
      <c r="B104" s="3113" t="s">
        <v>55</v>
      </c>
      <c r="C104" s="3113" t="s">
        <v>248</v>
      </c>
      <c r="D104" s="3113" t="s">
        <v>249</v>
      </c>
      <c r="E104" s="3113"/>
      <c r="F104" s="3113" t="s">
        <v>57</v>
      </c>
      <c r="G104" s="3113" t="s">
        <v>13</v>
      </c>
      <c r="H104" s="3113" t="s">
        <v>49</v>
      </c>
      <c r="I104" s="3113"/>
      <c r="J104" s="3113"/>
      <c r="K104" s="3113"/>
      <c r="L104" s="3113"/>
      <c r="M104" s="3113" t="s">
        <v>376</v>
      </c>
      <c r="N104" s="3113" t="s">
        <v>373</v>
      </c>
      <c r="O104" s="3113" t="s">
        <v>349</v>
      </c>
      <c r="P104" s="3113"/>
      <c r="Q104" s="3116"/>
      <c r="R104" s="3116"/>
      <c r="S104" s="3116"/>
      <c r="T104" s="3116"/>
      <c r="U104" s="3117"/>
      <c r="V104" s="3113"/>
      <c r="W104" s="3113"/>
      <c r="X104" s="3056">
        <f>IF(A104="","",IF(LEN(SUBSTITUTE(SUBSTITUTE(SUBSTITUTE(SUBSTITUTE(D104,".",""),"/",""),"-","")," ",""))&lt;&gt;14,"CNPJ INVALIDO","OK"))</f>
      </c>
      <c r="Y104" s="3056">
        <f>IF(A104="","",IF(R104="","REST PENDENTE","REST OK"))</f>
      </c>
      <c r="Z104" s="3056">
        <f>IF(A104="","",IF(AND(R104&lt;&gt;"",COUNTIFS($D$3:$D$164,D104,$R$3:$R$164,"&lt;&gt;")&gt;1),"DUPLICADO","OK"))</f>
      </c>
      <c r="AA104" s="3056">
        <f>IF(A104="","",IF(OR(LEN(Q104)&gt;180,LEN(R104)&gt;180,LEN(S104)&gt;180,LEN(T104)&gt;180),"CAMINHO LONGO","OK"))</f>
      </c>
      <c r="AB104" s="3056">
        <f>IF(A104="","",IF(U104="","",IFERROR(INT(U104-TODAY()),"")))</f>
      </c>
      <c r="AC104" s="3056">
        <f>IF(A104="","",IF(AND(T104="",U104=""),"",IF(T104="","SEM CAMINHO",IF(U104="","SEM DATA",IFERROR(IF(AB104&lt;15,"VERMELHO",IF(AB104&lt;=30,"AMARELO","VERDE")),"DATA INVALIDA")))))</f>
      </c>
      <c r="AD104" s="3056">
        <f>IF(OR(A104="",U104="",NOT(ISNUMBER(AB104))),"",RANK(AB104,$AB$3:$AB$164,1)+COUNTIFS($AB$3:AB104,AB104)-1)</f>
      </c>
      <c r="AE104" s="1736"/>
    </row>
    <row r="105" spans="1:19" ht="22.0" hidden="false" customHeight="true" x14ac:dyDescent="0.25">
      <c r="A105" s="3109" t="s">
        <v>250</v>
      </c>
      <c r="B105" s="3108" t="s">
        <v>1</v>
      </c>
      <c r="C105" s="3108" t="s">
        <v>2</v>
      </c>
      <c r="D105" s="3108" t="s">
        <v>251</v>
      </c>
      <c r="E105" s="3108"/>
      <c r="F105" s="3108" t="s">
        <v>252</v>
      </c>
      <c r="G105" s="3108" t="s">
        <v>4</v>
      </c>
      <c r="H105" s="3108" t="s">
        <v>49</v>
      </c>
      <c r="I105" s="3108"/>
      <c r="J105" s="3108"/>
      <c r="K105" s="3108"/>
      <c r="L105" s="3108"/>
      <c r="M105" s="3108" t="s">
        <v>371</v>
      </c>
      <c r="N105" s="3108" t="s">
        <v>361</v>
      </c>
      <c r="O105" s="3108" t="s">
        <v>349</v>
      </c>
      <c r="P105" s="3108"/>
      <c r="Q105" s="3111"/>
      <c r="R105" s="3111"/>
      <c r="S105" s="3111"/>
      <c r="T105" s="3111"/>
      <c r="U105" s="3112"/>
      <c r="V105" s="3108"/>
      <c r="W105" s="3108"/>
      <c r="X105" s="3056">
        <f>IF(A105="","",IF(LEN(SUBSTITUTE(SUBSTITUTE(SUBSTITUTE(SUBSTITUTE(D105,".",""),"/",""),"-","")," ",""))&lt;&gt;14,"CNPJ INVALIDO","OK"))</f>
      </c>
      <c r="Y105" s="3056">
        <f>IF(A105="","",IF(R105="","REST PENDENTE","REST OK"))</f>
      </c>
      <c r="Z105" s="3056">
        <f>IF(A105="","",IF(AND(R105&lt;&gt;"",COUNTIFS($D$3:$D$164,D105,$R$3:$R$164,"&lt;&gt;")&gt;1),"DUPLICADO","OK"))</f>
      </c>
      <c r="AA105" s="3056">
        <f>IF(A105="","",IF(OR(LEN(Q105)&gt;180,LEN(R105)&gt;180,LEN(S105)&gt;180,LEN(T105)&gt;180),"CAMINHO LONGO","OK"))</f>
      </c>
      <c r="AB105" s="3056">
        <f>IF(A105="","",IF(U105="","",IFERROR(INT(U105-TODAY()),"")))</f>
      </c>
      <c r="AC105" s="3056">
        <f>IF(A105="","",IF(AND(T105="",U105=""),"",IF(T105="","SEM CAMINHO",IF(U105="","SEM DATA",IFERROR(IF(AB105&lt;15,"VERMELHO",IF(AB105&lt;=30,"AMARELO","VERDE")),"DATA INVALIDA")))))</f>
      </c>
      <c r="AD105" s="3056">
        <f>IF(OR(A105="",U105="",NOT(ISNUMBER(AB105))),"",RANK(AB105,$AB$3:$AB$164,1)+COUNTIFS($AB$3:AB105,AB105)-1)</f>
      </c>
      <c r="AE105" s="1736"/>
    </row>
    <row r="106" spans="1:19" ht="22.0" hidden="false" customHeight="true" x14ac:dyDescent="0.25">
      <c r="A106" s="3114" t="s">
        <v>253</v>
      </c>
      <c r="B106" s="3113" t="s">
        <v>214</v>
      </c>
      <c r="C106" s="3113" t="s">
        <v>62</v>
      </c>
      <c r="D106" s="3113" t="s">
        <v>392</v>
      </c>
      <c r="E106" s="3113"/>
      <c r="F106" s="3113" t="s">
        <v>254</v>
      </c>
      <c r="G106" s="3113" t="s">
        <v>13</v>
      </c>
      <c r="H106" s="3113" t="s">
        <v>5</v>
      </c>
      <c r="I106" s="3113"/>
      <c r="J106" s="3113"/>
      <c r="K106" s="3113"/>
      <c r="L106" s="3113"/>
      <c r="M106" s="3113" t="s">
        <v>376</v>
      </c>
      <c r="N106" s="3113"/>
      <c r="O106" s="3113" t="s">
        <v>349</v>
      </c>
      <c r="P106" s="3113"/>
      <c r="Q106" s="3116"/>
      <c r="R106" s="3116"/>
      <c r="S106" s="3116"/>
      <c r="T106" s="3116"/>
      <c r="U106" s="3117"/>
      <c r="V106" s="3113"/>
      <c r="W106" s="3113"/>
      <c r="X106" s="3056">
        <f>IF(A106="","",IF(LEN(SUBSTITUTE(SUBSTITUTE(SUBSTITUTE(SUBSTITUTE(D106,".",""),"/",""),"-","")," ",""))&lt;&gt;14,"CNPJ INVALIDO","OK"))</f>
      </c>
      <c r="Y106" s="3056">
        <f>IF(A106="","",IF(R106="","REST PENDENTE","REST OK"))</f>
      </c>
      <c r="Z106" s="3056">
        <f>IF(A106="","",IF(AND(R106&lt;&gt;"",COUNTIFS($D$3:$D$164,D106,$R$3:$R$164,"&lt;&gt;")&gt;1),"DUPLICADO","OK"))</f>
      </c>
      <c r="AA106" s="3056">
        <f>IF(A106="","",IF(OR(LEN(Q106)&gt;180,LEN(R106)&gt;180,LEN(S106)&gt;180,LEN(T106)&gt;180),"CAMINHO LONGO","OK"))</f>
      </c>
      <c r="AB106" s="3056">
        <f>IF(A106="","",IF(U106="","",IFERROR(INT(U106-TODAY()),"")))</f>
      </c>
      <c r="AC106" s="3056">
        <f>IF(A106="","",IF(AND(T106="",U106=""),"",IF(T106="","SEM CAMINHO",IF(U106="","SEM DATA",IFERROR(IF(AB106&lt;15,"VERMELHO",IF(AB106&lt;=30,"AMARELO","VERDE")),"DATA INVALIDA")))))</f>
      </c>
      <c r="AD106" s="3056">
        <f>IF(OR(A106="",U106="",NOT(ISNUMBER(AB106))),"",RANK(AB106,$AB$3:$AB$164,1)+COUNTIFS($AB$3:AB106,AB106)-1)</f>
      </c>
      <c r="AE106" s="1736"/>
    </row>
    <row r="107" spans="1:19" ht="22.0" hidden="false" customHeight="true" x14ac:dyDescent="0.25">
      <c r="A107" s="3109" t="s">
        <v>255</v>
      </c>
      <c r="B107" s="3108" t="s">
        <v>214</v>
      </c>
      <c r="C107" s="3108" t="s">
        <v>62</v>
      </c>
      <c r="D107" s="3108" t="s">
        <v>393</v>
      </c>
      <c r="E107" s="3108"/>
      <c r="F107" s="3108" t="s">
        <v>254</v>
      </c>
      <c r="G107" s="3108" t="s">
        <v>13</v>
      </c>
      <c r="H107" s="3108" t="s">
        <v>49</v>
      </c>
      <c r="I107" s="3108"/>
      <c r="J107" s="3108"/>
      <c r="K107" s="3108"/>
      <c r="L107" s="3108"/>
      <c r="M107" s="3108" t="s">
        <v>389</v>
      </c>
      <c r="N107" s="3108"/>
      <c r="O107" s="3108" t="s">
        <v>349</v>
      </c>
      <c r="P107" s="3108"/>
      <c r="Q107" s="3111"/>
      <c r="R107" s="3111"/>
      <c r="S107" s="3111"/>
      <c r="T107" s="3111"/>
      <c r="U107" s="3112"/>
      <c r="V107" s="3108"/>
      <c r="W107" s="3108"/>
      <c r="X107" s="3056">
        <f>IF(A107="","",IF(LEN(SUBSTITUTE(SUBSTITUTE(SUBSTITUTE(SUBSTITUTE(D107,".",""),"/",""),"-","")," ",""))&lt;&gt;14,"CNPJ INVALIDO","OK"))</f>
      </c>
      <c r="Y107" s="3056">
        <f>IF(A107="","",IF(R107="","REST PENDENTE","REST OK"))</f>
      </c>
      <c r="Z107" s="3056">
        <f>IF(A107="","",IF(AND(R107&lt;&gt;"",COUNTIFS($D$3:$D$164,D107,$R$3:$R$164,"&lt;&gt;")&gt;1),"DUPLICADO","OK"))</f>
      </c>
      <c r="AA107" s="3056">
        <f>IF(A107="","",IF(OR(LEN(Q107)&gt;180,LEN(R107)&gt;180,LEN(S107)&gt;180,LEN(T107)&gt;180),"CAMINHO LONGO","OK"))</f>
      </c>
      <c r="AB107" s="3056">
        <f>IF(A107="","",IF(U107="","",IFERROR(INT(U107-TODAY()),"")))</f>
      </c>
      <c r="AC107" s="3056">
        <f>IF(A107="","",IF(AND(T107="",U107=""),"",IF(T107="","SEM CAMINHO",IF(U107="","SEM DATA",IFERROR(IF(AB107&lt;15,"VERMELHO",IF(AB107&lt;=30,"AMARELO","VERDE")),"DATA INVALIDA")))))</f>
      </c>
      <c r="AD107" s="3056">
        <f>IF(OR(A107="",U107="",NOT(ISNUMBER(AB107))),"",RANK(AB107,$AB$3:$AB$164,1)+COUNTIFS($AB$3:AB107,AB107)-1)</f>
      </c>
      <c r="AE107" s="1736"/>
    </row>
    <row r="108" spans="1:19" ht="22.0" hidden="false" customHeight="true" x14ac:dyDescent="0.25">
      <c r="A108" s="3114" t="s">
        <v>256</v>
      </c>
      <c r="B108" s="3113" t="s">
        <v>214</v>
      </c>
      <c r="C108" s="3113" t="s">
        <v>62</v>
      </c>
      <c r="D108" s="3113" t="s">
        <v>394</v>
      </c>
      <c r="E108" s="3113"/>
      <c r="F108" s="3113" t="s">
        <v>257</v>
      </c>
      <c r="G108" s="3113" t="s">
        <v>4</v>
      </c>
      <c r="H108" s="3113" t="s">
        <v>5</v>
      </c>
      <c r="I108" s="3113"/>
      <c r="J108" s="3113"/>
      <c r="K108" s="3113"/>
      <c r="L108" s="3113"/>
      <c r="M108" s="3113" t="s">
        <v>379</v>
      </c>
      <c r="N108" s="3113"/>
      <c r="O108" s="3113" t="s">
        <v>349</v>
      </c>
      <c r="P108" s="3113"/>
      <c r="Q108" s="3116"/>
      <c r="R108" s="3116"/>
      <c r="S108" s="3116"/>
      <c r="T108" s="3116"/>
      <c r="U108" s="3117"/>
      <c r="V108" s="3113"/>
      <c r="W108" s="3113"/>
      <c r="X108" s="3056">
        <f>IF(A108="","",IF(LEN(SUBSTITUTE(SUBSTITUTE(SUBSTITUTE(SUBSTITUTE(D108,".",""),"/",""),"-","")," ",""))&lt;&gt;14,"CNPJ INVALIDO","OK"))</f>
      </c>
      <c r="Y108" s="3056">
        <f>IF(A108="","",IF(R108="","REST PENDENTE","REST OK"))</f>
      </c>
      <c r="Z108" s="3056">
        <f>IF(A108="","",IF(AND(R108&lt;&gt;"",COUNTIFS($D$3:$D$164,D108,$R$3:$R$164,"&lt;&gt;")&gt;1),"DUPLICADO","OK"))</f>
      </c>
      <c r="AA108" s="3056">
        <f>IF(A108="","",IF(OR(LEN(Q108)&gt;180,LEN(R108)&gt;180,LEN(S108)&gt;180,LEN(T108)&gt;180),"CAMINHO LONGO","OK"))</f>
      </c>
      <c r="AB108" s="3056">
        <f>IF(A108="","",IF(U108="","",IFERROR(INT(U108-TODAY()),"")))</f>
      </c>
      <c r="AC108" s="3056">
        <f>IF(A108="","",IF(AND(T108="",U108=""),"",IF(T108="","SEM CAMINHO",IF(U108="","SEM DATA",IFERROR(IF(AB108&lt;15,"VERMELHO",IF(AB108&lt;=30,"AMARELO","VERDE")),"DATA INVALIDA")))))</f>
      </c>
      <c r="AD108" s="3056">
        <f>IF(OR(A108="",U108="",NOT(ISNUMBER(AB108))),"",RANK(AB108,$AB$3:$AB$164,1)+COUNTIFS($AB$3:AB108,AB108)-1)</f>
      </c>
      <c r="AE108" s="1736"/>
    </row>
    <row r="109" spans="1:19" ht="22.0" hidden="false" customHeight="true" x14ac:dyDescent="0.25">
      <c r="A109" s="3109" t="s">
        <v>258</v>
      </c>
      <c r="B109" s="3108" t="s">
        <v>259</v>
      </c>
      <c r="C109" s="3108" t="s">
        <v>69</v>
      </c>
      <c r="D109" s="3108" t="s">
        <v>260</v>
      </c>
      <c r="E109" s="3108"/>
      <c r="F109" s="3108" t="s">
        <v>261</v>
      </c>
      <c r="G109" s="3108" t="s">
        <v>4</v>
      </c>
      <c r="H109" s="3108" t="s">
        <v>5</v>
      </c>
      <c r="I109" s="3108"/>
      <c r="J109" s="3108"/>
      <c r="K109" s="3108"/>
      <c r="L109" s="3108"/>
      <c r="M109" s="3108" t="s">
        <v>371</v>
      </c>
      <c r="N109" s="3108"/>
      <c r="O109" s="3108"/>
      <c r="P109" s="3108"/>
      <c r="Q109" s="3111"/>
      <c r="R109" s="3111"/>
      <c r="S109" s="3111"/>
      <c r="T109" s="3111"/>
      <c r="U109" s="3112"/>
      <c r="V109" s="3108"/>
      <c r="W109" s="3108"/>
      <c r="X109" s="3056">
        <f>IF(A109="","",IF(LEN(SUBSTITUTE(SUBSTITUTE(SUBSTITUTE(SUBSTITUTE(D109,".",""),"/",""),"-","")," ",""))&lt;&gt;14,"CNPJ INVALIDO","OK"))</f>
      </c>
      <c r="Y109" s="3056">
        <f>IF(A109="","",IF(R109="","REST PENDENTE","REST OK"))</f>
      </c>
      <c r="Z109" s="3056">
        <f>IF(A109="","",IF(AND(R109&lt;&gt;"",COUNTIFS($D$3:$D$164,D109,$R$3:$R$164,"&lt;&gt;")&gt;1),"DUPLICADO","OK"))</f>
      </c>
      <c r="AA109" s="3056">
        <f>IF(A109="","",IF(OR(LEN(Q109)&gt;180,LEN(R109)&gt;180,LEN(S109)&gt;180,LEN(T109)&gt;180),"CAMINHO LONGO","OK"))</f>
      </c>
      <c r="AB109" s="3056">
        <f>IF(A109="","",IF(U109="","",IFERROR(INT(U109-TODAY()),"")))</f>
      </c>
      <c r="AC109" s="3056">
        <f>IF(A109="","",IF(AND(T109="",U109=""),"",IF(T109="","SEM CAMINHO",IF(U109="","SEM DATA",IFERROR(IF(AB109&lt;15,"VERMELHO",IF(AB109&lt;=30,"AMARELO","VERDE")),"DATA INVALIDA")))))</f>
      </c>
      <c r="AD109" s="3056">
        <f>IF(OR(A109="",U109="",NOT(ISNUMBER(AB109))),"",RANK(AB109,$AB$3:$AB$164,1)+COUNTIFS($AB$3:AB109,AB109)-1)</f>
      </c>
      <c r="AE109" s="1736"/>
    </row>
    <row r="110" spans="1:19" ht="22.0" hidden="false" customHeight="true" x14ac:dyDescent="0.25">
      <c r="A110" s="3114" t="s">
        <v>262</v>
      </c>
      <c r="B110" s="3113" t="s">
        <v>259</v>
      </c>
      <c r="C110" s="3113" t="s">
        <v>69</v>
      </c>
      <c r="D110" s="3113" t="s">
        <v>263</v>
      </c>
      <c r="E110" s="3113"/>
      <c r="F110" s="3113" t="s">
        <v>261</v>
      </c>
      <c r="G110" s="3113" t="s">
        <v>13</v>
      </c>
      <c r="H110" s="3113" t="s">
        <v>5</v>
      </c>
      <c r="I110" s="3113"/>
      <c r="J110" s="3113"/>
      <c r="K110" s="3113"/>
      <c r="L110" s="3113"/>
      <c r="M110" s="3113" t="s">
        <v>371</v>
      </c>
      <c r="N110" s="3113"/>
      <c r="O110" s="3113"/>
      <c r="P110" s="3113"/>
      <c r="Q110" s="3116"/>
      <c r="R110" s="3116"/>
      <c r="S110" s="3116"/>
      <c r="T110" s="3116"/>
      <c r="U110" s="3117"/>
      <c r="V110" s="3113"/>
      <c r="W110" s="3113"/>
      <c r="X110" s="3056">
        <f>IF(A110="","",IF(LEN(SUBSTITUTE(SUBSTITUTE(SUBSTITUTE(SUBSTITUTE(D110,".",""),"/",""),"-","")," ",""))&lt;&gt;14,"CNPJ INVALIDO","OK"))</f>
      </c>
      <c r="Y110" s="3056">
        <f>IF(A110="","",IF(R110="","REST PENDENTE","REST OK"))</f>
      </c>
      <c r="Z110" s="3056">
        <f>IF(A110="","",IF(AND(R110&lt;&gt;"",COUNTIFS($D$3:$D$164,D110,$R$3:$R$164,"&lt;&gt;")&gt;1),"DUPLICADO","OK"))</f>
      </c>
      <c r="AA110" s="3056">
        <f>IF(A110="","",IF(OR(LEN(Q110)&gt;180,LEN(R110)&gt;180,LEN(S110)&gt;180,LEN(T110)&gt;180),"CAMINHO LONGO","OK"))</f>
      </c>
      <c r="AB110" s="3056">
        <f>IF(A110="","",IF(U110="","",IFERROR(INT(U110-TODAY()),"")))</f>
      </c>
      <c r="AC110" s="3056">
        <f>IF(A110="","",IF(AND(T110="",U110=""),"",IF(T110="","SEM CAMINHO",IF(U110="","SEM DATA",IFERROR(IF(AB110&lt;15,"VERMELHO",IF(AB110&lt;=30,"AMARELO","VERDE")),"DATA INVALIDA")))))</f>
      </c>
      <c r="AD110" s="3056">
        <f>IF(OR(A110="",U110="",NOT(ISNUMBER(AB110))),"",RANK(AB110,$AB$3:$AB$164,1)+COUNTIFS($AB$3:AB110,AB110)-1)</f>
      </c>
      <c r="AE110" s="1736"/>
    </row>
    <row r="111" spans="1:19" ht="22.0" hidden="false" customHeight="true" x14ac:dyDescent="0.25">
      <c r="A111" s="3109" t="s">
        <v>264</v>
      </c>
      <c r="B111" s="3108" t="s">
        <v>159</v>
      </c>
      <c r="C111" s="3108" t="s">
        <v>69</v>
      </c>
      <c r="D111" s="3108" t="s">
        <v>265</v>
      </c>
      <c r="E111" s="3108"/>
      <c r="F111" s="3108" t="s">
        <v>266</v>
      </c>
      <c r="G111" s="3108" t="s">
        <v>13</v>
      </c>
      <c r="H111" s="3108" t="s">
        <v>5</v>
      </c>
      <c r="I111" s="3108"/>
      <c r="J111" s="3108"/>
      <c r="K111" s="3108"/>
      <c r="L111" s="3108"/>
      <c r="M111" s="3108" t="s">
        <v>389</v>
      </c>
      <c r="N111" s="3108"/>
      <c r="O111" s="3108" t="s">
        <v>363</v>
      </c>
      <c r="P111" s="3108"/>
      <c r="Q111" s="3111"/>
      <c r="R111" s="3111"/>
      <c r="S111" s="3111"/>
      <c r="T111" s="3111"/>
      <c r="U111" s="3112"/>
      <c r="V111" s="3108"/>
      <c r="W111" s="3108"/>
      <c r="X111" s="3056">
        <f>IF(A111="","",IF(LEN(SUBSTITUTE(SUBSTITUTE(SUBSTITUTE(SUBSTITUTE(D111,".",""),"/",""),"-","")," ",""))&lt;&gt;14,"CNPJ INVALIDO","OK"))</f>
      </c>
      <c r="Y111" s="3056">
        <f>IF(A111="","",IF(R111="","REST PENDENTE","REST OK"))</f>
      </c>
      <c r="Z111" s="3056">
        <f>IF(A111="","",IF(AND(R111&lt;&gt;"",COUNTIFS($D$3:$D$164,D111,$R$3:$R$164,"&lt;&gt;")&gt;1),"DUPLICADO","OK"))</f>
      </c>
      <c r="AA111" s="3056">
        <f>IF(A111="","",IF(OR(LEN(Q111)&gt;180,LEN(R111)&gt;180,LEN(S111)&gt;180,LEN(T111)&gt;180),"CAMINHO LONGO","OK"))</f>
      </c>
      <c r="AB111" s="3056">
        <f>IF(A111="","",IF(U111="","",IFERROR(INT(U111-TODAY()),"")))</f>
      </c>
      <c r="AC111" s="3056">
        <f>IF(A111="","",IF(AND(T111="",U111=""),"",IF(T111="","SEM CAMINHO",IF(U111="","SEM DATA",IFERROR(IF(AB111&lt;15,"VERMELHO",IF(AB111&lt;=30,"AMARELO","VERDE")),"DATA INVALIDA")))))</f>
      </c>
      <c r="AD111" s="3056">
        <f>IF(OR(A111="",U111="",NOT(ISNUMBER(AB111))),"",RANK(AB111,$AB$3:$AB$164,1)+COUNTIFS($AB$3:AB111,AB111)-1)</f>
      </c>
      <c r="AE111" s="1736"/>
    </row>
    <row r="112" spans="1:19" ht="22.0" hidden="false" customHeight="true" x14ac:dyDescent="0.25">
      <c r="A112" s="3114" t="s">
        <v>267</v>
      </c>
      <c r="B112" s="3113" t="s">
        <v>159</v>
      </c>
      <c r="C112" s="3113" t="s">
        <v>268</v>
      </c>
      <c r="D112" s="3113" t="s">
        <v>269</v>
      </c>
      <c r="E112" s="3113"/>
      <c r="F112" s="3113" t="s">
        <v>266</v>
      </c>
      <c r="G112" s="3113" t="s">
        <v>13</v>
      </c>
      <c r="H112" s="3113" t="s">
        <v>14</v>
      </c>
      <c r="I112" s="3113"/>
      <c r="J112" s="3113"/>
      <c r="K112" s="3113"/>
      <c r="L112" s="3113"/>
      <c r="M112" s="3113" t="s">
        <v>376</v>
      </c>
      <c r="N112" s="3113"/>
      <c r="O112" s="3113" t="s">
        <v>349</v>
      </c>
      <c r="P112" s="3113"/>
      <c r="Q112" s="3116"/>
      <c r="R112" s="3116"/>
      <c r="S112" s="3116"/>
      <c r="T112" s="3116"/>
      <c r="U112" s="3117"/>
      <c r="V112" s="3113"/>
      <c r="W112" s="3113"/>
      <c r="X112" s="3056">
        <f>IF(A112="","",IF(LEN(SUBSTITUTE(SUBSTITUTE(SUBSTITUTE(SUBSTITUTE(D112,".",""),"/",""),"-","")," ",""))&lt;&gt;14,"CNPJ INVALIDO","OK"))</f>
      </c>
      <c r="Y112" s="3056">
        <f>IF(A112="","",IF(R112="","REST PENDENTE","REST OK"))</f>
      </c>
      <c r="Z112" s="3056">
        <f>IF(A112="","",IF(AND(R112&lt;&gt;"",COUNTIFS($D$3:$D$164,D112,$R$3:$R$164,"&lt;&gt;")&gt;1),"DUPLICADO","OK"))</f>
      </c>
      <c r="AA112" s="3056">
        <f>IF(A112="","",IF(OR(LEN(Q112)&gt;180,LEN(R112)&gt;180,LEN(S112)&gt;180,LEN(T112)&gt;180),"CAMINHO LONGO","OK"))</f>
      </c>
      <c r="AB112" s="3056">
        <f>IF(A112="","",IF(U112="","",IFERROR(INT(U112-TODAY()),"")))</f>
      </c>
      <c r="AC112" s="3056">
        <f>IF(A112="","",IF(AND(T112="",U112=""),"",IF(T112="","SEM CAMINHO",IF(U112="","SEM DATA",IFERROR(IF(AB112&lt;15,"VERMELHO",IF(AB112&lt;=30,"AMARELO","VERDE")),"DATA INVALIDA")))))</f>
      </c>
      <c r="AD112" s="3056">
        <f>IF(OR(A112="",U112="",NOT(ISNUMBER(AB112))),"",RANK(AB112,$AB$3:$AB$164,1)+COUNTIFS($AB$3:AB112,AB112)-1)</f>
      </c>
      <c r="AE112" s="1736"/>
    </row>
    <row r="113" spans="1:19" ht="22.0" hidden="false" customHeight="true" x14ac:dyDescent="0.25">
      <c r="A113" s="3109" t="s">
        <v>270</v>
      </c>
      <c r="B113" s="3108" t="s">
        <v>271</v>
      </c>
      <c r="C113" s="3108"/>
      <c r="D113" s="3108" t="s">
        <v>272</v>
      </c>
      <c r="E113" s="3108"/>
      <c r="F113" s="3108" t="s">
        <v>273</v>
      </c>
      <c r="G113" s="3108" t="s">
        <v>41</v>
      </c>
      <c r="H113" s="3108" t="s">
        <v>49</v>
      </c>
      <c r="I113" s="3108"/>
      <c r="J113" s="3108"/>
      <c r="K113" s="3108"/>
      <c r="L113" s="3108"/>
      <c r="M113" s="3108" t="s">
        <v>379</v>
      </c>
      <c r="N113" s="3108"/>
      <c r="O113" s="3108" t="s">
        <v>364</v>
      </c>
      <c r="P113" s="3108"/>
      <c r="Q113" s="3111"/>
      <c r="R113" s="3111"/>
      <c r="S113" s="3111"/>
      <c r="T113" s="3111"/>
      <c r="U113" s="3112"/>
      <c r="V113" s="3108"/>
      <c r="W113" s="3108"/>
      <c r="X113" s="3056">
        <f>IF(A113="","",IF(LEN(SUBSTITUTE(SUBSTITUTE(SUBSTITUTE(SUBSTITUTE(D113,".",""),"/",""),"-","")," ",""))&lt;&gt;14,"CNPJ INVALIDO","OK"))</f>
      </c>
      <c r="Y113" s="3056">
        <f>IF(A113="","",IF(R113="","REST PENDENTE","REST OK"))</f>
      </c>
      <c r="Z113" s="3056">
        <f>IF(A113="","",IF(AND(R113&lt;&gt;"",COUNTIFS($D$3:$D$164,D113,$R$3:$R$164,"&lt;&gt;")&gt;1),"DUPLICADO","OK"))</f>
      </c>
      <c r="AA113" s="3056">
        <f>IF(A113="","",IF(OR(LEN(Q113)&gt;180,LEN(R113)&gt;180,LEN(S113)&gt;180,LEN(T113)&gt;180),"CAMINHO LONGO","OK"))</f>
      </c>
      <c r="AB113" s="3056">
        <f>IF(A113="","",IF(U113="","",IFERROR(INT(U113-TODAY()),"")))</f>
      </c>
      <c r="AC113" s="3056">
        <f>IF(A113="","",IF(AND(T113="",U113=""),"",IF(T113="","SEM CAMINHO",IF(U113="","SEM DATA",IFERROR(IF(AB113&lt;15,"VERMELHO",IF(AB113&lt;=30,"AMARELO","VERDE")),"DATA INVALIDA")))))</f>
      </c>
      <c r="AD113" s="3056">
        <f>IF(OR(A113="",U113="",NOT(ISNUMBER(AB113))),"",RANK(AB113,$AB$3:$AB$164,1)+COUNTIFS($AB$3:AB113,AB113)-1)</f>
      </c>
      <c r="AE113" s="1736"/>
    </row>
    <row r="114" spans="1:19" ht="22.0" hidden="false" customHeight="true" x14ac:dyDescent="0.25">
      <c r="A114" s="3114" t="s">
        <v>274</v>
      </c>
      <c r="B114" s="3113" t="s">
        <v>134</v>
      </c>
      <c r="C114" s="3113" t="s">
        <v>122</v>
      </c>
      <c r="D114" s="3113" t="s">
        <v>395</v>
      </c>
      <c r="E114" s="3113"/>
      <c r="F114" s="3113" t="s">
        <v>275</v>
      </c>
      <c r="G114" s="3113" t="s">
        <v>4</v>
      </c>
      <c r="H114" s="3113" t="s">
        <v>5</v>
      </c>
      <c r="I114" s="3113"/>
      <c r="J114" s="3113"/>
      <c r="K114" s="3113"/>
      <c r="L114" s="3113"/>
      <c r="M114" s="3113" t="s">
        <v>379</v>
      </c>
      <c r="N114" s="3113"/>
      <c r="O114" s="3113" t="s">
        <v>365</v>
      </c>
      <c r="P114" s="3113"/>
      <c r="Q114" s="3116"/>
      <c r="R114" s="3116"/>
      <c r="S114" s="3116"/>
      <c r="T114" s="3116"/>
      <c r="U114" s="3117"/>
      <c r="V114" s="3113"/>
      <c r="W114" s="3113"/>
      <c r="X114" s="3056">
        <f>IF(A114="","",IF(LEN(SUBSTITUTE(SUBSTITUTE(SUBSTITUTE(SUBSTITUTE(D114,".",""),"/",""),"-","")," ",""))&lt;&gt;14,"CNPJ INVALIDO","OK"))</f>
      </c>
      <c r="Y114" s="3056">
        <f>IF(A114="","",IF(R114="","REST PENDENTE","REST OK"))</f>
      </c>
      <c r="Z114" s="3056">
        <f>IF(A114="","",IF(AND(R114&lt;&gt;"",COUNTIFS($D$3:$D$164,D114,$R$3:$R$164,"&lt;&gt;")&gt;1),"DUPLICADO","OK"))</f>
      </c>
      <c r="AA114" s="3056">
        <f>IF(A114="","",IF(OR(LEN(Q114)&gt;180,LEN(R114)&gt;180,LEN(S114)&gt;180,LEN(T114)&gt;180),"CAMINHO LONGO","OK"))</f>
      </c>
      <c r="AB114" s="3056">
        <f>IF(A114="","",IF(U114="","",IFERROR(INT(U114-TODAY()),"")))</f>
      </c>
      <c r="AC114" s="3056">
        <f>IF(A114="","",IF(AND(T114="",U114=""),"",IF(T114="","SEM CAMINHO",IF(U114="","SEM DATA",IFERROR(IF(AB114&lt;15,"VERMELHO",IF(AB114&lt;=30,"AMARELO","VERDE")),"DATA INVALIDA")))))</f>
      </c>
      <c r="AD114" s="3056">
        <f>IF(OR(A114="",U114="",NOT(ISNUMBER(AB114))),"",RANK(AB114,$AB$3:$AB$164,1)+COUNTIFS($AB$3:AB114,AB114)-1)</f>
      </c>
      <c r="AE114" s="1736"/>
    </row>
    <row r="115" spans="1:19" ht="22.0" hidden="false" customHeight="true" x14ac:dyDescent="0.25">
      <c r="A115" s="3109" t="s">
        <v>276</v>
      </c>
      <c r="B115" s="3108" t="s">
        <v>182</v>
      </c>
      <c r="C115" s="3108" t="s">
        <v>83</v>
      </c>
      <c r="D115" s="3108" t="s">
        <v>396</v>
      </c>
      <c r="E115" s="3108"/>
      <c r="F115" s="3108" t="s">
        <v>225</v>
      </c>
      <c r="G115" s="3108" t="s">
        <v>4</v>
      </c>
      <c r="H115" s="3108" t="s">
        <v>5</v>
      </c>
      <c r="I115" s="3108"/>
      <c r="J115" s="3108"/>
      <c r="K115" s="3108"/>
      <c r="L115" s="3108"/>
      <c r="M115" s="3108" t="s">
        <v>376</v>
      </c>
      <c r="N115" s="3108"/>
      <c r="O115" s="3108" t="s">
        <v>365</v>
      </c>
      <c r="P115" s="3108"/>
      <c r="Q115" s="3111"/>
      <c r="R115" s="3111"/>
      <c r="S115" s="3111"/>
      <c r="T115" s="3111"/>
      <c r="U115" s="3112"/>
      <c r="V115" s="3108"/>
      <c r="W115" s="3108"/>
      <c r="X115" s="3056">
        <f>IF(A115="","",IF(LEN(SUBSTITUTE(SUBSTITUTE(SUBSTITUTE(SUBSTITUTE(D115,".",""),"/",""),"-","")," ",""))&lt;&gt;14,"CNPJ INVALIDO","OK"))</f>
      </c>
      <c r="Y115" s="3056">
        <f>IF(A115="","",IF(R115="","REST PENDENTE","REST OK"))</f>
      </c>
      <c r="Z115" s="3056">
        <f>IF(A115="","",IF(AND(R115&lt;&gt;"",COUNTIFS($D$3:$D$164,D115,$R$3:$R$164,"&lt;&gt;")&gt;1),"DUPLICADO","OK"))</f>
      </c>
      <c r="AA115" s="3056">
        <f>IF(A115="","",IF(OR(LEN(Q115)&gt;180,LEN(R115)&gt;180,LEN(S115)&gt;180,LEN(T115)&gt;180),"CAMINHO LONGO","OK"))</f>
      </c>
      <c r="AB115" s="3056">
        <f>IF(A115="","",IF(U115="","",IFERROR(INT(U115-TODAY()),"")))</f>
      </c>
      <c r="AC115" s="3056">
        <f>IF(A115="","",IF(AND(T115="",U115=""),"",IF(T115="","SEM CAMINHO",IF(U115="","SEM DATA",IFERROR(IF(AB115&lt;15,"VERMELHO",IF(AB115&lt;=30,"AMARELO","VERDE")),"DATA INVALIDA")))))</f>
      </c>
      <c r="AD115" s="3056">
        <f>IF(OR(A115="",U115="",NOT(ISNUMBER(AB115))),"",RANK(AB115,$AB$3:$AB$164,1)+COUNTIFS($AB$3:AB115,AB115)-1)</f>
      </c>
      <c r="AE115" s="1736"/>
    </row>
    <row r="116" spans="1:19" ht="22.0" hidden="false" customHeight="true" x14ac:dyDescent="0.25">
      <c r="A116" s="3114" t="s">
        <v>277</v>
      </c>
      <c r="B116" s="3113" t="s">
        <v>211</v>
      </c>
      <c r="C116" s="3113" t="s">
        <v>69</v>
      </c>
      <c r="D116" s="3113" t="s">
        <v>278</v>
      </c>
      <c r="E116" s="3113"/>
      <c r="F116" s="3113" t="s">
        <v>279</v>
      </c>
      <c r="G116" s="3113" t="s">
        <v>13</v>
      </c>
      <c r="H116" s="3113" t="s">
        <v>49</v>
      </c>
      <c r="I116" s="3113">
        <v>46147</v>
      </c>
      <c r="J116" s="3113"/>
      <c r="K116" s="3113"/>
      <c r="L116" s="3113"/>
      <c r="M116" s="3113" t="s">
        <v>366</v>
      </c>
      <c r="N116" s="3113"/>
      <c r="O116" s="3113" t="s">
        <v>363</v>
      </c>
      <c r="P116" s="3113"/>
      <c r="Q116" s="3116"/>
      <c r="R116" s="3116"/>
      <c r="S116" s="3116"/>
      <c r="T116" s="3116"/>
      <c r="U116" s="3117"/>
      <c r="V116" s="3113"/>
      <c r="W116" s="3113"/>
      <c r="X116" s="3056">
        <f>IF(A116="","",IF(LEN(SUBSTITUTE(SUBSTITUTE(SUBSTITUTE(SUBSTITUTE(D116,".",""),"/",""),"-","")," ",""))&lt;&gt;14,"CNPJ INVALIDO","OK"))</f>
      </c>
      <c r="Y116" s="3056">
        <f>IF(A116="","",IF(R116="","REST PENDENTE","REST OK"))</f>
      </c>
      <c r="Z116" s="3056">
        <f>IF(A116="","",IF(AND(R116&lt;&gt;"",COUNTIFS($D$3:$D$164,D116,$R$3:$R$164,"&lt;&gt;")&gt;1),"DUPLICADO","OK"))</f>
      </c>
      <c r="AA116" s="3056">
        <f>IF(A116="","",IF(OR(LEN(Q116)&gt;180,LEN(R116)&gt;180,LEN(S116)&gt;180,LEN(T116)&gt;180),"CAMINHO LONGO","OK"))</f>
      </c>
      <c r="AB116" s="3056">
        <f>IF(A116="","",IF(U116="","",IFERROR(INT(U116-TODAY()),"")))</f>
      </c>
      <c r="AC116" s="3056">
        <f>IF(A116="","",IF(AND(T116="",U116=""),"",IF(T116="","SEM CAMINHO",IF(U116="","SEM DATA",IFERROR(IF(AB116&lt;15,"VERMELHO",IF(AB116&lt;=30,"AMARELO","VERDE")),"DATA INVALIDA")))))</f>
      </c>
      <c r="AD116" s="3056">
        <f>IF(OR(A116="",U116="",NOT(ISNUMBER(AB116))),"",RANK(AB116,$AB$3:$AB$164,1)+COUNTIFS($AB$3:AB116,AB116)-1)</f>
      </c>
      <c r="AE116" s="1736"/>
    </row>
    <row r="117" spans="1:19" ht="22.0" hidden="false" customHeight="true" x14ac:dyDescent="0.25">
      <c r="A117" s="3109" t="s">
        <v>280</v>
      </c>
      <c r="B117" s="3108" t="s">
        <v>162</v>
      </c>
      <c r="C117" s="3108" t="s">
        <v>281</v>
      </c>
      <c r="D117" s="3108" t="s">
        <v>282</v>
      </c>
      <c r="E117" s="3108"/>
      <c r="F117" s="3108"/>
      <c r="G117" s="3108" t="s">
        <v>4</v>
      </c>
      <c r="H117" s="3108" t="s">
        <v>49</v>
      </c>
      <c r="I117" s="3108"/>
      <c r="J117" s="3108"/>
      <c r="K117" s="3108"/>
      <c r="L117" s="3108"/>
      <c r="M117" s="3108" t="s">
        <v>376</v>
      </c>
      <c r="N117" s="3108" t="s">
        <v>362</v>
      </c>
      <c r="O117" s="3108" t="s">
        <v>365</v>
      </c>
      <c r="P117" s="3108"/>
      <c r="Q117" s="3111"/>
      <c r="R117" s="3111"/>
      <c r="S117" s="3111"/>
      <c r="T117" s="3111"/>
      <c r="U117" s="3112"/>
      <c r="V117" s="3108"/>
      <c r="W117" s="3108"/>
      <c r="X117" s="3056">
        <f>IF(A117="","",IF(LEN(SUBSTITUTE(SUBSTITUTE(SUBSTITUTE(SUBSTITUTE(D117,".",""),"/",""),"-","")," ",""))&lt;&gt;14,"CNPJ INVALIDO","OK"))</f>
      </c>
      <c r="Y117" s="3056">
        <f>IF(A117="","",IF(R117="","REST PENDENTE","REST OK"))</f>
      </c>
      <c r="Z117" s="3056">
        <f>IF(A117="","",IF(AND(R117&lt;&gt;"",COUNTIFS($D$3:$D$164,D117,$R$3:$R$164,"&lt;&gt;")&gt;1),"DUPLICADO","OK"))</f>
      </c>
      <c r="AA117" s="3056">
        <f>IF(A117="","",IF(OR(LEN(Q117)&gt;180,LEN(R117)&gt;180,LEN(S117)&gt;180,LEN(T117)&gt;180),"CAMINHO LONGO","OK"))</f>
      </c>
      <c r="AB117" s="3056">
        <f>IF(A117="","",IF(U117="","",IFERROR(INT(U117-TODAY()),"")))</f>
      </c>
      <c r="AC117" s="3056">
        <f>IF(A117="","",IF(AND(T117="",U117=""),"",IF(T117="","SEM CAMINHO",IF(U117="","SEM DATA",IFERROR(IF(AB117&lt;15,"VERMELHO",IF(AB117&lt;=30,"AMARELO","VERDE")),"DATA INVALIDA")))))</f>
      </c>
      <c r="AD117" s="3056">
        <f>IF(OR(A117="",U117="",NOT(ISNUMBER(AB117))),"",RANK(AB117,$AB$3:$AB$164,1)+COUNTIFS($AB$3:AB117,AB117)-1)</f>
      </c>
      <c r="AE117" s="1736"/>
    </row>
    <row r="118" spans="1:19" ht="22.0" hidden="false" customHeight="true" x14ac:dyDescent="0.25">
      <c r="A118" s="3114" t="s">
        <v>283</v>
      </c>
      <c r="B118" s="3113" t="s">
        <v>75</v>
      </c>
      <c r="C118" s="3113" t="s">
        <v>62</v>
      </c>
      <c r="D118" s="3113" t="s">
        <v>397</v>
      </c>
      <c r="E118" s="3113"/>
      <c r="F118" s="3113" t="s">
        <v>284</v>
      </c>
      <c r="G118" s="3113" t="s">
        <v>4</v>
      </c>
      <c r="H118" s="3113" t="s">
        <v>14</v>
      </c>
      <c r="I118" s="3113"/>
      <c r="J118" s="3113"/>
      <c r="K118" s="3113"/>
      <c r="L118" s="3113"/>
      <c r="M118" s="3113" t="s">
        <v>389</v>
      </c>
      <c r="N118" s="3113"/>
      <c r="O118" s="3113" t="s">
        <v>365</v>
      </c>
      <c r="P118" s="3113"/>
      <c r="Q118" s="3116"/>
      <c r="R118" s="3116"/>
      <c r="S118" s="3116"/>
      <c r="T118" s="3116"/>
      <c r="U118" s="3117"/>
      <c r="V118" s="3113"/>
      <c r="W118" s="3113"/>
      <c r="X118" s="3056">
        <f>IF(A118="","",IF(LEN(SUBSTITUTE(SUBSTITUTE(SUBSTITUTE(SUBSTITUTE(D118,".",""),"/",""),"-","")," ",""))&lt;&gt;14,"CNPJ INVALIDO","OK"))</f>
      </c>
      <c r="Y118" s="3056">
        <f>IF(A118="","",IF(R118="","REST PENDENTE","REST OK"))</f>
      </c>
      <c r="Z118" s="3056">
        <f>IF(A118="","",IF(AND(R118&lt;&gt;"",COUNTIFS($D$3:$D$164,D118,$R$3:$R$164,"&lt;&gt;")&gt;1),"DUPLICADO","OK"))</f>
      </c>
      <c r="AA118" s="3056">
        <f>IF(A118="","",IF(OR(LEN(Q118)&gt;180,LEN(R118)&gt;180,LEN(S118)&gt;180,LEN(T118)&gt;180),"CAMINHO LONGO","OK"))</f>
      </c>
      <c r="AB118" s="3056">
        <f>IF(A118="","",IF(U118="","",IFERROR(INT(U118-TODAY()),"")))</f>
      </c>
      <c r="AC118" s="3056">
        <f>IF(A118="","",IF(AND(T118="",U118=""),"",IF(T118="","SEM CAMINHO",IF(U118="","SEM DATA",IFERROR(IF(AB118&lt;15,"VERMELHO",IF(AB118&lt;=30,"AMARELO","VERDE")),"DATA INVALIDA")))))</f>
      </c>
      <c r="AD118" s="3056">
        <f>IF(OR(A118="",U118="",NOT(ISNUMBER(AB118))),"",RANK(AB118,$AB$3:$AB$164,1)+COUNTIFS($AB$3:AB118,AB118)-1)</f>
      </c>
      <c r="AE118" s="1736"/>
    </row>
    <row r="119" spans="1:19" ht="22.0" hidden="false" customHeight="true" x14ac:dyDescent="0.25">
      <c r="A119" s="3109" t="s">
        <v>285</v>
      </c>
      <c r="B119" s="3108" t="s">
        <v>286</v>
      </c>
      <c r="C119" s="3108"/>
      <c r="D119" s="3108" t="s">
        <v>398</v>
      </c>
      <c r="E119" s="3108"/>
      <c r="F119" s="3108" t="s">
        <v>287</v>
      </c>
      <c r="G119" s="3108" t="s">
        <v>4</v>
      </c>
      <c r="H119" s="3108" t="s">
        <v>49</v>
      </c>
      <c r="I119" s="3108"/>
      <c r="J119" s="3108"/>
      <c r="K119" s="3108"/>
      <c r="L119" s="3108"/>
      <c r="M119" s="3108" t="s">
        <v>379</v>
      </c>
      <c r="N119" s="3108"/>
      <c r="O119" s="3108" t="s">
        <v>365</v>
      </c>
      <c r="P119" s="3108"/>
      <c r="Q119" s="3111"/>
      <c r="R119" s="3111"/>
      <c r="S119" s="3111"/>
      <c r="T119" s="3111"/>
      <c r="U119" s="3112"/>
      <c r="V119" s="3108"/>
      <c r="W119" s="3108"/>
      <c r="X119" s="3056">
        <f>IF(A119="","",IF(LEN(SUBSTITUTE(SUBSTITUTE(SUBSTITUTE(SUBSTITUTE(D119,".",""),"/",""),"-","")," ",""))&lt;&gt;14,"CNPJ INVALIDO","OK"))</f>
      </c>
      <c r="Y119" s="3056">
        <f>IF(A119="","",IF(R119="","REST PENDENTE","REST OK"))</f>
      </c>
      <c r="Z119" s="3056">
        <f>IF(A119="","",IF(AND(R119&lt;&gt;"",COUNTIFS($D$3:$D$164,D119,$R$3:$R$164,"&lt;&gt;")&gt;1),"DUPLICADO","OK"))</f>
      </c>
      <c r="AA119" s="3056">
        <f>IF(A119="","",IF(OR(LEN(Q119)&gt;180,LEN(R119)&gt;180,LEN(S119)&gt;180,LEN(T119)&gt;180),"CAMINHO LONGO","OK"))</f>
      </c>
      <c r="AB119" s="3056">
        <f>IF(A119="","",IF(U119="","",IFERROR(INT(U119-TODAY()),"")))</f>
      </c>
      <c r="AC119" s="3056">
        <f>IF(A119="","",IF(AND(T119="",U119=""),"",IF(T119="","SEM CAMINHO",IF(U119="","SEM DATA",IFERROR(IF(AB119&lt;15,"VERMELHO",IF(AB119&lt;=30,"AMARELO","VERDE")),"DATA INVALIDA")))))</f>
      </c>
      <c r="AD119" s="3056">
        <f>IF(OR(A119="",U119="",NOT(ISNUMBER(AB119))),"",RANK(AB119,$AB$3:$AB$164,1)+COUNTIFS($AB$3:AB119,AB119)-1)</f>
      </c>
      <c r="AE119" s="1736"/>
    </row>
    <row r="120" spans="1:19" ht="22.0" hidden="false" customHeight="true" x14ac:dyDescent="0.25">
      <c r="A120" s="3114" t="s">
        <v>288</v>
      </c>
      <c r="B120" s="3113" t="s">
        <v>286</v>
      </c>
      <c r="C120" s="3113" t="s">
        <v>69</v>
      </c>
      <c r="D120" s="3113" t="s">
        <v>289</v>
      </c>
      <c r="E120" s="3113"/>
      <c r="F120" s="3113" t="s">
        <v>290</v>
      </c>
      <c r="G120" s="3113" t="s">
        <v>13</v>
      </c>
      <c r="H120" s="3113" t="s">
        <v>49</v>
      </c>
      <c r="I120" s="3113"/>
      <c r="J120" s="3113"/>
      <c r="K120" s="3113"/>
      <c r="L120" s="3113"/>
      <c r="M120" s="3113" t="s">
        <v>376</v>
      </c>
      <c r="N120" s="3113"/>
      <c r="O120" s="3113" t="s">
        <v>365</v>
      </c>
      <c r="P120" s="3113"/>
      <c r="Q120" s="3116"/>
      <c r="R120" s="3116"/>
      <c r="S120" s="3116"/>
      <c r="T120" s="3116"/>
      <c r="U120" s="3117"/>
      <c r="V120" s="3113"/>
      <c r="W120" s="3113"/>
      <c r="X120" s="3056">
        <f>IF(A120="","",IF(LEN(SUBSTITUTE(SUBSTITUTE(SUBSTITUTE(SUBSTITUTE(D120,".",""),"/",""),"-","")," ",""))&lt;&gt;14,"CNPJ INVALIDO","OK"))</f>
      </c>
      <c r="Y120" s="3056">
        <f>IF(A120="","",IF(R120="","REST PENDENTE","REST OK"))</f>
      </c>
      <c r="Z120" s="3056">
        <f>IF(A120="","",IF(AND(R120&lt;&gt;"",COUNTIFS($D$3:$D$164,D120,$R$3:$R$164,"&lt;&gt;")&gt;1),"DUPLICADO","OK"))</f>
      </c>
      <c r="AA120" s="3056">
        <f>IF(A120="","",IF(OR(LEN(Q120)&gt;180,LEN(R120)&gt;180,LEN(S120)&gt;180,LEN(T120)&gt;180),"CAMINHO LONGO","OK"))</f>
      </c>
      <c r="AB120" s="3056">
        <f>IF(A120="","",IF(U120="","",IFERROR(INT(U120-TODAY()),"")))</f>
      </c>
      <c r="AC120" s="3056">
        <f>IF(A120="","",IF(AND(T120="",U120=""),"",IF(T120="","SEM CAMINHO",IF(U120="","SEM DATA",IFERROR(IF(AB120&lt;15,"VERMELHO",IF(AB120&lt;=30,"AMARELO","VERDE")),"DATA INVALIDA")))))</f>
      </c>
      <c r="AD120" s="3056">
        <f>IF(OR(A120="",U120="",NOT(ISNUMBER(AB120))),"",RANK(AB120,$AB$3:$AB$164,1)+COUNTIFS($AB$3:AB120,AB120)-1)</f>
      </c>
      <c r="AE120" s="1736"/>
    </row>
    <row r="121" spans="1:19" ht="22.0" hidden="false" customHeight="true" x14ac:dyDescent="0.25">
      <c r="A121" s="3109" t="s">
        <v>291</v>
      </c>
      <c r="B121" s="3108" t="s">
        <v>75</v>
      </c>
      <c r="C121" s="3108" t="s">
        <v>69</v>
      </c>
      <c r="D121" s="3108" t="s">
        <v>292</v>
      </c>
      <c r="E121" s="3108"/>
      <c r="F121" s="3108"/>
      <c r="G121" s="3108"/>
      <c r="H121" s="3108"/>
      <c r="I121" s="3108"/>
      <c r="J121" s="3108"/>
      <c r="K121" s="3108"/>
      <c r="L121" s="3108"/>
      <c r="M121" s="3108" t="s">
        <v>371</v>
      </c>
      <c r="N121" s="3108"/>
      <c r="O121" s="3108"/>
      <c r="P121" s="3108"/>
      <c r="Q121" s="3111"/>
      <c r="R121" s="3111"/>
      <c r="S121" s="3111"/>
      <c r="T121" s="3111"/>
      <c r="U121" s="3112"/>
      <c r="V121" s="3108"/>
      <c r="W121" s="3108"/>
      <c r="X121" s="3056">
        <f>IF(A121="","",IF(LEN(SUBSTITUTE(SUBSTITUTE(SUBSTITUTE(SUBSTITUTE(D121,".",""),"/",""),"-","")," ",""))&lt;&gt;14,"CNPJ INVALIDO","OK"))</f>
      </c>
      <c r="Y121" s="3056">
        <f>IF(A121="","",IF(R121="","REST PENDENTE","REST OK"))</f>
      </c>
      <c r="Z121" s="3056">
        <f>IF(A121="","",IF(AND(R121&lt;&gt;"",COUNTIFS($D$3:$D$164,D121,$R$3:$R$164,"&lt;&gt;")&gt;1),"DUPLICADO","OK"))</f>
      </c>
      <c r="AA121" s="3056">
        <f>IF(A121="","",IF(OR(LEN(Q121)&gt;180,LEN(R121)&gt;180,LEN(S121)&gt;180,LEN(T121)&gt;180),"CAMINHO LONGO","OK"))</f>
      </c>
      <c r="AB121" s="3056">
        <f>IF(A121="","",IF(U121="","",IFERROR(INT(U121-TODAY()),"")))</f>
      </c>
      <c r="AC121" s="3056">
        <f>IF(A121="","",IF(AND(T121="",U121=""),"",IF(T121="","SEM CAMINHO",IF(U121="","SEM DATA",IFERROR(IF(AB121&lt;15,"VERMELHO",IF(AB121&lt;=30,"AMARELO","VERDE")),"DATA INVALIDA")))))</f>
      </c>
      <c r="AD121" s="3056">
        <f>IF(OR(A121="",U121="",NOT(ISNUMBER(AB121))),"",RANK(AB121,$AB$3:$AB$164,1)+COUNTIFS($AB$3:AB121,AB121)-1)</f>
      </c>
      <c r="AE121" s="1736"/>
    </row>
    <row r="122" spans="1:19" ht="22.0" hidden="false" customHeight="true" x14ac:dyDescent="0.25">
      <c r="A122" s="3114" t="s">
        <v>293</v>
      </c>
      <c r="B122" s="3113" t="s">
        <v>227</v>
      </c>
      <c r="C122" s="3113" t="s">
        <v>116</v>
      </c>
      <c r="D122" s="3113" t="s">
        <v>294</v>
      </c>
      <c r="E122" s="3113"/>
      <c r="F122" s="3113" t="s">
        <v>228</v>
      </c>
      <c r="G122" s="3113" t="s">
        <v>13</v>
      </c>
      <c r="H122" s="3113" t="s">
        <v>14</v>
      </c>
      <c r="I122" s="3113"/>
      <c r="J122" s="3113"/>
      <c r="K122" s="3113"/>
      <c r="L122" s="3113"/>
      <c r="M122" s="3113" t="s">
        <v>368</v>
      </c>
      <c r="N122" s="3113"/>
      <c r="O122" s="3113" t="s">
        <v>369</v>
      </c>
      <c r="P122" s="3113"/>
      <c r="Q122" s="3116"/>
      <c r="R122" s="3116"/>
      <c r="S122" s="3116"/>
      <c r="T122" s="3116"/>
      <c r="U122" s="3117"/>
      <c r="V122" s="3113"/>
      <c r="W122" s="3113"/>
      <c r="X122" s="3056">
        <f>IF(A122="","",IF(LEN(SUBSTITUTE(SUBSTITUTE(SUBSTITUTE(SUBSTITUTE(D122,".",""),"/",""),"-","")," ",""))&lt;&gt;14,"CNPJ INVALIDO","OK"))</f>
      </c>
      <c r="Y122" s="3056">
        <f>IF(A122="","",IF(R122="","REST PENDENTE","REST OK"))</f>
      </c>
      <c r="Z122" s="3056">
        <f>IF(A122="","",IF(AND(R122&lt;&gt;"",COUNTIFS($D$3:$D$164,D122,$R$3:$R$164,"&lt;&gt;")&gt;1),"DUPLICADO","OK"))</f>
      </c>
      <c r="AA122" s="3056">
        <f>IF(A122="","",IF(OR(LEN(Q122)&gt;180,LEN(R122)&gt;180,LEN(S122)&gt;180,LEN(T122)&gt;180),"CAMINHO LONGO","OK"))</f>
      </c>
      <c r="AB122" s="3056">
        <f>IF(A122="","",IF(U122="","",IFERROR(INT(U122-TODAY()),"")))</f>
      </c>
      <c r="AC122" s="3056">
        <f>IF(A122="","",IF(AND(T122="",U122=""),"",IF(T122="","SEM CAMINHO",IF(U122="","SEM DATA",IFERROR(IF(AB122&lt;15,"VERMELHO",IF(AB122&lt;=30,"AMARELO","VERDE")),"DATA INVALIDA")))))</f>
      </c>
      <c r="AD122" s="3056">
        <f>IF(OR(A122="",U122="",NOT(ISNUMBER(AB122))),"",RANK(AB122,$AB$3:$AB$164,1)+COUNTIFS($AB$3:AB122,AB122)-1)</f>
      </c>
      <c r="AE122" s="1736"/>
    </row>
    <row r="123" spans="1:19" ht="22.0" hidden="false" customHeight="true" x14ac:dyDescent="0.25">
      <c r="A123" s="3109" t="s">
        <v>295</v>
      </c>
      <c r="B123" s="3108" t="s">
        <v>45</v>
      </c>
      <c r="C123" s="3108" t="s">
        <v>296</v>
      </c>
      <c r="D123" s="3108" t="s">
        <v>297</v>
      </c>
      <c r="E123" s="3108"/>
      <c r="F123" s="3108" t="s">
        <v>48</v>
      </c>
      <c r="G123" s="3108" t="s">
        <v>13</v>
      </c>
      <c r="H123" s="3108" t="s">
        <v>14</v>
      </c>
      <c r="I123" s="3108"/>
      <c r="J123" s="3108"/>
      <c r="K123" s="3108"/>
      <c r="L123" s="3108"/>
      <c r="M123" s="3108" t="s">
        <v>371</v>
      </c>
      <c r="N123" s="3108"/>
      <c r="O123" s="3108" t="s">
        <v>367</v>
      </c>
      <c r="P123" s="3108"/>
      <c r="Q123" s="3111"/>
      <c r="R123" s="3111"/>
      <c r="S123" s="3111"/>
      <c r="T123" s="3111"/>
      <c r="U123" s="3112"/>
      <c r="V123" s="3108"/>
      <c r="W123" s="3108"/>
      <c r="X123" s="3056">
        <f>IF(A123="","",IF(LEN(SUBSTITUTE(SUBSTITUTE(SUBSTITUTE(SUBSTITUTE(D123,".",""),"/",""),"-","")," ",""))&lt;&gt;14,"CNPJ INVALIDO","OK"))</f>
      </c>
      <c r="Y123" s="3056">
        <f>IF(A123="","",IF(R123="","REST PENDENTE","REST OK"))</f>
      </c>
      <c r="Z123" s="3056">
        <f>IF(A123="","",IF(AND(R123&lt;&gt;"",COUNTIFS($D$3:$D$164,D123,$R$3:$R$164,"&lt;&gt;")&gt;1),"DUPLICADO","OK"))</f>
      </c>
      <c r="AA123" s="3056">
        <f>IF(A123="","",IF(OR(LEN(Q123)&gt;180,LEN(R123)&gt;180,LEN(S123)&gt;180,LEN(T123)&gt;180),"CAMINHO LONGO","OK"))</f>
      </c>
      <c r="AB123" s="3056">
        <f>IF(A123="","",IF(U123="","",IFERROR(INT(U123-TODAY()),"")))</f>
      </c>
      <c r="AC123" s="3056">
        <f>IF(A123="","",IF(AND(T123="",U123=""),"",IF(T123="","SEM CAMINHO",IF(U123="","SEM DATA",IFERROR(IF(AB123&lt;15,"VERMELHO",IF(AB123&lt;=30,"AMARELO","VERDE")),"DATA INVALIDA")))))</f>
      </c>
      <c r="AD123" s="3056">
        <f>IF(OR(A123="",U123="",NOT(ISNUMBER(AB123))),"",RANK(AB123,$AB$3:$AB$164,1)+COUNTIFS($AB$3:AB123,AB123)-1)</f>
      </c>
      <c r="AE123" s="1736"/>
    </row>
    <row r="124" spans="1:19" ht="22.0" hidden="false" customHeight="true" x14ac:dyDescent="0.25">
      <c r="A124" s="3114" t="s">
        <v>298</v>
      </c>
      <c r="B124" s="3113" t="s">
        <v>299</v>
      </c>
      <c r="C124" s="3113" t="s">
        <v>16</v>
      </c>
      <c r="D124" s="3113" t="s">
        <v>300</v>
      </c>
      <c r="E124" s="3113"/>
      <c r="F124" s="3113" t="s">
        <v>109</v>
      </c>
      <c r="G124" s="3113" t="s">
        <v>4</v>
      </c>
      <c r="H124" s="3113" t="s">
        <v>49</v>
      </c>
      <c r="I124" s="3113"/>
      <c r="J124" s="3113"/>
      <c r="K124" s="3113"/>
      <c r="L124" s="3113"/>
      <c r="M124" s="3113" t="s">
        <v>379</v>
      </c>
      <c r="N124" s="3113"/>
      <c r="O124" s="3113" t="s">
        <v>365</v>
      </c>
      <c r="P124" s="3113"/>
      <c r="Q124" s="3116"/>
      <c r="R124" s="3116"/>
      <c r="S124" s="3116"/>
      <c r="T124" s="3116"/>
      <c r="U124" s="3117"/>
      <c r="V124" s="3113"/>
      <c r="W124" s="3113"/>
      <c r="X124" s="3056">
        <f>IF(A124="","",IF(LEN(SUBSTITUTE(SUBSTITUTE(SUBSTITUTE(SUBSTITUTE(D124,".",""),"/",""),"-","")," ",""))&lt;&gt;14,"CNPJ INVALIDO","OK"))</f>
      </c>
      <c r="Y124" s="3056">
        <f>IF(A124="","",IF(R124="","REST PENDENTE","REST OK"))</f>
      </c>
      <c r="Z124" s="3056">
        <f>IF(A124="","",IF(AND(R124&lt;&gt;"",COUNTIFS($D$3:$D$164,D124,$R$3:$R$164,"&lt;&gt;")&gt;1),"DUPLICADO","OK"))</f>
      </c>
      <c r="AA124" s="3056">
        <f>IF(A124="","",IF(OR(LEN(Q124)&gt;180,LEN(R124)&gt;180,LEN(S124)&gt;180,LEN(T124)&gt;180),"CAMINHO LONGO","OK"))</f>
      </c>
      <c r="AB124" s="3056">
        <f>IF(A124="","",IF(U124="","",IFERROR(INT(U124-TODAY()),"")))</f>
      </c>
      <c r="AC124" s="3056">
        <f>IF(A124="","",IF(AND(T124="",U124=""),"",IF(T124="","SEM CAMINHO",IF(U124="","SEM DATA",IFERROR(IF(AB124&lt;15,"VERMELHO",IF(AB124&lt;=30,"AMARELO","VERDE")),"DATA INVALIDA")))))</f>
      </c>
      <c r="AD124" s="3056">
        <f>IF(OR(A124="",U124="",NOT(ISNUMBER(AB124))),"",RANK(AB124,$AB$3:$AB$164,1)+COUNTIFS($AB$3:AB124,AB124)-1)</f>
      </c>
      <c r="AE124" s="1736"/>
    </row>
    <row r="125" spans="1:19" ht="22.0" hidden="false" customHeight="true" x14ac:dyDescent="0.25">
      <c r="A125" s="3109" t="s">
        <v>301</v>
      </c>
      <c r="B125" s="3108" t="s">
        <v>302</v>
      </c>
      <c r="C125" s="3108" t="s">
        <v>69</v>
      </c>
      <c r="D125" s="3108" t="s">
        <v>303</v>
      </c>
      <c r="E125" s="3108"/>
      <c r="F125" s="3108"/>
      <c r="G125" s="3108" t="s">
        <v>4</v>
      </c>
      <c r="H125" s="3108" t="s">
        <v>49</v>
      </c>
      <c r="I125" s="3108"/>
      <c r="J125" s="3108"/>
      <c r="K125" s="3108"/>
      <c r="L125" s="3108"/>
      <c r="M125" s="3108" t="s">
        <v>379</v>
      </c>
      <c r="N125" s="3108"/>
      <c r="O125" s="3108" t="s">
        <v>365</v>
      </c>
      <c r="P125" s="3108"/>
      <c r="Q125" s="3111"/>
      <c r="R125" s="3111"/>
      <c r="S125" s="3111"/>
      <c r="T125" s="3111"/>
      <c r="U125" s="3112"/>
      <c r="V125" s="3108"/>
      <c r="W125" s="3108"/>
      <c r="X125" s="3056">
        <f>IF(A125="","",IF(LEN(SUBSTITUTE(SUBSTITUTE(SUBSTITUTE(SUBSTITUTE(D125,".",""),"/",""),"-","")," ",""))&lt;&gt;14,"CNPJ INVALIDO","OK"))</f>
      </c>
      <c r="Y125" s="3056">
        <f>IF(A125="","",IF(R125="","REST PENDENTE","REST OK"))</f>
      </c>
      <c r="Z125" s="3056">
        <f>IF(A125="","",IF(AND(R125&lt;&gt;"",COUNTIFS($D$3:$D$164,D125,$R$3:$R$164,"&lt;&gt;")&gt;1),"DUPLICADO","OK"))</f>
      </c>
      <c r="AA125" s="3056">
        <f>IF(A125="","",IF(OR(LEN(Q125)&gt;180,LEN(R125)&gt;180,LEN(S125)&gt;180,LEN(T125)&gt;180),"CAMINHO LONGO","OK"))</f>
      </c>
      <c r="AB125" s="3056">
        <f>IF(A125="","",IF(U125="","",IFERROR(INT(U125-TODAY()),"")))</f>
      </c>
      <c r="AC125" s="3056">
        <f>IF(A125="","",IF(AND(T125="",U125=""),"",IF(T125="","SEM CAMINHO",IF(U125="","SEM DATA",IFERROR(IF(AB125&lt;15,"VERMELHO",IF(AB125&lt;=30,"AMARELO","VERDE")),"DATA INVALIDA")))))</f>
      </c>
      <c r="AD125" s="3056">
        <f>IF(OR(A125="",U125="",NOT(ISNUMBER(AB125))),"",RANK(AB125,$AB$3:$AB$164,1)+COUNTIFS($AB$3:AB125,AB125)-1)</f>
      </c>
      <c r="AE125" s="1736"/>
    </row>
    <row r="126" spans="1:19" ht="22.0" hidden="false" customHeight="true" x14ac:dyDescent="0.25">
      <c r="A126" s="3114" t="s">
        <v>304</v>
      </c>
      <c r="B126" s="3113" t="s">
        <v>305</v>
      </c>
      <c r="C126" s="3113"/>
      <c r="D126" s="3113"/>
      <c r="E126" s="3113"/>
      <c r="F126" s="3113" t="s">
        <v>306</v>
      </c>
      <c r="G126" s="3113" t="s">
        <v>13</v>
      </c>
      <c r="H126" s="3113"/>
      <c r="I126" s="3113"/>
      <c r="J126" s="3113"/>
      <c r="K126" s="3113"/>
      <c r="L126" s="3113"/>
      <c r="M126" s="3113" t="s">
        <v>371</v>
      </c>
      <c r="N126" s="3113"/>
      <c r="O126" s="3113" t="s">
        <v>363</v>
      </c>
      <c r="P126" s="3113"/>
      <c r="Q126" s="3116"/>
      <c r="R126" s="3116"/>
      <c r="S126" s="3116"/>
      <c r="T126" s="3116"/>
      <c r="U126" s="3117"/>
      <c r="V126" s="3113"/>
      <c r="W126" s="3113"/>
      <c r="X126" s="3056">
        <f>IF(A126="","",IF(LEN(SUBSTITUTE(SUBSTITUTE(SUBSTITUTE(SUBSTITUTE(D126,".",""),"/",""),"-","")," ",""))&lt;&gt;14,"CNPJ INVALIDO","OK"))</f>
      </c>
      <c r="Y126" s="3056">
        <f>IF(A126="","",IF(R126="","REST PENDENTE","REST OK"))</f>
      </c>
      <c r="Z126" s="3056">
        <f>IF(A126="","",IF(AND(R126&lt;&gt;"",COUNTIFS($D$3:$D$164,D126,$R$3:$R$164,"&lt;&gt;")&gt;1),"DUPLICADO","OK"))</f>
      </c>
      <c r="AA126" s="3056">
        <f>IF(A126="","",IF(OR(LEN(Q126)&gt;180,LEN(R126)&gt;180,LEN(S126)&gt;180,LEN(T126)&gt;180),"CAMINHO LONGO","OK"))</f>
      </c>
      <c r="AB126" s="3056">
        <f>IF(A126="","",IF(U126="","",IFERROR(INT(U126-TODAY()),"")))</f>
      </c>
      <c r="AC126" s="3056">
        <f>IF(A126="","",IF(AND(T126="",U126=""),"",IF(T126="","SEM CAMINHO",IF(U126="","SEM DATA",IFERROR(IF(AB126&lt;15,"VERMELHO",IF(AB126&lt;=30,"AMARELO","VERDE")),"DATA INVALIDA")))))</f>
      </c>
      <c r="AD126" s="3056">
        <f>IF(OR(A126="",U126="",NOT(ISNUMBER(AB126))),"",RANK(AB126,$AB$3:$AB$164,1)+COUNTIFS($AB$3:AB126,AB126)-1)</f>
      </c>
      <c r="AE126" s="1736"/>
    </row>
    <row r="127" spans="1:19" ht="22.0" hidden="false" customHeight="true" x14ac:dyDescent="0.25">
      <c r="A127" s="3109" t="s">
        <v>307</v>
      </c>
      <c r="B127" s="3108" t="s">
        <v>305</v>
      </c>
      <c r="C127" s="3108"/>
      <c r="D127" s="3108"/>
      <c r="E127" s="3108"/>
      <c r="F127" s="3108" t="s">
        <v>306</v>
      </c>
      <c r="G127" s="3108" t="s">
        <v>308</v>
      </c>
      <c r="H127" s="3108"/>
      <c r="I127" s="3108"/>
      <c r="J127" s="3108"/>
      <c r="K127" s="3108"/>
      <c r="L127" s="3108"/>
      <c r="M127" s="3108" t="s">
        <v>371</v>
      </c>
      <c r="N127" s="3108"/>
      <c r="O127" s="3108" t="s">
        <v>363</v>
      </c>
      <c r="P127" s="3108"/>
      <c r="Q127" s="3111"/>
      <c r="R127" s="3111"/>
      <c r="S127" s="3111"/>
      <c r="T127" s="3111"/>
      <c r="U127" s="3112"/>
      <c r="V127" s="3108"/>
      <c r="W127" s="3108"/>
      <c r="X127" s="3056">
        <f>IF(A127="","",IF(LEN(SUBSTITUTE(SUBSTITUTE(SUBSTITUTE(SUBSTITUTE(D127,".",""),"/",""),"-","")," ",""))&lt;&gt;14,"CNPJ INVALIDO","OK"))</f>
      </c>
      <c r="Y127" s="3056">
        <f>IF(A127="","",IF(R127="","REST PENDENTE","REST OK"))</f>
      </c>
      <c r="Z127" s="3056">
        <f>IF(A127="","",IF(AND(R127&lt;&gt;"",COUNTIFS($D$3:$D$164,D127,$R$3:$R$164,"&lt;&gt;")&gt;1),"DUPLICADO","OK"))</f>
      </c>
      <c r="AA127" s="3056">
        <f>IF(A127="","",IF(OR(LEN(Q127)&gt;180,LEN(R127)&gt;180,LEN(S127)&gt;180,LEN(T127)&gt;180),"CAMINHO LONGO","OK"))</f>
      </c>
      <c r="AB127" s="3056">
        <f>IF(A127="","",IF(U127="","",IFERROR(INT(U127-TODAY()),"")))</f>
      </c>
      <c r="AC127" s="3056">
        <f>IF(A127="","",IF(AND(T127="",U127=""),"",IF(T127="","SEM CAMINHO",IF(U127="","SEM DATA",IFERROR(IF(AB127&lt;15,"VERMELHO",IF(AB127&lt;=30,"AMARELO","VERDE")),"DATA INVALIDA")))))</f>
      </c>
      <c r="AD127" s="3056">
        <f>IF(OR(A127="",U127="",NOT(ISNUMBER(AB127))),"",RANK(AB127,$AB$3:$AB$164,1)+COUNTIFS($AB$3:AB127,AB127)-1)</f>
      </c>
      <c r="AE127" s="1736"/>
    </row>
    <row r="128" spans="1:19" ht="22.0" hidden="false" customHeight="true" x14ac:dyDescent="0.25">
      <c r="A128" s="3114" t="s">
        <v>309</v>
      </c>
      <c r="B128" s="3113" t="s">
        <v>9</v>
      </c>
      <c r="C128" s="3113" t="s">
        <v>69</v>
      </c>
      <c r="D128" s="3113" t="s">
        <v>310</v>
      </c>
      <c r="E128" s="3113"/>
      <c r="F128" s="3113" t="s">
        <v>311</v>
      </c>
      <c r="G128" s="3113" t="s">
        <v>13</v>
      </c>
      <c r="H128" s="3113" t="s">
        <v>49</v>
      </c>
      <c r="I128" s="3113"/>
      <c r="J128" s="3113"/>
      <c r="K128" s="3113"/>
      <c r="L128" s="3113"/>
      <c r="M128" s="3113" t="s">
        <v>376</v>
      </c>
      <c r="N128" s="3113"/>
      <c r="O128" s="3113" t="s">
        <v>365</v>
      </c>
      <c r="P128" s="3113"/>
      <c r="Q128" s="3116"/>
      <c r="R128" s="3116"/>
      <c r="S128" s="3116"/>
      <c r="T128" s="3116"/>
      <c r="U128" s="3117"/>
      <c r="V128" s="3113"/>
      <c r="W128" s="3113"/>
      <c r="X128" s="3056">
        <f>IF(A128="","",IF(LEN(SUBSTITUTE(SUBSTITUTE(SUBSTITUTE(SUBSTITUTE(D128,".",""),"/",""),"-","")," ",""))&lt;&gt;14,"CNPJ INVALIDO","OK"))</f>
      </c>
      <c r="Y128" s="3056">
        <f>IF(A128="","",IF(R128="","REST PENDENTE","REST OK"))</f>
      </c>
      <c r="Z128" s="3056">
        <f>IF(A128="","",IF(AND(R128&lt;&gt;"",COUNTIFS($D$3:$D$164,D128,$R$3:$R$164,"&lt;&gt;")&gt;1),"DUPLICADO","OK"))</f>
      </c>
      <c r="AA128" s="3056">
        <f>IF(A128="","",IF(OR(LEN(Q128)&gt;180,LEN(R128)&gt;180,LEN(S128)&gt;180,LEN(T128)&gt;180),"CAMINHO LONGO","OK"))</f>
      </c>
      <c r="AB128" s="3056">
        <f>IF(A128="","",IF(U128="","",IFERROR(INT(U128-TODAY()),"")))</f>
      </c>
      <c r="AC128" s="3056">
        <f>IF(A128="","",IF(AND(T128="",U128=""),"",IF(T128="","SEM CAMINHO",IF(U128="","SEM DATA",IFERROR(IF(AB128&lt;15,"VERMELHO",IF(AB128&lt;=30,"AMARELO","VERDE")),"DATA INVALIDA")))))</f>
      </c>
      <c r="AD128" s="3056">
        <f>IF(OR(A128="",U128="",NOT(ISNUMBER(AB128))),"",RANK(AB128,$AB$3:$AB$164,1)+COUNTIFS($AB$3:AB128,AB128)-1)</f>
      </c>
      <c r="AE128" s="1736"/>
    </row>
    <row r="129" spans="1:19" ht="22.0" hidden="false" customHeight="true" x14ac:dyDescent="0.25">
      <c r="A129" s="3109" t="s">
        <v>312</v>
      </c>
      <c r="B129" s="3108" t="s">
        <v>75</v>
      </c>
      <c r="C129" s="3108" t="s">
        <v>69</v>
      </c>
      <c r="D129" s="3108" t="s">
        <v>313</v>
      </c>
      <c r="E129" s="3108"/>
      <c r="F129" s="3108" t="s">
        <v>314</v>
      </c>
      <c r="G129" s="3108" t="s">
        <v>4</v>
      </c>
      <c r="H129" s="3108" t="s">
        <v>49</v>
      </c>
      <c r="I129" s="3108"/>
      <c r="J129" s="3108"/>
      <c r="K129" s="3108"/>
      <c r="L129" s="3108"/>
      <c r="M129" s="3108" t="s">
        <v>379</v>
      </c>
      <c r="N129" s="3108"/>
      <c r="O129" s="3108" t="s">
        <v>370</v>
      </c>
      <c r="P129" s="3108"/>
      <c r="Q129" s="3111"/>
      <c r="R129" s="3111"/>
      <c r="S129" s="3111"/>
      <c r="T129" s="3111"/>
      <c r="U129" s="3112"/>
      <c r="V129" s="3108"/>
      <c r="W129" s="3108"/>
      <c r="X129" s="3056">
        <f>IF(A129="","",IF(LEN(SUBSTITUTE(SUBSTITUTE(SUBSTITUTE(SUBSTITUTE(D129,".",""),"/",""),"-","")," ",""))&lt;&gt;14,"CNPJ INVALIDO","OK"))</f>
      </c>
      <c r="Y129" s="3056">
        <f>IF(A129="","",IF(R129="","REST PENDENTE","REST OK"))</f>
      </c>
      <c r="Z129" s="3056">
        <f>IF(A129="","",IF(AND(R129&lt;&gt;"",COUNTIFS($D$3:$D$164,D129,$R$3:$R$164,"&lt;&gt;")&gt;1),"DUPLICADO","OK"))</f>
      </c>
      <c r="AA129" s="3056">
        <f>IF(A129="","",IF(OR(LEN(Q129)&gt;180,LEN(R129)&gt;180,LEN(S129)&gt;180,LEN(T129)&gt;180),"CAMINHO LONGO","OK"))</f>
      </c>
      <c r="AB129" s="3056">
        <f>IF(A129="","",IF(U129="","",IFERROR(INT(U129-TODAY()),"")))</f>
      </c>
      <c r="AC129" s="3056">
        <f>IF(A129="","",IF(AND(T129="",U129=""),"",IF(T129="","SEM CAMINHO",IF(U129="","SEM DATA",IFERROR(IF(AB129&lt;15,"VERMELHO",IF(AB129&lt;=30,"AMARELO","VERDE")),"DATA INVALIDA")))))</f>
      </c>
      <c r="AD129" s="3056">
        <f>IF(OR(A129="",U129="",NOT(ISNUMBER(AB129))),"",RANK(AB129,$AB$3:$AB$164,1)+COUNTIFS($AB$3:AB129,AB129)-1)</f>
      </c>
      <c r="AE129" s="1736"/>
    </row>
    <row r="130" spans="1:19" ht="22.0" hidden="false" customHeight="true" x14ac:dyDescent="0.25">
      <c r="A130" s="3114" t="s">
        <v>315</v>
      </c>
      <c r="B130" s="3113" t="s">
        <v>45</v>
      </c>
      <c r="C130" s="3113" t="s">
        <v>316</v>
      </c>
      <c r="D130" s="3113" t="s">
        <v>317</v>
      </c>
      <c r="E130" s="3113"/>
      <c r="F130" s="3113"/>
      <c r="G130" s="3113" t="s">
        <v>13</v>
      </c>
      <c r="H130" s="3113"/>
      <c r="I130" s="3113"/>
      <c r="J130" s="3113"/>
      <c r="K130" s="3113"/>
      <c r="L130" s="3113"/>
      <c r="M130" s="3113" t="s">
        <v>399</v>
      </c>
      <c r="N130" s="3113" t="s">
        <v>374</v>
      </c>
      <c r="O130" s="3113" t="s">
        <v>367</v>
      </c>
      <c r="P130" s="3113"/>
      <c r="Q130" s="3116"/>
      <c r="R130" s="3116"/>
      <c r="S130" s="3116"/>
      <c r="T130" s="3116"/>
      <c r="U130" s="3117"/>
      <c r="V130" s="3113"/>
      <c r="W130" s="3113"/>
      <c r="X130" s="3056">
        <f>IF(A130="","",IF(LEN(SUBSTITUTE(SUBSTITUTE(SUBSTITUTE(SUBSTITUTE(D130,".",""),"/",""),"-","")," ",""))&lt;&gt;14,"CNPJ INVALIDO","OK"))</f>
      </c>
      <c r="Y130" s="3056">
        <f>IF(A130="","",IF(R130="","REST PENDENTE","REST OK"))</f>
      </c>
      <c r="Z130" s="3056">
        <f>IF(A130="","",IF(AND(R130&lt;&gt;"",COUNTIFS($D$3:$D$164,D130,$R$3:$R$164,"&lt;&gt;")&gt;1),"DUPLICADO","OK"))</f>
      </c>
      <c r="AA130" s="3056">
        <f>IF(A130="","",IF(OR(LEN(Q130)&gt;180,LEN(R130)&gt;180,LEN(S130)&gt;180,LEN(T130)&gt;180),"CAMINHO LONGO","OK"))</f>
      </c>
      <c r="AB130" s="3056">
        <f>IF(A130="","",IF(U130="","",IFERROR(INT(U130-TODAY()),"")))</f>
      </c>
      <c r="AC130" s="3056">
        <f>IF(A130="","",IF(AND(T130="",U130=""),"",IF(T130="","SEM CAMINHO",IF(U130="","SEM DATA",IFERROR(IF(AB130&lt;15,"VERMELHO",IF(AB130&lt;=30,"AMARELO","VERDE")),"DATA INVALIDA")))))</f>
      </c>
      <c r="AD130" s="3056">
        <f>IF(OR(A130="",U130="",NOT(ISNUMBER(AB130))),"",RANK(AB130,$AB$3:$AB$164,1)+COUNTIFS($AB$3:AB130,AB130)-1)</f>
      </c>
      <c r="AE130" s="1736"/>
    </row>
    <row r="131" spans="1:19" ht="22.0" hidden="false" customHeight="true" x14ac:dyDescent="0.25">
      <c r="A131" s="3109" t="s">
        <v>318</v>
      </c>
      <c r="B131" s="3108" t="s">
        <v>45</v>
      </c>
      <c r="C131" s="3108" t="s">
        <v>316</v>
      </c>
      <c r="D131" s="3108" t="s">
        <v>319</v>
      </c>
      <c r="E131" s="3108"/>
      <c r="F131" s="3108" t="s">
        <v>48</v>
      </c>
      <c r="G131" s="3108" t="s">
        <v>320</v>
      </c>
      <c r="H131" s="3108"/>
      <c r="I131" s="3108"/>
      <c r="J131" s="3108"/>
      <c r="K131" s="3108"/>
      <c r="L131" s="3108"/>
      <c r="M131" s="3108" t="s">
        <v>399</v>
      </c>
      <c r="N131" s="3108" t="s">
        <v>374</v>
      </c>
      <c r="O131" s="3108" t="s">
        <v>371</v>
      </c>
      <c r="P131" s="3108"/>
      <c r="Q131" s="3111"/>
      <c r="R131" s="3111"/>
      <c r="S131" s="3111"/>
      <c r="T131" s="3111"/>
      <c r="U131" s="3112"/>
      <c r="V131" s="3108"/>
      <c r="W131" s="3108"/>
      <c r="X131" s="3056">
        <f>IF(A131="","",IF(LEN(SUBSTITUTE(SUBSTITUTE(SUBSTITUTE(SUBSTITUTE(D131,".",""),"/",""),"-","")," ",""))&lt;&gt;14,"CNPJ INVALIDO","OK"))</f>
      </c>
      <c r="Y131" s="3056">
        <f>IF(A131="","",IF(R131="","REST PENDENTE","REST OK"))</f>
      </c>
      <c r="Z131" s="3056">
        <f>IF(A131="","",IF(AND(R131&lt;&gt;"",COUNTIFS($D$3:$D$164,D131,$R$3:$R$164,"&lt;&gt;")&gt;1),"DUPLICADO","OK"))</f>
      </c>
      <c r="AA131" s="3056">
        <f>IF(A131="","",IF(OR(LEN(Q131)&gt;180,LEN(R131)&gt;180,LEN(S131)&gt;180,LEN(T131)&gt;180),"CAMINHO LONGO","OK"))</f>
      </c>
      <c r="AB131" s="3056">
        <f>IF(A131="","",IF(U131="","",IFERROR(INT(U131-TODAY()),"")))</f>
      </c>
      <c r="AC131" s="3056">
        <f>IF(A131="","",IF(AND(T131="",U131=""),"",IF(T131="","SEM CAMINHO",IF(U131="","SEM DATA",IFERROR(IF(AB131&lt;15,"VERMELHO",IF(AB131&lt;=30,"AMARELO","VERDE")),"DATA INVALIDA")))))</f>
      </c>
      <c r="AD131" s="3056">
        <f>IF(OR(A131="",U131="",NOT(ISNUMBER(AB131))),"",RANK(AB131,$AB$3:$AB$164,1)+COUNTIFS($AB$3:AB131,AB131)-1)</f>
      </c>
      <c r="AE131" s="1736"/>
    </row>
    <row r="132" spans="1:19" ht="22.0" hidden="false" customHeight="true" x14ac:dyDescent="0.25">
      <c r="A132" s="3114" t="s">
        <v>321</v>
      </c>
      <c r="B132" s="3113" t="s">
        <v>45</v>
      </c>
      <c r="C132" s="3113" t="s">
        <v>316</v>
      </c>
      <c r="D132" s="3113" t="s">
        <v>322</v>
      </c>
      <c r="E132" s="3113"/>
      <c r="F132" s="3113" t="s">
        <v>48</v>
      </c>
      <c r="G132" s="3113" t="s">
        <v>320</v>
      </c>
      <c r="H132" s="3113"/>
      <c r="I132" s="3113"/>
      <c r="J132" s="3113"/>
      <c r="K132" s="3113"/>
      <c r="L132" s="3113"/>
      <c r="M132" s="3113" t="s">
        <v>379</v>
      </c>
      <c r="N132" s="3113" t="s">
        <v>374</v>
      </c>
      <c r="O132" s="3113" t="s">
        <v>370</v>
      </c>
      <c r="P132" s="3113"/>
      <c r="Q132" s="3116"/>
      <c r="R132" s="3116"/>
      <c r="S132" s="3116"/>
      <c r="T132" s="3116"/>
      <c r="U132" s="3117"/>
      <c r="V132" s="3113"/>
      <c r="W132" s="3113"/>
      <c r="X132" s="3056">
        <f>IF(A132="","",IF(LEN(SUBSTITUTE(SUBSTITUTE(SUBSTITUTE(SUBSTITUTE(D132,".",""),"/",""),"-","")," ",""))&lt;&gt;14,"CNPJ INVALIDO","OK"))</f>
      </c>
      <c r="Y132" s="3056">
        <f>IF(A132="","",IF(R132="","REST PENDENTE","REST OK"))</f>
      </c>
      <c r="Z132" s="3056">
        <f>IF(A132="","",IF(AND(R132&lt;&gt;"",COUNTIFS($D$3:$D$164,D132,$R$3:$R$164,"&lt;&gt;")&gt;1),"DUPLICADO","OK"))</f>
      </c>
      <c r="AA132" s="3056">
        <f>IF(A132="","",IF(OR(LEN(Q132)&gt;180,LEN(R132)&gt;180,LEN(S132)&gt;180,LEN(T132)&gt;180),"CAMINHO LONGO","OK"))</f>
      </c>
      <c r="AB132" s="3056">
        <f>IF(A132="","",IF(U132="","",IFERROR(INT(U132-TODAY()),"")))</f>
      </c>
      <c r="AC132" s="3056">
        <f>IF(A132="","",IF(AND(T132="",U132=""),"",IF(T132="","SEM CAMINHO",IF(U132="","SEM DATA",IFERROR(IF(AB132&lt;15,"VERMELHO",IF(AB132&lt;=30,"AMARELO","VERDE")),"DATA INVALIDA")))))</f>
      </c>
      <c r="AD132" s="3056">
        <f>IF(OR(A132="",U132="",NOT(ISNUMBER(AB132))),"",RANK(AB132,$AB$3:$AB$164,1)+COUNTIFS($AB$3:AB132,AB132)-1)</f>
      </c>
      <c r="AE132" s="1736"/>
    </row>
    <row r="133" spans="1:19" ht="22.0" hidden="false" customHeight="true" x14ac:dyDescent="0.25">
      <c r="A133" s="3109" t="s">
        <v>323</v>
      </c>
      <c r="B133" s="3108" t="s">
        <v>305</v>
      </c>
      <c r="C133" s="3108"/>
      <c r="D133" s="3108"/>
      <c r="E133" s="3108"/>
      <c r="F133" s="3108" t="s">
        <v>306</v>
      </c>
      <c r="G133" s="3108" t="s">
        <v>4</v>
      </c>
      <c r="H133" s="3108"/>
      <c r="I133" s="3108"/>
      <c r="J133" s="3108"/>
      <c r="K133" s="3108"/>
      <c r="L133" s="3108"/>
      <c r="M133" s="3108" t="s">
        <v>371</v>
      </c>
      <c r="N133" s="3108"/>
      <c r="O133" s="3108" t="s">
        <v>365</v>
      </c>
      <c r="P133" s="3108"/>
      <c r="Q133" s="3111"/>
      <c r="R133" s="3111"/>
      <c r="S133" s="3111"/>
      <c r="T133" s="3111"/>
      <c r="U133" s="3112"/>
      <c r="V133" s="3108"/>
      <c r="W133" s="3108"/>
      <c r="X133" s="3056">
        <f>IF(A133="","",IF(LEN(SUBSTITUTE(SUBSTITUTE(SUBSTITUTE(SUBSTITUTE(D133,".",""),"/",""),"-","")," ",""))&lt;&gt;14,"CNPJ INVALIDO","OK"))</f>
      </c>
      <c r="Y133" s="3056">
        <f>IF(A133="","",IF(R133="","REST PENDENTE","REST OK"))</f>
      </c>
      <c r="Z133" s="3056">
        <f>IF(A133="","",IF(AND(R133&lt;&gt;"",COUNTIFS($D$3:$D$164,D133,$R$3:$R$164,"&lt;&gt;")&gt;1),"DUPLICADO","OK"))</f>
      </c>
      <c r="AA133" s="3056">
        <f>IF(A133="","",IF(OR(LEN(Q133)&gt;180,LEN(R133)&gt;180,LEN(S133)&gt;180,LEN(T133)&gt;180),"CAMINHO LONGO","OK"))</f>
      </c>
      <c r="AB133" s="3056">
        <f>IF(A133="","",IF(U133="","",IFERROR(INT(U133-TODAY()),"")))</f>
      </c>
      <c r="AC133" s="3056">
        <f>IF(A133="","",IF(AND(T133="",U133=""),"",IF(T133="","SEM CAMINHO",IF(U133="","SEM DATA",IFERROR(IF(AB133&lt;15,"VERMELHO",IF(AB133&lt;=30,"AMARELO","VERDE")),"DATA INVALIDA")))))</f>
      </c>
      <c r="AD133" s="3056">
        <f>IF(OR(A133="",U133="",NOT(ISNUMBER(AB133))),"",RANK(AB133,$AB$3:$AB$164,1)+COUNTIFS($AB$3:AB133,AB133)-1)</f>
      </c>
      <c r="AE133" s="1736"/>
    </row>
    <row r="134" spans="1:19" ht="22.0" hidden="false" customHeight="true" x14ac:dyDescent="0.25">
      <c r="A134" s="3114" t="s">
        <v>324</v>
      </c>
      <c r="B134" s="3113" t="s">
        <v>75</v>
      </c>
      <c r="C134" s="3113"/>
      <c r="D134" s="3113"/>
      <c r="E134" s="3113"/>
      <c r="F134" s="3113"/>
      <c r="G134" s="3113"/>
      <c r="H134" s="3113"/>
      <c r="I134" s="3113"/>
      <c r="J134" s="3113"/>
      <c r="K134" s="3113"/>
      <c r="L134" s="3113"/>
      <c r="M134" s="3113" t="s">
        <v>371</v>
      </c>
      <c r="N134" s="3113"/>
      <c r="O134" s="3113" t="s">
        <v>371</v>
      </c>
      <c r="P134" s="3113"/>
      <c r="Q134" s="3116"/>
      <c r="R134" s="3116"/>
      <c r="S134" s="3116"/>
      <c r="T134" s="3116"/>
      <c r="U134" s="3117"/>
      <c r="V134" s="3113"/>
      <c r="W134" s="3113"/>
      <c r="X134" s="3056">
        <f>IF(A134="","",IF(LEN(SUBSTITUTE(SUBSTITUTE(SUBSTITUTE(SUBSTITUTE(D134,".",""),"/",""),"-","")," ",""))&lt;&gt;14,"CNPJ INVALIDO","OK"))</f>
      </c>
      <c r="Y134" s="3056">
        <f>IF(A134="","",IF(R134="","REST PENDENTE","REST OK"))</f>
      </c>
      <c r="Z134" s="3056">
        <f>IF(A134="","",IF(AND(R134&lt;&gt;"",COUNTIFS($D$3:$D$164,D134,$R$3:$R$164,"&lt;&gt;")&gt;1),"DUPLICADO","OK"))</f>
      </c>
      <c r="AA134" s="3056">
        <f>IF(A134="","",IF(OR(LEN(Q134)&gt;180,LEN(R134)&gt;180,LEN(S134)&gt;180,LEN(T134)&gt;180),"CAMINHO LONGO","OK"))</f>
      </c>
      <c r="AB134" s="3056">
        <f>IF(A134="","",IF(U134="","",IFERROR(INT(U134-TODAY()),"")))</f>
      </c>
      <c r="AC134" s="3056">
        <f>IF(A134="","",IF(AND(T134="",U134=""),"",IF(T134="","SEM CAMINHO",IF(U134="","SEM DATA",IFERROR(IF(AB134&lt;15,"VERMELHO",IF(AB134&lt;=30,"AMARELO","VERDE")),"DATA INVALIDA")))))</f>
      </c>
      <c r="AD134" s="3056">
        <f>IF(OR(A134="",U134="",NOT(ISNUMBER(AB134))),"",RANK(AB134,$AB$3:$AB$164,1)+COUNTIFS($AB$3:AB134,AB134)-1)</f>
      </c>
      <c r="AE134" s="1736"/>
    </row>
    <row r="135" ht="22.0" customHeight="true" hidden="false">
      <c r="A135" s="3109"/>
      <c r="B135" s="3108"/>
      <c r="C135" s="3108"/>
      <c r="D135" s="3108"/>
      <c r="E135" s="3108"/>
      <c r="F135" s="3108"/>
      <c r="G135" s="3108"/>
      <c r="H135" s="3108"/>
      <c r="I135" s="3108"/>
      <c r="J135" s="3108"/>
      <c r="K135" s="3108"/>
      <c r="L135" s="3108"/>
      <c r="M135" s="3108"/>
      <c r="N135" s="3108"/>
      <c r="O135" s="3108"/>
      <c r="P135" s="3108"/>
      <c r="Q135" s="3111"/>
      <c r="R135" s="3111"/>
      <c r="S135" s="3111"/>
      <c r="T135" s="3111"/>
      <c r="U135" s="3112"/>
      <c r="V135" s="3108"/>
      <c r="W135" s="3108"/>
      <c r="X135" s="3056">
        <f>IF(A135="","",IF(LEN(SUBSTITUTE(SUBSTITUTE(SUBSTITUTE(SUBSTITUTE(D135,".",""),"/",""),"-","")," ",""))&lt;&gt;14,"CNPJ INVALIDO","OK"))</f>
      </c>
      <c r="Y135" s="3056">
        <f>IF(A135="","",IF(R135="","REST PENDENTE","REST OK"))</f>
      </c>
      <c r="Z135" s="3056">
        <f>IF(A135="","",IF(AND(R135&lt;&gt;"",COUNTIFS($D$3:$D$164,D135,$R$3:$R$164,"&lt;&gt;")&gt;1),"DUPLICADO","OK"))</f>
      </c>
      <c r="AA135" s="3056">
        <f>IF(A135="","",IF(OR(LEN(Q135)&gt;180,LEN(R135)&gt;180,LEN(S135)&gt;180,LEN(T135)&gt;180),"CAMINHO LONGO","OK"))</f>
      </c>
      <c r="AB135" s="3056">
        <f>IF(A135="","",IF(U135="","",IFERROR(INT(U135-TODAY()),"")))</f>
      </c>
      <c r="AC135" s="3056">
        <f>IF(A135="","",IF(AND(T135="",U135=""),"",IF(T135="","SEM CAMINHO",IF(U135="","SEM DATA",IFERROR(IF(AB135&lt;15,"VERMELHO",IF(AB135&lt;=30,"AMARELO","VERDE")),"DATA INVALIDA")))))</f>
      </c>
      <c r="AD135" s="3056">
        <f>IF(OR(A135="",U135="",NOT(ISNUMBER(AB135))),"",RANK(AB135,$AB$3:$AB$164,1)+COUNTIFS($AB$3:AB135,AB135)-1)</f>
      </c>
      <c r="AE135" s="1736"/>
    </row>
    <row r="136" ht="22.0" customHeight="true" hidden="false">
      <c r="A136" s="3114"/>
      <c r="B136" s="3113"/>
      <c r="C136" s="3113"/>
      <c r="D136" s="3113"/>
      <c r="E136" s="3113"/>
      <c r="F136" s="3113"/>
      <c r="G136" s="3113"/>
      <c r="H136" s="3113"/>
      <c r="I136" s="3113"/>
      <c r="J136" s="3113"/>
      <c r="K136" s="3113"/>
      <c r="L136" s="3113"/>
      <c r="M136" s="3113"/>
      <c r="N136" s="3113"/>
      <c r="O136" s="3113"/>
      <c r="P136" s="3113"/>
      <c r="Q136" s="3116"/>
      <c r="R136" s="3116"/>
      <c r="S136" s="3116"/>
      <c r="T136" s="3116"/>
      <c r="U136" s="3117"/>
      <c r="V136" s="3113"/>
      <c r="W136" s="3113"/>
      <c r="X136" s="3056">
        <f>IF(A136="","",IF(LEN(SUBSTITUTE(SUBSTITUTE(SUBSTITUTE(SUBSTITUTE(D136,".",""),"/",""),"-","")," ",""))&lt;&gt;14,"CNPJ INVALIDO","OK"))</f>
      </c>
      <c r="Y136" s="3056">
        <f>IF(A136="","",IF(R136="","REST PENDENTE","REST OK"))</f>
      </c>
      <c r="Z136" s="3056">
        <f>IF(A136="","",IF(AND(R136&lt;&gt;"",COUNTIFS($D$3:$D$164,D136,$R$3:$R$164,"&lt;&gt;")&gt;1),"DUPLICADO","OK"))</f>
      </c>
      <c r="AA136" s="3056">
        <f>IF(A136="","",IF(OR(LEN(Q136)&gt;180,LEN(R136)&gt;180,LEN(S136)&gt;180,LEN(T136)&gt;180),"CAMINHO LONGO","OK"))</f>
      </c>
      <c r="AB136" s="3056">
        <f>IF(A136="","",IF(U136="","",IFERROR(INT(U136-TODAY()),"")))</f>
      </c>
      <c r="AC136" s="3056">
        <f>IF(A136="","",IF(AND(T136="",U136=""),"",IF(T136="","SEM CAMINHO",IF(U136="","SEM DATA",IFERROR(IF(AB136&lt;15,"VERMELHO",IF(AB136&lt;=30,"AMARELO","VERDE")),"DATA INVALIDA")))))</f>
      </c>
      <c r="AD136" s="3056">
        <f>IF(OR(A136="",U136="",NOT(ISNUMBER(AB136))),"",RANK(AB136,$AB$3:$AB$164,1)+COUNTIFS($AB$3:AB136,AB136)-1)</f>
      </c>
      <c r="AE136" s="1736"/>
    </row>
    <row r="137" ht="22.0" customHeight="true" hidden="false">
      <c r="A137" s="3109"/>
      <c r="B137" s="3108"/>
      <c r="C137" s="3108"/>
      <c r="D137" s="3108"/>
      <c r="E137" s="3108"/>
      <c r="F137" s="3108"/>
      <c r="G137" s="3108"/>
      <c r="H137" s="3108"/>
      <c r="I137" s="3108"/>
      <c r="J137" s="3108"/>
      <c r="K137" s="3108"/>
      <c r="L137" s="3108"/>
      <c r="M137" s="3108"/>
      <c r="N137" s="3108"/>
      <c r="O137" s="3108"/>
      <c r="P137" s="3108"/>
      <c r="Q137" s="3111"/>
      <c r="R137" s="3111"/>
      <c r="S137" s="3111"/>
      <c r="T137" s="3111"/>
      <c r="U137" s="3112"/>
      <c r="V137" s="3108"/>
      <c r="W137" s="3108"/>
      <c r="X137" s="3056">
        <f>IF(A137="","",IF(LEN(SUBSTITUTE(SUBSTITUTE(SUBSTITUTE(SUBSTITUTE(D137,".",""),"/",""),"-","")," ",""))&lt;&gt;14,"CNPJ INVALIDO","OK"))</f>
      </c>
      <c r="Y137" s="3056">
        <f>IF(A137="","",IF(R137="","REST PENDENTE","REST OK"))</f>
      </c>
      <c r="Z137" s="3056">
        <f>IF(A137="","",IF(AND(R137&lt;&gt;"",COUNTIFS($D$3:$D$164,D137,$R$3:$R$164,"&lt;&gt;")&gt;1),"DUPLICADO","OK"))</f>
      </c>
      <c r="AA137" s="3056">
        <f>IF(A137="","",IF(OR(LEN(Q137)&gt;180,LEN(R137)&gt;180,LEN(S137)&gt;180,LEN(T137)&gt;180),"CAMINHO LONGO","OK"))</f>
      </c>
      <c r="AB137" s="3056">
        <f>IF(A137="","",IF(U137="","",IFERROR(INT(U137-TODAY()),"")))</f>
      </c>
      <c r="AC137" s="3056">
        <f>IF(A137="","",IF(AND(T137="",U137=""),"",IF(T137="","SEM CAMINHO",IF(U137="","SEM DATA",IFERROR(IF(AB137&lt;15,"VERMELHO",IF(AB137&lt;=30,"AMARELO","VERDE")),"DATA INVALIDA")))))</f>
      </c>
      <c r="AD137" s="3056">
        <f>IF(OR(A137="",U137="",NOT(ISNUMBER(AB137))),"",RANK(AB137,$AB$3:$AB$164,1)+COUNTIFS($AB$3:AB137,AB137)-1)</f>
      </c>
      <c r="AE137" s="1736"/>
    </row>
    <row r="138" ht="22.0" customHeight="true" hidden="false">
      <c r="A138" s="3114"/>
      <c r="B138" s="3113"/>
      <c r="C138" s="3113"/>
      <c r="D138" s="3113"/>
      <c r="E138" s="3113"/>
      <c r="F138" s="3113"/>
      <c r="G138" s="3113"/>
      <c r="H138" s="3113"/>
      <c r="I138" s="3113"/>
      <c r="J138" s="3113"/>
      <c r="K138" s="3113"/>
      <c r="L138" s="3113"/>
      <c r="M138" s="3113"/>
      <c r="N138" s="3113"/>
      <c r="O138" s="3113"/>
      <c r="P138" s="3113"/>
      <c r="Q138" s="3116"/>
      <c r="R138" s="3116"/>
      <c r="S138" s="3116"/>
      <c r="T138" s="3116"/>
      <c r="U138" s="3117"/>
      <c r="V138" s="3113"/>
      <c r="W138" s="3113"/>
      <c r="X138" s="3056">
        <f>IF(A138="","",IF(LEN(SUBSTITUTE(SUBSTITUTE(SUBSTITUTE(SUBSTITUTE(D138,".",""),"/",""),"-","")," ",""))&lt;&gt;14,"CNPJ INVALIDO","OK"))</f>
      </c>
      <c r="Y138" s="3056">
        <f>IF(A138="","",IF(R138="","REST PENDENTE","REST OK"))</f>
      </c>
      <c r="Z138" s="3056">
        <f>IF(A138="","",IF(AND(R138&lt;&gt;"",COUNTIFS($D$3:$D$164,D138,$R$3:$R$164,"&lt;&gt;")&gt;1),"DUPLICADO","OK"))</f>
      </c>
      <c r="AA138" s="3056">
        <f>IF(A138="","",IF(OR(LEN(Q138)&gt;180,LEN(R138)&gt;180,LEN(S138)&gt;180,LEN(T138)&gt;180),"CAMINHO LONGO","OK"))</f>
      </c>
      <c r="AB138" s="3056">
        <f>IF(A138="","",IF(U138="","",IFERROR(INT(U138-TODAY()),"")))</f>
      </c>
      <c r="AC138" s="3056">
        <f>IF(A138="","",IF(AND(T138="",U138=""),"",IF(T138="","SEM CAMINHO",IF(U138="","SEM DATA",IFERROR(IF(AB138&lt;15,"VERMELHO",IF(AB138&lt;=30,"AMARELO","VERDE")),"DATA INVALIDA")))))</f>
      </c>
      <c r="AD138" s="3056">
        <f>IF(OR(A138="",U138="",NOT(ISNUMBER(AB138))),"",RANK(AB138,$AB$3:$AB$164,1)+COUNTIFS($AB$3:AB138,AB138)-1)</f>
      </c>
      <c r="AE138" s="1736"/>
    </row>
    <row r="139" ht="22.0" customHeight="true" hidden="false">
      <c r="A139" s="3109"/>
      <c r="B139" s="3108"/>
      <c r="C139" s="3108"/>
      <c r="D139" s="3108"/>
      <c r="E139" s="3108"/>
      <c r="F139" s="3108"/>
      <c r="G139" s="3108"/>
      <c r="H139" s="3108"/>
      <c r="I139" s="3108"/>
      <c r="J139" s="3108"/>
      <c r="K139" s="3108"/>
      <c r="L139" s="3108"/>
      <c r="M139" s="3108"/>
      <c r="N139" s="3108"/>
      <c r="O139" s="3108"/>
      <c r="P139" s="3108"/>
      <c r="Q139" s="3111"/>
      <c r="R139" s="3111"/>
      <c r="S139" s="3111"/>
      <c r="T139" s="3111"/>
      <c r="U139" s="3112"/>
      <c r="V139" s="3108"/>
      <c r="W139" s="3108"/>
      <c r="X139" s="3056">
        <f>IF(A139="","",IF(LEN(SUBSTITUTE(SUBSTITUTE(SUBSTITUTE(SUBSTITUTE(D139,".",""),"/",""),"-","")," ",""))&lt;&gt;14,"CNPJ INVALIDO","OK"))</f>
      </c>
      <c r="Y139" s="3056">
        <f>IF(A139="","",IF(R139="","REST PENDENTE","REST OK"))</f>
      </c>
      <c r="Z139" s="3056">
        <f>IF(A139="","",IF(AND(R139&lt;&gt;"",COUNTIFS($D$3:$D$164,D139,$R$3:$R$164,"&lt;&gt;")&gt;1),"DUPLICADO","OK"))</f>
      </c>
      <c r="AA139" s="3056">
        <f>IF(A139="","",IF(OR(LEN(Q139)&gt;180,LEN(R139)&gt;180,LEN(S139)&gt;180,LEN(T139)&gt;180),"CAMINHO LONGO","OK"))</f>
      </c>
      <c r="AB139" s="3056">
        <f>IF(A139="","",IF(U139="","",IFERROR(INT(U139-TODAY()),"")))</f>
      </c>
      <c r="AC139" s="3056">
        <f>IF(A139="","",IF(AND(T139="",U139=""),"",IF(T139="","SEM CAMINHO",IF(U139="","SEM DATA",IFERROR(IF(AB139&lt;15,"VERMELHO",IF(AB139&lt;=30,"AMARELO","VERDE")),"DATA INVALIDA")))))</f>
      </c>
      <c r="AD139" s="3056">
        <f>IF(OR(A139="",U139="",NOT(ISNUMBER(AB139))),"",RANK(AB139,$AB$3:$AB$164,1)+COUNTIFS($AB$3:AB139,AB139)-1)</f>
      </c>
      <c r="AE139" s="1736"/>
    </row>
    <row r="140" ht="22.0" customHeight="true" hidden="false">
      <c r="A140" s="3114"/>
      <c r="B140" s="3113"/>
      <c r="C140" s="3113"/>
      <c r="D140" s="3113"/>
      <c r="E140" s="3113"/>
      <c r="F140" s="3113"/>
      <c r="G140" s="3113"/>
      <c r="H140" s="3113"/>
      <c r="I140" s="3113"/>
      <c r="J140" s="3113"/>
      <c r="K140" s="3113"/>
      <c r="L140" s="3113"/>
      <c r="M140" s="3113"/>
      <c r="N140" s="3113"/>
      <c r="O140" s="3113"/>
      <c r="P140" s="3113"/>
      <c r="Q140" s="3116"/>
      <c r="R140" s="3116"/>
      <c r="S140" s="3116"/>
      <c r="T140" s="3116"/>
      <c r="U140" s="3117"/>
      <c r="V140" s="3113"/>
      <c r="W140" s="3113"/>
      <c r="X140" s="3056">
        <f>IF(A140="","",IF(LEN(SUBSTITUTE(SUBSTITUTE(SUBSTITUTE(SUBSTITUTE(D140,".",""),"/",""),"-","")," ",""))&lt;&gt;14,"CNPJ INVALIDO","OK"))</f>
      </c>
      <c r="Y140" s="3056">
        <f>IF(A140="","",IF(R140="","REST PENDENTE","REST OK"))</f>
      </c>
      <c r="Z140" s="3056">
        <f>IF(A140="","",IF(AND(R140&lt;&gt;"",COUNTIFS($D$3:$D$164,D140,$R$3:$R$164,"&lt;&gt;")&gt;1),"DUPLICADO","OK"))</f>
      </c>
      <c r="AA140" s="3056">
        <f>IF(A140="","",IF(OR(LEN(Q140)&gt;180,LEN(R140)&gt;180,LEN(S140)&gt;180,LEN(T140)&gt;180),"CAMINHO LONGO","OK"))</f>
      </c>
      <c r="AB140" s="3056">
        <f>IF(A140="","",IF(U140="","",IFERROR(INT(U140-TODAY()),"")))</f>
      </c>
      <c r="AC140" s="3056">
        <f>IF(A140="","",IF(AND(T140="",U140=""),"",IF(T140="","SEM CAMINHO",IF(U140="","SEM DATA",IFERROR(IF(AB140&lt;15,"VERMELHO",IF(AB140&lt;=30,"AMARELO","VERDE")),"DATA INVALIDA")))))</f>
      </c>
      <c r="AD140" s="3056">
        <f>IF(OR(A140="",U140="",NOT(ISNUMBER(AB140))),"",RANK(AB140,$AB$3:$AB$164,1)+COUNTIFS($AB$3:AB140,AB140)-1)</f>
      </c>
      <c r="AE140" s="1736"/>
    </row>
    <row r="141" ht="22.0" customHeight="true" hidden="false">
      <c r="A141" s="3109"/>
      <c r="B141" s="3108"/>
      <c r="C141" s="3108"/>
      <c r="D141" s="3108"/>
      <c r="E141" s="3108"/>
      <c r="F141" s="3108"/>
      <c r="G141" s="3108"/>
      <c r="H141" s="3108"/>
      <c r="I141" s="3108"/>
      <c r="J141" s="3108"/>
      <c r="K141" s="3108"/>
      <c r="L141" s="3108"/>
      <c r="M141" s="3108"/>
      <c r="N141" s="3108"/>
      <c r="O141" s="3108"/>
      <c r="P141" s="3108"/>
      <c r="Q141" s="3111"/>
      <c r="R141" s="3111"/>
      <c r="S141" s="3111"/>
      <c r="T141" s="3111"/>
      <c r="U141" s="3112"/>
      <c r="V141" s="3108"/>
      <c r="W141" s="3108"/>
      <c r="X141" s="3056">
        <f>IF(A141="","",IF(LEN(SUBSTITUTE(SUBSTITUTE(SUBSTITUTE(SUBSTITUTE(D141,".",""),"/",""),"-","")," ",""))&lt;&gt;14,"CNPJ INVALIDO","OK"))</f>
      </c>
      <c r="Y141" s="3056">
        <f>IF(A141="","",IF(R141="","REST PENDENTE","REST OK"))</f>
      </c>
      <c r="Z141" s="3056">
        <f>IF(A141="","",IF(AND(R141&lt;&gt;"",COUNTIFS($D$3:$D$164,D141,$R$3:$R$164,"&lt;&gt;")&gt;1),"DUPLICADO","OK"))</f>
      </c>
      <c r="AA141" s="3056">
        <f>IF(A141="","",IF(OR(LEN(Q141)&gt;180,LEN(R141)&gt;180,LEN(S141)&gt;180,LEN(T141)&gt;180),"CAMINHO LONGO","OK"))</f>
      </c>
      <c r="AB141" s="3056">
        <f>IF(A141="","",IF(U141="","",IFERROR(INT(U141-TODAY()),"")))</f>
      </c>
      <c r="AC141" s="3056">
        <f>IF(A141="","",IF(AND(T141="",U141=""),"",IF(T141="","SEM CAMINHO",IF(U141="","SEM DATA",IFERROR(IF(AB141&lt;15,"VERMELHO",IF(AB141&lt;=30,"AMARELO","VERDE")),"DATA INVALIDA")))))</f>
      </c>
      <c r="AD141" s="3056">
        <f>IF(OR(A141="",U141="",NOT(ISNUMBER(AB141))),"",RANK(AB141,$AB$3:$AB$164,1)+COUNTIFS($AB$3:AB141,AB141)-1)</f>
      </c>
      <c r="AE141" s="1736"/>
    </row>
    <row r="142" ht="22.0" customHeight="true" hidden="false">
      <c r="A142" s="3114"/>
      <c r="B142" s="3113"/>
      <c r="C142" s="3113"/>
      <c r="D142" s="3113"/>
      <c r="E142" s="3113"/>
      <c r="F142" s="3113"/>
      <c r="G142" s="3113"/>
      <c r="H142" s="3113"/>
      <c r="I142" s="3113"/>
      <c r="J142" s="3113"/>
      <c r="K142" s="3113"/>
      <c r="L142" s="3113"/>
      <c r="M142" s="3113"/>
      <c r="N142" s="3113"/>
      <c r="O142" s="3113"/>
      <c r="P142" s="3113"/>
      <c r="Q142" s="3116"/>
      <c r="R142" s="3116"/>
      <c r="S142" s="3116"/>
      <c r="T142" s="3116"/>
      <c r="U142" s="3117"/>
      <c r="V142" s="3113"/>
      <c r="W142" s="3113"/>
      <c r="X142" s="3056">
        <f>IF(A142="","",IF(LEN(SUBSTITUTE(SUBSTITUTE(SUBSTITUTE(SUBSTITUTE(D142,".",""),"/",""),"-","")," ",""))&lt;&gt;14,"CNPJ INVALIDO","OK"))</f>
      </c>
      <c r="Y142" s="3056">
        <f>IF(A142="","",IF(R142="","REST PENDENTE","REST OK"))</f>
      </c>
      <c r="Z142" s="3056">
        <f>IF(A142="","",IF(AND(R142&lt;&gt;"",COUNTIFS($D$3:$D$164,D142,$R$3:$R$164,"&lt;&gt;")&gt;1),"DUPLICADO","OK"))</f>
      </c>
      <c r="AA142" s="3056">
        <f>IF(A142="","",IF(OR(LEN(Q142)&gt;180,LEN(R142)&gt;180,LEN(S142)&gt;180,LEN(T142)&gt;180),"CAMINHO LONGO","OK"))</f>
      </c>
      <c r="AB142" s="3056">
        <f>IF(A142="","",IF(U142="","",IFERROR(INT(U142-TODAY()),"")))</f>
      </c>
      <c r="AC142" s="3056">
        <f>IF(A142="","",IF(AND(T142="",U142=""),"",IF(T142="","SEM CAMINHO",IF(U142="","SEM DATA",IFERROR(IF(AB142&lt;15,"VERMELHO",IF(AB142&lt;=30,"AMARELO","VERDE")),"DATA INVALIDA")))))</f>
      </c>
      <c r="AD142" s="3056">
        <f>IF(OR(A142="",U142="",NOT(ISNUMBER(AB142))),"",RANK(AB142,$AB$3:$AB$164,1)+COUNTIFS($AB$3:AB142,AB142)-1)</f>
      </c>
      <c r="AE142" s="1736"/>
    </row>
    <row r="143" ht="22.0" customHeight="true" hidden="false">
      <c r="A143" s="3109"/>
      <c r="B143" s="3108"/>
      <c r="C143" s="3108"/>
      <c r="D143" s="3108"/>
      <c r="E143" s="3108"/>
      <c r="F143" s="3108"/>
      <c r="G143" s="3108"/>
      <c r="H143" s="3108"/>
      <c r="I143" s="3108"/>
      <c r="J143" s="3108"/>
      <c r="K143" s="3108"/>
      <c r="L143" s="3108"/>
      <c r="M143" s="3108"/>
      <c r="N143" s="3108"/>
      <c r="O143" s="3108"/>
      <c r="P143" s="3108"/>
      <c r="Q143" s="3111"/>
      <c r="R143" s="3111"/>
      <c r="S143" s="3111"/>
      <c r="T143" s="3111"/>
      <c r="U143" s="3112"/>
      <c r="V143" s="3108"/>
      <c r="W143" s="3108"/>
      <c r="X143" s="3056">
        <f>IF(A143="","",IF(LEN(SUBSTITUTE(SUBSTITUTE(SUBSTITUTE(SUBSTITUTE(D143,".",""),"/",""),"-","")," ",""))&lt;&gt;14,"CNPJ INVALIDO","OK"))</f>
      </c>
      <c r="Y143" s="3056">
        <f>IF(A143="","",IF(R143="","REST PENDENTE","REST OK"))</f>
      </c>
      <c r="Z143" s="3056">
        <f>IF(A143="","",IF(AND(R143&lt;&gt;"",COUNTIFS($D$3:$D$164,D143,$R$3:$R$164,"&lt;&gt;")&gt;1),"DUPLICADO","OK"))</f>
      </c>
      <c r="AA143" s="3056">
        <f>IF(A143="","",IF(OR(LEN(Q143)&gt;180,LEN(R143)&gt;180,LEN(S143)&gt;180,LEN(T143)&gt;180),"CAMINHO LONGO","OK"))</f>
      </c>
      <c r="AB143" s="3056">
        <f>IF(A143="","",IF(U143="","",IFERROR(INT(U143-TODAY()),"")))</f>
      </c>
      <c r="AC143" s="3056">
        <f>IF(A143="","",IF(AND(T143="",U143=""),"",IF(T143="","SEM CAMINHO",IF(U143="","SEM DATA",IFERROR(IF(AB143&lt;15,"VERMELHO",IF(AB143&lt;=30,"AMARELO","VERDE")),"DATA INVALIDA")))))</f>
      </c>
      <c r="AD143" s="3056">
        <f>IF(OR(A143="",U143="",NOT(ISNUMBER(AB143))),"",RANK(AB143,$AB$3:$AB$164,1)+COUNTIFS($AB$3:AB143,AB143)-1)</f>
      </c>
      <c r="AE143" s="1736"/>
    </row>
    <row r="144" ht="22.0" customHeight="true" hidden="false">
      <c r="A144" s="3114"/>
      <c r="B144" s="3113"/>
      <c r="C144" s="3113"/>
      <c r="D144" s="3113"/>
      <c r="E144" s="3113"/>
      <c r="F144" s="3113"/>
      <c r="G144" s="3113"/>
      <c r="H144" s="3113"/>
      <c r="I144" s="3113"/>
      <c r="J144" s="3113"/>
      <c r="K144" s="3113"/>
      <c r="L144" s="3113"/>
      <c r="M144" s="3113"/>
      <c r="N144" s="3113"/>
      <c r="O144" s="3113"/>
      <c r="P144" s="3113"/>
      <c r="Q144" s="3116"/>
      <c r="R144" s="3116"/>
      <c r="S144" s="3116"/>
      <c r="T144" s="3116"/>
      <c r="U144" s="3117"/>
      <c r="V144" s="3113"/>
      <c r="W144" s="3113"/>
      <c r="X144" s="3056">
        <f>IF(A144="","",IF(LEN(SUBSTITUTE(SUBSTITUTE(SUBSTITUTE(SUBSTITUTE(D144,".",""),"/",""),"-","")," ",""))&lt;&gt;14,"CNPJ INVALIDO","OK"))</f>
      </c>
      <c r="Y144" s="3056">
        <f>IF(A144="","",IF(R144="","REST PENDENTE","REST OK"))</f>
      </c>
      <c r="Z144" s="3056">
        <f>IF(A144="","",IF(AND(R144&lt;&gt;"",COUNTIFS($D$3:$D$164,D144,$R$3:$R$164,"&lt;&gt;")&gt;1),"DUPLICADO","OK"))</f>
      </c>
      <c r="AA144" s="3056">
        <f>IF(A144="","",IF(OR(LEN(Q144)&gt;180,LEN(R144)&gt;180,LEN(S144)&gt;180,LEN(T144)&gt;180),"CAMINHO LONGO","OK"))</f>
      </c>
      <c r="AB144" s="3056">
        <f>IF(A144="","",IF(U144="","",IFERROR(INT(U144-TODAY()),"")))</f>
      </c>
      <c r="AC144" s="3056">
        <f>IF(A144="","",IF(AND(T144="",U144=""),"",IF(T144="","SEM CAMINHO",IF(U144="","SEM DATA",IFERROR(IF(AB144&lt;15,"VERMELHO",IF(AB144&lt;=30,"AMARELO","VERDE")),"DATA INVALIDA")))))</f>
      </c>
      <c r="AD144" s="3056">
        <f>IF(OR(A144="",U144="",NOT(ISNUMBER(AB144))),"",RANK(AB144,$AB$3:$AB$164,1)+COUNTIFS($AB$3:AB144,AB144)-1)</f>
      </c>
      <c r="AE144" s="1736"/>
    </row>
    <row r="145" ht="22.0" customHeight="true" hidden="false">
      <c r="A145" s="3109"/>
      <c r="B145" s="3108"/>
      <c r="C145" s="3108"/>
      <c r="D145" s="3108"/>
      <c r="E145" s="3108"/>
      <c r="F145" s="3108"/>
      <c r="G145" s="3108"/>
      <c r="H145" s="3108"/>
      <c r="I145" s="3108"/>
      <c r="J145" s="3108"/>
      <c r="K145" s="3108"/>
      <c r="L145" s="3108"/>
      <c r="M145" s="3108"/>
      <c r="N145" s="3108"/>
      <c r="O145" s="3108"/>
      <c r="P145" s="3108"/>
      <c r="Q145" s="3111"/>
      <c r="R145" s="3111"/>
      <c r="S145" s="3111"/>
      <c r="T145" s="3111"/>
      <c r="U145" s="3112"/>
      <c r="V145" s="3108"/>
      <c r="W145" s="3108"/>
      <c r="X145" s="3056">
        <f>IF(A145="","",IF(LEN(SUBSTITUTE(SUBSTITUTE(SUBSTITUTE(SUBSTITUTE(D145,".",""),"/",""),"-","")," ",""))&lt;&gt;14,"CNPJ INVALIDO","OK"))</f>
      </c>
      <c r="Y145" s="3056">
        <f>IF(A145="","",IF(R145="","REST PENDENTE","REST OK"))</f>
      </c>
      <c r="Z145" s="3056">
        <f>IF(A145="","",IF(AND(R145&lt;&gt;"",COUNTIFS($D$3:$D$164,D145,$R$3:$R$164,"&lt;&gt;")&gt;1),"DUPLICADO","OK"))</f>
      </c>
      <c r="AA145" s="3056">
        <f>IF(A145="","",IF(OR(LEN(Q145)&gt;180,LEN(R145)&gt;180,LEN(S145)&gt;180,LEN(T145)&gt;180),"CAMINHO LONGO","OK"))</f>
      </c>
      <c r="AB145" s="3056">
        <f>IF(A145="","",IF(U145="","",IFERROR(INT(U145-TODAY()),"")))</f>
      </c>
      <c r="AC145" s="3056">
        <f>IF(A145="","",IF(AND(T145="",U145=""),"",IF(T145="","SEM CAMINHO",IF(U145="","SEM DATA",IFERROR(IF(AB145&lt;15,"VERMELHO",IF(AB145&lt;=30,"AMARELO","VERDE")),"DATA INVALIDA")))))</f>
      </c>
      <c r="AD145" s="3056">
        <f>IF(OR(A145="",U145="",NOT(ISNUMBER(AB145))),"",RANK(AB145,$AB$3:$AB$164,1)+COUNTIFS($AB$3:AB145,AB145)-1)</f>
      </c>
      <c r="AE145" s="1736"/>
    </row>
    <row r="146" ht="22.0" customHeight="true" hidden="false">
      <c r="A146" s="3114"/>
      <c r="B146" s="3113"/>
      <c r="C146" s="3113"/>
      <c r="D146" s="3113"/>
      <c r="E146" s="3113"/>
      <c r="F146" s="3113"/>
      <c r="G146" s="3113"/>
      <c r="H146" s="3113"/>
      <c r="I146" s="3113"/>
      <c r="J146" s="3113"/>
      <c r="K146" s="3113"/>
      <c r="L146" s="3113"/>
      <c r="M146" s="3113"/>
      <c r="N146" s="3113"/>
      <c r="O146" s="3113"/>
      <c r="P146" s="3113"/>
      <c r="Q146" s="3116"/>
      <c r="R146" s="3116"/>
      <c r="S146" s="3116"/>
      <c r="T146" s="3116"/>
      <c r="U146" s="3117"/>
      <c r="V146" s="3113"/>
      <c r="W146" s="3113"/>
      <c r="X146" s="3056">
        <f>IF(A146="","",IF(LEN(SUBSTITUTE(SUBSTITUTE(SUBSTITUTE(SUBSTITUTE(D146,".",""),"/",""),"-","")," ",""))&lt;&gt;14,"CNPJ INVALIDO","OK"))</f>
      </c>
      <c r="Y146" s="3056">
        <f>IF(A146="","",IF(R146="","REST PENDENTE","REST OK"))</f>
      </c>
      <c r="Z146" s="3056">
        <f>IF(A146="","",IF(AND(R146&lt;&gt;"",COUNTIFS($D$3:$D$164,D146,$R$3:$R$164,"&lt;&gt;")&gt;1),"DUPLICADO","OK"))</f>
      </c>
      <c r="AA146" s="3056">
        <f>IF(A146="","",IF(OR(LEN(Q146)&gt;180,LEN(R146)&gt;180,LEN(S146)&gt;180,LEN(T146)&gt;180),"CAMINHO LONGO","OK"))</f>
      </c>
      <c r="AB146" s="3056">
        <f>IF(A146="","",IF(U146="","",IFERROR(INT(U146-TODAY()),"")))</f>
      </c>
      <c r="AC146" s="3056">
        <f>IF(A146="","",IF(AND(T146="",U146=""),"",IF(T146="","SEM CAMINHO",IF(U146="","SEM DATA",IFERROR(IF(AB146&lt;15,"VERMELHO",IF(AB146&lt;=30,"AMARELO","VERDE")),"DATA INVALIDA")))))</f>
      </c>
      <c r="AD146" s="3056">
        <f>IF(OR(A146="",U146="",NOT(ISNUMBER(AB146))),"",RANK(AB146,$AB$3:$AB$164,1)+COUNTIFS($AB$3:AB146,AB146)-1)</f>
      </c>
      <c r="AE146" s="1736"/>
    </row>
    <row r="147" ht="22.0" customHeight="true" hidden="false">
      <c r="A147" s="3109"/>
      <c r="B147" s="3108"/>
      <c r="C147" s="3108"/>
      <c r="D147" s="3108"/>
      <c r="E147" s="3108"/>
      <c r="F147" s="3108"/>
      <c r="G147" s="3108"/>
      <c r="H147" s="3108"/>
      <c r="I147" s="3108"/>
      <c r="J147" s="3108"/>
      <c r="K147" s="3108"/>
      <c r="L147" s="3108"/>
      <c r="M147" s="3108"/>
      <c r="N147" s="3108"/>
      <c r="O147" s="3108"/>
      <c r="P147" s="3108"/>
      <c r="Q147" s="3111"/>
      <c r="R147" s="3111"/>
      <c r="S147" s="3111"/>
      <c r="T147" s="3111"/>
      <c r="U147" s="3112"/>
      <c r="V147" s="3108"/>
      <c r="W147" s="3108"/>
      <c r="X147" s="3056">
        <f>IF(A147="","",IF(LEN(SUBSTITUTE(SUBSTITUTE(SUBSTITUTE(SUBSTITUTE(D147,".",""),"/",""),"-","")," ",""))&lt;&gt;14,"CNPJ INVALIDO","OK"))</f>
      </c>
      <c r="Y147" s="3056">
        <f>IF(A147="","",IF(R147="","REST PENDENTE","REST OK"))</f>
      </c>
      <c r="Z147" s="3056">
        <f>IF(A147="","",IF(AND(R147&lt;&gt;"",COUNTIFS($D$3:$D$164,D147,$R$3:$R$164,"&lt;&gt;")&gt;1),"DUPLICADO","OK"))</f>
      </c>
      <c r="AA147" s="3056">
        <f>IF(A147="","",IF(OR(LEN(Q147)&gt;180,LEN(R147)&gt;180,LEN(S147)&gt;180,LEN(T147)&gt;180),"CAMINHO LONGO","OK"))</f>
      </c>
      <c r="AB147" s="3056">
        <f>IF(A147="","",IF(U147="","",IFERROR(INT(U147-TODAY()),"")))</f>
      </c>
      <c r="AC147" s="3056">
        <f>IF(A147="","",IF(AND(T147="",U147=""),"",IF(T147="","SEM CAMINHO",IF(U147="","SEM DATA",IFERROR(IF(AB147&lt;15,"VERMELHO",IF(AB147&lt;=30,"AMARELO","VERDE")),"DATA INVALIDA")))))</f>
      </c>
      <c r="AD147" s="3056">
        <f>IF(OR(A147="",U147="",NOT(ISNUMBER(AB147))),"",RANK(AB147,$AB$3:$AB$164,1)+COUNTIFS($AB$3:AB147,AB147)-1)</f>
      </c>
      <c r="AE147" s="1736"/>
    </row>
    <row r="148" ht="22.0" customHeight="true" hidden="false">
      <c r="A148" s="3114"/>
      <c r="B148" s="3113"/>
      <c r="C148" s="3113"/>
      <c r="D148" s="3113"/>
      <c r="E148" s="3113"/>
      <c r="F148" s="3113"/>
      <c r="G148" s="3113"/>
      <c r="H148" s="3113"/>
      <c r="I148" s="3113"/>
      <c r="J148" s="3113"/>
      <c r="K148" s="3113"/>
      <c r="L148" s="3113"/>
      <c r="M148" s="3113"/>
      <c r="N148" s="3113"/>
      <c r="O148" s="3113"/>
      <c r="P148" s="3113"/>
      <c r="Q148" s="3116"/>
      <c r="R148" s="3116"/>
      <c r="S148" s="3116"/>
      <c r="T148" s="3116"/>
      <c r="U148" s="3117"/>
      <c r="V148" s="3113"/>
      <c r="W148" s="3113"/>
      <c r="X148" s="3056">
        <f>IF(A148="","",IF(LEN(SUBSTITUTE(SUBSTITUTE(SUBSTITUTE(SUBSTITUTE(D148,".",""),"/",""),"-","")," ",""))&lt;&gt;14,"CNPJ INVALIDO","OK"))</f>
      </c>
      <c r="Y148" s="3056">
        <f>IF(A148="","",IF(R148="","REST PENDENTE","REST OK"))</f>
      </c>
      <c r="Z148" s="3056">
        <f>IF(A148="","",IF(AND(R148&lt;&gt;"",COUNTIFS($D$3:$D$164,D148,$R$3:$R$164,"&lt;&gt;")&gt;1),"DUPLICADO","OK"))</f>
      </c>
      <c r="AA148" s="3056">
        <f>IF(A148="","",IF(OR(LEN(Q148)&gt;180,LEN(R148)&gt;180,LEN(S148)&gt;180,LEN(T148)&gt;180),"CAMINHO LONGO","OK"))</f>
      </c>
      <c r="AB148" s="3056">
        <f>IF(A148="","",IF(U148="","",IFERROR(INT(U148-TODAY()),"")))</f>
      </c>
      <c r="AC148" s="3056">
        <f>IF(A148="","",IF(AND(T148="",U148=""),"",IF(T148="","SEM CAMINHO",IF(U148="","SEM DATA",IFERROR(IF(AB148&lt;15,"VERMELHO",IF(AB148&lt;=30,"AMARELO","VERDE")),"DATA INVALIDA")))))</f>
      </c>
      <c r="AD148" s="3056">
        <f>IF(OR(A148="",U148="",NOT(ISNUMBER(AB148))),"",RANK(AB148,$AB$3:$AB$164,1)+COUNTIFS($AB$3:AB148,AB148)-1)</f>
      </c>
      <c r="AE148" s="1736"/>
    </row>
    <row r="149" ht="22.0" customHeight="true" hidden="false">
      <c r="A149" s="3109"/>
      <c r="B149" s="3108"/>
      <c r="C149" s="3108"/>
      <c r="D149" s="3108"/>
      <c r="E149" s="3108"/>
      <c r="F149" s="3108"/>
      <c r="G149" s="3108"/>
      <c r="H149" s="3108"/>
      <c r="I149" s="3108"/>
      <c r="J149" s="3108"/>
      <c r="K149" s="3108"/>
      <c r="L149" s="3108"/>
      <c r="M149" s="3108"/>
      <c r="N149" s="3108"/>
      <c r="O149" s="3108"/>
      <c r="P149" s="3108"/>
      <c r="Q149" s="3111"/>
      <c r="R149" s="3111"/>
      <c r="S149" s="3111"/>
      <c r="T149" s="3111"/>
      <c r="U149" s="3112"/>
      <c r="V149" s="3108"/>
      <c r="W149" s="3108"/>
      <c r="X149" s="3056">
        <f>IF(A149="","",IF(LEN(SUBSTITUTE(SUBSTITUTE(SUBSTITUTE(SUBSTITUTE(D149,".",""),"/",""),"-","")," ",""))&lt;&gt;14,"CNPJ INVALIDO","OK"))</f>
      </c>
      <c r="Y149" s="3056">
        <f>IF(A149="","",IF(R149="","REST PENDENTE","REST OK"))</f>
      </c>
      <c r="Z149" s="3056">
        <f>IF(A149="","",IF(AND(R149&lt;&gt;"",COUNTIFS($D$3:$D$164,D149,$R$3:$R$164,"&lt;&gt;")&gt;1),"DUPLICADO","OK"))</f>
      </c>
      <c r="AA149" s="3056">
        <f>IF(A149="","",IF(OR(LEN(Q149)&gt;180,LEN(R149)&gt;180,LEN(S149)&gt;180,LEN(T149)&gt;180),"CAMINHO LONGO","OK"))</f>
      </c>
      <c r="AB149" s="3056">
        <f>IF(A149="","",IF(U149="","",IFERROR(INT(U149-TODAY()),"")))</f>
      </c>
      <c r="AC149" s="3056">
        <f>IF(A149="","",IF(AND(T149="",U149=""),"",IF(T149="","SEM CAMINHO",IF(U149="","SEM DATA",IFERROR(IF(AB149&lt;15,"VERMELHO",IF(AB149&lt;=30,"AMARELO","VERDE")),"DATA INVALIDA")))))</f>
      </c>
      <c r="AD149" s="3056">
        <f>IF(OR(A149="",U149="",NOT(ISNUMBER(AB149))),"",RANK(AB149,$AB$3:$AB$164,1)+COUNTIFS($AB$3:AB149,AB149)-1)</f>
      </c>
      <c r="AE149" s="1736"/>
    </row>
    <row r="150" ht="22.0" customHeight="true" hidden="false">
      <c r="A150" s="3114"/>
      <c r="B150" s="3113"/>
      <c r="C150" s="3113"/>
      <c r="D150" s="3113"/>
      <c r="E150" s="3113"/>
      <c r="F150" s="3113"/>
      <c r="G150" s="3113"/>
      <c r="H150" s="3113"/>
      <c r="I150" s="3113"/>
      <c r="J150" s="3113"/>
      <c r="K150" s="3113"/>
      <c r="L150" s="3113"/>
      <c r="M150" s="3113"/>
      <c r="N150" s="3113"/>
      <c r="O150" s="3113"/>
      <c r="P150" s="3113"/>
      <c r="Q150" s="3116"/>
      <c r="R150" s="3116"/>
      <c r="S150" s="3116"/>
      <c r="T150" s="3116"/>
      <c r="U150" s="3117"/>
      <c r="V150" s="3113"/>
      <c r="W150" s="3113"/>
      <c r="X150" s="3056">
        <f>IF(A150="","",IF(LEN(SUBSTITUTE(SUBSTITUTE(SUBSTITUTE(SUBSTITUTE(D150,".",""),"/",""),"-","")," ",""))&lt;&gt;14,"CNPJ INVALIDO","OK"))</f>
      </c>
      <c r="Y150" s="3056">
        <f>IF(A150="","",IF(R150="","REST PENDENTE","REST OK"))</f>
      </c>
      <c r="Z150" s="3056">
        <f>IF(A150="","",IF(AND(R150&lt;&gt;"",COUNTIFS($D$3:$D$164,D150,$R$3:$R$164,"&lt;&gt;")&gt;1),"DUPLICADO","OK"))</f>
      </c>
      <c r="AA150" s="3056">
        <f>IF(A150="","",IF(OR(LEN(Q150)&gt;180,LEN(R150)&gt;180,LEN(S150)&gt;180,LEN(T150)&gt;180),"CAMINHO LONGO","OK"))</f>
      </c>
      <c r="AB150" s="3056">
        <f>IF(A150="","",IF(U150="","",IFERROR(INT(U150-TODAY()),"")))</f>
      </c>
      <c r="AC150" s="3056">
        <f>IF(A150="","",IF(AND(T150="",U150=""),"",IF(T150="","SEM CAMINHO",IF(U150="","SEM DATA",IFERROR(IF(AB150&lt;15,"VERMELHO",IF(AB150&lt;=30,"AMARELO","VERDE")),"DATA INVALIDA")))))</f>
      </c>
      <c r="AD150" s="3056">
        <f>IF(OR(A150="",U150="",NOT(ISNUMBER(AB150))),"",RANK(AB150,$AB$3:$AB$164,1)+COUNTIFS($AB$3:AB150,AB150)-1)</f>
      </c>
      <c r="AE150" s="1736"/>
    </row>
    <row r="151" ht="22.0" customHeight="true" hidden="false">
      <c r="A151" s="3109"/>
      <c r="B151" s="3108"/>
      <c r="C151" s="3108"/>
      <c r="D151" s="3108"/>
      <c r="E151" s="3108"/>
      <c r="F151" s="3108"/>
      <c r="G151" s="3108"/>
      <c r="H151" s="3108"/>
      <c r="I151" s="3108"/>
      <c r="J151" s="3108"/>
      <c r="K151" s="3108"/>
      <c r="L151" s="3108"/>
      <c r="M151" s="3108"/>
      <c r="N151" s="3108"/>
      <c r="O151" s="3108"/>
      <c r="P151" s="3108"/>
      <c r="Q151" s="3111"/>
      <c r="R151" s="3111"/>
      <c r="S151" s="3111"/>
      <c r="T151" s="3111"/>
      <c r="U151" s="3112"/>
      <c r="V151" s="3108"/>
      <c r="W151" s="3108"/>
      <c r="X151" s="3056">
        <f>IF(A151="","",IF(LEN(SUBSTITUTE(SUBSTITUTE(SUBSTITUTE(SUBSTITUTE(D151,".",""),"/",""),"-","")," ",""))&lt;&gt;14,"CNPJ INVALIDO","OK"))</f>
      </c>
      <c r="Y151" s="3056">
        <f>IF(A151="","",IF(R151="","REST PENDENTE","REST OK"))</f>
      </c>
      <c r="Z151" s="3056">
        <f>IF(A151="","",IF(AND(R151&lt;&gt;"",COUNTIFS($D$3:$D$164,D151,$R$3:$R$164,"&lt;&gt;")&gt;1),"DUPLICADO","OK"))</f>
      </c>
      <c r="AA151" s="3056">
        <f>IF(A151="","",IF(OR(LEN(Q151)&gt;180,LEN(R151)&gt;180,LEN(S151)&gt;180,LEN(T151)&gt;180),"CAMINHO LONGO","OK"))</f>
      </c>
      <c r="AB151" s="3056">
        <f>IF(A151="","",IF(U151="","",IFERROR(INT(U151-TODAY()),"")))</f>
      </c>
      <c r="AC151" s="3056">
        <f>IF(A151="","",IF(AND(T151="",U151=""),"",IF(T151="","SEM CAMINHO",IF(U151="","SEM DATA",IFERROR(IF(AB151&lt;15,"VERMELHO",IF(AB151&lt;=30,"AMARELO","VERDE")),"DATA INVALIDA")))))</f>
      </c>
      <c r="AD151" s="3056">
        <f>IF(OR(A151="",U151="",NOT(ISNUMBER(AB151))),"",RANK(AB151,$AB$3:$AB$164,1)+COUNTIFS($AB$3:AB151,AB151)-1)</f>
      </c>
      <c r="AE151" s="1736"/>
    </row>
    <row r="152" ht="22.0" customHeight="true" hidden="false">
      <c r="A152" s="3114"/>
      <c r="B152" s="3113"/>
      <c r="C152" s="3113"/>
      <c r="D152" s="3113"/>
      <c r="E152" s="3113"/>
      <c r="F152" s="3113"/>
      <c r="G152" s="3113"/>
      <c r="H152" s="3113"/>
      <c r="I152" s="3113"/>
      <c r="J152" s="3113"/>
      <c r="K152" s="3113"/>
      <c r="L152" s="3113"/>
      <c r="M152" s="3113"/>
      <c r="N152" s="3113"/>
      <c r="O152" s="3113"/>
      <c r="P152" s="3113"/>
      <c r="Q152" s="3116"/>
      <c r="R152" s="3116"/>
      <c r="S152" s="3116"/>
      <c r="T152" s="3116"/>
      <c r="U152" s="3117"/>
      <c r="V152" s="3113"/>
      <c r="W152" s="3113"/>
      <c r="X152" s="3056">
        <f>IF(A152="","",IF(LEN(SUBSTITUTE(SUBSTITUTE(SUBSTITUTE(SUBSTITUTE(D152,".",""),"/",""),"-","")," ",""))&lt;&gt;14,"CNPJ INVALIDO","OK"))</f>
      </c>
      <c r="Y152" s="3056">
        <f>IF(A152="","",IF(R152="","REST PENDENTE","REST OK"))</f>
      </c>
      <c r="Z152" s="3056">
        <f>IF(A152="","",IF(AND(R152&lt;&gt;"",COUNTIFS($D$3:$D$164,D152,$R$3:$R$164,"&lt;&gt;")&gt;1),"DUPLICADO","OK"))</f>
      </c>
      <c r="AA152" s="3056">
        <f>IF(A152="","",IF(OR(LEN(Q152)&gt;180,LEN(R152)&gt;180,LEN(S152)&gt;180,LEN(T152)&gt;180),"CAMINHO LONGO","OK"))</f>
      </c>
      <c r="AB152" s="3056">
        <f>IF(A152="","",IF(U152="","",IFERROR(INT(U152-TODAY()),"")))</f>
      </c>
      <c r="AC152" s="3056">
        <f>IF(A152="","",IF(AND(T152="",U152=""),"",IF(T152="","SEM CAMINHO",IF(U152="","SEM DATA",IFERROR(IF(AB152&lt;15,"VERMELHO",IF(AB152&lt;=30,"AMARELO","VERDE")),"DATA INVALIDA")))))</f>
      </c>
      <c r="AD152" s="3056">
        <f>IF(OR(A152="",U152="",NOT(ISNUMBER(AB152))),"",RANK(AB152,$AB$3:$AB$164,1)+COUNTIFS($AB$3:AB152,AB152)-1)</f>
      </c>
      <c r="AE152" s="1736"/>
    </row>
    <row r="153" ht="22.0" customHeight="true" hidden="false">
      <c r="A153" s="3109"/>
      <c r="B153" s="3108"/>
      <c r="C153" s="3108"/>
      <c r="D153" s="3108"/>
      <c r="E153" s="3108"/>
      <c r="F153" s="3108"/>
      <c r="G153" s="3108"/>
      <c r="H153" s="3108"/>
      <c r="I153" s="3108"/>
      <c r="J153" s="3108"/>
      <c r="K153" s="3108"/>
      <c r="L153" s="3108"/>
      <c r="M153" s="3108"/>
      <c r="N153" s="3108"/>
      <c r="O153" s="3108"/>
      <c r="P153" s="3108"/>
      <c r="Q153" s="3111"/>
      <c r="R153" s="3111"/>
      <c r="S153" s="3111"/>
      <c r="T153" s="3111"/>
      <c r="U153" s="3112"/>
      <c r="V153" s="3108"/>
      <c r="W153" s="3108"/>
      <c r="X153" s="3056">
        <f>IF(A153="","",IF(LEN(SUBSTITUTE(SUBSTITUTE(SUBSTITUTE(SUBSTITUTE(D153,".",""),"/",""),"-","")," ",""))&lt;&gt;14,"CNPJ INVALIDO","OK"))</f>
      </c>
      <c r="Y153" s="3056">
        <f>IF(A153="","",IF(R153="","REST PENDENTE","REST OK"))</f>
      </c>
      <c r="Z153" s="3056">
        <f>IF(A153="","",IF(AND(R153&lt;&gt;"",COUNTIFS($D$3:$D$164,D153,$R$3:$R$164,"&lt;&gt;")&gt;1),"DUPLICADO","OK"))</f>
      </c>
      <c r="AA153" s="3056">
        <f>IF(A153="","",IF(OR(LEN(Q153)&gt;180,LEN(R153)&gt;180,LEN(S153)&gt;180,LEN(T153)&gt;180),"CAMINHO LONGO","OK"))</f>
      </c>
      <c r="AB153" s="3056">
        <f>IF(A153="","",IF(U153="","",IFERROR(INT(U153-TODAY()),"")))</f>
      </c>
      <c r="AC153" s="3056">
        <f>IF(A153="","",IF(AND(T153="",U153=""),"",IF(T153="","SEM CAMINHO",IF(U153="","SEM DATA",IFERROR(IF(AB153&lt;15,"VERMELHO",IF(AB153&lt;=30,"AMARELO","VERDE")),"DATA INVALIDA")))))</f>
      </c>
      <c r="AD153" s="3056">
        <f>IF(OR(A153="",U153="",NOT(ISNUMBER(AB153))),"",RANK(AB153,$AB$3:$AB$164,1)+COUNTIFS($AB$3:AB153,AB153)-1)</f>
      </c>
      <c r="AE153" s="1736"/>
    </row>
    <row r="154" ht="22.0" customHeight="true" hidden="false">
      <c r="A154" s="3114"/>
      <c r="B154" s="3113"/>
      <c r="C154" s="3113"/>
      <c r="D154" s="3113"/>
      <c r="E154" s="3113"/>
      <c r="F154" s="3113"/>
      <c r="G154" s="3113"/>
      <c r="H154" s="3113"/>
      <c r="I154" s="3113"/>
      <c r="J154" s="3113"/>
      <c r="K154" s="3113"/>
      <c r="L154" s="3113"/>
      <c r="M154" s="3113"/>
      <c r="N154" s="3113"/>
      <c r="O154" s="3113"/>
      <c r="P154" s="3113"/>
      <c r="Q154" s="3116"/>
      <c r="R154" s="3116"/>
      <c r="S154" s="3116"/>
      <c r="T154" s="3116"/>
      <c r="U154" s="3117"/>
      <c r="V154" s="3113"/>
      <c r="W154" s="3113"/>
      <c r="X154" s="3056">
        <f>IF(A154="","",IF(LEN(SUBSTITUTE(SUBSTITUTE(SUBSTITUTE(SUBSTITUTE(D154,".",""),"/",""),"-","")," ",""))&lt;&gt;14,"CNPJ INVALIDO","OK"))</f>
      </c>
      <c r="Y154" s="3056">
        <f>IF(A154="","",IF(R154="","REST PENDENTE","REST OK"))</f>
      </c>
      <c r="Z154" s="3056">
        <f>IF(A154="","",IF(AND(R154&lt;&gt;"",COUNTIFS($D$3:$D$164,D154,$R$3:$R$164,"&lt;&gt;")&gt;1),"DUPLICADO","OK"))</f>
      </c>
      <c r="AA154" s="3056">
        <f>IF(A154="","",IF(OR(LEN(Q154)&gt;180,LEN(R154)&gt;180,LEN(S154)&gt;180,LEN(T154)&gt;180),"CAMINHO LONGO","OK"))</f>
      </c>
      <c r="AB154" s="3056">
        <f>IF(A154="","",IF(U154="","",IFERROR(INT(U154-TODAY()),"")))</f>
      </c>
      <c r="AC154" s="3056">
        <f>IF(A154="","",IF(AND(T154="",U154=""),"",IF(T154="","SEM CAMINHO",IF(U154="","SEM DATA",IFERROR(IF(AB154&lt;15,"VERMELHO",IF(AB154&lt;=30,"AMARELO","VERDE")),"DATA INVALIDA")))))</f>
      </c>
      <c r="AD154" s="3056">
        <f>IF(OR(A154="",U154="",NOT(ISNUMBER(AB154))),"",RANK(AB154,$AB$3:$AB$164,1)+COUNTIFS($AB$3:AB154,AB154)-1)</f>
      </c>
      <c r="AE154" s="1736"/>
    </row>
    <row r="155" ht="22.0" customHeight="true" hidden="false">
      <c r="A155" s="3109"/>
      <c r="B155" s="3108"/>
      <c r="C155" s="3108"/>
      <c r="D155" s="3108"/>
      <c r="E155" s="3108"/>
      <c r="F155" s="3108"/>
      <c r="G155" s="3108"/>
      <c r="H155" s="3108"/>
      <c r="I155" s="3108"/>
      <c r="J155" s="3108"/>
      <c r="K155" s="3108"/>
      <c r="L155" s="3108"/>
      <c r="M155" s="3108"/>
      <c r="N155" s="3108"/>
      <c r="O155" s="3108"/>
      <c r="P155" s="3108"/>
      <c r="Q155" s="3111"/>
      <c r="R155" s="3111"/>
      <c r="S155" s="3111"/>
      <c r="T155" s="3111"/>
      <c r="U155" s="3112"/>
      <c r="V155" s="3108"/>
      <c r="W155" s="3108"/>
      <c r="X155" s="3056">
        <f>IF(A155="","",IF(LEN(SUBSTITUTE(SUBSTITUTE(SUBSTITUTE(SUBSTITUTE(D155,".",""),"/",""),"-","")," ",""))&lt;&gt;14,"CNPJ INVALIDO","OK"))</f>
      </c>
      <c r="Y155" s="3056">
        <f>IF(A155="","",IF(R155="","REST PENDENTE","REST OK"))</f>
      </c>
      <c r="Z155" s="3056">
        <f>IF(A155="","",IF(AND(R155&lt;&gt;"",COUNTIFS($D$3:$D$164,D155,$R$3:$R$164,"&lt;&gt;")&gt;1),"DUPLICADO","OK"))</f>
      </c>
      <c r="AA155" s="3056">
        <f>IF(A155="","",IF(OR(LEN(Q155)&gt;180,LEN(R155)&gt;180,LEN(S155)&gt;180,LEN(T155)&gt;180),"CAMINHO LONGO","OK"))</f>
      </c>
      <c r="AB155" s="3056">
        <f>IF(A155="","",IF(U155="","",IFERROR(INT(U155-TODAY()),"")))</f>
      </c>
      <c r="AC155" s="3056">
        <f>IF(A155="","",IF(AND(T155="",U155=""),"",IF(T155="","SEM CAMINHO",IF(U155="","SEM DATA",IFERROR(IF(AB155&lt;15,"VERMELHO",IF(AB155&lt;=30,"AMARELO","VERDE")),"DATA INVALIDA")))))</f>
      </c>
      <c r="AD155" s="3056">
        <f>IF(OR(A155="",U155="",NOT(ISNUMBER(AB155))),"",RANK(AB155,$AB$3:$AB$164,1)+COUNTIFS($AB$3:AB155,AB155)-1)</f>
      </c>
      <c r="AE155" s="1736"/>
    </row>
    <row r="156" ht="22.0" customHeight="true" hidden="false">
      <c r="A156" s="3114"/>
      <c r="B156" s="3113"/>
      <c r="C156" s="3113"/>
      <c r="D156" s="3113"/>
      <c r="E156" s="3113"/>
      <c r="F156" s="3113"/>
      <c r="G156" s="3113"/>
      <c r="H156" s="3113"/>
      <c r="I156" s="3113"/>
      <c r="J156" s="3113"/>
      <c r="K156" s="3113"/>
      <c r="L156" s="3113"/>
      <c r="M156" s="3113"/>
      <c r="N156" s="3113"/>
      <c r="O156" s="3113"/>
      <c r="P156" s="3113"/>
      <c r="Q156" s="3116"/>
      <c r="R156" s="3116"/>
      <c r="S156" s="3116"/>
      <c r="T156" s="3116"/>
      <c r="U156" s="3117"/>
      <c r="V156" s="3113"/>
      <c r="W156" s="3113"/>
      <c r="X156" s="3056">
        <f>IF(A156="","",IF(LEN(SUBSTITUTE(SUBSTITUTE(SUBSTITUTE(SUBSTITUTE(D156,".",""),"/",""),"-","")," ",""))&lt;&gt;14,"CNPJ INVALIDO","OK"))</f>
      </c>
      <c r="Y156" s="3056">
        <f>IF(A156="","",IF(R156="","REST PENDENTE","REST OK"))</f>
      </c>
      <c r="Z156" s="3056">
        <f>IF(A156="","",IF(AND(R156&lt;&gt;"",COUNTIFS($D$3:$D$164,D156,$R$3:$R$164,"&lt;&gt;")&gt;1),"DUPLICADO","OK"))</f>
      </c>
      <c r="AA156" s="3056">
        <f>IF(A156="","",IF(OR(LEN(Q156)&gt;180,LEN(R156)&gt;180,LEN(S156)&gt;180,LEN(T156)&gt;180),"CAMINHO LONGO","OK"))</f>
      </c>
      <c r="AB156" s="3056">
        <f>IF(A156="","",IF(U156="","",IFERROR(INT(U156-TODAY()),"")))</f>
      </c>
      <c r="AC156" s="3056">
        <f>IF(A156="","",IF(AND(T156="",U156=""),"",IF(T156="","SEM CAMINHO",IF(U156="","SEM DATA",IFERROR(IF(AB156&lt;15,"VERMELHO",IF(AB156&lt;=30,"AMARELO","VERDE")),"DATA INVALIDA")))))</f>
      </c>
      <c r="AD156" s="3056">
        <f>IF(OR(A156="",U156="",NOT(ISNUMBER(AB156))),"",RANK(AB156,$AB$3:$AB$164,1)+COUNTIFS($AB$3:AB156,AB156)-1)</f>
      </c>
      <c r="AE156" s="1736"/>
    </row>
    <row r="157" ht="22.0" customHeight="true" hidden="false">
      <c r="A157" s="3109"/>
      <c r="B157" s="3108"/>
      <c r="C157" s="3108"/>
      <c r="D157" s="3108"/>
      <c r="E157" s="3108"/>
      <c r="F157" s="3108"/>
      <c r="G157" s="3108"/>
      <c r="H157" s="3108"/>
      <c r="I157" s="3108"/>
      <c r="J157" s="3108"/>
      <c r="K157" s="3108"/>
      <c r="L157" s="3108"/>
      <c r="M157" s="3108"/>
      <c r="N157" s="3108"/>
      <c r="O157" s="3108"/>
      <c r="P157" s="3108"/>
      <c r="Q157" s="3111"/>
      <c r="R157" s="3111"/>
      <c r="S157" s="3111"/>
      <c r="T157" s="3111"/>
      <c r="U157" s="3112"/>
      <c r="V157" s="3108"/>
      <c r="W157" s="3108"/>
      <c r="X157" s="3056">
        <f>IF(A157="","",IF(LEN(SUBSTITUTE(SUBSTITUTE(SUBSTITUTE(SUBSTITUTE(D157,".",""),"/",""),"-","")," ",""))&lt;&gt;14,"CNPJ INVALIDO","OK"))</f>
      </c>
      <c r="Y157" s="3056">
        <f>IF(A157="","",IF(R157="","REST PENDENTE","REST OK"))</f>
      </c>
      <c r="Z157" s="3056">
        <f>IF(A157="","",IF(AND(R157&lt;&gt;"",COUNTIFS($D$3:$D$164,D157,$R$3:$R$164,"&lt;&gt;")&gt;1),"DUPLICADO","OK"))</f>
      </c>
      <c r="AA157" s="3056">
        <f>IF(A157="","",IF(OR(LEN(Q157)&gt;180,LEN(R157)&gt;180,LEN(S157)&gt;180,LEN(T157)&gt;180),"CAMINHO LONGO","OK"))</f>
      </c>
      <c r="AB157" s="3056">
        <f>IF(A157="","",IF(U157="","",IFERROR(INT(U157-TODAY()),"")))</f>
      </c>
      <c r="AC157" s="3056">
        <f>IF(A157="","",IF(AND(T157="",U157=""),"",IF(T157="","SEM CAMINHO",IF(U157="","SEM DATA",IFERROR(IF(AB157&lt;15,"VERMELHO",IF(AB157&lt;=30,"AMARELO","VERDE")),"DATA INVALIDA")))))</f>
      </c>
      <c r="AD157" s="3056">
        <f>IF(OR(A157="",U157="",NOT(ISNUMBER(AB157))),"",RANK(AB157,$AB$3:$AB$164,1)+COUNTIFS($AB$3:AB157,AB157)-1)</f>
      </c>
      <c r="AE157" s="1736"/>
    </row>
    <row r="158" ht="22.0" customHeight="true" hidden="false">
      <c r="A158" s="3114"/>
      <c r="B158" s="3113"/>
      <c r="C158" s="3113"/>
      <c r="D158" s="3113"/>
      <c r="E158" s="3113"/>
      <c r="F158" s="3113"/>
      <c r="G158" s="3113"/>
      <c r="H158" s="3113"/>
      <c r="I158" s="3113"/>
      <c r="J158" s="3113"/>
      <c r="K158" s="3113"/>
      <c r="L158" s="3113"/>
      <c r="M158" s="3113"/>
      <c r="N158" s="3113"/>
      <c r="O158" s="3113"/>
      <c r="P158" s="3113"/>
      <c r="Q158" s="3116"/>
      <c r="R158" s="3116"/>
      <c r="S158" s="3116"/>
      <c r="T158" s="3116"/>
      <c r="U158" s="3117"/>
      <c r="V158" s="3113"/>
      <c r="W158" s="3113"/>
      <c r="X158" s="3056">
        <f>IF(A158="","",IF(LEN(SUBSTITUTE(SUBSTITUTE(SUBSTITUTE(SUBSTITUTE(D158,".",""),"/",""),"-","")," ",""))&lt;&gt;14,"CNPJ INVALIDO","OK"))</f>
      </c>
      <c r="Y158" s="3056">
        <f>IF(A158="","",IF(R158="","REST PENDENTE","REST OK"))</f>
      </c>
      <c r="Z158" s="3056">
        <f>IF(A158="","",IF(AND(R158&lt;&gt;"",COUNTIFS($D$3:$D$164,D158,$R$3:$R$164,"&lt;&gt;")&gt;1),"DUPLICADO","OK"))</f>
      </c>
      <c r="AA158" s="3056">
        <f>IF(A158="","",IF(OR(LEN(Q158)&gt;180,LEN(R158)&gt;180,LEN(S158)&gt;180,LEN(T158)&gt;180),"CAMINHO LONGO","OK"))</f>
      </c>
      <c r="AB158" s="3056">
        <f>IF(A158="","",IF(U158="","",IFERROR(INT(U158-TODAY()),"")))</f>
      </c>
      <c r="AC158" s="3056">
        <f>IF(A158="","",IF(AND(T158="",U158=""),"",IF(T158="","SEM CAMINHO",IF(U158="","SEM DATA",IFERROR(IF(AB158&lt;15,"VERMELHO",IF(AB158&lt;=30,"AMARELO","VERDE")),"DATA INVALIDA")))))</f>
      </c>
      <c r="AD158" s="3056">
        <f>IF(OR(A158="",U158="",NOT(ISNUMBER(AB158))),"",RANK(AB158,$AB$3:$AB$164,1)+COUNTIFS($AB$3:AB158,AB158)-1)</f>
      </c>
      <c r="AE158" s="1736"/>
    </row>
    <row r="159" ht="22.0" customHeight="true" hidden="false">
      <c r="A159" s="3109"/>
      <c r="B159" s="3108"/>
      <c r="C159" s="3108"/>
      <c r="D159" s="3108"/>
      <c r="E159" s="3108"/>
      <c r="F159" s="3108"/>
      <c r="G159" s="3108"/>
      <c r="H159" s="3108"/>
      <c r="I159" s="3108"/>
      <c r="J159" s="3108"/>
      <c r="K159" s="3108"/>
      <c r="L159" s="3108"/>
      <c r="M159" s="3108"/>
      <c r="N159" s="3108"/>
      <c r="O159" s="3108"/>
      <c r="P159" s="3108"/>
      <c r="Q159" s="3111"/>
      <c r="R159" s="3111"/>
      <c r="S159" s="3111"/>
      <c r="T159" s="3111"/>
      <c r="U159" s="3112"/>
      <c r="V159" s="3108"/>
      <c r="W159" s="3108"/>
      <c r="X159" s="3056">
        <f>IF(A159="","",IF(LEN(SUBSTITUTE(SUBSTITUTE(SUBSTITUTE(SUBSTITUTE(D159,".",""),"/",""),"-","")," ",""))&lt;&gt;14,"CNPJ INVALIDO","OK"))</f>
      </c>
      <c r="Y159" s="3056">
        <f>IF(A159="","",IF(R159="","REST PENDENTE","REST OK"))</f>
      </c>
      <c r="Z159" s="3056">
        <f>IF(A159="","",IF(AND(R159&lt;&gt;"",COUNTIFS($D$3:$D$164,D159,$R$3:$R$164,"&lt;&gt;")&gt;1),"DUPLICADO","OK"))</f>
      </c>
      <c r="AA159" s="3056">
        <f>IF(A159="","",IF(OR(LEN(Q159)&gt;180,LEN(R159)&gt;180,LEN(S159)&gt;180,LEN(T159)&gt;180),"CAMINHO LONGO","OK"))</f>
      </c>
      <c r="AB159" s="3056">
        <f>IF(A159="","",IF(U159="","",IFERROR(INT(U159-TODAY()),"")))</f>
      </c>
      <c r="AC159" s="3056">
        <f>IF(A159="","",IF(AND(T159="",U159=""),"",IF(T159="","SEM CAMINHO",IF(U159="","SEM DATA",IFERROR(IF(AB159&lt;15,"VERMELHO",IF(AB159&lt;=30,"AMARELO","VERDE")),"DATA INVALIDA")))))</f>
      </c>
      <c r="AD159" s="3056">
        <f>IF(OR(A159="",U159="",NOT(ISNUMBER(AB159))),"",RANK(AB159,$AB$3:$AB$164,1)+COUNTIFS($AB$3:AB159,AB159)-1)</f>
      </c>
      <c r="AE159" s="1736"/>
    </row>
    <row r="160" ht="22.0" customHeight="true" hidden="false">
      <c r="A160" s="3114"/>
      <c r="B160" s="3113"/>
      <c r="C160" s="3113"/>
      <c r="D160" s="3113"/>
      <c r="E160" s="3113"/>
      <c r="F160" s="3113"/>
      <c r="G160" s="3113"/>
      <c r="H160" s="3113"/>
      <c r="I160" s="3113"/>
      <c r="J160" s="3113"/>
      <c r="K160" s="3113"/>
      <c r="L160" s="3113"/>
      <c r="M160" s="3113"/>
      <c r="N160" s="3113"/>
      <c r="O160" s="3113"/>
      <c r="P160" s="3113"/>
      <c r="Q160" s="3116"/>
      <c r="R160" s="3116"/>
      <c r="S160" s="3116"/>
      <c r="T160" s="3116"/>
      <c r="U160" s="3117"/>
      <c r="V160" s="3113"/>
      <c r="W160" s="3113"/>
      <c r="X160" s="3056">
        <f>IF(A160="","",IF(LEN(SUBSTITUTE(SUBSTITUTE(SUBSTITUTE(SUBSTITUTE(D160,".",""),"/",""),"-","")," ",""))&lt;&gt;14,"CNPJ INVALIDO","OK"))</f>
      </c>
      <c r="Y160" s="3056">
        <f>IF(A160="","",IF(R160="","REST PENDENTE","REST OK"))</f>
      </c>
      <c r="Z160" s="3056">
        <f>IF(A160="","",IF(AND(R160&lt;&gt;"",COUNTIFS($D$3:$D$164,D160,$R$3:$R$164,"&lt;&gt;")&gt;1),"DUPLICADO","OK"))</f>
      </c>
      <c r="AA160" s="3056">
        <f>IF(A160="","",IF(OR(LEN(Q160)&gt;180,LEN(R160)&gt;180,LEN(S160)&gt;180,LEN(T160)&gt;180),"CAMINHO LONGO","OK"))</f>
      </c>
      <c r="AB160" s="3056">
        <f>IF(A160="","",IF(U160="","",IFERROR(INT(U160-TODAY()),"")))</f>
      </c>
      <c r="AC160" s="3056">
        <f>IF(A160="","",IF(AND(T160="",U160=""),"",IF(T160="","SEM CAMINHO",IF(U160="","SEM DATA",IFERROR(IF(AB160&lt;15,"VERMELHO",IF(AB160&lt;=30,"AMARELO","VERDE")),"DATA INVALIDA")))))</f>
      </c>
      <c r="AD160" s="3056">
        <f>IF(OR(A160="",U160="",NOT(ISNUMBER(AB160))),"",RANK(AB160,$AB$3:$AB$164,1)+COUNTIFS($AB$3:AB160,AB160)-1)</f>
      </c>
      <c r="AE160" s="1736"/>
    </row>
    <row r="161" ht="22.0" customHeight="true" hidden="false">
      <c r="A161" s="3109"/>
      <c r="B161" s="3108"/>
      <c r="C161" s="3108"/>
      <c r="D161" s="3108"/>
      <c r="E161" s="3108"/>
      <c r="F161" s="3108"/>
      <c r="G161" s="3108"/>
      <c r="H161" s="3108"/>
      <c r="I161" s="3108"/>
      <c r="J161" s="3108"/>
      <c r="K161" s="3108"/>
      <c r="L161" s="3108"/>
      <c r="M161" s="3108"/>
      <c r="N161" s="3108"/>
      <c r="O161" s="3108"/>
      <c r="P161" s="3108"/>
      <c r="Q161" s="3111"/>
      <c r="R161" s="3111"/>
      <c r="S161" s="3111"/>
      <c r="T161" s="3111"/>
      <c r="U161" s="3112"/>
      <c r="V161" s="3108"/>
      <c r="W161" s="3108"/>
      <c r="X161" s="3056">
        <f>IF(A161="","",IF(LEN(SUBSTITUTE(SUBSTITUTE(SUBSTITUTE(SUBSTITUTE(D161,".",""),"/",""),"-","")," ",""))&lt;&gt;14,"CNPJ INVALIDO","OK"))</f>
      </c>
      <c r="Y161" s="3056">
        <f>IF(A161="","",IF(R161="","REST PENDENTE","REST OK"))</f>
      </c>
      <c r="Z161" s="3056">
        <f>IF(A161="","",IF(AND(R161&lt;&gt;"",COUNTIFS($D$3:$D$164,D161,$R$3:$R$164,"&lt;&gt;")&gt;1),"DUPLICADO","OK"))</f>
      </c>
      <c r="AA161" s="3056">
        <f>IF(A161="","",IF(OR(LEN(Q161)&gt;180,LEN(R161)&gt;180,LEN(S161)&gt;180,LEN(T161)&gt;180),"CAMINHO LONGO","OK"))</f>
      </c>
      <c r="AB161" s="3056">
        <f>IF(A161="","",IF(U161="","",IFERROR(INT(U161-TODAY()),"")))</f>
      </c>
      <c r="AC161" s="3056">
        <f>IF(A161="","",IF(AND(T161="",U161=""),"",IF(T161="","SEM CAMINHO",IF(U161="","SEM DATA",IFERROR(IF(AB161&lt;15,"VERMELHO",IF(AB161&lt;=30,"AMARELO","VERDE")),"DATA INVALIDA")))))</f>
      </c>
      <c r="AD161" s="3056">
        <f>IF(OR(A161="",U161="",NOT(ISNUMBER(AB161))),"",RANK(AB161,$AB$3:$AB$164,1)+COUNTIFS($AB$3:AB161,AB161)-1)</f>
      </c>
      <c r="AE161" s="1736"/>
    </row>
    <row r="162" ht="22.0" customHeight="true" hidden="false">
      <c r="A162" s="3114"/>
      <c r="B162" s="3113"/>
      <c r="C162" s="3113"/>
      <c r="D162" s="3113"/>
      <c r="E162" s="3113"/>
      <c r="F162" s="3113"/>
      <c r="G162" s="3113"/>
      <c r="H162" s="3113"/>
      <c r="I162" s="3113"/>
      <c r="J162" s="3113"/>
      <c r="K162" s="3113"/>
      <c r="L162" s="3113"/>
      <c r="M162" s="3113"/>
      <c r="N162" s="3113"/>
      <c r="O162" s="3113"/>
      <c r="P162" s="3113"/>
      <c r="Q162" s="3116"/>
      <c r="R162" s="3116"/>
      <c r="S162" s="3116"/>
      <c r="T162" s="3116"/>
      <c r="U162" s="3117"/>
      <c r="V162" s="3113"/>
      <c r="W162" s="3113"/>
      <c r="X162" s="3056">
        <f>IF(A162="","",IF(LEN(SUBSTITUTE(SUBSTITUTE(SUBSTITUTE(SUBSTITUTE(D162,".",""),"/",""),"-","")," ",""))&lt;&gt;14,"CNPJ INVALIDO","OK"))</f>
      </c>
      <c r="Y162" s="3056">
        <f>IF(A162="","",IF(R162="","REST PENDENTE","REST OK"))</f>
      </c>
      <c r="Z162" s="3056">
        <f>IF(A162="","",IF(AND(R162&lt;&gt;"",COUNTIFS($D$3:$D$164,D162,$R$3:$R$164,"&lt;&gt;")&gt;1),"DUPLICADO","OK"))</f>
      </c>
      <c r="AA162" s="3056">
        <f>IF(A162="","",IF(OR(LEN(Q162)&gt;180,LEN(R162)&gt;180,LEN(S162)&gt;180,LEN(T162)&gt;180),"CAMINHO LONGO","OK"))</f>
      </c>
      <c r="AB162" s="3056">
        <f>IF(A162="","",IF(U162="","",IFERROR(INT(U162-TODAY()),"")))</f>
      </c>
      <c r="AC162" s="3056">
        <f>IF(A162="","",IF(AND(T162="",U162=""),"",IF(T162="","SEM CAMINHO",IF(U162="","SEM DATA",IFERROR(IF(AB162&lt;15,"VERMELHO",IF(AB162&lt;=30,"AMARELO","VERDE")),"DATA INVALIDA")))))</f>
      </c>
      <c r="AD162" s="3056">
        <f>IF(OR(A162="",U162="",NOT(ISNUMBER(AB162))),"",RANK(AB162,$AB$3:$AB$164,1)+COUNTIFS($AB$3:AB162,AB162)-1)</f>
      </c>
      <c r="AE162" s="1736"/>
    </row>
    <row r="163" ht="22.0" customHeight="true" hidden="false">
      <c r="A163" s="3109"/>
      <c r="B163" s="3108"/>
      <c r="C163" s="3108"/>
      <c r="D163" s="3108"/>
      <c r="E163" s="3108"/>
      <c r="F163" s="3108"/>
      <c r="G163" s="3108"/>
      <c r="H163" s="3108"/>
      <c r="I163" s="3108"/>
      <c r="J163" s="3108"/>
      <c r="K163" s="3108"/>
      <c r="L163" s="3108"/>
      <c r="M163" s="3108"/>
      <c r="N163" s="3108"/>
      <c r="O163" s="3108"/>
      <c r="P163" s="3108"/>
      <c r="Q163" s="3111"/>
      <c r="R163" s="3111"/>
      <c r="S163" s="3111"/>
      <c r="T163" s="3111"/>
      <c r="U163" s="3112"/>
      <c r="V163" s="3108"/>
      <c r="W163" s="3108"/>
      <c r="X163" s="3056">
        <f>IF(A163="","",IF(LEN(SUBSTITUTE(SUBSTITUTE(SUBSTITUTE(SUBSTITUTE(D163,".",""),"/",""),"-","")," ",""))&lt;&gt;14,"CNPJ INVALIDO","OK"))</f>
      </c>
      <c r="Y163" s="3056">
        <f>IF(A163="","",IF(R163="","REST PENDENTE","REST OK"))</f>
      </c>
      <c r="Z163" s="3056">
        <f>IF(A163="","",IF(AND(R163&lt;&gt;"",COUNTIFS($D$3:$D$164,D163,$R$3:$R$164,"&lt;&gt;")&gt;1),"DUPLICADO","OK"))</f>
      </c>
      <c r="AA163" s="3056">
        <f>IF(A163="","",IF(OR(LEN(Q163)&gt;180,LEN(R163)&gt;180,LEN(S163)&gt;180,LEN(T163)&gt;180),"CAMINHO LONGO","OK"))</f>
      </c>
      <c r="AB163" s="3056">
        <f>IF(A163="","",IF(U163="","",IFERROR(INT(U163-TODAY()),"")))</f>
      </c>
      <c r="AC163" s="3056">
        <f>IF(A163="","",IF(AND(T163="",U163=""),"",IF(T163="","SEM CAMINHO",IF(U163="","SEM DATA",IFERROR(IF(AB163&lt;15,"VERMELHO",IF(AB163&lt;=30,"AMARELO","VERDE")),"DATA INVALIDA")))))</f>
      </c>
      <c r="AD163" s="3056">
        <f>IF(OR(A163="",U163="",NOT(ISNUMBER(AB163))),"",RANK(AB163,$AB$3:$AB$164,1)+COUNTIFS($AB$3:AB163,AB163)-1)</f>
      </c>
      <c r="AE163" s="1736"/>
    </row>
    <row r="164" ht="22.0" customHeight="true" hidden="false">
      <c r="A164" s="3114"/>
      <c r="B164" s="3113"/>
      <c r="C164" s="3113"/>
      <c r="D164" s="3113"/>
      <c r="E164" s="3113"/>
      <c r="F164" s="3113"/>
      <c r="G164" s="3113"/>
      <c r="H164" s="3113"/>
      <c r="I164" s="3113"/>
      <c r="J164" s="3113"/>
      <c r="K164" s="3113"/>
      <c r="L164" s="3113"/>
      <c r="M164" s="3113"/>
      <c r="N164" s="3113"/>
      <c r="O164" s="3113"/>
      <c r="P164" s="3113"/>
      <c r="Q164" s="3116"/>
      <c r="R164" s="3116"/>
      <c r="S164" s="3116"/>
      <c r="T164" s="3116"/>
      <c r="U164" s="3117"/>
      <c r="V164" s="3113"/>
      <c r="W164" s="3113"/>
      <c r="X164" s="3056">
        <f>IF(A164="","",IF(LEN(SUBSTITUTE(SUBSTITUTE(SUBSTITUTE(SUBSTITUTE(D164,".",""),"/",""),"-","")," ",""))&lt;&gt;14,"CNPJ INVALIDO","OK"))</f>
      </c>
      <c r="Y164" s="3056">
        <f>IF(A164="","",IF(R164="","REST PENDENTE","REST OK"))</f>
      </c>
      <c r="Z164" s="3056">
        <f>IF(A164="","",IF(AND(R164&lt;&gt;"",COUNTIFS($D$3:$D$164,D164,$R$3:$R$164,"&lt;&gt;")&gt;1),"DUPLICADO","OK"))</f>
      </c>
      <c r="AA164" s="3056">
        <f>IF(A164="","",IF(OR(LEN(Q164)&gt;180,LEN(R164)&gt;180,LEN(S164)&gt;180,LEN(T164)&gt;180),"CAMINHO LONGO","OK"))</f>
      </c>
      <c r="AB164" s="3056">
        <f>IF(A164="","",IF(U164="","",IFERROR(INT(U164-TODAY()),"")))</f>
      </c>
      <c r="AC164" s="3056">
        <f>IF(A164="","",IF(AND(T164="",U164=""),"",IF(T164="","SEM CAMINHO",IF(U164="","SEM DATA",IFERROR(IF(AB164&lt;15,"VERMELHO",IF(AB164&lt;=30,"AMARELO","VERDE")),"DATA INVALIDA")))))</f>
      </c>
      <c r="AD164" s="3056">
        <f>IF(OR(A164="",U164="",NOT(ISNUMBER(AB164))),"",RANK(AB164,$AB$3:$AB$164,1)+COUNTIFS($AB$3:AB164,AB164)-1)</f>
      </c>
      <c r="AE164" s="1736"/>
    </row>
  </sheetData>
  <autoFilter ref="A2:W164"/>
  <mergeCells count="1">
    <mergeCell ref="A1:W1"/>
  </mergeCells>
  <phoneticPr fontId="6" type="noConversion"/>
  <printOptions gridLines="false"/>
  <pageMargins left="0.511811024" right="0.511811024" top="0.78740157499999996" bottom="0.78740157499999996" header="0.31496062000000002" footer="0.31496062000000002"/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664CF-DAE5-4396-BA73-B978C471E6A7}">
  <sheetPr codeName="Planilha1" filterMode="1"/>
  <dimension ref="A1:AE164"/>
  <sheetViews>
    <sheetView tabSelected="false" workbookViewId="0" showGridLines="false" zoomScale="90">
      <pane ySplit="2.0" topLeftCell="A3" activePane="bottomLeft" state="frozen"/>
      <selection pane="bottomLeft"/>
    </sheetView>
  </sheetViews>
  <sheetFormatPr defaultRowHeight="15" x14ac:dyDescent="0.25"/>
  <cols>
    <col min="1" max="1" customWidth="true" hidden="false" width="52.0"/>
    <col min="2" max="2" customWidth="true" hidden="false" width="22.0"/>
    <col min="3" max="3" customWidth="true" hidden="false" width="26.0"/>
    <col min="4" max="4" customWidth="true" hidden="false" width="20.0"/>
    <col min="5" max="5" customWidth="true" hidden="false" width="17.7109375"/>
    <col min="6" max="6" customWidth="true" hidden="false" width="18.0"/>
    <col min="7" max="7" customWidth="true" hidden="false" width="20.0"/>
    <col min="8" max="8" customWidth="true" hidden="false" width="8.7109375"/>
    <col min="9" max="9" customWidth="true" hidden="false" width="16.7109375"/>
    <col min="10" max="10" customWidth="true" hidden="false" width="10.85546875"/>
    <col min="11" max="11" customWidth="true" hidden="false" width="16.7109375"/>
    <col min="12" max="12" customWidth="true" hidden="false" width="11.7109375"/>
    <col min="13" max="13" customWidth="true" hidden="false" width="16.7109375"/>
    <col min="14" max="14" customWidth="true" hidden="false" width="10.28515625"/>
    <col min="15" max="15" customWidth="true" hidden="false" width="16.7109375"/>
    <col min="16" max="16" customWidth="true" hidden="false" width="13.7109375"/>
    <col min="17" max="17" customWidth="true" hidden="false" width="44.0"/>
    <col min="18" max="18" customWidth="true" hidden="false" width="62.0"/>
    <col min="19" max="19" customWidth="true" hidden="false" width="42.0"/>
    <col min="20" max="20" customWidth="true" hidden="false" width="48.0"/>
    <col min="21" max="21" customWidth="true" hidden="false" width="18.0"/>
    <col min="22" max="22" customWidth="true" hidden="false" width="24.0"/>
    <col min="23" max="23" customWidth="true" hidden="false" width="18.0"/>
    <col min="24" max="24" customWidth="true" hidden="true" width="22.0"/>
    <col min="25" max="25" customWidth="true" hidden="true" width="22.0"/>
    <col min="26" max="26" customWidth="true" hidden="true" width="22.0"/>
    <col min="27" max="27" customWidth="true" hidden="true" width="22.0"/>
    <col min="28" max="28" customWidth="true" hidden="true" width="22.0"/>
    <col min="29" max="29" customWidth="true" hidden="true" width="22.0"/>
    <col min="30" max="30" customWidth="true" hidden="true" width="22.0"/>
    <col min="31" max="31" customWidth="true" hidden="true" width="22.0"/>
  </cols>
  <sheetData>
    <row r="1" spans="1:19" ht="42.0" customHeight="true" x14ac:dyDescent="0.25">
      <c r="A1" s="3037" t="s">
        <v>407</v>
      </c>
      <c r="B1" s="3037"/>
      <c r="C1" s="3037"/>
      <c r="D1" s="3037"/>
      <c r="E1" s="3037"/>
      <c r="F1" s="3037"/>
      <c r="G1" s="3037"/>
      <c r="H1" s="3037"/>
      <c r="I1" s="3037"/>
      <c r="J1" s="3037"/>
      <c r="K1" s="3037"/>
      <c r="L1" s="3037"/>
      <c r="M1" s="3037"/>
      <c r="N1" s="3037"/>
      <c r="O1" s="3037"/>
      <c r="P1" s="3037"/>
      <c r="Q1" s="3037"/>
      <c r="R1" s="3037"/>
      <c r="S1" s="3037"/>
      <c r="T1" s="3037"/>
      <c r="U1" s="3037"/>
      <c r="V1" s="3037"/>
      <c r="W1" s="3037"/>
      <c r="X1" s="1716"/>
      <c r="AE1" s="0"/>
    </row>
    <row r="2" spans="1:19" ht="32.0" customHeight="true" thickBot="1" x14ac:dyDescent="0.3">
      <c r="A2" s="3038" t="s">
        <v>325</v>
      </c>
      <c r="B2" s="3038" t="s">
        <v>326</v>
      </c>
      <c r="C2" s="3038" t="s">
        <v>408</v>
      </c>
      <c r="D2" s="3038" t="s">
        <v>328</v>
      </c>
      <c r="E2" s="3038" t="s">
        <v>329</v>
      </c>
      <c r="F2" s="3038" t="s">
        <v>330</v>
      </c>
      <c r="G2" s="3038" t="s">
        <v>331</v>
      </c>
      <c r="H2" s="3038" t="s">
        <v>332</v>
      </c>
      <c r="I2" s="3038" t="s">
        <v>333</v>
      </c>
      <c r="J2" s="3038" t="s">
        <v>334</v>
      </c>
      <c r="K2" s="3038" t="s">
        <v>335</v>
      </c>
      <c r="L2" s="3038" t="s">
        <v>336</v>
      </c>
      <c r="M2" s="3038" t="s">
        <v>337</v>
      </c>
      <c r="N2" s="3038" t="s">
        <v>338</v>
      </c>
      <c r="O2" s="3038" t="s">
        <v>339</v>
      </c>
      <c r="P2" s="3038" t="s">
        <v>340</v>
      </c>
      <c r="Q2" s="3039" t="s">
        <v>409</v>
      </c>
      <c r="R2" s="3040" t="s">
        <v>410</v>
      </c>
      <c r="S2" s="3041" t="s">
        <v>523</v>
      </c>
      <c r="T2" s="3042" t="s">
        <v>470</v>
      </c>
      <c r="U2" s="3043" t="s">
        <v>471</v>
      </c>
      <c r="V2" s="3044" t="s">
        <v>472</v>
      </c>
      <c r="W2" s="3045" t="s">
        <v>412</v>
      </c>
      <c r="X2" s="3038" t="s">
        <v>413</v>
      </c>
      <c r="Y2" s="3038" t="s">
        <v>414</v>
      </c>
      <c r="Z2" s="3038" t="s">
        <v>415</v>
      </c>
      <c r="AA2" s="3038" t="s">
        <v>416</v>
      </c>
      <c r="AB2" s="3038" t="s">
        <v>473</v>
      </c>
      <c r="AC2" s="3038" t="s">
        <v>474</v>
      </c>
      <c r="AD2" s="3038" t="s">
        <v>475</v>
      </c>
      <c r="AE2" s="1717"/>
    </row>
    <row r="3" spans="1:19" ht="22.0" hidden="false" customHeight="true" thickTop="1" x14ac:dyDescent="0.25">
      <c r="A3" s="3119" t="s">
        <v>0</v>
      </c>
      <c r="B3" s="3118" t="s">
        <v>1</v>
      </c>
      <c r="C3" s="3118" t="s">
        <v>2</v>
      </c>
      <c r="D3" s="3118">
        <v>35381421000194</v>
      </c>
      <c r="E3" s="3118"/>
      <c r="F3" s="3118" t="s">
        <v>3</v>
      </c>
      <c r="G3" s="3118" t="s">
        <v>4</v>
      </c>
      <c r="H3" s="3118" t="s">
        <v>5</v>
      </c>
      <c r="I3" s="3118" t="s">
        <v>344</v>
      </c>
      <c r="J3" s="3118"/>
      <c r="K3" s="3118"/>
      <c r="L3" s="3118"/>
      <c r="M3" s="3118"/>
      <c r="N3" s="3118"/>
      <c r="O3" s="3118"/>
      <c r="P3" s="3118"/>
      <c r="Q3" s="3121"/>
      <c r="R3" s="3121"/>
      <c r="S3" s="3121"/>
      <c r="T3" s="3121"/>
      <c r="U3" s="3122"/>
      <c r="V3" s="3118"/>
      <c r="W3" s="3118" t="s">
        <v>417</v>
      </c>
      <c r="X3" s="3056">
        <f>IF(A3="","",IF(LEN(SUBSTITUTE(SUBSTITUTE(SUBSTITUTE(SUBSTITUTE(D3,".",""),"/",""),"-","")," ",""))&lt;&gt;14,"CNPJ INVALIDO","OK"))</f>
      </c>
      <c r="Y3" s="3056">
        <f>IF(A3="","",IF(R3="","REST PENDENTE","REST OK"))</f>
      </c>
      <c r="Z3" s="3056">
        <f>IF(A3="","",IF(AND(R3&lt;&gt;"",COUNTIFS($D$3:$D$164,D3,$R$3:$R$164,"&lt;&gt;")&gt;1),"DUPLICADO","OK"))</f>
      </c>
      <c r="AA3" s="3056">
        <f>IF(A3="","",IF(OR(LEN(Q3)&gt;180,LEN(R3)&gt;180,LEN(S3)&gt;180,LEN(T3)&gt;180),"CAMINHO LONGO","OK"))</f>
      </c>
      <c r="AB3" s="3056">
        <f>IF(A3="","",IF(U3="","",IFERROR(INT(U3-TODAY()),"")))</f>
      </c>
      <c r="AC3" s="3056">
        <f>IF(A3="","",IF(AND(T3="",U3=""),"",IF(T3="","SEM CAMINHO",IF(U3="","SEM DATA",IFERROR(IF(AB3&lt;15,"VERMELHO",IF(AB3&lt;=30,"AMARELO","VERDE")),"DATA INVALIDA")))))</f>
      </c>
      <c r="AD3" s="3056">
        <f>IF(OR(A3="",U3="",NOT(ISNUMBER(AB3))),"",RANK(AB3,$AB$3:$AB$164,1)+COUNTIFS($AB$3:AB3,AB3)-1)</f>
      </c>
      <c r="AE3" s="1736"/>
    </row>
    <row r="4" spans="1:19" ht="22.0" hidden="false" customHeight="true" x14ac:dyDescent="0.25">
      <c r="A4" s="3124" t="s">
        <v>6</v>
      </c>
      <c r="B4" s="3123" t="s">
        <v>1</v>
      </c>
      <c r="C4" s="3123" t="s">
        <v>2</v>
      </c>
      <c r="D4" s="3123" t="s">
        <v>7</v>
      </c>
      <c r="E4" s="3123"/>
      <c r="F4" s="3123" t="s">
        <v>3</v>
      </c>
      <c r="G4" s="3123" t="s">
        <v>4</v>
      </c>
      <c r="H4" s="3123" t="s">
        <v>5</v>
      </c>
      <c r="I4" s="3123" t="s">
        <v>344</v>
      </c>
      <c r="J4" s="3123"/>
      <c r="K4" s="3123"/>
      <c r="L4" s="3123"/>
      <c r="M4" s="3123"/>
      <c r="N4" s="3123"/>
      <c r="O4" s="3123"/>
      <c r="P4" s="3123"/>
      <c r="Q4" s="3126"/>
      <c r="R4" s="3126"/>
      <c r="S4" s="3126"/>
      <c r="T4" s="3126"/>
      <c r="U4" s="3127"/>
      <c r="V4" s="3123"/>
      <c r="W4" s="3123"/>
      <c r="X4" s="3056">
        <f>IF(A4="","",IF(LEN(SUBSTITUTE(SUBSTITUTE(SUBSTITUTE(SUBSTITUTE(D4,".",""),"/",""),"-","")," ",""))&lt;&gt;14,"CNPJ INVALIDO","OK"))</f>
      </c>
      <c r="Y4" s="3056">
        <f>IF(A4="","",IF(R4="","REST PENDENTE","REST OK"))</f>
      </c>
      <c r="Z4" s="3056">
        <f>IF(A4="","",IF(AND(R4&lt;&gt;"",COUNTIFS($D$3:$D$164,D4,$R$3:$R$164,"&lt;&gt;")&gt;1),"DUPLICADO","OK"))</f>
      </c>
      <c r="AA4" s="3056">
        <f>IF(A4="","",IF(OR(LEN(Q4)&gt;180,LEN(R4)&gt;180,LEN(S4)&gt;180,LEN(T4)&gt;180),"CAMINHO LONGO","OK"))</f>
      </c>
      <c r="AB4" s="3056">
        <f>IF(A4="","",IF(U4="","",IFERROR(INT(U4-TODAY()),"")))</f>
      </c>
      <c r="AC4" s="3056">
        <f>IF(A4="","",IF(AND(T4="",U4=""),"",IF(T4="","SEM CAMINHO",IF(U4="","SEM DATA",IFERROR(IF(AB4&lt;15,"VERMELHO",IF(AB4&lt;=30,"AMARELO","VERDE")),"DATA INVALIDA")))))</f>
      </c>
      <c r="AD4" s="3056">
        <f>IF(OR(A4="",U4="",NOT(ISNUMBER(AB4))),"",RANK(AB4,$AB$3:$AB$164,1)+COUNTIFS($AB$3:AB4,AB4)-1)</f>
      </c>
      <c r="AE4" s="1736"/>
    </row>
    <row r="5" spans="1:19" ht="22.0" hidden="false" customHeight="true" x14ac:dyDescent="0.25">
      <c r="A5" s="3119" t="s">
        <v>8</v>
      </c>
      <c r="B5" s="3118" t="s">
        <v>9</v>
      </c>
      <c r="C5" s="3118" t="s">
        <v>10</v>
      </c>
      <c r="D5" s="3118" t="s">
        <v>11</v>
      </c>
      <c r="E5" s="3118"/>
      <c r="F5" s="3118" t="s">
        <v>12</v>
      </c>
      <c r="G5" s="3118" t="s">
        <v>13</v>
      </c>
      <c r="H5" s="3118" t="s">
        <v>14</v>
      </c>
      <c r="I5" s="3118" t="s">
        <v>344</v>
      </c>
      <c r="J5" s="3118"/>
      <c r="K5" s="3118"/>
      <c r="L5" s="3118"/>
      <c r="M5" s="3118"/>
      <c r="N5" s="3118"/>
      <c r="O5" s="3118"/>
      <c r="P5" s="3118"/>
      <c r="Q5" s="3121"/>
      <c r="R5" s="3121"/>
      <c r="S5" s="3121"/>
      <c r="T5" s="3121"/>
      <c r="U5" s="3122"/>
      <c r="V5" s="3118"/>
      <c r="W5" s="3118"/>
      <c r="X5" s="3056">
        <f>IF(A5="","",IF(LEN(SUBSTITUTE(SUBSTITUTE(SUBSTITUTE(SUBSTITUTE(D5,".",""),"/",""),"-","")," ",""))&lt;&gt;14,"CNPJ INVALIDO","OK"))</f>
      </c>
      <c r="Y5" s="3056">
        <f>IF(A5="","",IF(R5="","REST PENDENTE","REST OK"))</f>
      </c>
      <c r="Z5" s="3056">
        <f>IF(A5="","",IF(AND(R5&lt;&gt;"",COUNTIFS($D$3:$D$164,D5,$R$3:$R$164,"&lt;&gt;")&gt;1),"DUPLICADO","OK"))</f>
      </c>
      <c r="AA5" s="3056">
        <f>IF(A5="","",IF(OR(LEN(Q5)&gt;180,LEN(R5)&gt;180,LEN(S5)&gt;180,LEN(T5)&gt;180),"CAMINHO LONGO","OK"))</f>
      </c>
      <c r="AB5" s="3056">
        <f>IF(A5="","",IF(U5="","",IFERROR(INT(U5-TODAY()),"")))</f>
      </c>
      <c r="AC5" s="3056">
        <f>IF(A5="","",IF(AND(T5="",U5=""),"",IF(T5="","SEM CAMINHO",IF(U5="","SEM DATA",IFERROR(IF(AB5&lt;15,"VERMELHO",IF(AB5&lt;=30,"AMARELO","VERDE")),"DATA INVALIDA")))))</f>
      </c>
      <c r="AD5" s="3056">
        <f>IF(OR(A5="",U5="",NOT(ISNUMBER(AB5))),"",RANK(AB5,$AB$3:$AB$164,1)+COUNTIFS($AB$3:AB5,AB5)-1)</f>
      </c>
      <c r="AE5" s="1736"/>
    </row>
    <row r="6" spans="1:19" ht="22.0" hidden="false" customHeight="true" x14ac:dyDescent="0.25">
      <c r="A6" s="3124" t="s">
        <v>15</v>
      </c>
      <c r="B6" s="3123" t="s">
        <v>9</v>
      </c>
      <c r="C6" s="3123" t="s">
        <v>16</v>
      </c>
      <c r="D6" s="3123" t="s">
        <v>17</v>
      </c>
      <c r="E6" s="3123"/>
      <c r="F6" s="3123" t="s">
        <v>12</v>
      </c>
      <c r="G6" s="3123" t="s">
        <v>13</v>
      </c>
      <c r="H6" s="3123" t="s">
        <v>14</v>
      </c>
      <c r="I6" s="3123" t="s">
        <v>344</v>
      </c>
      <c r="J6" s="3123" t="s">
        <v>344</v>
      </c>
      <c r="K6" s="3123" t="s">
        <v>344</v>
      </c>
      <c r="L6" s="3123" t="s">
        <v>344</v>
      </c>
      <c r="M6" s="3123" t="s">
        <v>344</v>
      </c>
      <c r="N6" s="3123" t="s">
        <v>344</v>
      </c>
      <c r="O6" s="3123" t="s">
        <v>344</v>
      </c>
      <c r="P6" s="3123" t="s">
        <v>344</v>
      </c>
      <c r="Q6" s="3126"/>
      <c r="R6" s="3126"/>
      <c r="S6" s="3126"/>
      <c r="T6" s="3126"/>
      <c r="U6" s="3127"/>
      <c r="V6" s="3123"/>
      <c r="W6" s="3123"/>
      <c r="X6" s="3056">
        <f>IF(A6="","",IF(LEN(SUBSTITUTE(SUBSTITUTE(SUBSTITUTE(SUBSTITUTE(D6,".",""),"/",""),"-","")," ",""))&lt;&gt;14,"CNPJ INVALIDO","OK"))</f>
      </c>
      <c r="Y6" s="3056">
        <f>IF(A6="","",IF(R6="","REST PENDENTE","REST OK"))</f>
      </c>
      <c r="Z6" s="3056">
        <f>IF(A6="","",IF(AND(R6&lt;&gt;"",COUNTIFS($D$3:$D$164,D6,$R$3:$R$164,"&lt;&gt;")&gt;1),"DUPLICADO","OK"))</f>
      </c>
      <c r="AA6" s="3056">
        <f>IF(A6="","",IF(OR(LEN(Q6)&gt;180,LEN(R6)&gt;180,LEN(S6)&gt;180,LEN(T6)&gt;180),"CAMINHO LONGO","OK"))</f>
      </c>
      <c r="AB6" s="3056">
        <f>IF(A6="","",IF(U6="","",IFERROR(INT(U6-TODAY()),"")))</f>
      </c>
      <c r="AC6" s="3056">
        <f>IF(A6="","",IF(AND(T6="",U6=""),"",IF(T6="","SEM CAMINHO",IF(U6="","SEM DATA",IFERROR(IF(AB6&lt;15,"VERMELHO",IF(AB6&lt;=30,"AMARELO","VERDE")),"DATA INVALIDA")))))</f>
      </c>
      <c r="AD6" s="3056">
        <f>IF(OR(A6="",U6="",NOT(ISNUMBER(AB6))),"",RANK(AB6,$AB$3:$AB$164,1)+COUNTIFS($AB$3:AB6,AB6)-1)</f>
      </c>
      <c r="AE6" s="1736"/>
    </row>
    <row r="7" spans="1:19" ht="22.0" hidden="false" customHeight="true" x14ac:dyDescent="0.25">
      <c r="A7" s="3119" t="s">
        <v>18</v>
      </c>
      <c r="B7" s="3118" t="s">
        <v>9</v>
      </c>
      <c r="C7" s="3118" t="s">
        <v>19</v>
      </c>
      <c r="D7" s="3118" t="s">
        <v>20</v>
      </c>
      <c r="E7" s="3118"/>
      <c r="F7" s="3118" t="s">
        <v>12</v>
      </c>
      <c r="G7" s="3118" t="s">
        <v>13</v>
      </c>
      <c r="H7" s="3118" t="s">
        <v>14</v>
      </c>
      <c r="I7" s="3118" t="s">
        <v>344</v>
      </c>
      <c r="J7" s="3118" t="s">
        <v>344</v>
      </c>
      <c r="K7" s="3118" t="s">
        <v>344</v>
      </c>
      <c r="L7" s="3118" t="s">
        <v>344</v>
      </c>
      <c r="M7" s="3118" t="s">
        <v>344</v>
      </c>
      <c r="N7" s="3118" t="s">
        <v>344</v>
      </c>
      <c r="O7" s="3118" t="s">
        <v>344</v>
      </c>
      <c r="P7" s="3118" t="s">
        <v>344</v>
      </c>
      <c r="Q7" s="3121"/>
      <c r="R7" s="3121"/>
      <c r="S7" s="3121"/>
      <c r="T7" s="3121"/>
      <c r="U7" s="3122"/>
      <c r="V7" s="3118"/>
      <c r="W7" s="3118"/>
      <c r="X7" s="3056">
        <f>IF(A7="","",IF(LEN(SUBSTITUTE(SUBSTITUTE(SUBSTITUTE(SUBSTITUTE(D7,".",""),"/",""),"-","")," ",""))&lt;&gt;14,"CNPJ INVALIDO","OK"))</f>
      </c>
      <c r="Y7" s="3056">
        <f>IF(A7="","",IF(R7="","REST PENDENTE","REST OK"))</f>
      </c>
      <c r="Z7" s="3056">
        <f>IF(A7="","",IF(AND(R7&lt;&gt;"",COUNTIFS($D$3:$D$164,D7,$R$3:$R$164,"&lt;&gt;")&gt;1),"DUPLICADO","OK"))</f>
      </c>
      <c r="AA7" s="3056">
        <f>IF(A7="","",IF(OR(LEN(Q7)&gt;180,LEN(R7)&gt;180,LEN(S7)&gt;180,LEN(T7)&gt;180),"CAMINHO LONGO","OK"))</f>
      </c>
      <c r="AB7" s="3056">
        <f>IF(A7="","",IF(U7="","",IFERROR(INT(U7-TODAY()),"")))</f>
      </c>
      <c r="AC7" s="3056">
        <f>IF(A7="","",IF(AND(T7="",U7=""),"",IF(T7="","SEM CAMINHO",IF(U7="","SEM DATA",IFERROR(IF(AB7&lt;15,"VERMELHO",IF(AB7&lt;=30,"AMARELO","VERDE")),"DATA INVALIDA")))))</f>
      </c>
      <c r="AD7" s="3056">
        <f>IF(OR(A7="",U7="",NOT(ISNUMBER(AB7))),"",RANK(AB7,$AB$3:$AB$164,1)+COUNTIFS($AB$3:AB7,AB7)-1)</f>
      </c>
      <c r="AE7" s="1736"/>
    </row>
    <row r="8" spans="1:19" ht="22.0" hidden="false" customHeight="true" x14ac:dyDescent="0.25">
      <c r="A8" s="3124" t="s">
        <v>21</v>
      </c>
      <c r="B8" s="3123" t="s">
        <v>9</v>
      </c>
      <c r="C8" s="3123" t="s">
        <v>19</v>
      </c>
      <c r="D8" s="3123" t="s">
        <v>22</v>
      </c>
      <c r="E8" s="3123"/>
      <c r="F8" s="3123" t="s">
        <v>12</v>
      </c>
      <c r="G8" s="3123" t="s">
        <v>13</v>
      </c>
      <c r="H8" s="3123" t="s">
        <v>14</v>
      </c>
      <c r="I8" s="3123" t="s">
        <v>344</v>
      </c>
      <c r="J8" s="3123" t="s">
        <v>344</v>
      </c>
      <c r="K8" s="3123" t="s">
        <v>344</v>
      </c>
      <c r="L8" s="3123" t="s">
        <v>344</v>
      </c>
      <c r="M8" s="3123" t="s">
        <v>344</v>
      </c>
      <c r="N8" s="3123" t="s">
        <v>344</v>
      </c>
      <c r="O8" s="3123" t="s">
        <v>344</v>
      </c>
      <c r="P8" s="3123" t="s">
        <v>344</v>
      </c>
      <c r="Q8" s="3126"/>
      <c r="R8" s="3126"/>
      <c r="S8" s="3126"/>
      <c r="T8" s="3126"/>
      <c r="U8" s="3127"/>
      <c r="V8" s="3123"/>
      <c r="W8" s="3123"/>
      <c r="X8" s="3056">
        <f>IF(A8="","",IF(LEN(SUBSTITUTE(SUBSTITUTE(SUBSTITUTE(SUBSTITUTE(D8,".",""),"/",""),"-","")," ",""))&lt;&gt;14,"CNPJ INVALIDO","OK"))</f>
      </c>
      <c r="Y8" s="3056">
        <f>IF(A8="","",IF(R8="","REST PENDENTE","REST OK"))</f>
      </c>
      <c r="Z8" s="3056">
        <f>IF(A8="","",IF(AND(R8&lt;&gt;"",COUNTIFS($D$3:$D$164,D8,$R$3:$R$164,"&lt;&gt;")&gt;1),"DUPLICADO","OK"))</f>
      </c>
      <c r="AA8" s="3056">
        <f>IF(A8="","",IF(OR(LEN(Q8)&gt;180,LEN(R8)&gt;180,LEN(S8)&gt;180,LEN(T8)&gt;180),"CAMINHO LONGO","OK"))</f>
      </c>
      <c r="AB8" s="3056">
        <f>IF(A8="","",IF(U8="","",IFERROR(INT(U8-TODAY()),"")))</f>
      </c>
      <c r="AC8" s="3056">
        <f>IF(A8="","",IF(AND(T8="",U8=""),"",IF(T8="","SEM CAMINHO",IF(U8="","SEM DATA",IFERROR(IF(AB8&lt;15,"VERMELHO",IF(AB8&lt;=30,"AMARELO","VERDE")),"DATA INVALIDA")))))</f>
      </c>
      <c r="AD8" s="3056">
        <f>IF(OR(A8="",U8="",NOT(ISNUMBER(AB8))),"",RANK(AB8,$AB$3:$AB$164,1)+COUNTIFS($AB$3:AB8,AB8)-1)</f>
      </c>
      <c r="AE8" s="1736"/>
    </row>
    <row r="9" spans="1:19" ht="22.0" hidden="false" customHeight="true" x14ac:dyDescent="0.25">
      <c r="A9" s="3119" t="s">
        <v>23</v>
      </c>
      <c r="B9" s="3118" t="s">
        <v>9</v>
      </c>
      <c r="C9" s="3118" t="s">
        <v>24</v>
      </c>
      <c r="D9" s="3118" t="s">
        <v>25</v>
      </c>
      <c r="E9" s="3118"/>
      <c r="F9" s="3118" t="s">
        <v>12</v>
      </c>
      <c r="G9" s="3118" t="s">
        <v>13</v>
      </c>
      <c r="H9" s="3118" t="s">
        <v>14</v>
      </c>
      <c r="I9" s="3118" t="s">
        <v>344</v>
      </c>
      <c r="J9" s="3118" t="s">
        <v>344</v>
      </c>
      <c r="K9" s="3118" t="s">
        <v>344</v>
      </c>
      <c r="L9" s="3118" t="s">
        <v>344</v>
      </c>
      <c r="M9" s="3118" t="s">
        <v>344</v>
      </c>
      <c r="N9" s="3118" t="s">
        <v>344</v>
      </c>
      <c r="O9" s="3118" t="s">
        <v>344</v>
      </c>
      <c r="P9" s="3118" t="s">
        <v>344</v>
      </c>
      <c r="Q9" s="3121"/>
      <c r="R9" s="3121"/>
      <c r="S9" s="3121"/>
      <c r="T9" s="3121"/>
      <c r="U9" s="3122"/>
      <c r="V9" s="3118"/>
      <c r="W9" s="3118"/>
      <c r="X9" s="3056">
        <f>IF(A9="","",IF(LEN(SUBSTITUTE(SUBSTITUTE(SUBSTITUTE(SUBSTITUTE(D9,".",""),"/",""),"-","")," ",""))&lt;&gt;14,"CNPJ INVALIDO","OK"))</f>
      </c>
      <c r="Y9" s="3056">
        <f>IF(A9="","",IF(R9="","REST PENDENTE","REST OK"))</f>
      </c>
      <c r="Z9" s="3056">
        <f>IF(A9="","",IF(AND(R9&lt;&gt;"",COUNTIFS($D$3:$D$164,D9,$R$3:$R$164,"&lt;&gt;")&gt;1),"DUPLICADO","OK"))</f>
      </c>
      <c r="AA9" s="3056">
        <f>IF(A9="","",IF(OR(LEN(Q9)&gt;180,LEN(R9)&gt;180,LEN(S9)&gt;180,LEN(T9)&gt;180),"CAMINHO LONGO","OK"))</f>
      </c>
      <c r="AB9" s="3056">
        <f>IF(A9="","",IF(U9="","",IFERROR(INT(U9-TODAY()),"")))</f>
      </c>
      <c r="AC9" s="3056">
        <f>IF(A9="","",IF(AND(T9="",U9=""),"",IF(T9="","SEM CAMINHO",IF(U9="","SEM DATA",IFERROR(IF(AB9&lt;15,"VERMELHO",IF(AB9&lt;=30,"AMARELO","VERDE")),"DATA INVALIDA")))))</f>
      </c>
      <c r="AD9" s="3056">
        <f>IF(OR(A9="",U9="",NOT(ISNUMBER(AB9))),"",RANK(AB9,$AB$3:$AB$164,1)+COUNTIFS($AB$3:AB9,AB9)-1)</f>
      </c>
      <c r="AE9" s="1736"/>
    </row>
    <row r="10" spans="1:19" ht="22.0" hidden="false" customHeight="true" x14ac:dyDescent="0.25">
      <c r="A10" s="3124" t="s">
        <v>26</v>
      </c>
      <c r="B10" s="3123" t="s">
        <v>9</v>
      </c>
      <c r="C10" s="3123" t="s">
        <v>27</v>
      </c>
      <c r="D10" s="3123" t="s">
        <v>28</v>
      </c>
      <c r="E10" s="3123"/>
      <c r="F10" s="3123" t="s">
        <v>12</v>
      </c>
      <c r="G10" s="3123" t="s">
        <v>13</v>
      </c>
      <c r="H10" s="3123" t="s">
        <v>14</v>
      </c>
      <c r="I10" s="3123" t="s">
        <v>344</v>
      </c>
      <c r="J10" s="3123" t="s">
        <v>344</v>
      </c>
      <c r="K10" s="3123" t="s">
        <v>344</v>
      </c>
      <c r="L10" s="3123" t="s">
        <v>344</v>
      </c>
      <c r="M10" s="3123" t="s">
        <v>344</v>
      </c>
      <c r="N10" s="3123" t="s">
        <v>344</v>
      </c>
      <c r="O10" s="3123" t="s">
        <v>344</v>
      </c>
      <c r="P10" s="3123" t="s">
        <v>344</v>
      </c>
      <c r="Q10" s="3126"/>
      <c r="R10" s="3126"/>
      <c r="S10" s="3126"/>
      <c r="T10" s="3126"/>
      <c r="U10" s="3127"/>
      <c r="V10" s="3123"/>
      <c r="W10" s="3123"/>
      <c r="X10" s="3056">
        <f>IF(A10="","",IF(LEN(SUBSTITUTE(SUBSTITUTE(SUBSTITUTE(SUBSTITUTE(D10,".",""),"/",""),"-","")," ",""))&lt;&gt;14,"CNPJ INVALIDO","OK"))</f>
      </c>
      <c r="Y10" s="3056">
        <f>IF(A10="","",IF(R10="","REST PENDENTE","REST OK"))</f>
      </c>
      <c r="Z10" s="3056">
        <f>IF(A10="","",IF(AND(R10&lt;&gt;"",COUNTIFS($D$3:$D$164,D10,$R$3:$R$164,"&lt;&gt;")&gt;1),"DUPLICADO","OK"))</f>
      </c>
      <c r="AA10" s="3056">
        <f>IF(A10="","",IF(OR(LEN(Q10)&gt;180,LEN(R10)&gt;180,LEN(S10)&gt;180,LEN(T10)&gt;180),"CAMINHO LONGO","OK"))</f>
      </c>
      <c r="AB10" s="3056">
        <f>IF(A10="","",IF(U10="","",IFERROR(INT(U10-TODAY()),"")))</f>
      </c>
      <c r="AC10" s="3056">
        <f>IF(A10="","",IF(AND(T10="",U10=""),"",IF(T10="","SEM CAMINHO",IF(U10="","SEM DATA",IFERROR(IF(AB10&lt;15,"VERMELHO",IF(AB10&lt;=30,"AMARELO","VERDE")),"DATA INVALIDA")))))</f>
      </c>
      <c r="AD10" s="3056">
        <f>IF(OR(A10="",U10="",NOT(ISNUMBER(AB10))),"",RANK(AB10,$AB$3:$AB$164,1)+COUNTIFS($AB$3:AB10,AB10)-1)</f>
      </c>
      <c r="AE10" s="1736"/>
    </row>
    <row r="11" spans="1:19" ht="22.0" hidden="false" customHeight="true" x14ac:dyDescent="0.25">
      <c r="A11" s="3119" t="s">
        <v>29</v>
      </c>
      <c r="B11" s="3118" t="s">
        <v>9</v>
      </c>
      <c r="C11" s="3118" t="s">
        <v>16</v>
      </c>
      <c r="D11" s="3118" t="s">
        <v>30</v>
      </c>
      <c r="E11" s="3118"/>
      <c r="F11" s="3118" t="s">
        <v>12</v>
      </c>
      <c r="G11" s="3118" t="s">
        <v>13</v>
      </c>
      <c r="H11" s="3118" t="s">
        <v>14</v>
      </c>
      <c r="I11" s="3118" t="s">
        <v>344</v>
      </c>
      <c r="J11" s="3118" t="s">
        <v>344</v>
      </c>
      <c r="K11" s="3118" t="s">
        <v>344</v>
      </c>
      <c r="L11" s="3118" t="s">
        <v>344</v>
      </c>
      <c r="M11" s="3118" t="s">
        <v>344</v>
      </c>
      <c r="N11" s="3118" t="s">
        <v>344</v>
      </c>
      <c r="O11" s="3118" t="s">
        <v>344</v>
      </c>
      <c r="P11" s="3118" t="s">
        <v>344</v>
      </c>
      <c r="Q11" s="3121"/>
      <c r="R11" s="3121"/>
      <c r="S11" s="3121"/>
      <c r="T11" s="3121"/>
      <c r="U11" s="3122"/>
      <c r="V11" s="3118"/>
      <c r="W11" s="3118"/>
      <c r="X11" s="3056">
        <f>IF(A11="","",IF(LEN(SUBSTITUTE(SUBSTITUTE(SUBSTITUTE(SUBSTITUTE(D11,".",""),"/",""),"-","")," ",""))&lt;&gt;14,"CNPJ INVALIDO","OK"))</f>
      </c>
      <c r="Y11" s="3056">
        <f>IF(A11="","",IF(R11="","REST PENDENTE","REST OK"))</f>
      </c>
      <c r="Z11" s="3056">
        <f>IF(A11="","",IF(AND(R11&lt;&gt;"",COUNTIFS($D$3:$D$164,D11,$R$3:$R$164,"&lt;&gt;")&gt;1),"DUPLICADO","OK"))</f>
      </c>
      <c r="AA11" s="3056">
        <f>IF(A11="","",IF(OR(LEN(Q11)&gt;180,LEN(R11)&gt;180,LEN(S11)&gt;180,LEN(T11)&gt;180),"CAMINHO LONGO","OK"))</f>
      </c>
      <c r="AB11" s="3056">
        <f>IF(A11="","",IF(U11="","",IFERROR(INT(U11-TODAY()),"")))</f>
      </c>
      <c r="AC11" s="3056">
        <f>IF(A11="","",IF(AND(T11="",U11=""),"",IF(T11="","SEM CAMINHO",IF(U11="","SEM DATA",IFERROR(IF(AB11&lt;15,"VERMELHO",IF(AB11&lt;=30,"AMARELO","VERDE")),"DATA INVALIDA")))))</f>
      </c>
      <c r="AD11" s="3056">
        <f>IF(OR(A11="",U11="",NOT(ISNUMBER(AB11))),"",RANK(AB11,$AB$3:$AB$164,1)+COUNTIFS($AB$3:AB11,AB11)-1)</f>
      </c>
      <c r="AE11" s="1736"/>
    </row>
    <row r="12" spans="1:19" ht="22.0" hidden="false" customHeight="true" x14ac:dyDescent="0.25">
      <c r="A12" s="3124" t="s">
        <v>31</v>
      </c>
      <c r="B12" s="3123" t="s">
        <v>9</v>
      </c>
      <c r="C12" s="3123" t="s">
        <v>24</v>
      </c>
      <c r="D12" s="3123" t="s">
        <v>32</v>
      </c>
      <c r="E12" s="3123"/>
      <c r="F12" s="3123" t="s">
        <v>12</v>
      </c>
      <c r="G12" s="3123" t="s">
        <v>13</v>
      </c>
      <c r="H12" s="3123" t="s">
        <v>14</v>
      </c>
      <c r="I12" s="3123" t="s">
        <v>344</v>
      </c>
      <c r="J12" s="3123" t="s">
        <v>344</v>
      </c>
      <c r="K12" s="3123" t="s">
        <v>344</v>
      </c>
      <c r="L12" s="3123" t="s">
        <v>344</v>
      </c>
      <c r="M12" s="3123" t="s">
        <v>344</v>
      </c>
      <c r="N12" s="3123" t="s">
        <v>344</v>
      </c>
      <c r="O12" s="3123" t="s">
        <v>344</v>
      </c>
      <c r="P12" s="3123" t="s">
        <v>344</v>
      </c>
      <c r="Q12" s="3126"/>
      <c r="R12" s="3126"/>
      <c r="S12" s="3126"/>
      <c r="T12" s="3126"/>
      <c r="U12" s="3127"/>
      <c r="V12" s="3123"/>
      <c r="W12" s="3123"/>
      <c r="X12" s="3056">
        <f>IF(A12="","",IF(LEN(SUBSTITUTE(SUBSTITUTE(SUBSTITUTE(SUBSTITUTE(D12,".",""),"/",""),"-","")," ",""))&lt;&gt;14,"CNPJ INVALIDO","OK"))</f>
      </c>
      <c r="Y12" s="3056">
        <f>IF(A12="","",IF(R12="","REST PENDENTE","REST OK"))</f>
      </c>
      <c r="Z12" s="3056">
        <f>IF(A12="","",IF(AND(R12&lt;&gt;"",COUNTIFS($D$3:$D$164,D12,$R$3:$R$164,"&lt;&gt;")&gt;1),"DUPLICADO","OK"))</f>
      </c>
      <c r="AA12" s="3056">
        <f>IF(A12="","",IF(OR(LEN(Q12)&gt;180,LEN(R12)&gt;180,LEN(S12)&gt;180,LEN(T12)&gt;180),"CAMINHO LONGO","OK"))</f>
      </c>
      <c r="AB12" s="3056">
        <f>IF(A12="","",IF(U12="","",IFERROR(INT(U12-TODAY()),"")))</f>
      </c>
      <c r="AC12" s="3056">
        <f>IF(A12="","",IF(AND(T12="",U12=""),"",IF(T12="","SEM CAMINHO",IF(U12="","SEM DATA",IFERROR(IF(AB12&lt;15,"VERMELHO",IF(AB12&lt;=30,"AMARELO","VERDE")),"DATA INVALIDA")))))</f>
      </c>
      <c r="AD12" s="3056">
        <f>IF(OR(A12="",U12="",NOT(ISNUMBER(AB12))),"",RANK(AB12,$AB$3:$AB$164,1)+COUNTIFS($AB$3:AB12,AB12)-1)</f>
      </c>
      <c r="AE12" s="1736"/>
    </row>
    <row r="13" spans="1:19" ht="22.0" hidden="false" customHeight="true" x14ac:dyDescent="0.25">
      <c r="A13" s="3119" t="s">
        <v>33</v>
      </c>
      <c r="B13" s="3118" t="s">
        <v>9</v>
      </c>
      <c r="C13" s="3118" t="s">
        <v>24</v>
      </c>
      <c r="D13" s="3118" t="s">
        <v>34</v>
      </c>
      <c r="E13" s="3118"/>
      <c r="F13" s="3118" t="s">
        <v>12</v>
      </c>
      <c r="G13" s="3118" t="s">
        <v>13</v>
      </c>
      <c r="H13" s="3118" t="s">
        <v>14</v>
      </c>
      <c r="I13" s="3118" t="s">
        <v>344</v>
      </c>
      <c r="J13" s="3118" t="s">
        <v>344</v>
      </c>
      <c r="K13" s="3118" t="s">
        <v>344</v>
      </c>
      <c r="L13" s="3118" t="s">
        <v>344</v>
      </c>
      <c r="M13" s="3118" t="s">
        <v>344</v>
      </c>
      <c r="N13" s="3118" t="s">
        <v>344</v>
      </c>
      <c r="O13" s="3118" t="s">
        <v>344</v>
      </c>
      <c r="P13" s="3118" t="s">
        <v>344</v>
      </c>
      <c r="Q13" s="3121"/>
      <c r="R13" s="3121"/>
      <c r="S13" s="3121"/>
      <c r="T13" s="3121"/>
      <c r="U13" s="3122"/>
      <c r="V13" s="3118"/>
      <c r="W13" s="3118"/>
      <c r="X13" s="3056">
        <f>IF(A13="","",IF(LEN(SUBSTITUTE(SUBSTITUTE(SUBSTITUTE(SUBSTITUTE(D13,".",""),"/",""),"-","")," ",""))&lt;&gt;14,"CNPJ INVALIDO","OK"))</f>
      </c>
      <c r="Y13" s="3056">
        <f>IF(A13="","",IF(R13="","REST PENDENTE","REST OK"))</f>
      </c>
      <c r="Z13" s="3056">
        <f>IF(A13="","",IF(AND(R13&lt;&gt;"",COUNTIFS($D$3:$D$164,D13,$R$3:$R$164,"&lt;&gt;")&gt;1),"DUPLICADO","OK"))</f>
      </c>
      <c r="AA13" s="3056">
        <f>IF(A13="","",IF(OR(LEN(Q13)&gt;180,LEN(R13)&gt;180,LEN(S13)&gt;180,LEN(T13)&gt;180),"CAMINHO LONGO","OK"))</f>
      </c>
      <c r="AB13" s="3056">
        <f>IF(A13="","",IF(U13="","",IFERROR(INT(U13-TODAY()),"")))</f>
      </c>
      <c r="AC13" s="3056">
        <f>IF(A13="","",IF(AND(T13="",U13=""),"",IF(T13="","SEM CAMINHO",IF(U13="","SEM DATA",IFERROR(IF(AB13&lt;15,"VERMELHO",IF(AB13&lt;=30,"AMARELO","VERDE")),"DATA INVALIDA")))))</f>
      </c>
      <c r="AD13" s="3056">
        <f>IF(OR(A13="",U13="",NOT(ISNUMBER(AB13))),"",RANK(AB13,$AB$3:$AB$164,1)+COUNTIFS($AB$3:AB13,AB13)-1)</f>
      </c>
      <c r="AE13" s="1736"/>
    </row>
    <row r="14" spans="1:19" ht="22.0" hidden="false" customHeight="true" x14ac:dyDescent="0.25">
      <c r="A14" s="3124" t="s">
        <v>35</v>
      </c>
      <c r="B14" s="3123" t="s">
        <v>9</v>
      </c>
      <c r="C14" s="3123" t="s">
        <v>24</v>
      </c>
      <c r="D14" s="3123" t="s">
        <v>36</v>
      </c>
      <c r="E14" s="3123"/>
      <c r="F14" s="3123" t="s">
        <v>37</v>
      </c>
      <c r="G14" s="3123" t="s">
        <v>13</v>
      </c>
      <c r="H14" s="3123" t="s">
        <v>14</v>
      </c>
      <c r="I14" s="3123" t="s">
        <v>344</v>
      </c>
      <c r="J14" s="3123" t="s">
        <v>344</v>
      </c>
      <c r="K14" s="3123" t="s">
        <v>344</v>
      </c>
      <c r="L14" s="3123" t="s">
        <v>344</v>
      </c>
      <c r="M14" s="3123" t="s">
        <v>344</v>
      </c>
      <c r="N14" s="3123" t="s">
        <v>344</v>
      </c>
      <c r="O14" s="3123" t="s">
        <v>344</v>
      </c>
      <c r="P14" s="3123" t="s">
        <v>344</v>
      </c>
      <c r="Q14" s="3126"/>
      <c r="R14" s="3126"/>
      <c r="S14" s="3126"/>
      <c r="T14" s="3126"/>
      <c r="U14" s="3127"/>
      <c r="V14" s="3123"/>
      <c r="W14" s="3123"/>
      <c r="X14" s="3056">
        <f>IF(A14="","",IF(LEN(SUBSTITUTE(SUBSTITUTE(SUBSTITUTE(SUBSTITUTE(D14,".",""),"/",""),"-","")," ",""))&lt;&gt;14,"CNPJ INVALIDO","OK"))</f>
      </c>
      <c r="Y14" s="3056">
        <f>IF(A14="","",IF(R14="","REST PENDENTE","REST OK"))</f>
      </c>
      <c r="Z14" s="3056">
        <f>IF(A14="","",IF(AND(R14&lt;&gt;"",COUNTIFS($D$3:$D$164,D14,$R$3:$R$164,"&lt;&gt;")&gt;1),"DUPLICADO","OK"))</f>
      </c>
      <c r="AA14" s="3056">
        <f>IF(A14="","",IF(OR(LEN(Q14)&gt;180,LEN(R14)&gt;180,LEN(S14)&gt;180,LEN(T14)&gt;180),"CAMINHO LONGO","OK"))</f>
      </c>
      <c r="AB14" s="3056">
        <f>IF(A14="","",IF(U14="","",IFERROR(INT(U14-TODAY()),"")))</f>
      </c>
      <c r="AC14" s="3056">
        <f>IF(A14="","",IF(AND(T14="",U14=""),"",IF(T14="","SEM CAMINHO",IF(U14="","SEM DATA",IFERROR(IF(AB14&lt;15,"VERMELHO",IF(AB14&lt;=30,"AMARELO","VERDE")),"DATA INVALIDA")))))</f>
      </c>
      <c r="AD14" s="3056">
        <f>IF(OR(A14="",U14="",NOT(ISNUMBER(AB14))),"",RANK(AB14,$AB$3:$AB$164,1)+COUNTIFS($AB$3:AB14,AB14)-1)</f>
      </c>
      <c r="AE14" s="1736"/>
    </row>
    <row r="15" spans="1:19" ht="22.0" hidden="false" customHeight="true" x14ac:dyDescent="0.25">
      <c r="A15" s="3119" t="s">
        <v>38</v>
      </c>
      <c r="B15" s="3118" t="s">
        <v>9</v>
      </c>
      <c r="C15" s="3118" t="s">
        <v>16</v>
      </c>
      <c r="D15" s="3118" t="s">
        <v>39</v>
      </c>
      <c r="E15" s="3118"/>
      <c r="F15" s="3118" t="s">
        <v>37</v>
      </c>
      <c r="G15" s="3118" t="s">
        <v>13</v>
      </c>
      <c r="H15" s="3118" t="s">
        <v>14</v>
      </c>
      <c r="I15" s="3118" t="s">
        <v>344</v>
      </c>
      <c r="J15" s="3118" t="s">
        <v>344</v>
      </c>
      <c r="K15" s="3118" t="s">
        <v>344</v>
      </c>
      <c r="L15" s="3118" t="s">
        <v>344</v>
      </c>
      <c r="M15" s="3118" t="s">
        <v>344</v>
      </c>
      <c r="N15" s="3118" t="s">
        <v>344</v>
      </c>
      <c r="O15" s="3118" t="s">
        <v>344</v>
      </c>
      <c r="P15" s="3118" t="s">
        <v>344</v>
      </c>
      <c r="Q15" s="3121"/>
      <c r="R15" s="3121"/>
      <c r="S15" s="3121"/>
      <c r="T15" s="3121"/>
      <c r="U15" s="3122"/>
      <c r="V15" s="3118"/>
      <c r="W15" s="3118"/>
      <c r="X15" s="3056">
        <f>IF(A15="","",IF(LEN(SUBSTITUTE(SUBSTITUTE(SUBSTITUTE(SUBSTITUTE(D15,".",""),"/",""),"-","")," ",""))&lt;&gt;14,"CNPJ INVALIDO","OK"))</f>
      </c>
      <c r="Y15" s="3056">
        <f>IF(A15="","",IF(R15="","REST PENDENTE","REST OK"))</f>
      </c>
      <c r="Z15" s="3056">
        <f>IF(A15="","",IF(AND(R15&lt;&gt;"",COUNTIFS($D$3:$D$164,D15,$R$3:$R$164,"&lt;&gt;")&gt;1),"DUPLICADO","OK"))</f>
      </c>
      <c r="AA15" s="3056">
        <f>IF(A15="","",IF(OR(LEN(Q15)&gt;180,LEN(R15)&gt;180,LEN(S15)&gt;180,LEN(T15)&gt;180),"CAMINHO LONGO","OK"))</f>
      </c>
      <c r="AB15" s="3056">
        <f>IF(A15="","",IF(U15="","",IFERROR(INT(U15-TODAY()),"")))</f>
      </c>
      <c r="AC15" s="3056">
        <f>IF(A15="","",IF(AND(T15="",U15=""),"",IF(T15="","SEM CAMINHO",IF(U15="","SEM DATA",IFERROR(IF(AB15&lt;15,"VERMELHO",IF(AB15&lt;=30,"AMARELO","VERDE")),"DATA INVALIDA")))))</f>
      </c>
      <c r="AD15" s="3056">
        <f>IF(OR(A15="",U15="",NOT(ISNUMBER(AB15))),"",RANK(AB15,$AB$3:$AB$164,1)+COUNTIFS($AB$3:AB15,AB15)-1)</f>
      </c>
      <c r="AE15" s="1736"/>
    </row>
    <row r="16" spans="1:19" ht="22.0" hidden="false" customHeight="true" x14ac:dyDescent="0.25">
      <c r="A16" s="3124" t="s">
        <v>40</v>
      </c>
      <c r="B16" s="3123" t="s">
        <v>9</v>
      </c>
      <c r="C16" s="3123" t="s">
        <v>24</v>
      </c>
      <c r="D16" s="3123">
        <v>17608570000161</v>
      </c>
      <c r="E16" s="3123"/>
      <c r="F16" s="3123" t="s">
        <v>12</v>
      </c>
      <c r="G16" s="3123" t="s">
        <v>41</v>
      </c>
      <c r="H16" s="3123" t="s">
        <v>5</v>
      </c>
      <c r="I16" s="3123" t="s">
        <v>344</v>
      </c>
      <c r="J16" s="3123" t="s">
        <v>344</v>
      </c>
      <c r="K16" s="3123" t="s">
        <v>344</v>
      </c>
      <c r="L16" s="3123" t="s">
        <v>344</v>
      </c>
      <c r="M16" s="3123" t="s">
        <v>344</v>
      </c>
      <c r="N16" s="3123" t="s">
        <v>344</v>
      </c>
      <c r="O16" s="3123" t="s">
        <v>344</v>
      </c>
      <c r="P16" s="3123" t="s">
        <v>344</v>
      </c>
      <c r="Q16" s="3126"/>
      <c r="R16" s="3126"/>
      <c r="S16" s="3126"/>
      <c r="T16" s="3126"/>
      <c r="U16" s="3127"/>
      <c r="V16" s="3123"/>
      <c r="W16" s="3123"/>
      <c r="X16" s="3056">
        <f>IF(A16="","",IF(LEN(SUBSTITUTE(SUBSTITUTE(SUBSTITUTE(SUBSTITUTE(D16,".",""),"/",""),"-","")," ",""))&lt;&gt;14,"CNPJ INVALIDO","OK"))</f>
      </c>
      <c r="Y16" s="3056">
        <f>IF(A16="","",IF(R16="","REST PENDENTE","REST OK"))</f>
      </c>
      <c r="Z16" s="3056">
        <f>IF(A16="","",IF(AND(R16&lt;&gt;"",COUNTIFS($D$3:$D$164,D16,$R$3:$R$164,"&lt;&gt;")&gt;1),"DUPLICADO","OK"))</f>
      </c>
      <c r="AA16" s="3056">
        <f>IF(A16="","",IF(OR(LEN(Q16)&gt;180,LEN(R16)&gt;180,LEN(S16)&gt;180,LEN(T16)&gt;180),"CAMINHO LONGO","OK"))</f>
      </c>
      <c r="AB16" s="3056">
        <f>IF(A16="","",IF(U16="","",IFERROR(INT(U16-TODAY()),"")))</f>
      </c>
      <c r="AC16" s="3056">
        <f>IF(A16="","",IF(AND(T16="",U16=""),"",IF(T16="","SEM CAMINHO",IF(U16="","SEM DATA",IFERROR(IF(AB16&lt;15,"VERMELHO",IF(AB16&lt;=30,"AMARELO","VERDE")),"DATA INVALIDA")))))</f>
      </c>
      <c r="AD16" s="3056">
        <f>IF(OR(A16="",U16="",NOT(ISNUMBER(AB16))),"",RANK(AB16,$AB$3:$AB$164,1)+COUNTIFS($AB$3:AB16,AB16)-1)</f>
      </c>
      <c r="AE16" s="1736"/>
    </row>
    <row r="17" spans="1:19" ht="22.0" hidden="false" customHeight="true" x14ac:dyDescent="0.25">
      <c r="A17" s="3119" t="s">
        <v>42</v>
      </c>
      <c r="B17" s="3118" t="s">
        <v>9</v>
      </c>
      <c r="C17" s="3118" t="s">
        <v>24</v>
      </c>
      <c r="D17" s="3118" t="s">
        <v>43</v>
      </c>
      <c r="E17" s="3118"/>
      <c r="F17" s="3118" t="s">
        <v>12</v>
      </c>
      <c r="G17" s="3118" t="s">
        <v>41</v>
      </c>
      <c r="H17" s="3118" t="s">
        <v>5</v>
      </c>
      <c r="I17" s="3118"/>
      <c r="J17" s="3118"/>
      <c r="K17" s="3118"/>
      <c r="L17" s="3118"/>
      <c r="M17" s="3118" t="s">
        <v>376</v>
      </c>
      <c r="N17" s="3118"/>
      <c r="O17" s="3118" t="s">
        <v>345</v>
      </c>
      <c r="P17" s="3118" t="s">
        <v>346</v>
      </c>
      <c r="Q17" s="3121"/>
      <c r="R17" s="3121"/>
      <c r="S17" s="3121"/>
      <c r="T17" s="3121"/>
      <c r="U17" s="3122"/>
      <c r="V17" s="3118"/>
      <c r="W17" s="3118"/>
      <c r="X17" s="3056">
        <f>IF(A17="","",IF(LEN(SUBSTITUTE(SUBSTITUTE(SUBSTITUTE(SUBSTITUTE(D17,".",""),"/",""),"-","")," ",""))&lt;&gt;14,"CNPJ INVALIDO","OK"))</f>
      </c>
      <c r="Y17" s="3056">
        <f>IF(A17="","",IF(R17="","REST PENDENTE","REST OK"))</f>
      </c>
      <c r="Z17" s="3056">
        <f>IF(A17="","",IF(AND(R17&lt;&gt;"",COUNTIFS($D$3:$D$164,D17,$R$3:$R$164,"&lt;&gt;")&gt;1),"DUPLICADO","OK"))</f>
      </c>
      <c r="AA17" s="3056">
        <f>IF(A17="","",IF(OR(LEN(Q17)&gt;180,LEN(R17)&gt;180,LEN(S17)&gt;180,LEN(T17)&gt;180),"CAMINHO LONGO","OK"))</f>
      </c>
      <c r="AB17" s="3056">
        <f>IF(A17="","",IF(U17="","",IFERROR(INT(U17-TODAY()),"")))</f>
      </c>
      <c r="AC17" s="3056">
        <f>IF(A17="","",IF(AND(T17="",U17=""),"",IF(T17="","SEM CAMINHO",IF(U17="","SEM DATA",IFERROR(IF(AB17&lt;15,"VERMELHO",IF(AB17&lt;=30,"AMARELO","VERDE")),"DATA INVALIDA")))))</f>
      </c>
      <c r="AD17" s="3056">
        <f>IF(OR(A17="",U17="",NOT(ISNUMBER(AB17))),"",RANK(AB17,$AB$3:$AB$164,1)+COUNTIFS($AB$3:AB17,AB17)-1)</f>
      </c>
      <c r="AE17" s="1736"/>
    </row>
    <row r="18" spans="1:19" ht="22.0" hidden="false" customHeight="true" x14ac:dyDescent="0.25">
      <c r="A18" s="3124" t="s">
        <v>44</v>
      </c>
      <c r="B18" s="3123" t="s">
        <v>45</v>
      </c>
      <c r="C18" s="3123" t="s">
        <v>46</v>
      </c>
      <c r="D18" s="3123" t="s">
        <v>47</v>
      </c>
      <c r="E18" s="3123"/>
      <c r="F18" s="3123" t="s">
        <v>48</v>
      </c>
      <c r="G18" s="3123" t="s">
        <v>13</v>
      </c>
      <c r="H18" s="3123" t="s">
        <v>49</v>
      </c>
      <c r="I18" s="3123"/>
      <c r="J18" s="3123"/>
      <c r="K18" s="3123"/>
      <c r="L18" s="3123"/>
      <c r="M18" s="3123" t="s">
        <v>377</v>
      </c>
      <c r="N18" s="3123"/>
      <c r="O18" s="3123" t="s">
        <v>347</v>
      </c>
      <c r="P18" s="3123"/>
      <c r="Q18" s="3126"/>
      <c r="R18" s="3126"/>
      <c r="S18" s="3126"/>
      <c r="T18" s="3126"/>
      <c r="U18" s="3127"/>
      <c r="V18" s="3123"/>
      <c r="W18" s="3123"/>
      <c r="X18" s="3056">
        <f>IF(A18="","",IF(LEN(SUBSTITUTE(SUBSTITUTE(SUBSTITUTE(SUBSTITUTE(D18,".",""),"/",""),"-","")," ",""))&lt;&gt;14,"CNPJ INVALIDO","OK"))</f>
      </c>
      <c r="Y18" s="3056">
        <f>IF(A18="","",IF(R18="","REST PENDENTE","REST OK"))</f>
      </c>
      <c r="Z18" s="3056">
        <f>IF(A18="","",IF(AND(R18&lt;&gt;"",COUNTIFS($D$3:$D$164,D18,$R$3:$R$164,"&lt;&gt;")&gt;1),"DUPLICADO","OK"))</f>
      </c>
      <c r="AA18" s="3056">
        <f>IF(A18="","",IF(OR(LEN(Q18)&gt;180,LEN(R18)&gt;180,LEN(S18)&gt;180,LEN(T18)&gt;180),"CAMINHO LONGO","OK"))</f>
      </c>
      <c r="AB18" s="3056">
        <f>IF(A18="","",IF(U18="","",IFERROR(INT(U18-TODAY()),"")))</f>
      </c>
      <c r="AC18" s="3056">
        <f>IF(A18="","",IF(AND(T18="",U18=""),"",IF(T18="","SEM CAMINHO",IF(U18="","SEM DATA",IFERROR(IF(AB18&lt;15,"VERMELHO",IF(AB18&lt;=30,"AMARELO","VERDE")),"DATA INVALIDA")))))</f>
      </c>
      <c r="AD18" s="3056">
        <f>IF(OR(A18="",U18="",NOT(ISNUMBER(AB18))),"",RANK(AB18,$AB$3:$AB$164,1)+COUNTIFS($AB$3:AB18,AB18)-1)</f>
      </c>
      <c r="AE18" s="1736"/>
    </row>
    <row r="19" spans="1:19" ht="22.0" hidden="false" customHeight="true" x14ac:dyDescent="0.25">
      <c r="A19" s="3119" t="s">
        <v>50</v>
      </c>
      <c r="B19" s="3118" t="s">
        <v>45</v>
      </c>
      <c r="C19" s="3118" t="s">
        <v>46</v>
      </c>
      <c r="D19" s="3118" t="s">
        <v>51</v>
      </c>
      <c r="E19" s="3118"/>
      <c r="F19" s="3118" t="s">
        <v>48</v>
      </c>
      <c r="G19" s="3118" t="s">
        <v>13</v>
      </c>
      <c r="H19" s="3118" t="s">
        <v>49</v>
      </c>
      <c r="I19" s="3118"/>
      <c r="J19" s="3118"/>
      <c r="K19" s="3118"/>
      <c r="L19" s="3118"/>
      <c r="M19" s="3118" t="s">
        <v>377</v>
      </c>
      <c r="N19" s="3118"/>
      <c r="O19" s="3118" t="s">
        <v>347</v>
      </c>
      <c r="P19" s="3118"/>
      <c r="Q19" s="3121"/>
      <c r="R19" s="3121"/>
      <c r="S19" s="3121"/>
      <c r="T19" s="3121"/>
      <c r="U19" s="3122"/>
      <c r="V19" s="3118"/>
      <c r="W19" s="3118"/>
      <c r="X19" s="3056">
        <f>IF(A19="","",IF(LEN(SUBSTITUTE(SUBSTITUTE(SUBSTITUTE(SUBSTITUTE(D19,".",""),"/",""),"-","")," ",""))&lt;&gt;14,"CNPJ INVALIDO","OK"))</f>
      </c>
      <c r="Y19" s="3056">
        <f>IF(A19="","",IF(R19="","REST PENDENTE","REST OK"))</f>
      </c>
      <c r="Z19" s="3056">
        <f>IF(A19="","",IF(AND(R19&lt;&gt;"",COUNTIFS($D$3:$D$164,D19,$R$3:$R$164,"&lt;&gt;")&gt;1),"DUPLICADO","OK"))</f>
      </c>
      <c r="AA19" s="3056">
        <f>IF(A19="","",IF(OR(LEN(Q19)&gt;180,LEN(R19)&gt;180,LEN(S19)&gt;180,LEN(T19)&gt;180),"CAMINHO LONGO","OK"))</f>
      </c>
      <c r="AB19" s="3056">
        <f>IF(A19="","",IF(U19="","",IFERROR(INT(U19-TODAY()),"")))</f>
      </c>
      <c r="AC19" s="3056">
        <f>IF(A19="","",IF(AND(T19="",U19=""),"",IF(T19="","SEM CAMINHO",IF(U19="","SEM DATA",IFERROR(IF(AB19&lt;15,"VERMELHO",IF(AB19&lt;=30,"AMARELO","VERDE")),"DATA INVALIDA")))))</f>
      </c>
      <c r="AD19" s="3056">
        <f>IF(OR(A19="",U19="",NOT(ISNUMBER(AB19))),"",RANK(AB19,$AB$3:$AB$164,1)+COUNTIFS($AB$3:AB19,AB19)-1)</f>
      </c>
      <c r="AE19" s="1736"/>
    </row>
    <row r="20" spans="1:19" ht="22.0" hidden="false" customHeight="true" x14ac:dyDescent="0.25">
      <c r="A20" s="3124" t="s">
        <v>52</v>
      </c>
      <c r="B20" s="3123" t="s">
        <v>45</v>
      </c>
      <c r="C20" s="3123" t="s">
        <v>46</v>
      </c>
      <c r="D20" s="3123" t="s">
        <v>53</v>
      </c>
      <c r="E20" s="3123"/>
      <c r="F20" s="3123" t="s">
        <v>48</v>
      </c>
      <c r="G20" s="3123" t="s">
        <v>13</v>
      </c>
      <c r="H20" s="3123" t="s">
        <v>14</v>
      </c>
      <c r="I20" s="3123"/>
      <c r="J20" s="3123"/>
      <c r="K20" s="3123"/>
      <c r="L20" s="3123"/>
      <c r="M20" s="3123" t="s">
        <v>377</v>
      </c>
      <c r="N20" s="3123"/>
      <c r="O20" s="3123" t="s">
        <v>347</v>
      </c>
      <c r="P20" s="3123"/>
      <c r="Q20" s="3126"/>
      <c r="R20" s="3126"/>
      <c r="S20" s="3126"/>
      <c r="T20" s="3126"/>
      <c r="U20" s="3127"/>
      <c r="V20" s="3123"/>
      <c r="W20" s="3123"/>
      <c r="X20" s="3056">
        <f>IF(A20="","",IF(LEN(SUBSTITUTE(SUBSTITUTE(SUBSTITUTE(SUBSTITUTE(D20,".",""),"/",""),"-","")," ",""))&lt;&gt;14,"CNPJ INVALIDO","OK"))</f>
      </c>
      <c r="Y20" s="3056">
        <f>IF(A20="","",IF(R20="","REST PENDENTE","REST OK"))</f>
      </c>
      <c r="Z20" s="3056">
        <f>IF(A20="","",IF(AND(R20&lt;&gt;"",COUNTIFS($D$3:$D$164,D20,$R$3:$R$164,"&lt;&gt;")&gt;1),"DUPLICADO","OK"))</f>
      </c>
      <c r="AA20" s="3056">
        <f>IF(A20="","",IF(OR(LEN(Q20)&gt;180,LEN(R20)&gt;180,LEN(S20)&gt;180,LEN(T20)&gt;180),"CAMINHO LONGO","OK"))</f>
      </c>
      <c r="AB20" s="3056">
        <f>IF(A20="","",IF(U20="","",IFERROR(INT(U20-TODAY()),"")))</f>
      </c>
      <c r="AC20" s="3056">
        <f>IF(A20="","",IF(AND(T20="",U20=""),"",IF(T20="","SEM CAMINHO",IF(U20="","SEM DATA",IFERROR(IF(AB20&lt;15,"VERMELHO",IF(AB20&lt;=30,"AMARELO","VERDE")),"DATA INVALIDA")))))</f>
      </c>
      <c r="AD20" s="3056">
        <f>IF(OR(A20="",U20="",NOT(ISNUMBER(AB20))),"",RANK(AB20,$AB$3:$AB$164,1)+COUNTIFS($AB$3:AB20,AB20)-1)</f>
      </c>
      <c r="AE20" s="1736"/>
    </row>
    <row r="21" spans="1:19" ht="22.0" hidden="false" customHeight="true" x14ac:dyDescent="0.25">
      <c r="A21" s="3119" t="s">
        <v>54</v>
      </c>
      <c r="B21" s="3118" t="s">
        <v>55</v>
      </c>
      <c r="C21" s="3118" t="s">
        <v>56</v>
      </c>
      <c r="D21" s="3118">
        <v>57123358000129</v>
      </c>
      <c r="E21" s="3118"/>
      <c r="F21" s="3118" t="s">
        <v>57</v>
      </c>
      <c r="G21" s="3118" t="s">
        <v>4</v>
      </c>
      <c r="H21" s="3118" t="s">
        <v>14</v>
      </c>
      <c r="I21" s="3118"/>
      <c r="J21" s="3118"/>
      <c r="K21" s="3118"/>
      <c r="L21" s="3118"/>
      <c r="M21" s="3118" t="s">
        <v>376</v>
      </c>
      <c r="N21" s="3118"/>
      <c r="O21" s="3118" t="s">
        <v>349</v>
      </c>
      <c r="P21" s="3118"/>
      <c r="Q21" s="3121"/>
      <c r="R21" s="3121"/>
      <c r="S21" s="3121"/>
      <c r="T21" s="3121"/>
      <c r="U21" s="3122"/>
      <c r="V21" s="3118"/>
      <c r="W21" s="3118"/>
      <c r="X21" s="3056">
        <f>IF(A21="","",IF(LEN(SUBSTITUTE(SUBSTITUTE(SUBSTITUTE(SUBSTITUTE(D21,".",""),"/",""),"-","")," ",""))&lt;&gt;14,"CNPJ INVALIDO","OK"))</f>
      </c>
      <c r="Y21" s="3056">
        <f>IF(A21="","",IF(R21="","REST PENDENTE","REST OK"))</f>
      </c>
      <c r="Z21" s="3056">
        <f>IF(A21="","",IF(AND(R21&lt;&gt;"",COUNTIFS($D$3:$D$164,D21,$R$3:$R$164,"&lt;&gt;")&gt;1),"DUPLICADO","OK"))</f>
      </c>
      <c r="AA21" s="3056">
        <f>IF(A21="","",IF(OR(LEN(Q21)&gt;180,LEN(R21)&gt;180,LEN(S21)&gt;180,LEN(T21)&gt;180),"CAMINHO LONGO","OK"))</f>
      </c>
      <c r="AB21" s="3056">
        <f>IF(A21="","",IF(U21="","",IFERROR(INT(U21-TODAY()),"")))</f>
      </c>
      <c r="AC21" s="3056">
        <f>IF(A21="","",IF(AND(T21="",U21=""),"",IF(T21="","SEM CAMINHO",IF(U21="","SEM DATA",IFERROR(IF(AB21&lt;15,"VERMELHO",IF(AB21&lt;=30,"AMARELO","VERDE")),"DATA INVALIDA")))))</f>
      </c>
      <c r="AD21" s="3056">
        <f>IF(OR(A21="",U21="",NOT(ISNUMBER(AB21))),"",RANK(AB21,$AB$3:$AB$164,1)+COUNTIFS($AB$3:AB21,AB21)-1)</f>
      </c>
      <c r="AE21" s="1736"/>
    </row>
    <row r="22" spans="1:19" ht="22.0" hidden="false" customHeight="true" x14ac:dyDescent="0.25">
      <c r="A22" s="3124" t="s">
        <v>58</v>
      </c>
      <c r="B22" s="3123" t="s">
        <v>45</v>
      </c>
      <c r="C22" s="3123" t="s">
        <v>59</v>
      </c>
      <c r="D22" s="3123">
        <v>40870380000130</v>
      </c>
      <c r="E22" s="3123"/>
      <c r="F22" s="3123" t="s">
        <v>48</v>
      </c>
      <c r="G22" s="3123" t="s">
        <v>4</v>
      </c>
      <c r="H22" s="3123" t="s">
        <v>14</v>
      </c>
      <c r="I22" s="3123"/>
      <c r="J22" s="3123"/>
      <c r="K22" s="3123"/>
      <c r="L22" s="3123"/>
      <c r="M22" s="3123" t="s">
        <v>378</v>
      </c>
      <c r="N22" s="3123"/>
      <c r="O22" s="3123" t="s">
        <v>348</v>
      </c>
      <c r="P22" s="3123"/>
      <c r="Q22" s="3126"/>
      <c r="R22" s="3126"/>
      <c r="S22" s="3126"/>
      <c r="T22" s="3126"/>
      <c r="U22" s="3127"/>
      <c r="V22" s="3123"/>
      <c r="W22" s="3123"/>
      <c r="X22" s="3056">
        <f>IF(A22="","",IF(LEN(SUBSTITUTE(SUBSTITUTE(SUBSTITUTE(SUBSTITUTE(D22,".",""),"/",""),"-","")," ",""))&lt;&gt;14,"CNPJ INVALIDO","OK"))</f>
      </c>
      <c r="Y22" s="3056">
        <f>IF(A22="","",IF(R22="","REST PENDENTE","REST OK"))</f>
      </c>
      <c r="Z22" s="3056">
        <f>IF(A22="","",IF(AND(R22&lt;&gt;"",COUNTIFS($D$3:$D$164,D22,$R$3:$R$164,"&lt;&gt;")&gt;1),"DUPLICADO","OK"))</f>
      </c>
      <c r="AA22" s="3056">
        <f>IF(A22="","",IF(OR(LEN(Q22)&gt;180,LEN(R22)&gt;180,LEN(S22)&gt;180,LEN(T22)&gt;180),"CAMINHO LONGO","OK"))</f>
      </c>
      <c r="AB22" s="3056">
        <f>IF(A22="","",IF(U22="","",IFERROR(INT(U22-TODAY()),"")))</f>
      </c>
      <c r="AC22" s="3056">
        <f>IF(A22="","",IF(AND(T22="",U22=""),"",IF(T22="","SEM CAMINHO",IF(U22="","SEM DATA",IFERROR(IF(AB22&lt;15,"VERMELHO",IF(AB22&lt;=30,"AMARELO","VERDE")),"DATA INVALIDA")))))</f>
      </c>
      <c r="AD22" s="3056">
        <f>IF(OR(A22="",U22="",NOT(ISNUMBER(AB22))),"",RANK(AB22,$AB$3:$AB$164,1)+COUNTIFS($AB$3:AB22,AB22)-1)</f>
      </c>
      <c r="AE22" s="1736"/>
    </row>
    <row r="23" spans="1:19" ht="22.0" hidden="false" customHeight="true" x14ac:dyDescent="0.25">
      <c r="A23" s="3119" t="s">
        <v>60</v>
      </c>
      <c r="B23" s="3118" t="s">
        <v>61</v>
      </c>
      <c r="C23" s="3118" t="s">
        <v>62</v>
      </c>
      <c r="D23" s="3118">
        <v>26837949000134</v>
      </c>
      <c r="E23" s="3118"/>
      <c r="F23" s="3118" t="s">
        <v>63</v>
      </c>
      <c r="G23" s="3118" t="s">
        <v>41</v>
      </c>
      <c r="H23" s="3118" t="s">
        <v>5</v>
      </c>
      <c r="I23" s="3118"/>
      <c r="J23" s="3118"/>
      <c r="K23" s="3118"/>
      <c r="L23" s="3118"/>
      <c r="M23" s="3118" t="s">
        <v>379</v>
      </c>
      <c r="N23" s="3118"/>
      <c r="O23" s="3118"/>
      <c r="P23" s="3118"/>
      <c r="Q23" s="3121"/>
      <c r="R23" s="3121"/>
      <c r="S23" s="3121"/>
      <c r="T23" s="3121"/>
      <c r="U23" s="3122"/>
      <c r="V23" s="3118"/>
      <c r="W23" s="3118"/>
      <c r="X23" s="3056">
        <f>IF(A23="","",IF(LEN(SUBSTITUTE(SUBSTITUTE(SUBSTITUTE(SUBSTITUTE(D23,".",""),"/",""),"-","")," ",""))&lt;&gt;14,"CNPJ INVALIDO","OK"))</f>
      </c>
      <c r="Y23" s="3056">
        <f>IF(A23="","",IF(R23="","REST PENDENTE","REST OK"))</f>
      </c>
      <c r="Z23" s="3056">
        <f>IF(A23="","",IF(AND(R23&lt;&gt;"",COUNTIFS($D$3:$D$164,D23,$R$3:$R$164,"&lt;&gt;")&gt;1),"DUPLICADO","OK"))</f>
      </c>
      <c r="AA23" s="3056">
        <f>IF(A23="","",IF(OR(LEN(Q23)&gt;180,LEN(R23)&gt;180,LEN(S23)&gt;180,LEN(T23)&gt;180),"CAMINHO LONGO","OK"))</f>
      </c>
      <c r="AB23" s="3056">
        <f>IF(A23="","",IF(U23="","",IFERROR(INT(U23-TODAY()),"")))</f>
      </c>
      <c r="AC23" s="3056">
        <f>IF(A23="","",IF(AND(T23="",U23=""),"",IF(T23="","SEM CAMINHO",IF(U23="","SEM DATA",IFERROR(IF(AB23&lt;15,"VERMELHO",IF(AB23&lt;=30,"AMARELO","VERDE")),"DATA INVALIDA")))))</f>
      </c>
      <c r="AD23" s="3056">
        <f>IF(OR(A23="",U23="",NOT(ISNUMBER(AB23))),"",RANK(AB23,$AB$3:$AB$164,1)+COUNTIFS($AB$3:AB23,AB23)-1)</f>
      </c>
      <c r="AE23" s="1736"/>
    </row>
    <row r="24" spans="1:19" ht="22.0" hidden="false" customHeight="true" x14ac:dyDescent="0.25">
      <c r="A24" s="3124" t="s">
        <v>64</v>
      </c>
      <c r="B24" s="3123" t="s">
        <v>65</v>
      </c>
      <c r="C24" s="3123" t="s">
        <v>62</v>
      </c>
      <c r="D24" s="3123">
        <v>12923820000134</v>
      </c>
      <c r="E24" s="3123"/>
      <c r="F24" s="3123" t="s">
        <v>66</v>
      </c>
      <c r="G24" s="3123" t="s">
        <v>13</v>
      </c>
      <c r="H24" s="3123" t="s">
        <v>49</v>
      </c>
      <c r="I24" s="3123"/>
      <c r="J24" s="3123"/>
      <c r="K24" s="3123"/>
      <c r="L24" s="3123"/>
      <c r="M24" s="3123" t="s">
        <v>377</v>
      </c>
      <c r="N24" s="3123"/>
      <c r="O24" s="3123" t="s">
        <v>347</v>
      </c>
      <c r="P24" s="3123"/>
      <c r="Q24" s="3126"/>
      <c r="R24" s="3126"/>
      <c r="S24" s="3126"/>
      <c r="T24" s="3126"/>
      <c r="U24" s="3127"/>
      <c r="V24" s="3123"/>
      <c r="W24" s="3123"/>
      <c r="X24" s="3056">
        <f>IF(A24="","",IF(LEN(SUBSTITUTE(SUBSTITUTE(SUBSTITUTE(SUBSTITUTE(D24,".",""),"/",""),"-","")," ",""))&lt;&gt;14,"CNPJ INVALIDO","OK"))</f>
      </c>
      <c r="Y24" s="3056">
        <f>IF(A24="","",IF(R24="","REST PENDENTE","REST OK"))</f>
      </c>
      <c r="Z24" s="3056">
        <f>IF(A24="","",IF(AND(R24&lt;&gt;"",COUNTIFS($D$3:$D$164,D24,$R$3:$R$164,"&lt;&gt;")&gt;1),"DUPLICADO","OK"))</f>
      </c>
      <c r="AA24" s="3056">
        <f>IF(A24="","",IF(OR(LEN(Q24)&gt;180,LEN(R24)&gt;180,LEN(S24)&gt;180,LEN(T24)&gt;180),"CAMINHO LONGO","OK"))</f>
      </c>
      <c r="AB24" s="3056">
        <f>IF(A24="","",IF(U24="","",IFERROR(INT(U24-TODAY()),"")))</f>
      </c>
      <c r="AC24" s="3056">
        <f>IF(A24="","",IF(AND(T24="",U24=""),"",IF(T24="","SEM CAMINHO",IF(U24="","SEM DATA",IFERROR(IF(AB24&lt;15,"VERMELHO",IF(AB24&lt;=30,"AMARELO","VERDE")),"DATA INVALIDA")))))</f>
      </c>
      <c r="AD24" s="3056">
        <f>IF(OR(A24="",U24="",NOT(ISNUMBER(AB24))),"",RANK(AB24,$AB$3:$AB$164,1)+COUNTIFS($AB$3:AB24,AB24)-1)</f>
      </c>
      <c r="AE24" s="1736"/>
    </row>
    <row r="25" spans="1:19" ht="22.0" hidden="false" customHeight="true" x14ac:dyDescent="0.25">
      <c r="A25" s="3119" t="s">
        <v>67</v>
      </c>
      <c r="B25" s="3118" t="s">
        <v>68</v>
      </c>
      <c r="C25" s="3118" t="s">
        <v>69</v>
      </c>
      <c r="D25" s="3118" t="s">
        <v>70</v>
      </c>
      <c r="E25" s="3118"/>
      <c r="F25" s="3118" t="s">
        <v>71</v>
      </c>
      <c r="G25" s="3118" t="s">
        <v>4</v>
      </c>
      <c r="H25" s="3118" t="s">
        <v>49</v>
      </c>
      <c r="I25" s="3118"/>
      <c r="J25" s="3118"/>
      <c r="K25" s="3118"/>
      <c r="L25" s="3118"/>
      <c r="M25" s="3118" t="s">
        <v>379</v>
      </c>
      <c r="N25" s="3118"/>
      <c r="O25" s="3118" t="s">
        <v>349</v>
      </c>
      <c r="P25" s="3118"/>
      <c r="Q25" s="3121"/>
      <c r="R25" s="3121"/>
      <c r="S25" s="3121"/>
      <c r="T25" s="3121"/>
      <c r="U25" s="3122"/>
      <c r="V25" s="3118"/>
      <c r="W25" s="3118"/>
      <c r="X25" s="3056">
        <f>IF(A25="","",IF(LEN(SUBSTITUTE(SUBSTITUTE(SUBSTITUTE(SUBSTITUTE(D25,".",""),"/",""),"-","")," ",""))&lt;&gt;14,"CNPJ INVALIDO","OK"))</f>
      </c>
      <c r="Y25" s="3056">
        <f>IF(A25="","",IF(R25="","REST PENDENTE","REST OK"))</f>
      </c>
      <c r="Z25" s="3056">
        <f>IF(A25="","",IF(AND(R25&lt;&gt;"",COUNTIFS($D$3:$D$164,D25,$R$3:$R$164,"&lt;&gt;")&gt;1),"DUPLICADO","OK"))</f>
      </c>
      <c r="AA25" s="3056">
        <f>IF(A25="","",IF(OR(LEN(Q25)&gt;180,LEN(R25)&gt;180,LEN(S25)&gt;180,LEN(T25)&gt;180),"CAMINHO LONGO","OK"))</f>
      </c>
      <c r="AB25" s="3056">
        <f>IF(A25="","",IF(U25="","",IFERROR(INT(U25-TODAY()),"")))</f>
      </c>
      <c r="AC25" s="3056">
        <f>IF(A25="","",IF(AND(T25="",U25=""),"",IF(T25="","SEM CAMINHO",IF(U25="","SEM DATA",IFERROR(IF(AB25&lt;15,"VERMELHO",IF(AB25&lt;=30,"AMARELO","VERDE")),"DATA INVALIDA")))))</f>
      </c>
      <c r="AD25" s="3056">
        <f>IF(OR(A25="",U25="",NOT(ISNUMBER(AB25))),"",RANK(AB25,$AB$3:$AB$164,1)+COUNTIFS($AB$3:AB25,AB25)-1)</f>
      </c>
      <c r="AE25" s="1736"/>
    </row>
    <row r="26" spans="1:19" ht="22.0" hidden="false" customHeight="true" x14ac:dyDescent="0.25">
      <c r="A26" s="3124" t="s">
        <v>72</v>
      </c>
      <c r="B26" s="3123" t="s">
        <v>9</v>
      </c>
      <c r="C26" s="3123" t="s">
        <v>24</v>
      </c>
      <c r="D26" s="3123">
        <v>41597807000130</v>
      </c>
      <c r="E26" s="3123"/>
      <c r="F26" s="3123" t="s">
        <v>73</v>
      </c>
      <c r="G26" s="3123" t="s">
        <v>4</v>
      </c>
      <c r="H26" s="3123" t="s">
        <v>5</v>
      </c>
      <c r="I26" s="3123"/>
      <c r="J26" s="3123"/>
      <c r="K26" s="3123"/>
      <c r="L26" s="3123"/>
      <c r="M26" s="3123" t="s">
        <v>379</v>
      </c>
      <c r="N26" s="3123"/>
      <c r="O26" s="3123" t="s">
        <v>347</v>
      </c>
      <c r="P26" s="3123"/>
      <c r="Q26" s="3126"/>
      <c r="R26" s="3126"/>
      <c r="S26" s="3126"/>
      <c r="T26" s="3126"/>
      <c r="U26" s="3127"/>
      <c r="V26" s="3123"/>
      <c r="W26" s="3123"/>
      <c r="X26" s="3056">
        <f>IF(A26="","",IF(LEN(SUBSTITUTE(SUBSTITUTE(SUBSTITUTE(SUBSTITUTE(D26,".",""),"/",""),"-","")," ",""))&lt;&gt;14,"CNPJ INVALIDO","OK"))</f>
      </c>
      <c r="Y26" s="3056">
        <f>IF(A26="","",IF(R26="","REST PENDENTE","REST OK"))</f>
      </c>
      <c r="Z26" s="3056">
        <f>IF(A26="","",IF(AND(R26&lt;&gt;"",COUNTIFS($D$3:$D$164,D26,$R$3:$R$164,"&lt;&gt;")&gt;1),"DUPLICADO","OK"))</f>
      </c>
      <c r="AA26" s="3056">
        <f>IF(A26="","",IF(OR(LEN(Q26)&gt;180,LEN(R26)&gt;180,LEN(S26)&gt;180,LEN(T26)&gt;180),"CAMINHO LONGO","OK"))</f>
      </c>
      <c r="AB26" s="3056">
        <f>IF(A26="","",IF(U26="","",IFERROR(INT(U26-TODAY()),"")))</f>
      </c>
      <c r="AC26" s="3056">
        <f>IF(A26="","",IF(AND(T26="",U26=""),"",IF(T26="","SEM CAMINHO",IF(U26="","SEM DATA",IFERROR(IF(AB26&lt;15,"VERMELHO",IF(AB26&lt;=30,"AMARELO","VERDE")),"DATA INVALIDA")))))</f>
      </c>
      <c r="AD26" s="3056">
        <f>IF(OR(A26="",U26="",NOT(ISNUMBER(AB26))),"",RANK(AB26,$AB$3:$AB$164,1)+COUNTIFS($AB$3:AB26,AB26)-1)</f>
      </c>
      <c r="AE26" s="1736"/>
    </row>
    <row r="27" spans="1:19" ht="22.0" hidden="false" customHeight="true" x14ac:dyDescent="0.25">
      <c r="A27" s="3119" t="s">
        <v>74</v>
      </c>
      <c r="B27" s="3118" t="s">
        <v>75</v>
      </c>
      <c r="C27" s="3118" t="s">
        <v>62</v>
      </c>
      <c r="D27" s="3118">
        <v>21430001000146</v>
      </c>
      <c r="E27" s="3118"/>
      <c r="F27" s="3118" t="s">
        <v>76</v>
      </c>
      <c r="G27" s="3118" t="s">
        <v>4</v>
      </c>
      <c r="H27" s="3118" t="s">
        <v>5</v>
      </c>
      <c r="I27" s="3118"/>
      <c r="J27" s="3118"/>
      <c r="K27" s="3118"/>
      <c r="L27" s="3118"/>
      <c r="M27" s="3118" t="s">
        <v>377</v>
      </c>
      <c r="N27" s="3118"/>
      <c r="O27" s="3118" t="s">
        <v>347</v>
      </c>
      <c r="P27" s="3118"/>
      <c r="Q27" s="3121"/>
      <c r="R27" s="3121"/>
      <c r="S27" s="3121"/>
      <c r="T27" s="3121"/>
      <c r="U27" s="3122"/>
      <c r="V27" s="3118"/>
      <c r="W27" s="3118"/>
      <c r="X27" s="3056">
        <f>IF(A27="","",IF(LEN(SUBSTITUTE(SUBSTITUTE(SUBSTITUTE(SUBSTITUTE(D27,".",""),"/",""),"-","")," ",""))&lt;&gt;14,"CNPJ INVALIDO","OK"))</f>
      </c>
      <c r="Y27" s="3056">
        <f>IF(A27="","",IF(R27="","REST PENDENTE","REST OK"))</f>
      </c>
      <c r="Z27" s="3056">
        <f>IF(A27="","",IF(AND(R27&lt;&gt;"",COUNTIFS($D$3:$D$164,D27,$R$3:$R$164,"&lt;&gt;")&gt;1),"DUPLICADO","OK"))</f>
      </c>
      <c r="AA27" s="3056">
        <f>IF(A27="","",IF(OR(LEN(Q27)&gt;180,LEN(R27)&gt;180,LEN(S27)&gt;180,LEN(T27)&gt;180),"CAMINHO LONGO","OK"))</f>
      </c>
      <c r="AB27" s="3056">
        <f>IF(A27="","",IF(U27="","",IFERROR(INT(U27-TODAY()),"")))</f>
      </c>
      <c r="AC27" s="3056">
        <f>IF(A27="","",IF(AND(T27="",U27=""),"",IF(T27="","SEM CAMINHO",IF(U27="","SEM DATA",IFERROR(IF(AB27&lt;15,"VERMELHO",IF(AB27&lt;=30,"AMARELO","VERDE")),"DATA INVALIDA")))))</f>
      </c>
      <c r="AD27" s="3056">
        <f>IF(OR(A27="",U27="",NOT(ISNUMBER(AB27))),"",RANK(AB27,$AB$3:$AB$164,1)+COUNTIFS($AB$3:AB27,AB27)-1)</f>
      </c>
      <c r="AE27" s="1736"/>
    </row>
    <row r="28" spans="1:19" ht="22.0" hidden="false" customHeight="true" x14ac:dyDescent="0.25">
      <c r="A28" s="3124" t="s">
        <v>77</v>
      </c>
      <c r="B28" s="3123" t="s">
        <v>78</v>
      </c>
      <c r="C28" s="3123" t="s">
        <v>79</v>
      </c>
      <c r="D28" s="3123" t="s">
        <v>80</v>
      </c>
      <c r="E28" s="3123"/>
      <c r="F28" s="3123" t="s">
        <v>81</v>
      </c>
      <c r="G28" s="3123" t="s">
        <v>13</v>
      </c>
      <c r="H28" s="3123" t="s">
        <v>49</v>
      </c>
      <c r="I28" s="3123"/>
      <c r="J28" s="3123"/>
      <c r="K28" s="3123"/>
      <c r="L28" s="3123"/>
      <c r="M28" s="3123" t="s">
        <v>377</v>
      </c>
      <c r="N28" s="3123"/>
      <c r="O28" s="3123" t="s">
        <v>347</v>
      </c>
      <c r="P28" s="3123"/>
      <c r="Q28" s="3126"/>
      <c r="R28" s="3126"/>
      <c r="S28" s="3126"/>
      <c r="T28" s="3126"/>
      <c r="U28" s="3127"/>
      <c r="V28" s="3123"/>
      <c r="W28" s="3123"/>
      <c r="X28" s="3056">
        <f>IF(A28="","",IF(LEN(SUBSTITUTE(SUBSTITUTE(SUBSTITUTE(SUBSTITUTE(D28,".",""),"/",""),"-","")," ",""))&lt;&gt;14,"CNPJ INVALIDO","OK"))</f>
      </c>
      <c r="Y28" s="3056">
        <f>IF(A28="","",IF(R28="","REST PENDENTE","REST OK"))</f>
      </c>
      <c r="Z28" s="3056">
        <f>IF(A28="","",IF(AND(R28&lt;&gt;"",COUNTIFS($D$3:$D$164,D28,$R$3:$R$164,"&lt;&gt;")&gt;1),"DUPLICADO","OK"))</f>
      </c>
      <c r="AA28" s="3056">
        <f>IF(A28="","",IF(OR(LEN(Q28)&gt;180,LEN(R28)&gt;180,LEN(S28)&gt;180,LEN(T28)&gt;180),"CAMINHO LONGO","OK"))</f>
      </c>
      <c r="AB28" s="3056">
        <f>IF(A28="","",IF(U28="","",IFERROR(INT(U28-TODAY()),"")))</f>
      </c>
      <c r="AC28" s="3056">
        <f>IF(A28="","",IF(AND(T28="",U28=""),"",IF(T28="","SEM CAMINHO",IF(U28="","SEM DATA",IFERROR(IF(AB28&lt;15,"VERMELHO",IF(AB28&lt;=30,"AMARELO","VERDE")),"DATA INVALIDA")))))</f>
      </c>
      <c r="AD28" s="3056">
        <f>IF(OR(A28="",U28="",NOT(ISNUMBER(AB28))),"",RANK(AB28,$AB$3:$AB$164,1)+COUNTIFS($AB$3:AB28,AB28)-1)</f>
      </c>
      <c r="AE28" s="1736"/>
    </row>
    <row r="29" spans="1:19" ht="22.0" hidden="false" customHeight="true" x14ac:dyDescent="0.25">
      <c r="A29" s="3119" t="s">
        <v>82</v>
      </c>
      <c r="B29" s="3118" t="s">
        <v>78</v>
      </c>
      <c r="C29" s="3118" t="s">
        <v>83</v>
      </c>
      <c r="D29" s="3118">
        <v>62220305000166</v>
      </c>
      <c r="E29" s="3118"/>
      <c r="F29" s="3118" t="s">
        <v>81</v>
      </c>
      <c r="G29" s="3118" t="s">
        <v>4</v>
      </c>
      <c r="H29" s="3118" t="s">
        <v>5</v>
      </c>
      <c r="I29" s="3118"/>
      <c r="J29" s="3118"/>
      <c r="K29" s="3118"/>
      <c r="L29" s="3118"/>
      <c r="M29" s="3118" t="s">
        <v>378</v>
      </c>
      <c r="N29" s="3118"/>
      <c r="O29" s="3118" t="s">
        <v>349</v>
      </c>
      <c r="P29" s="3118"/>
      <c r="Q29" s="3121"/>
      <c r="R29" s="3121"/>
      <c r="S29" s="3121"/>
      <c r="T29" s="3121"/>
      <c r="U29" s="3122"/>
      <c r="V29" s="3118"/>
      <c r="W29" s="3118"/>
      <c r="X29" s="3056">
        <f>IF(A29="","",IF(LEN(SUBSTITUTE(SUBSTITUTE(SUBSTITUTE(SUBSTITUTE(D29,".",""),"/",""),"-","")," ",""))&lt;&gt;14,"CNPJ INVALIDO","OK"))</f>
      </c>
      <c r="Y29" s="3056">
        <f>IF(A29="","",IF(R29="","REST PENDENTE","REST OK"))</f>
      </c>
      <c r="Z29" s="3056">
        <f>IF(A29="","",IF(AND(R29&lt;&gt;"",COUNTIFS($D$3:$D$164,D29,$R$3:$R$164,"&lt;&gt;")&gt;1),"DUPLICADO","OK"))</f>
      </c>
      <c r="AA29" s="3056">
        <f>IF(A29="","",IF(OR(LEN(Q29)&gt;180,LEN(R29)&gt;180,LEN(S29)&gt;180,LEN(T29)&gt;180),"CAMINHO LONGO","OK"))</f>
      </c>
      <c r="AB29" s="3056">
        <f>IF(A29="","",IF(U29="","",IFERROR(INT(U29-TODAY()),"")))</f>
      </c>
      <c r="AC29" s="3056">
        <f>IF(A29="","",IF(AND(T29="",U29=""),"",IF(T29="","SEM CAMINHO",IF(U29="","SEM DATA",IFERROR(IF(AB29&lt;15,"VERMELHO",IF(AB29&lt;=30,"AMARELO","VERDE")),"DATA INVALIDA")))))</f>
      </c>
      <c r="AD29" s="3056">
        <f>IF(OR(A29="",U29="",NOT(ISNUMBER(AB29))),"",RANK(AB29,$AB$3:$AB$164,1)+COUNTIFS($AB$3:AB29,AB29)-1)</f>
      </c>
      <c r="AE29" s="1736"/>
    </row>
    <row r="30" spans="1:19" ht="22.0" hidden="false" customHeight="true" x14ac:dyDescent="0.25">
      <c r="A30" s="3124" t="s">
        <v>84</v>
      </c>
      <c r="B30" s="3123" t="s">
        <v>85</v>
      </c>
      <c r="C30" s="3123" t="s">
        <v>46</v>
      </c>
      <c r="D30" s="3123">
        <v>10712858000132</v>
      </c>
      <c r="E30" s="3123"/>
      <c r="F30" s="3123" t="s">
        <v>86</v>
      </c>
      <c r="G30" s="3123" t="s">
        <v>13</v>
      </c>
      <c r="H30" s="3123" t="s">
        <v>5</v>
      </c>
      <c r="I30" s="3123"/>
      <c r="J30" s="3123"/>
      <c r="K30" s="3123"/>
      <c r="L30" s="3123"/>
      <c r="M30" s="3123" t="s">
        <v>377</v>
      </c>
      <c r="N30" s="3123"/>
      <c r="O30" s="3123" t="s">
        <v>349</v>
      </c>
      <c r="P30" s="3123"/>
      <c r="Q30" s="3126"/>
      <c r="R30" s="3126"/>
      <c r="S30" s="3126"/>
      <c r="T30" s="3126"/>
      <c r="U30" s="3127"/>
      <c r="V30" s="3123"/>
      <c r="W30" s="3123"/>
      <c r="X30" s="3056">
        <f>IF(A30="","",IF(LEN(SUBSTITUTE(SUBSTITUTE(SUBSTITUTE(SUBSTITUTE(D30,".",""),"/",""),"-","")," ",""))&lt;&gt;14,"CNPJ INVALIDO","OK"))</f>
      </c>
      <c r="Y30" s="3056">
        <f>IF(A30="","",IF(R30="","REST PENDENTE","REST OK"))</f>
      </c>
      <c r="Z30" s="3056">
        <f>IF(A30="","",IF(AND(R30&lt;&gt;"",COUNTIFS($D$3:$D$164,D30,$R$3:$R$164,"&lt;&gt;")&gt;1),"DUPLICADO","OK"))</f>
      </c>
      <c r="AA30" s="3056">
        <f>IF(A30="","",IF(OR(LEN(Q30)&gt;180,LEN(R30)&gt;180,LEN(S30)&gt;180,LEN(T30)&gt;180),"CAMINHO LONGO","OK"))</f>
      </c>
      <c r="AB30" s="3056">
        <f>IF(A30="","",IF(U30="","",IFERROR(INT(U30-TODAY()),"")))</f>
      </c>
      <c r="AC30" s="3056">
        <f>IF(A30="","",IF(AND(T30="",U30=""),"",IF(T30="","SEM CAMINHO",IF(U30="","SEM DATA",IFERROR(IF(AB30&lt;15,"VERMELHO",IF(AB30&lt;=30,"AMARELO","VERDE")),"DATA INVALIDA")))))</f>
      </c>
      <c r="AD30" s="3056">
        <f>IF(OR(A30="",U30="",NOT(ISNUMBER(AB30))),"",RANK(AB30,$AB$3:$AB$164,1)+COUNTIFS($AB$3:AB30,AB30)-1)</f>
      </c>
      <c r="AE30" s="1736"/>
    </row>
    <row r="31" spans="1:19" ht="22.0" hidden="false" customHeight="true" x14ac:dyDescent="0.25">
      <c r="A31" s="3119" t="s">
        <v>87</v>
      </c>
      <c r="B31" s="3118" t="s">
        <v>61</v>
      </c>
      <c r="C31" s="3118" t="s">
        <v>62</v>
      </c>
      <c r="D31" s="3118">
        <v>53665434000177</v>
      </c>
      <c r="E31" s="3118"/>
      <c r="F31" s="3118" t="s">
        <v>63</v>
      </c>
      <c r="G31" s="3118" t="s">
        <v>4</v>
      </c>
      <c r="H31" s="3118" t="s">
        <v>5</v>
      </c>
      <c r="I31" s="3118"/>
      <c r="J31" s="3118"/>
      <c r="K31" s="3118"/>
      <c r="L31" s="3118"/>
      <c r="M31" s="3118" t="s">
        <v>379</v>
      </c>
      <c r="N31" s="3118"/>
      <c r="O31" s="3118" t="s">
        <v>349</v>
      </c>
      <c r="P31" s="3118"/>
      <c r="Q31" s="3121"/>
      <c r="R31" s="3121"/>
      <c r="S31" s="3121"/>
      <c r="T31" s="3121"/>
      <c r="U31" s="3122"/>
      <c r="V31" s="3118"/>
      <c r="W31" s="3118"/>
      <c r="X31" s="3056">
        <f>IF(A31="","",IF(LEN(SUBSTITUTE(SUBSTITUTE(SUBSTITUTE(SUBSTITUTE(D31,".",""),"/",""),"-","")," ",""))&lt;&gt;14,"CNPJ INVALIDO","OK"))</f>
      </c>
      <c r="Y31" s="3056">
        <f>IF(A31="","",IF(R31="","REST PENDENTE","REST OK"))</f>
      </c>
      <c r="Z31" s="3056">
        <f>IF(A31="","",IF(AND(R31&lt;&gt;"",COUNTIFS($D$3:$D$164,D31,$R$3:$R$164,"&lt;&gt;")&gt;1),"DUPLICADO","OK"))</f>
      </c>
      <c r="AA31" s="3056">
        <f>IF(A31="","",IF(OR(LEN(Q31)&gt;180,LEN(R31)&gt;180,LEN(S31)&gt;180,LEN(T31)&gt;180),"CAMINHO LONGO","OK"))</f>
      </c>
      <c r="AB31" s="3056">
        <f>IF(A31="","",IF(U31="","",IFERROR(INT(U31-TODAY()),"")))</f>
      </c>
      <c r="AC31" s="3056">
        <f>IF(A31="","",IF(AND(T31="",U31=""),"",IF(T31="","SEM CAMINHO",IF(U31="","SEM DATA",IFERROR(IF(AB31&lt;15,"VERMELHO",IF(AB31&lt;=30,"AMARELO","VERDE")),"DATA INVALIDA")))))</f>
      </c>
      <c r="AD31" s="3056">
        <f>IF(OR(A31="",U31="",NOT(ISNUMBER(AB31))),"",RANK(AB31,$AB$3:$AB$164,1)+COUNTIFS($AB$3:AB31,AB31)-1)</f>
      </c>
      <c r="AE31" s="1736"/>
    </row>
    <row r="32" spans="1:19" ht="22.0" hidden="false" customHeight="true" x14ac:dyDescent="0.25">
      <c r="A32" s="3124" t="s">
        <v>88</v>
      </c>
      <c r="B32" s="3123" t="s">
        <v>61</v>
      </c>
      <c r="C32" s="3123" t="s">
        <v>62</v>
      </c>
      <c r="D32" s="3123">
        <v>53665515000177</v>
      </c>
      <c r="E32" s="3123"/>
      <c r="F32" s="3123" t="s">
        <v>63</v>
      </c>
      <c r="G32" s="3123" t="s">
        <v>4</v>
      </c>
      <c r="H32" s="3123" t="s">
        <v>5</v>
      </c>
      <c r="I32" s="3123"/>
      <c r="J32" s="3123"/>
      <c r="K32" s="3123"/>
      <c r="L32" s="3123"/>
      <c r="M32" s="3123" t="s">
        <v>379</v>
      </c>
      <c r="N32" s="3123"/>
      <c r="O32" s="3123" t="s">
        <v>349</v>
      </c>
      <c r="P32" s="3123"/>
      <c r="Q32" s="3126"/>
      <c r="R32" s="3126"/>
      <c r="S32" s="3126"/>
      <c r="T32" s="3126"/>
      <c r="U32" s="3127"/>
      <c r="V32" s="3123"/>
      <c r="W32" s="3123"/>
      <c r="X32" s="3056">
        <f>IF(A32="","",IF(LEN(SUBSTITUTE(SUBSTITUTE(SUBSTITUTE(SUBSTITUTE(D32,".",""),"/",""),"-","")," ",""))&lt;&gt;14,"CNPJ INVALIDO","OK"))</f>
      </c>
      <c r="Y32" s="3056">
        <f>IF(A32="","",IF(R32="","REST PENDENTE","REST OK"))</f>
      </c>
      <c r="Z32" s="3056">
        <f>IF(A32="","",IF(AND(R32&lt;&gt;"",COUNTIFS($D$3:$D$164,D32,$R$3:$R$164,"&lt;&gt;")&gt;1),"DUPLICADO","OK"))</f>
      </c>
      <c r="AA32" s="3056">
        <f>IF(A32="","",IF(OR(LEN(Q32)&gt;180,LEN(R32)&gt;180,LEN(S32)&gt;180,LEN(T32)&gt;180),"CAMINHO LONGO","OK"))</f>
      </c>
      <c r="AB32" s="3056">
        <f>IF(A32="","",IF(U32="","",IFERROR(INT(U32-TODAY()),"")))</f>
      </c>
      <c r="AC32" s="3056">
        <f>IF(A32="","",IF(AND(T32="",U32=""),"",IF(T32="","SEM CAMINHO",IF(U32="","SEM DATA",IFERROR(IF(AB32&lt;15,"VERMELHO",IF(AB32&lt;=30,"AMARELO","VERDE")),"DATA INVALIDA")))))</f>
      </c>
      <c r="AD32" s="3056">
        <f>IF(OR(A32="",U32="",NOT(ISNUMBER(AB32))),"",RANK(AB32,$AB$3:$AB$164,1)+COUNTIFS($AB$3:AB32,AB32)-1)</f>
      </c>
      <c r="AE32" s="1736"/>
    </row>
    <row r="33" spans="1:19" ht="22.0" hidden="false" customHeight="true" x14ac:dyDescent="0.25">
      <c r="A33" s="3119" t="s">
        <v>89</v>
      </c>
      <c r="B33" s="3118" t="s">
        <v>61</v>
      </c>
      <c r="C33" s="3118" t="s">
        <v>62</v>
      </c>
      <c r="D33" s="3118">
        <v>53666225000148</v>
      </c>
      <c r="E33" s="3118"/>
      <c r="F33" s="3118" t="s">
        <v>63</v>
      </c>
      <c r="G33" s="3118" t="s">
        <v>4</v>
      </c>
      <c r="H33" s="3118" t="s">
        <v>5</v>
      </c>
      <c r="I33" s="3118"/>
      <c r="J33" s="3118"/>
      <c r="K33" s="3118"/>
      <c r="L33" s="3118"/>
      <c r="M33" s="3118" t="s">
        <v>379</v>
      </c>
      <c r="N33" s="3118"/>
      <c r="O33" s="3118" t="s">
        <v>349</v>
      </c>
      <c r="P33" s="3118"/>
      <c r="Q33" s="3121"/>
      <c r="R33" s="3121"/>
      <c r="S33" s="3121"/>
      <c r="T33" s="3121"/>
      <c r="U33" s="3122"/>
      <c r="V33" s="3118"/>
      <c r="W33" s="3118"/>
      <c r="X33" s="3056">
        <f>IF(A33="","",IF(LEN(SUBSTITUTE(SUBSTITUTE(SUBSTITUTE(SUBSTITUTE(D33,".",""),"/",""),"-","")," ",""))&lt;&gt;14,"CNPJ INVALIDO","OK"))</f>
      </c>
      <c r="Y33" s="3056">
        <f>IF(A33="","",IF(R33="","REST PENDENTE","REST OK"))</f>
      </c>
      <c r="Z33" s="3056">
        <f>IF(A33="","",IF(AND(R33&lt;&gt;"",COUNTIFS($D$3:$D$164,D33,$R$3:$R$164,"&lt;&gt;")&gt;1),"DUPLICADO","OK"))</f>
      </c>
      <c r="AA33" s="3056">
        <f>IF(A33="","",IF(OR(LEN(Q33)&gt;180,LEN(R33)&gt;180,LEN(S33)&gt;180,LEN(T33)&gt;180),"CAMINHO LONGO","OK"))</f>
      </c>
      <c r="AB33" s="3056">
        <f>IF(A33="","",IF(U33="","",IFERROR(INT(U33-TODAY()),"")))</f>
      </c>
      <c r="AC33" s="3056">
        <f>IF(A33="","",IF(AND(T33="",U33=""),"",IF(T33="","SEM CAMINHO",IF(U33="","SEM DATA",IFERROR(IF(AB33&lt;15,"VERMELHO",IF(AB33&lt;=30,"AMARELO","VERDE")),"DATA INVALIDA")))))</f>
      </c>
      <c r="AD33" s="3056">
        <f>IF(OR(A33="",U33="",NOT(ISNUMBER(AB33))),"",RANK(AB33,$AB$3:$AB$164,1)+COUNTIFS($AB$3:AB33,AB33)-1)</f>
      </c>
      <c r="AE33" s="1736"/>
    </row>
    <row r="34" spans="1:19" ht="22.0" hidden="false" customHeight="true" x14ac:dyDescent="0.25">
      <c r="A34" s="3124" t="s">
        <v>90</v>
      </c>
      <c r="B34" s="3123" t="s">
        <v>61</v>
      </c>
      <c r="C34" s="3123" t="s">
        <v>62</v>
      </c>
      <c r="D34" s="3123">
        <v>17845752000156</v>
      </c>
      <c r="E34" s="3123"/>
      <c r="F34" s="3123" t="s">
        <v>63</v>
      </c>
      <c r="G34" s="3123" t="s">
        <v>41</v>
      </c>
      <c r="H34" s="3123" t="s">
        <v>5</v>
      </c>
      <c r="I34" s="3123"/>
      <c r="J34" s="3123"/>
      <c r="K34" s="3123"/>
      <c r="L34" s="3123"/>
      <c r="M34" s="3123" t="s">
        <v>380</v>
      </c>
      <c r="N34" s="3123"/>
      <c r="O34" s="3123" t="s">
        <v>349</v>
      </c>
      <c r="P34" s="3123"/>
      <c r="Q34" s="3126"/>
      <c r="R34" s="3126"/>
      <c r="S34" s="3126"/>
      <c r="T34" s="3126"/>
      <c r="U34" s="3127"/>
      <c r="V34" s="3123"/>
      <c r="W34" s="3123"/>
      <c r="X34" s="3056">
        <f>IF(A34="","",IF(LEN(SUBSTITUTE(SUBSTITUTE(SUBSTITUTE(SUBSTITUTE(D34,".",""),"/",""),"-","")," ",""))&lt;&gt;14,"CNPJ INVALIDO","OK"))</f>
      </c>
      <c r="Y34" s="3056">
        <f>IF(A34="","",IF(R34="","REST PENDENTE","REST OK"))</f>
      </c>
      <c r="Z34" s="3056">
        <f>IF(A34="","",IF(AND(R34&lt;&gt;"",COUNTIFS($D$3:$D$164,D34,$R$3:$R$164,"&lt;&gt;")&gt;1),"DUPLICADO","OK"))</f>
      </c>
      <c r="AA34" s="3056">
        <f>IF(A34="","",IF(OR(LEN(Q34)&gt;180,LEN(R34)&gt;180,LEN(S34)&gt;180,LEN(T34)&gt;180),"CAMINHO LONGO","OK"))</f>
      </c>
      <c r="AB34" s="3056">
        <f>IF(A34="","",IF(U34="","",IFERROR(INT(U34-TODAY()),"")))</f>
      </c>
      <c r="AC34" s="3056">
        <f>IF(A34="","",IF(AND(T34="",U34=""),"",IF(T34="","SEM CAMINHO",IF(U34="","SEM DATA",IFERROR(IF(AB34&lt;15,"VERMELHO",IF(AB34&lt;=30,"AMARELO","VERDE")),"DATA INVALIDA")))))</f>
      </c>
      <c r="AD34" s="3056">
        <f>IF(OR(A34="",U34="",NOT(ISNUMBER(AB34))),"",RANK(AB34,$AB$3:$AB$164,1)+COUNTIFS($AB$3:AB34,AB34)-1)</f>
      </c>
      <c r="AE34" s="1736"/>
    </row>
    <row r="35" spans="1:19" ht="22.0" hidden="false" customHeight="true" x14ac:dyDescent="0.25">
      <c r="A35" s="3119" t="s">
        <v>91</v>
      </c>
      <c r="B35" s="3118" t="s">
        <v>61</v>
      </c>
      <c r="C35" s="3118" t="s">
        <v>62</v>
      </c>
      <c r="D35" s="3118">
        <v>17813257000165</v>
      </c>
      <c r="E35" s="3118"/>
      <c r="F35" s="3118" t="s">
        <v>63</v>
      </c>
      <c r="G35" s="3118" t="s">
        <v>13</v>
      </c>
      <c r="H35" s="3118" t="s">
        <v>5</v>
      </c>
      <c r="I35" s="3118"/>
      <c r="J35" s="3118"/>
      <c r="K35" s="3118"/>
      <c r="L35" s="3118"/>
      <c r="M35" s="3118" t="s">
        <v>381</v>
      </c>
      <c r="N35" s="3118"/>
      <c r="O35" s="3118" t="s">
        <v>349</v>
      </c>
      <c r="P35" s="3118"/>
      <c r="Q35" s="3121"/>
      <c r="R35" s="3121"/>
      <c r="S35" s="3121"/>
      <c r="T35" s="3121"/>
      <c r="U35" s="3122"/>
      <c r="V35" s="3118"/>
      <c r="W35" s="3118"/>
      <c r="X35" s="3056">
        <f>IF(A35="","",IF(LEN(SUBSTITUTE(SUBSTITUTE(SUBSTITUTE(SUBSTITUTE(D35,".",""),"/",""),"-","")," ",""))&lt;&gt;14,"CNPJ INVALIDO","OK"))</f>
      </c>
      <c r="Y35" s="3056">
        <f>IF(A35="","",IF(R35="","REST PENDENTE","REST OK"))</f>
      </c>
      <c r="Z35" s="3056">
        <f>IF(A35="","",IF(AND(R35&lt;&gt;"",COUNTIFS($D$3:$D$164,D35,$R$3:$R$164,"&lt;&gt;")&gt;1),"DUPLICADO","OK"))</f>
      </c>
      <c r="AA35" s="3056">
        <f>IF(A35="","",IF(OR(LEN(Q35)&gt;180,LEN(R35)&gt;180,LEN(S35)&gt;180,LEN(T35)&gt;180),"CAMINHO LONGO","OK"))</f>
      </c>
      <c r="AB35" s="3056">
        <f>IF(A35="","",IF(U35="","",IFERROR(INT(U35-TODAY()),"")))</f>
      </c>
      <c r="AC35" s="3056">
        <f>IF(A35="","",IF(AND(T35="",U35=""),"",IF(T35="","SEM CAMINHO",IF(U35="","SEM DATA",IFERROR(IF(AB35&lt;15,"VERMELHO",IF(AB35&lt;=30,"AMARELO","VERDE")),"DATA INVALIDA")))))</f>
      </c>
      <c r="AD35" s="3056">
        <f>IF(OR(A35="",U35="",NOT(ISNUMBER(AB35))),"",RANK(AB35,$AB$3:$AB$164,1)+COUNTIFS($AB$3:AB35,AB35)-1)</f>
      </c>
      <c r="AE35" s="1736"/>
    </row>
    <row r="36" spans="1:19" ht="22.0" hidden="false" customHeight="true" x14ac:dyDescent="0.25">
      <c r="A36" s="3124" t="s">
        <v>92</v>
      </c>
      <c r="B36" s="3123" t="s">
        <v>1</v>
      </c>
      <c r="C36" s="3123" t="s">
        <v>93</v>
      </c>
      <c r="D36" s="3123" t="s">
        <v>94</v>
      </c>
      <c r="E36" s="3123"/>
      <c r="F36" s="3123" t="s">
        <v>3</v>
      </c>
      <c r="G36" s="3123" t="s">
        <v>4</v>
      </c>
      <c r="H36" s="3123" t="s">
        <v>5</v>
      </c>
      <c r="I36" s="3123"/>
      <c r="J36" s="3123"/>
      <c r="K36" s="3123"/>
      <c r="L36" s="3123"/>
      <c r="M36" s="3123" t="s">
        <v>377</v>
      </c>
      <c r="N36" s="3123"/>
      <c r="O36" s="3123" t="s">
        <v>349</v>
      </c>
      <c r="P36" s="3123"/>
      <c r="Q36" s="3126"/>
      <c r="R36" s="3126"/>
      <c r="S36" s="3126"/>
      <c r="T36" s="3126"/>
      <c r="U36" s="3127"/>
      <c r="V36" s="3123"/>
      <c r="W36" s="3123"/>
      <c r="X36" s="3056">
        <f>IF(A36="","",IF(LEN(SUBSTITUTE(SUBSTITUTE(SUBSTITUTE(SUBSTITUTE(D36,".",""),"/",""),"-","")," ",""))&lt;&gt;14,"CNPJ INVALIDO","OK"))</f>
      </c>
      <c r="Y36" s="3056">
        <f>IF(A36="","",IF(R36="","REST PENDENTE","REST OK"))</f>
      </c>
      <c r="Z36" s="3056">
        <f>IF(A36="","",IF(AND(R36&lt;&gt;"",COUNTIFS($D$3:$D$164,D36,$R$3:$R$164,"&lt;&gt;")&gt;1),"DUPLICADO","OK"))</f>
      </c>
      <c r="AA36" s="3056">
        <f>IF(A36="","",IF(OR(LEN(Q36)&gt;180,LEN(R36)&gt;180,LEN(S36)&gt;180,LEN(T36)&gt;180),"CAMINHO LONGO","OK"))</f>
      </c>
      <c r="AB36" s="3056">
        <f>IF(A36="","",IF(U36="","",IFERROR(INT(U36-TODAY()),"")))</f>
      </c>
      <c r="AC36" s="3056">
        <f>IF(A36="","",IF(AND(T36="",U36=""),"",IF(T36="","SEM CAMINHO",IF(U36="","SEM DATA",IFERROR(IF(AB36&lt;15,"VERMELHO",IF(AB36&lt;=30,"AMARELO","VERDE")),"DATA INVALIDA")))))</f>
      </c>
      <c r="AD36" s="3056">
        <f>IF(OR(A36="",U36="",NOT(ISNUMBER(AB36))),"",RANK(AB36,$AB$3:$AB$164,1)+COUNTIFS($AB$3:AB36,AB36)-1)</f>
      </c>
      <c r="AE36" s="1736"/>
    </row>
    <row r="37" spans="1:19" ht="22.0" hidden="false" customHeight="true" x14ac:dyDescent="0.25">
      <c r="A37" s="3119" t="s">
        <v>95</v>
      </c>
      <c r="B37" s="3118" t="s">
        <v>96</v>
      </c>
      <c r="C37" s="3118" t="s">
        <v>97</v>
      </c>
      <c r="D37" s="3118" t="s">
        <v>98</v>
      </c>
      <c r="E37" s="3118"/>
      <c r="F37" s="3118" t="s">
        <v>99</v>
      </c>
      <c r="G37" s="3118" t="s">
        <v>41</v>
      </c>
      <c r="H37" s="3118" t="s">
        <v>14</v>
      </c>
      <c r="I37" s="3118"/>
      <c r="J37" s="3118"/>
      <c r="K37" s="3118"/>
      <c r="L37" s="3118"/>
      <c r="M37" s="3118" t="s">
        <v>383</v>
      </c>
      <c r="N37" s="3118" t="s">
        <v>362</v>
      </c>
      <c r="O37" s="3118" t="s">
        <v>349</v>
      </c>
      <c r="P37" s="3118"/>
      <c r="Q37" s="3121"/>
      <c r="R37" s="3121"/>
      <c r="S37" s="3121"/>
      <c r="T37" s="3121"/>
      <c r="U37" s="3122"/>
      <c r="V37" s="3118"/>
      <c r="W37" s="3118"/>
      <c r="X37" s="3056">
        <f>IF(A37="","",IF(LEN(SUBSTITUTE(SUBSTITUTE(SUBSTITUTE(SUBSTITUTE(D37,".",""),"/",""),"-","")," ",""))&lt;&gt;14,"CNPJ INVALIDO","OK"))</f>
      </c>
      <c r="Y37" s="3056">
        <f>IF(A37="","",IF(R37="","REST PENDENTE","REST OK"))</f>
      </c>
      <c r="Z37" s="3056">
        <f>IF(A37="","",IF(AND(R37&lt;&gt;"",COUNTIFS($D$3:$D$164,D37,$R$3:$R$164,"&lt;&gt;")&gt;1),"DUPLICADO","OK"))</f>
      </c>
      <c r="AA37" s="3056">
        <f>IF(A37="","",IF(OR(LEN(Q37)&gt;180,LEN(R37)&gt;180,LEN(S37)&gt;180,LEN(T37)&gt;180),"CAMINHO LONGO","OK"))</f>
      </c>
      <c r="AB37" s="3056">
        <f>IF(A37="","",IF(U37="","",IFERROR(INT(U37-TODAY()),"")))</f>
      </c>
      <c r="AC37" s="3056">
        <f>IF(A37="","",IF(AND(T37="",U37=""),"",IF(T37="","SEM CAMINHO",IF(U37="","SEM DATA",IFERROR(IF(AB37&lt;15,"VERMELHO",IF(AB37&lt;=30,"AMARELO","VERDE")),"DATA INVALIDA")))))</f>
      </c>
      <c r="AD37" s="3056">
        <f>IF(OR(A37="",U37="",NOT(ISNUMBER(AB37))),"",RANK(AB37,$AB$3:$AB$164,1)+COUNTIFS($AB$3:AB37,AB37)-1)</f>
      </c>
      <c r="AE37" s="1736"/>
    </row>
    <row r="38" spans="1:19" ht="22.0" hidden="false" customHeight="true" x14ac:dyDescent="0.25">
      <c r="A38" s="3124" t="s">
        <v>95</v>
      </c>
      <c r="B38" s="3123" t="s">
        <v>96</v>
      </c>
      <c r="C38" s="3123" t="s">
        <v>97</v>
      </c>
      <c r="D38" s="3123" t="s">
        <v>100</v>
      </c>
      <c r="E38" s="3123"/>
      <c r="F38" s="3123" t="s">
        <v>99</v>
      </c>
      <c r="G38" s="3123" t="s">
        <v>13</v>
      </c>
      <c r="H38" s="3123" t="s">
        <v>14</v>
      </c>
      <c r="I38" s="3123"/>
      <c r="J38" s="3123"/>
      <c r="K38" s="3123"/>
      <c r="L38" s="3123"/>
      <c r="M38" s="3123" t="s">
        <v>382</v>
      </c>
      <c r="N38" s="3123" t="s">
        <v>362</v>
      </c>
      <c r="O38" s="3123" t="s">
        <v>349</v>
      </c>
      <c r="P38" s="3123"/>
      <c r="Q38" s="3126"/>
      <c r="R38" s="3126"/>
      <c r="S38" s="3126"/>
      <c r="T38" s="3126"/>
      <c r="U38" s="3127"/>
      <c r="V38" s="3123"/>
      <c r="W38" s="3123"/>
      <c r="X38" s="3056">
        <f>IF(A38="","",IF(LEN(SUBSTITUTE(SUBSTITUTE(SUBSTITUTE(SUBSTITUTE(D38,".",""),"/",""),"-","")," ",""))&lt;&gt;14,"CNPJ INVALIDO","OK"))</f>
      </c>
      <c r="Y38" s="3056">
        <f>IF(A38="","",IF(R38="","REST PENDENTE","REST OK"))</f>
      </c>
      <c r="Z38" s="3056">
        <f>IF(A38="","",IF(AND(R38&lt;&gt;"",COUNTIFS($D$3:$D$164,D38,$R$3:$R$164,"&lt;&gt;")&gt;1),"DUPLICADO","OK"))</f>
      </c>
      <c r="AA38" s="3056">
        <f>IF(A38="","",IF(OR(LEN(Q38)&gt;180,LEN(R38)&gt;180,LEN(S38)&gt;180,LEN(T38)&gt;180),"CAMINHO LONGO","OK"))</f>
      </c>
      <c r="AB38" s="3056">
        <f>IF(A38="","",IF(U38="","",IFERROR(INT(U38-TODAY()),"")))</f>
      </c>
      <c r="AC38" s="3056">
        <f>IF(A38="","",IF(AND(T38="",U38=""),"",IF(T38="","SEM CAMINHO",IF(U38="","SEM DATA",IFERROR(IF(AB38&lt;15,"VERMELHO",IF(AB38&lt;=30,"AMARELO","VERDE")),"DATA INVALIDA")))))</f>
      </c>
      <c r="AD38" s="3056">
        <f>IF(OR(A38="",U38="",NOT(ISNUMBER(AB38))),"",RANK(AB38,$AB$3:$AB$164,1)+COUNTIFS($AB$3:AB38,AB38)-1)</f>
      </c>
      <c r="AE38" s="1736"/>
    </row>
    <row r="39" spans="1:19" ht="22.0" hidden="false" customHeight="true" x14ac:dyDescent="0.25">
      <c r="A39" s="3119" t="s">
        <v>95</v>
      </c>
      <c r="B39" s="3118" t="s">
        <v>96</v>
      </c>
      <c r="C39" s="3118" t="s">
        <v>97</v>
      </c>
      <c r="D39" s="3118" t="s">
        <v>101</v>
      </c>
      <c r="E39" s="3118"/>
      <c r="F39" s="3118" t="s">
        <v>99</v>
      </c>
      <c r="G39" s="3118" t="s">
        <v>13</v>
      </c>
      <c r="H39" s="3118" t="s">
        <v>14</v>
      </c>
      <c r="I39" s="3118"/>
      <c r="J39" s="3118"/>
      <c r="K39" s="3118"/>
      <c r="L39" s="3118"/>
      <c r="M39" s="3118" t="s">
        <v>382</v>
      </c>
      <c r="N39" s="3118" t="s">
        <v>362</v>
      </c>
      <c r="O39" s="3118" t="s">
        <v>349</v>
      </c>
      <c r="P39" s="3118"/>
      <c r="Q39" s="3121"/>
      <c r="R39" s="3121"/>
      <c r="S39" s="3121"/>
      <c r="T39" s="3121"/>
      <c r="U39" s="3122"/>
      <c r="V39" s="3118"/>
      <c r="W39" s="3118"/>
      <c r="X39" s="3056">
        <f>IF(A39="","",IF(LEN(SUBSTITUTE(SUBSTITUTE(SUBSTITUTE(SUBSTITUTE(D39,".",""),"/",""),"-","")," ",""))&lt;&gt;14,"CNPJ INVALIDO","OK"))</f>
      </c>
      <c r="Y39" s="3056">
        <f>IF(A39="","",IF(R39="","REST PENDENTE","REST OK"))</f>
      </c>
      <c r="Z39" s="3056">
        <f>IF(A39="","",IF(AND(R39&lt;&gt;"",COUNTIFS($D$3:$D$164,D39,$R$3:$R$164,"&lt;&gt;")&gt;1),"DUPLICADO","OK"))</f>
      </c>
      <c r="AA39" s="3056">
        <f>IF(A39="","",IF(OR(LEN(Q39)&gt;180,LEN(R39)&gt;180,LEN(S39)&gt;180,LEN(T39)&gt;180),"CAMINHO LONGO","OK"))</f>
      </c>
      <c r="AB39" s="3056">
        <f>IF(A39="","",IF(U39="","",IFERROR(INT(U39-TODAY()),"")))</f>
      </c>
      <c r="AC39" s="3056">
        <f>IF(A39="","",IF(AND(T39="",U39=""),"",IF(T39="","SEM CAMINHO",IF(U39="","SEM DATA",IFERROR(IF(AB39&lt;15,"VERMELHO",IF(AB39&lt;=30,"AMARELO","VERDE")),"DATA INVALIDA")))))</f>
      </c>
      <c r="AD39" s="3056">
        <f>IF(OR(A39="",U39="",NOT(ISNUMBER(AB39))),"",RANK(AB39,$AB$3:$AB$164,1)+COUNTIFS($AB$3:AB39,AB39)-1)</f>
      </c>
      <c r="AE39" s="1736"/>
    </row>
    <row r="40" spans="1:19" ht="22.0" hidden="false" customHeight="true" x14ac:dyDescent="0.25">
      <c r="A40" s="3124" t="s">
        <v>95</v>
      </c>
      <c r="B40" s="3123" t="s">
        <v>96</v>
      </c>
      <c r="C40" s="3123" t="s">
        <v>97</v>
      </c>
      <c r="D40" s="3123" t="s">
        <v>102</v>
      </c>
      <c r="E40" s="3123"/>
      <c r="F40" s="3123" t="s">
        <v>99</v>
      </c>
      <c r="G40" s="3123" t="s">
        <v>13</v>
      </c>
      <c r="H40" s="3123" t="s">
        <v>14</v>
      </c>
      <c r="I40" s="3123"/>
      <c r="J40" s="3123"/>
      <c r="K40" s="3123"/>
      <c r="L40" s="3123"/>
      <c r="M40" s="3123" t="s">
        <v>382</v>
      </c>
      <c r="N40" s="3123" t="s">
        <v>362</v>
      </c>
      <c r="O40" s="3123" t="s">
        <v>349</v>
      </c>
      <c r="P40" s="3123"/>
      <c r="Q40" s="3126"/>
      <c r="R40" s="3126"/>
      <c r="S40" s="3126"/>
      <c r="T40" s="3126"/>
      <c r="U40" s="3127"/>
      <c r="V40" s="3123"/>
      <c r="W40" s="3123"/>
      <c r="X40" s="3056">
        <f>IF(A40="","",IF(LEN(SUBSTITUTE(SUBSTITUTE(SUBSTITUTE(SUBSTITUTE(D40,".",""),"/",""),"-","")," ",""))&lt;&gt;14,"CNPJ INVALIDO","OK"))</f>
      </c>
      <c r="Y40" s="3056">
        <f>IF(A40="","",IF(R40="","REST PENDENTE","REST OK"))</f>
      </c>
      <c r="Z40" s="3056">
        <f>IF(A40="","",IF(AND(R40&lt;&gt;"",COUNTIFS($D$3:$D$164,D40,$R$3:$R$164,"&lt;&gt;")&gt;1),"DUPLICADO","OK"))</f>
      </c>
      <c r="AA40" s="3056">
        <f>IF(A40="","",IF(OR(LEN(Q40)&gt;180,LEN(R40)&gt;180,LEN(S40)&gt;180,LEN(T40)&gt;180),"CAMINHO LONGO","OK"))</f>
      </c>
      <c r="AB40" s="3056">
        <f>IF(A40="","",IF(U40="","",IFERROR(INT(U40-TODAY()),"")))</f>
      </c>
      <c r="AC40" s="3056">
        <f>IF(A40="","",IF(AND(T40="",U40=""),"",IF(T40="","SEM CAMINHO",IF(U40="","SEM DATA",IFERROR(IF(AB40&lt;15,"VERMELHO",IF(AB40&lt;=30,"AMARELO","VERDE")),"DATA INVALIDA")))))</f>
      </c>
      <c r="AD40" s="3056">
        <f>IF(OR(A40="",U40="",NOT(ISNUMBER(AB40))),"",RANK(AB40,$AB$3:$AB$164,1)+COUNTIFS($AB$3:AB40,AB40)-1)</f>
      </c>
      <c r="AE40" s="1736"/>
    </row>
    <row r="41" spans="1:19" ht="22.0" hidden="false" customHeight="true" x14ac:dyDescent="0.25">
      <c r="A41" s="3119" t="s">
        <v>95</v>
      </c>
      <c r="B41" s="3118" t="s">
        <v>96</v>
      </c>
      <c r="C41" s="3118" t="s">
        <v>97</v>
      </c>
      <c r="D41" s="3118" t="s">
        <v>103</v>
      </c>
      <c r="E41" s="3118"/>
      <c r="F41" s="3118" t="s">
        <v>99</v>
      </c>
      <c r="G41" s="3118" t="s">
        <v>13</v>
      </c>
      <c r="H41" s="3118" t="s">
        <v>14</v>
      </c>
      <c r="I41" s="3118"/>
      <c r="J41" s="3118"/>
      <c r="K41" s="3118"/>
      <c r="L41" s="3118"/>
      <c r="M41" s="3118" t="s">
        <v>382</v>
      </c>
      <c r="N41" s="3118" t="s">
        <v>362</v>
      </c>
      <c r="O41" s="3118" t="s">
        <v>349</v>
      </c>
      <c r="P41" s="3118"/>
      <c r="Q41" s="3121"/>
      <c r="R41" s="3121"/>
      <c r="S41" s="3121"/>
      <c r="T41" s="3121"/>
      <c r="U41" s="3122"/>
      <c r="V41" s="3118"/>
      <c r="W41" s="3118"/>
      <c r="X41" s="3056">
        <f>IF(A41="","",IF(LEN(SUBSTITUTE(SUBSTITUTE(SUBSTITUTE(SUBSTITUTE(D41,".",""),"/",""),"-","")," ",""))&lt;&gt;14,"CNPJ INVALIDO","OK"))</f>
      </c>
      <c r="Y41" s="3056">
        <f>IF(A41="","",IF(R41="","REST PENDENTE","REST OK"))</f>
      </c>
      <c r="Z41" s="3056">
        <f>IF(A41="","",IF(AND(R41&lt;&gt;"",COUNTIFS($D$3:$D$164,D41,$R$3:$R$164,"&lt;&gt;")&gt;1),"DUPLICADO","OK"))</f>
      </c>
      <c r="AA41" s="3056">
        <f>IF(A41="","",IF(OR(LEN(Q41)&gt;180,LEN(R41)&gt;180,LEN(S41)&gt;180,LEN(T41)&gt;180),"CAMINHO LONGO","OK"))</f>
      </c>
      <c r="AB41" s="3056">
        <f>IF(A41="","",IF(U41="","",IFERROR(INT(U41-TODAY()),"")))</f>
      </c>
      <c r="AC41" s="3056">
        <f>IF(A41="","",IF(AND(T41="",U41=""),"",IF(T41="","SEM CAMINHO",IF(U41="","SEM DATA",IFERROR(IF(AB41&lt;15,"VERMELHO",IF(AB41&lt;=30,"AMARELO","VERDE")),"DATA INVALIDA")))))</f>
      </c>
      <c r="AD41" s="3056">
        <f>IF(OR(A41="",U41="",NOT(ISNUMBER(AB41))),"",RANK(AB41,$AB$3:$AB$164,1)+COUNTIFS($AB$3:AB41,AB41)-1)</f>
      </c>
      <c r="AE41" s="1736"/>
    </row>
    <row r="42" spans="1:19" ht="22.0" hidden="false" customHeight="true" x14ac:dyDescent="0.25">
      <c r="A42" s="3124" t="s">
        <v>95</v>
      </c>
      <c r="B42" s="3123" t="s">
        <v>96</v>
      </c>
      <c r="C42" s="3123" t="s">
        <v>104</v>
      </c>
      <c r="D42" s="3123" t="s">
        <v>105</v>
      </c>
      <c r="E42" s="3123"/>
      <c r="F42" s="3123" t="s">
        <v>99</v>
      </c>
      <c r="G42" s="3123" t="s">
        <v>13</v>
      </c>
      <c r="H42" s="3123" t="s">
        <v>14</v>
      </c>
      <c r="I42" s="3123"/>
      <c r="J42" s="3123"/>
      <c r="K42" s="3123"/>
      <c r="L42" s="3123"/>
      <c r="M42" s="3123" t="s">
        <v>382</v>
      </c>
      <c r="N42" s="3123" t="s">
        <v>362</v>
      </c>
      <c r="O42" s="3123" t="s">
        <v>349</v>
      </c>
      <c r="P42" s="3123"/>
      <c r="Q42" s="3126"/>
      <c r="R42" s="3126"/>
      <c r="S42" s="3126"/>
      <c r="T42" s="3126"/>
      <c r="U42" s="3127"/>
      <c r="V42" s="3123"/>
      <c r="W42" s="3123"/>
      <c r="X42" s="3056">
        <f>IF(A42="","",IF(LEN(SUBSTITUTE(SUBSTITUTE(SUBSTITUTE(SUBSTITUTE(D42,".",""),"/",""),"-","")," ",""))&lt;&gt;14,"CNPJ INVALIDO","OK"))</f>
      </c>
      <c r="Y42" s="3056">
        <f>IF(A42="","",IF(R42="","REST PENDENTE","REST OK"))</f>
      </c>
      <c r="Z42" s="3056">
        <f>IF(A42="","",IF(AND(R42&lt;&gt;"",COUNTIFS($D$3:$D$164,D42,$R$3:$R$164,"&lt;&gt;")&gt;1),"DUPLICADO","OK"))</f>
      </c>
      <c r="AA42" s="3056">
        <f>IF(A42="","",IF(OR(LEN(Q42)&gt;180,LEN(R42)&gt;180,LEN(S42)&gt;180,LEN(T42)&gt;180),"CAMINHO LONGO","OK"))</f>
      </c>
      <c r="AB42" s="3056">
        <f>IF(A42="","",IF(U42="","",IFERROR(INT(U42-TODAY()),"")))</f>
      </c>
      <c r="AC42" s="3056">
        <f>IF(A42="","",IF(AND(T42="",U42=""),"",IF(T42="","SEM CAMINHO",IF(U42="","SEM DATA",IFERROR(IF(AB42&lt;15,"VERMELHO",IF(AB42&lt;=30,"AMARELO","VERDE")),"DATA INVALIDA")))))</f>
      </c>
      <c r="AD42" s="3056">
        <f>IF(OR(A42="",U42="",NOT(ISNUMBER(AB42))),"",RANK(AB42,$AB$3:$AB$164,1)+COUNTIFS($AB$3:AB42,AB42)-1)</f>
      </c>
      <c r="AE42" s="1736"/>
    </row>
    <row r="43" spans="1:19" ht="22.0" hidden="false" customHeight="true" x14ac:dyDescent="0.25">
      <c r="A43" s="3119" t="s">
        <v>95</v>
      </c>
      <c r="B43" s="3118" t="s">
        <v>96</v>
      </c>
      <c r="C43" s="3118" t="s">
        <v>104</v>
      </c>
      <c r="D43" s="3118" t="s">
        <v>106</v>
      </c>
      <c r="E43" s="3118"/>
      <c r="F43" s="3118" t="s">
        <v>99</v>
      </c>
      <c r="G43" s="3118" t="s">
        <v>13</v>
      </c>
      <c r="H43" s="3118" t="s">
        <v>14</v>
      </c>
      <c r="I43" s="3118"/>
      <c r="J43" s="3118"/>
      <c r="K43" s="3118"/>
      <c r="L43" s="3118"/>
      <c r="M43" s="3118" t="s">
        <v>382</v>
      </c>
      <c r="N43" s="3118" t="s">
        <v>362</v>
      </c>
      <c r="O43" s="3118" t="s">
        <v>349</v>
      </c>
      <c r="P43" s="3118"/>
      <c r="Q43" s="3121"/>
      <c r="R43" s="3121"/>
      <c r="S43" s="3121"/>
      <c r="T43" s="3121"/>
      <c r="U43" s="3122"/>
      <c r="V43" s="3118"/>
      <c r="W43" s="3118"/>
      <c r="X43" s="3056">
        <f>IF(A43="","",IF(LEN(SUBSTITUTE(SUBSTITUTE(SUBSTITUTE(SUBSTITUTE(D43,".",""),"/",""),"-","")," ",""))&lt;&gt;14,"CNPJ INVALIDO","OK"))</f>
      </c>
      <c r="Y43" s="3056">
        <f>IF(A43="","",IF(R43="","REST PENDENTE","REST OK"))</f>
      </c>
      <c r="Z43" s="3056">
        <f>IF(A43="","",IF(AND(R43&lt;&gt;"",COUNTIFS($D$3:$D$164,D43,$R$3:$R$164,"&lt;&gt;")&gt;1),"DUPLICADO","OK"))</f>
      </c>
      <c r="AA43" s="3056">
        <f>IF(A43="","",IF(OR(LEN(Q43)&gt;180,LEN(R43)&gt;180,LEN(S43)&gt;180,LEN(T43)&gt;180),"CAMINHO LONGO","OK"))</f>
      </c>
      <c r="AB43" s="3056">
        <f>IF(A43="","",IF(U43="","",IFERROR(INT(U43-TODAY()),"")))</f>
      </c>
      <c r="AC43" s="3056">
        <f>IF(A43="","",IF(AND(T43="",U43=""),"",IF(T43="","SEM CAMINHO",IF(U43="","SEM DATA",IFERROR(IF(AB43&lt;15,"VERMELHO",IF(AB43&lt;=30,"AMARELO","VERDE")),"DATA INVALIDA")))))</f>
      </c>
      <c r="AD43" s="3056">
        <f>IF(OR(A43="",U43="",NOT(ISNUMBER(AB43))),"",RANK(AB43,$AB$3:$AB$164,1)+COUNTIFS($AB$3:AB43,AB43)-1)</f>
      </c>
      <c r="AE43" s="1736"/>
    </row>
    <row r="44" spans="1:19" ht="22.0" hidden="false" customHeight="true" x14ac:dyDescent="0.25">
      <c r="A44" s="3124" t="s">
        <v>107</v>
      </c>
      <c r="B44" s="3123" t="s">
        <v>108</v>
      </c>
      <c r="C44" s="3123" t="s">
        <v>62</v>
      </c>
      <c r="D44" s="3123">
        <v>50056304000149</v>
      </c>
      <c r="E44" s="3123"/>
      <c r="F44" s="3123" t="s">
        <v>109</v>
      </c>
      <c r="G44" s="3123" t="s">
        <v>4</v>
      </c>
      <c r="H44" s="3123" t="s">
        <v>49</v>
      </c>
      <c r="I44" s="3123"/>
      <c r="J44" s="3123"/>
      <c r="K44" s="3123"/>
      <c r="L44" s="3123"/>
      <c r="M44" s="3123" t="s">
        <v>379</v>
      </c>
      <c r="N44" s="3123"/>
      <c r="O44" s="3123" t="s">
        <v>349</v>
      </c>
      <c r="P44" s="3123"/>
      <c r="Q44" s="3126"/>
      <c r="R44" s="3126"/>
      <c r="S44" s="3126"/>
      <c r="T44" s="3126"/>
      <c r="U44" s="3127"/>
      <c r="V44" s="3123"/>
      <c r="W44" s="3123"/>
      <c r="X44" s="3056">
        <f>IF(A44="","",IF(LEN(SUBSTITUTE(SUBSTITUTE(SUBSTITUTE(SUBSTITUTE(D44,".",""),"/",""),"-","")," ",""))&lt;&gt;14,"CNPJ INVALIDO","OK"))</f>
      </c>
      <c r="Y44" s="3056">
        <f>IF(A44="","",IF(R44="","REST PENDENTE","REST OK"))</f>
      </c>
      <c r="Z44" s="3056">
        <f>IF(A44="","",IF(AND(R44&lt;&gt;"",COUNTIFS($D$3:$D$164,D44,$R$3:$R$164,"&lt;&gt;")&gt;1),"DUPLICADO","OK"))</f>
      </c>
      <c r="AA44" s="3056">
        <f>IF(A44="","",IF(OR(LEN(Q44)&gt;180,LEN(R44)&gt;180,LEN(S44)&gt;180,LEN(T44)&gt;180),"CAMINHO LONGO","OK"))</f>
      </c>
      <c r="AB44" s="3056">
        <f>IF(A44="","",IF(U44="","",IFERROR(INT(U44-TODAY()),"")))</f>
      </c>
      <c r="AC44" s="3056">
        <f>IF(A44="","",IF(AND(T44="",U44=""),"",IF(T44="","SEM CAMINHO",IF(U44="","SEM DATA",IFERROR(IF(AB44&lt;15,"VERMELHO",IF(AB44&lt;=30,"AMARELO","VERDE")),"DATA INVALIDA")))))</f>
      </c>
      <c r="AD44" s="3056">
        <f>IF(OR(A44="",U44="",NOT(ISNUMBER(AB44))),"",RANK(AB44,$AB$3:$AB$164,1)+COUNTIFS($AB$3:AB44,AB44)-1)</f>
      </c>
      <c r="AE44" s="1736"/>
    </row>
    <row r="45" spans="1:19" ht="22.0" hidden="false" customHeight="true" x14ac:dyDescent="0.25">
      <c r="A45" s="3119" t="s">
        <v>110</v>
      </c>
      <c r="B45" s="3118" t="s">
        <v>108</v>
      </c>
      <c r="C45" s="3118" t="s">
        <v>62</v>
      </c>
      <c r="D45" s="3118">
        <v>59971731000127</v>
      </c>
      <c r="E45" s="3118"/>
      <c r="F45" s="3118" t="s">
        <v>109</v>
      </c>
      <c r="G45" s="3118" t="s">
        <v>4</v>
      </c>
      <c r="H45" s="3118" t="s">
        <v>49</v>
      </c>
      <c r="I45" s="3118"/>
      <c r="J45" s="3118"/>
      <c r="K45" s="3118"/>
      <c r="L45" s="3118"/>
      <c r="M45" s="3118" t="s">
        <v>379</v>
      </c>
      <c r="N45" s="3118"/>
      <c r="O45" s="3118" t="s">
        <v>349</v>
      </c>
      <c r="P45" s="3118"/>
      <c r="Q45" s="3121"/>
      <c r="R45" s="3121"/>
      <c r="S45" s="3121"/>
      <c r="T45" s="3121"/>
      <c r="U45" s="3122"/>
      <c r="V45" s="3118"/>
      <c r="W45" s="3118"/>
      <c r="X45" s="3056">
        <f>IF(A45="","",IF(LEN(SUBSTITUTE(SUBSTITUTE(SUBSTITUTE(SUBSTITUTE(D45,".",""),"/",""),"-","")," ",""))&lt;&gt;14,"CNPJ INVALIDO","OK"))</f>
      </c>
      <c r="Y45" s="3056">
        <f>IF(A45="","",IF(R45="","REST PENDENTE","REST OK"))</f>
      </c>
      <c r="Z45" s="3056">
        <f>IF(A45="","",IF(AND(R45&lt;&gt;"",COUNTIFS($D$3:$D$164,D45,$R$3:$R$164,"&lt;&gt;")&gt;1),"DUPLICADO","OK"))</f>
      </c>
      <c r="AA45" s="3056">
        <f>IF(A45="","",IF(OR(LEN(Q45)&gt;180,LEN(R45)&gt;180,LEN(S45)&gt;180,LEN(T45)&gt;180),"CAMINHO LONGO","OK"))</f>
      </c>
      <c r="AB45" s="3056">
        <f>IF(A45="","",IF(U45="","",IFERROR(INT(U45-TODAY()),"")))</f>
      </c>
      <c r="AC45" s="3056">
        <f>IF(A45="","",IF(AND(T45="",U45=""),"",IF(T45="","SEM CAMINHO",IF(U45="","SEM DATA",IFERROR(IF(AB45&lt;15,"VERMELHO",IF(AB45&lt;=30,"AMARELO","VERDE")),"DATA INVALIDA")))))</f>
      </c>
      <c r="AD45" s="3056">
        <f>IF(OR(A45="",U45="",NOT(ISNUMBER(AB45))),"",RANK(AB45,$AB$3:$AB$164,1)+COUNTIFS($AB$3:AB45,AB45)-1)</f>
      </c>
      <c r="AE45" s="1736"/>
    </row>
    <row r="46" spans="1:19" ht="22.0" hidden="false" customHeight="true" x14ac:dyDescent="0.25">
      <c r="A46" s="3124" t="s">
        <v>111</v>
      </c>
      <c r="B46" s="3123" t="s">
        <v>108</v>
      </c>
      <c r="C46" s="3123" t="s">
        <v>69</v>
      </c>
      <c r="D46" s="3123" t="s">
        <v>112</v>
      </c>
      <c r="E46" s="3123"/>
      <c r="F46" s="3123" t="s">
        <v>113</v>
      </c>
      <c r="G46" s="3123" t="s">
        <v>13</v>
      </c>
      <c r="H46" s="3123" t="s">
        <v>49</v>
      </c>
      <c r="I46" s="3123"/>
      <c r="J46" s="3123"/>
      <c r="K46" s="3123"/>
      <c r="L46" s="3123"/>
      <c r="M46" s="3123" t="s">
        <v>377</v>
      </c>
      <c r="N46" s="3123"/>
      <c r="O46" s="3123" t="s">
        <v>347</v>
      </c>
      <c r="P46" s="3123"/>
      <c r="Q46" s="3126"/>
      <c r="R46" s="3126"/>
      <c r="S46" s="3126"/>
      <c r="T46" s="3126"/>
      <c r="U46" s="3127"/>
      <c r="V46" s="3123"/>
      <c r="W46" s="3123"/>
      <c r="X46" s="3056">
        <f>IF(A46="","",IF(LEN(SUBSTITUTE(SUBSTITUTE(SUBSTITUTE(SUBSTITUTE(D46,".",""),"/",""),"-","")," ",""))&lt;&gt;14,"CNPJ INVALIDO","OK"))</f>
      </c>
      <c r="Y46" s="3056">
        <f>IF(A46="","",IF(R46="","REST PENDENTE","REST OK"))</f>
      </c>
      <c r="Z46" s="3056">
        <f>IF(A46="","",IF(AND(R46&lt;&gt;"",COUNTIFS($D$3:$D$164,D46,$R$3:$R$164,"&lt;&gt;")&gt;1),"DUPLICADO","OK"))</f>
      </c>
      <c r="AA46" s="3056">
        <f>IF(A46="","",IF(OR(LEN(Q46)&gt;180,LEN(R46)&gt;180,LEN(S46)&gt;180,LEN(T46)&gt;180),"CAMINHO LONGO","OK"))</f>
      </c>
      <c r="AB46" s="3056">
        <f>IF(A46="","",IF(U46="","",IFERROR(INT(U46-TODAY()),"")))</f>
      </c>
      <c r="AC46" s="3056">
        <f>IF(A46="","",IF(AND(T46="",U46=""),"",IF(T46="","SEM CAMINHO",IF(U46="","SEM DATA",IFERROR(IF(AB46&lt;15,"VERMELHO",IF(AB46&lt;=30,"AMARELO","VERDE")),"DATA INVALIDA")))))</f>
      </c>
      <c r="AD46" s="3056">
        <f>IF(OR(A46="",U46="",NOT(ISNUMBER(AB46))),"",RANK(AB46,$AB$3:$AB$164,1)+COUNTIFS($AB$3:AB46,AB46)-1)</f>
      </c>
      <c r="AE46" s="1736"/>
    </row>
    <row r="47" spans="1:19" ht="22.0" hidden="false" customHeight="true" x14ac:dyDescent="0.25">
      <c r="A47" s="3119" t="s">
        <v>114</v>
      </c>
      <c r="B47" s="3118" t="s">
        <v>115</v>
      </c>
      <c r="C47" s="3118" t="s">
        <v>116</v>
      </c>
      <c r="D47" s="3118" t="s">
        <v>117</v>
      </c>
      <c r="E47" s="3118"/>
      <c r="F47" s="3118" t="s">
        <v>118</v>
      </c>
      <c r="G47" s="3118" t="s">
        <v>13</v>
      </c>
      <c r="H47" s="3118" t="s">
        <v>14</v>
      </c>
      <c r="I47" s="3118"/>
      <c r="J47" s="3118"/>
      <c r="K47" s="3118"/>
      <c r="L47" s="3118"/>
      <c r="M47" s="3118" t="s">
        <v>377</v>
      </c>
      <c r="N47" s="3118"/>
      <c r="O47" s="3118" t="s">
        <v>350</v>
      </c>
      <c r="P47" s="3118"/>
      <c r="Q47" s="3121"/>
      <c r="R47" s="3121"/>
      <c r="S47" s="3121"/>
      <c r="T47" s="3121"/>
      <c r="U47" s="3122"/>
      <c r="V47" s="3118"/>
      <c r="W47" s="3118"/>
      <c r="X47" s="3056">
        <f>IF(A47="","",IF(LEN(SUBSTITUTE(SUBSTITUTE(SUBSTITUTE(SUBSTITUTE(D47,".",""),"/",""),"-","")," ",""))&lt;&gt;14,"CNPJ INVALIDO","OK"))</f>
      </c>
      <c r="Y47" s="3056">
        <f>IF(A47="","",IF(R47="","REST PENDENTE","REST OK"))</f>
      </c>
      <c r="Z47" s="3056">
        <f>IF(A47="","",IF(AND(R47&lt;&gt;"",COUNTIFS($D$3:$D$164,D47,$R$3:$R$164,"&lt;&gt;")&gt;1),"DUPLICADO","OK"))</f>
      </c>
      <c r="AA47" s="3056">
        <f>IF(A47="","",IF(OR(LEN(Q47)&gt;180,LEN(R47)&gt;180,LEN(S47)&gt;180,LEN(T47)&gt;180),"CAMINHO LONGO","OK"))</f>
      </c>
      <c r="AB47" s="3056">
        <f>IF(A47="","",IF(U47="","",IFERROR(INT(U47-TODAY()),"")))</f>
      </c>
      <c r="AC47" s="3056">
        <f>IF(A47="","",IF(AND(T47="",U47=""),"",IF(T47="","SEM CAMINHO",IF(U47="","SEM DATA",IFERROR(IF(AB47&lt;15,"VERMELHO",IF(AB47&lt;=30,"AMARELO","VERDE")),"DATA INVALIDA")))))</f>
      </c>
      <c r="AD47" s="3056">
        <f>IF(OR(A47="",U47="",NOT(ISNUMBER(AB47))),"",RANK(AB47,$AB$3:$AB$164,1)+COUNTIFS($AB$3:AB47,AB47)-1)</f>
      </c>
      <c r="AE47" s="1736"/>
    </row>
    <row r="48" spans="1:19" ht="22.0" hidden="false" customHeight="true" x14ac:dyDescent="0.25">
      <c r="A48" s="3124" t="s">
        <v>119</v>
      </c>
      <c r="B48" s="3123" t="s">
        <v>115</v>
      </c>
      <c r="C48" s="3123" t="s">
        <v>116</v>
      </c>
      <c r="D48" s="3123" t="s">
        <v>120</v>
      </c>
      <c r="E48" s="3123"/>
      <c r="F48" s="3123" t="s">
        <v>118</v>
      </c>
      <c r="G48" s="3123" t="s">
        <v>13</v>
      </c>
      <c r="H48" s="3123" t="s">
        <v>14</v>
      </c>
      <c r="I48" s="3123"/>
      <c r="J48" s="3123"/>
      <c r="K48" s="3123"/>
      <c r="L48" s="3123"/>
      <c r="M48" s="3123" t="s">
        <v>376</v>
      </c>
      <c r="N48" s="3123"/>
      <c r="O48" s="3123" t="s">
        <v>347</v>
      </c>
      <c r="P48" s="3123"/>
      <c r="Q48" s="3126"/>
      <c r="R48" s="3126"/>
      <c r="S48" s="3126"/>
      <c r="T48" s="3126"/>
      <c r="U48" s="3127"/>
      <c r="V48" s="3123"/>
      <c r="W48" s="3123"/>
      <c r="X48" s="3056">
        <f>IF(A48="","",IF(LEN(SUBSTITUTE(SUBSTITUTE(SUBSTITUTE(SUBSTITUTE(D48,".",""),"/",""),"-","")," ",""))&lt;&gt;14,"CNPJ INVALIDO","OK"))</f>
      </c>
      <c r="Y48" s="3056">
        <f>IF(A48="","",IF(R48="","REST PENDENTE","REST OK"))</f>
      </c>
      <c r="Z48" s="3056">
        <f>IF(A48="","",IF(AND(R48&lt;&gt;"",COUNTIFS($D$3:$D$164,D48,$R$3:$R$164,"&lt;&gt;")&gt;1),"DUPLICADO","OK"))</f>
      </c>
      <c r="AA48" s="3056">
        <f>IF(A48="","",IF(OR(LEN(Q48)&gt;180,LEN(R48)&gt;180,LEN(S48)&gt;180,LEN(T48)&gt;180),"CAMINHO LONGO","OK"))</f>
      </c>
      <c r="AB48" s="3056">
        <f>IF(A48="","",IF(U48="","",IFERROR(INT(U48-TODAY()),"")))</f>
      </c>
      <c r="AC48" s="3056">
        <f>IF(A48="","",IF(AND(T48="",U48=""),"",IF(T48="","SEM CAMINHO",IF(U48="","SEM DATA",IFERROR(IF(AB48&lt;15,"VERMELHO",IF(AB48&lt;=30,"AMARELO","VERDE")),"DATA INVALIDA")))))</f>
      </c>
      <c r="AD48" s="3056">
        <f>IF(OR(A48="",U48="",NOT(ISNUMBER(AB48))),"",RANK(AB48,$AB$3:$AB$164,1)+COUNTIFS($AB$3:AB48,AB48)-1)</f>
      </c>
      <c r="AE48" s="1736"/>
    </row>
    <row r="49" spans="1:19" ht="22.0" hidden="false" customHeight="true" x14ac:dyDescent="0.25">
      <c r="A49" s="3119" t="s">
        <v>121</v>
      </c>
      <c r="B49" s="3118" t="s">
        <v>115</v>
      </c>
      <c r="C49" s="3118" t="s">
        <v>122</v>
      </c>
      <c r="D49" s="3118">
        <v>44742752000101</v>
      </c>
      <c r="E49" s="3118"/>
      <c r="F49" s="3118" t="s">
        <v>118</v>
      </c>
      <c r="G49" s="3118" t="s">
        <v>4</v>
      </c>
      <c r="H49" s="3118" t="s">
        <v>5</v>
      </c>
      <c r="I49" s="3118"/>
      <c r="J49" s="3118"/>
      <c r="K49" s="3118"/>
      <c r="L49" s="3118"/>
      <c r="M49" s="3118" t="s">
        <v>376</v>
      </c>
      <c r="N49" s="3118"/>
      <c r="O49" s="3118" t="s">
        <v>349</v>
      </c>
      <c r="P49" s="3118"/>
      <c r="Q49" s="3121"/>
      <c r="R49" s="3121"/>
      <c r="S49" s="3121"/>
      <c r="T49" s="3121"/>
      <c r="U49" s="3122"/>
      <c r="V49" s="3118"/>
      <c r="W49" s="3118"/>
      <c r="X49" s="3056">
        <f>IF(A49="","",IF(LEN(SUBSTITUTE(SUBSTITUTE(SUBSTITUTE(SUBSTITUTE(D49,".",""),"/",""),"-","")," ",""))&lt;&gt;14,"CNPJ INVALIDO","OK"))</f>
      </c>
      <c r="Y49" s="3056">
        <f>IF(A49="","",IF(R49="","REST PENDENTE","REST OK"))</f>
      </c>
      <c r="Z49" s="3056">
        <f>IF(A49="","",IF(AND(R49&lt;&gt;"",COUNTIFS($D$3:$D$164,D49,$R$3:$R$164,"&lt;&gt;")&gt;1),"DUPLICADO","OK"))</f>
      </c>
      <c r="AA49" s="3056">
        <f>IF(A49="","",IF(OR(LEN(Q49)&gt;180,LEN(R49)&gt;180,LEN(S49)&gt;180,LEN(T49)&gt;180),"CAMINHO LONGO","OK"))</f>
      </c>
      <c r="AB49" s="3056">
        <f>IF(A49="","",IF(U49="","",IFERROR(INT(U49-TODAY()),"")))</f>
      </c>
      <c r="AC49" s="3056">
        <f>IF(A49="","",IF(AND(T49="",U49=""),"",IF(T49="","SEM CAMINHO",IF(U49="","SEM DATA",IFERROR(IF(AB49&lt;15,"VERMELHO",IF(AB49&lt;=30,"AMARELO","VERDE")),"DATA INVALIDA")))))</f>
      </c>
      <c r="AD49" s="3056">
        <f>IF(OR(A49="",U49="",NOT(ISNUMBER(AB49))),"",RANK(AB49,$AB$3:$AB$164,1)+COUNTIFS($AB$3:AB49,AB49)-1)</f>
      </c>
      <c r="AE49" s="1736"/>
    </row>
    <row r="50" spans="1:19" ht="22.0" hidden="false" customHeight="true" x14ac:dyDescent="0.25">
      <c r="A50" s="3124" t="s">
        <v>123</v>
      </c>
      <c r="B50" s="3123" t="s">
        <v>115</v>
      </c>
      <c r="C50" s="3123" t="s">
        <v>116</v>
      </c>
      <c r="D50" s="3123" t="s">
        <v>124</v>
      </c>
      <c r="E50" s="3123"/>
      <c r="F50" s="3123" t="s">
        <v>125</v>
      </c>
      <c r="G50" s="3123" t="s">
        <v>13</v>
      </c>
      <c r="H50" s="3123" t="s">
        <v>14</v>
      </c>
      <c r="I50" s="3123"/>
      <c r="J50" s="3123"/>
      <c r="K50" s="3123"/>
      <c r="L50" s="3123"/>
      <c r="M50" s="3123" t="s">
        <v>379</v>
      </c>
      <c r="N50" s="3123"/>
      <c r="O50" s="3123" t="s">
        <v>349</v>
      </c>
      <c r="P50" s="3123"/>
      <c r="Q50" s="3126"/>
      <c r="R50" s="3126"/>
      <c r="S50" s="3126"/>
      <c r="T50" s="3126"/>
      <c r="U50" s="3127"/>
      <c r="V50" s="3123"/>
      <c r="W50" s="3123"/>
      <c r="X50" s="3056">
        <f>IF(A50="","",IF(LEN(SUBSTITUTE(SUBSTITUTE(SUBSTITUTE(SUBSTITUTE(D50,".",""),"/",""),"-","")," ",""))&lt;&gt;14,"CNPJ INVALIDO","OK"))</f>
      </c>
      <c r="Y50" s="3056">
        <f>IF(A50="","",IF(R50="","REST PENDENTE","REST OK"))</f>
      </c>
      <c r="Z50" s="3056">
        <f>IF(A50="","",IF(AND(R50&lt;&gt;"",COUNTIFS($D$3:$D$164,D50,$R$3:$R$164,"&lt;&gt;")&gt;1),"DUPLICADO","OK"))</f>
      </c>
      <c r="AA50" s="3056">
        <f>IF(A50="","",IF(OR(LEN(Q50)&gt;180,LEN(R50)&gt;180,LEN(S50)&gt;180,LEN(T50)&gt;180),"CAMINHO LONGO","OK"))</f>
      </c>
      <c r="AB50" s="3056">
        <f>IF(A50="","",IF(U50="","",IFERROR(INT(U50-TODAY()),"")))</f>
      </c>
      <c r="AC50" s="3056">
        <f>IF(A50="","",IF(AND(T50="",U50=""),"",IF(T50="","SEM CAMINHO",IF(U50="","SEM DATA",IFERROR(IF(AB50&lt;15,"VERMELHO",IF(AB50&lt;=30,"AMARELO","VERDE")),"DATA INVALIDA")))))</f>
      </c>
      <c r="AD50" s="3056">
        <f>IF(OR(A50="",U50="",NOT(ISNUMBER(AB50))),"",RANK(AB50,$AB$3:$AB$164,1)+COUNTIFS($AB$3:AB50,AB50)-1)</f>
      </c>
      <c r="AE50" s="1736"/>
    </row>
    <row r="51" spans="1:19" ht="22.0" hidden="false" customHeight="true" x14ac:dyDescent="0.25">
      <c r="A51" s="3119" t="s">
        <v>126</v>
      </c>
      <c r="B51" s="3118" t="s">
        <v>115</v>
      </c>
      <c r="C51" s="3118" t="s">
        <v>122</v>
      </c>
      <c r="D51" s="3118">
        <v>44777527000100</v>
      </c>
      <c r="E51" s="3118"/>
      <c r="F51" s="3118" t="s">
        <v>125</v>
      </c>
      <c r="G51" s="3118" t="s">
        <v>4</v>
      </c>
      <c r="H51" s="3118" t="s">
        <v>5</v>
      </c>
      <c r="I51" s="3118"/>
      <c r="J51" s="3118"/>
      <c r="K51" s="3118"/>
      <c r="L51" s="3118"/>
      <c r="M51" s="3118" t="s">
        <v>379</v>
      </c>
      <c r="N51" s="3118"/>
      <c r="O51" s="3118" t="s">
        <v>349</v>
      </c>
      <c r="P51" s="3118"/>
      <c r="Q51" s="3121"/>
      <c r="R51" s="3121"/>
      <c r="S51" s="3121"/>
      <c r="T51" s="3121"/>
      <c r="U51" s="3122"/>
      <c r="V51" s="3118"/>
      <c r="W51" s="3118"/>
      <c r="X51" s="3056">
        <f>IF(A51="","",IF(LEN(SUBSTITUTE(SUBSTITUTE(SUBSTITUTE(SUBSTITUTE(D51,".",""),"/",""),"-","")," ",""))&lt;&gt;14,"CNPJ INVALIDO","OK"))</f>
      </c>
      <c r="Y51" s="3056">
        <f>IF(A51="","",IF(R51="","REST PENDENTE","REST OK"))</f>
      </c>
      <c r="Z51" s="3056">
        <f>IF(A51="","",IF(AND(R51&lt;&gt;"",COUNTIFS($D$3:$D$164,D51,$R$3:$R$164,"&lt;&gt;")&gt;1),"DUPLICADO","OK"))</f>
      </c>
      <c r="AA51" s="3056">
        <f>IF(A51="","",IF(OR(LEN(Q51)&gt;180,LEN(R51)&gt;180,LEN(S51)&gt;180,LEN(T51)&gt;180),"CAMINHO LONGO","OK"))</f>
      </c>
      <c r="AB51" s="3056">
        <f>IF(A51="","",IF(U51="","",IFERROR(INT(U51-TODAY()),"")))</f>
      </c>
      <c r="AC51" s="3056">
        <f>IF(A51="","",IF(AND(T51="",U51=""),"",IF(T51="","SEM CAMINHO",IF(U51="","SEM DATA",IFERROR(IF(AB51&lt;15,"VERMELHO",IF(AB51&lt;=30,"AMARELO","VERDE")),"DATA INVALIDA")))))</f>
      </c>
      <c r="AD51" s="3056">
        <f>IF(OR(A51="",U51="",NOT(ISNUMBER(AB51))),"",RANK(AB51,$AB$3:$AB$164,1)+COUNTIFS($AB$3:AB51,AB51)-1)</f>
      </c>
      <c r="AE51" s="1736"/>
    </row>
    <row r="52" spans="1:19" ht="22.0" hidden="false" customHeight="true" x14ac:dyDescent="0.25">
      <c r="A52" s="3124" t="s">
        <v>127</v>
      </c>
      <c r="B52" s="3123" t="s">
        <v>115</v>
      </c>
      <c r="C52" s="3123" t="s">
        <v>122</v>
      </c>
      <c r="D52" s="3123">
        <v>44796284000140</v>
      </c>
      <c r="E52" s="3123"/>
      <c r="F52" s="3123" t="s">
        <v>125</v>
      </c>
      <c r="G52" s="3123" t="s">
        <v>4</v>
      </c>
      <c r="H52" s="3123" t="s">
        <v>5</v>
      </c>
      <c r="I52" s="3123"/>
      <c r="J52" s="3123"/>
      <c r="K52" s="3123"/>
      <c r="L52" s="3123"/>
      <c r="M52" s="3123" t="s">
        <v>379</v>
      </c>
      <c r="N52" s="3123"/>
      <c r="O52" s="3123" t="s">
        <v>349</v>
      </c>
      <c r="P52" s="3123"/>
      <c r="Q52" s="3126"/>
      <c r="R52" s="3126"/>
      <c r="S52" s="3126"/>
      <c r="T52" s="3126"/>
      <c r="U52" s="3127"/>
      <c r="V52" s="3123"/>
      <c r="W52" s="3123"/>
      <c r="X52" s="3056">
        <f>IF(A52="","",IF(LEN(SUBSTITUTE(SUBSTITUTE(SUBSTITUTE(SUBSTITUTE(D52,".",""),"/",""),"-","")," ",""))&lt;&gt;14,"CNPJ INVALIDO","OK"))</f>
      </c>
      <c r="Y52" s="3056">
        <f>IF(A52="","",IF(R52="","REST PENDENTE","REST OK"))</f>
      </c>
      <c r="Z52" s="3056">
        <f>IF(A52="","",IF(AND(R52&lt;&gt;"",COUNTIFS($D$3:$D$164,D52,$R$3:$R$164,"&lt;&gt;")&gt;1),"DUPLICADO","OK"))</f>
      </c>
      <c r="AA52" s="3056">
        <f>IF(A52="","",IF(OR(LEN(Q52)&gt;180,LEN(R52)&gt;180,LEN(S52)&gt;180,LEN(T52)&gt;180),"CAMINHO LONGO","OK"))</f>
      </c>
      <c r="AB52" s="3056">
        <f>IF(A52="","",IF(U52="","",IFERROR(INT(U52-TODAY()),"")))</f>
      </c>
      <c r="AC52" s="3056">
        <f>IF(A52="","",IF(AND(T52="",U52=""),"",IF(T52="","SEM CAMINHO",IF(U52="","SEM DATA",IFERROR(IF(AB52&lt;15,"VERMELHO",IF(AB52&lt;=30,"AMARELO","VERDE")),"DATA INVALIDA")))))</f>
      </c>
      <c r="AD52" s="3056">
        <f>IF(OR(A52="",U52="",NOT(ISNUMBER(AB52))),"",RANK(AB52,$AB$3:$AB$164,1)+COUNTIFS($AB$3:AB52,AB52)-1)</f>
      </c>
      <c r="AE52" s="1736"/>
    </row>
    <row r="53" spans="1:19" ht="22.0" customHeight="true" thickTop="1" x14ac:dyDescent="0.25" hidden="false">
      <c r="A53" s="3119" t="s">
        <v>128</v>
      </c>
      <c r="B53" s="3118" t="s">
        <v>129</v>
      </c>
      <c r="C53" s="3118" t="s">
        <v>16</v>
      </c>
      <c r="D53" s="3118" t="s">
        <v>130</v>
      </c>
      <c r="E53" s="3118"/>
      <c r="F53" s="3118" t="s">
        <v>109</v>
      </c>
      <c r="G53" s="3118" t="s">
        <v>13</v>
      </c>
      <c r="H53" s="3118" t="s">
        <v>14</v>
      </c>
      <c r="I53" s="3118"/>
      <c r="J53" s="3118"/>
      <c r="K53" s="3118"/>
      <c r="L53" s="3118"/>
      <c r="M53" s="3118" t="s">
        <v>384</v>
      </c>
      <c r="N53" s="3118"/>
      <c r="O53" s="3118"/>
      <c r="P53" s="3118"/>
      <c r="Q53" s="3121"/>
      <c r="R53" s="3121"/>
      <c r="S53" s="3121"/>
      <c r="T53" s="3121"/>
      <c r="U53" s="3122"/>
      <c r="V53" s="3118"/>
      <c r="W53" s="3118"/>
      <c r="X53" s="3056">
        <f>IF(A53="","",IF(LEN(SUBSTITUTE(SUBSTITUTE(SUBSTITUTE(SUBSTITUTE(D53,".",""),"/",""),"-","")," ",""))&lt;&gt;14,"CNPJ INVALIDO","OK"))</f>
      </c>
      <c r="Y53" s="3056">
        <f>IF(A53="","",IF(R53="","REST PENDENTE","REST OK"))</f>
      </c>
      <c r="Z53" s="3056">
        <f>IF(A53="","",IF(AND(R53&lt;&gt;"",COUNTIFS($D$3:$D$164,D53,$R$3:$R$164,"&lt;&gt;")&gt;1),"DUPLICADO","OK"))</f>
      </c>
      <c r="AA53" s="3056">
        <f>IF(A53="","",IF(OR(LEN(Q53)&gt;180,LEN(R53)&gt;180,LEN(S53)&gt;180,LEN(T53)&gt;180),"CAMINHO LONGO","OK"))</f>
      </c>
      <c r="AB53" s="3056">
        <f>IF(A53="","",IF(U53="","",IFERROR(INT(U53-TODAY()),"")))</f>
      </c>
      <c r="AC53" s="3056">
        <f>IF(A53="","",IF(AND(T53="",U53=""),"",IF(T53="","SEM CAMINHO",IF(U53="","SEM DATA",IFERROR(IF(AB53&lt;15,"VERMELHO",IF(AB53&lt;=30,"AMARELO","VERDE")),"DATA INVALIDA")))))</f>
      </c>
      <c r="AD53" s="3056">
        <f>IF(OR(A53="",U53="",NOT(ISNUMBER(AB53))),"",RANK(AB53,$AB$3:$AB$164,1)+COUNTIFS($AB$3:AB53,AB53)-1)</f>
      </c>
      <c r="AE53" s="1736"/>
    </row>
    <row r="54" spans="1:19" ht="22.0" hidden="false" customHeight="true" x14ac:dyDescent="0.25">
      <c r="A54" s="3124" t="s">
        <v>131</v>
      </c>
      <c r="B54" s="3123" t="s">
        <v>132</v>
      </c>
      <c r="C54" s="3123" t="s">
        <v>62</v>
      </c>
      <c r="D54" s="3123">
        <v>19318532000108</v>
      </c>
      <c r="E54" s="3123"/>
      <c r="F54" s="3123" t="s">
        <v>66</v>
      </c>
      <c r="G54" s="3123" t="s">
        <v>4</v>
      </c>
      <c r="H54" s="3123" t="s">
        <v>5</v>
      </c>
      <c r="I54" s="3123"/>
      <c r="J54" s="3123"/>
      <c r="K54" s="3123"/>
      <c r="L54" s="3123"/>
      <c r="M54" s="3123" t="s">
        <v>377</v>
      </c>
      <c r="N54" s="3123"/>
      <c r="O54" s="3123" t="s">
        <v>347</v>
      </c>
      <c r="P54" s="3123"/>
      <c r="Q54" s="3126"/>
      <c r="R54" s="3126"/>
      <c r="S54" s="3126"/>
      <c r="T54" s="3126"/>
      <c r="U54" s="3127"/>
      <c r="V54" s="3123"/>
      <c r="W54" s="3123"/>
      <c r="X54" s="3056">
        <f>IF(A54="","",IF(LEN(SUBSTITUTE(SUBSTITUTE(SUBSTITUTE(SUBSTITUTE(D54,".",""),"/",""),"-","")," ",""))&lt;&gt;14,"CNPJ INVALIDO","OK"))</f>
      </c>
      <c r="Y54" s="3056">
        <f>IF(A54="","",IF(R54="","REST PENDENTE","REST OK"))</f>
      </c>
      <c r="Z54" s="3056">
        <f>IF(A54="","",IF(AND(R54&lt;&gt;"",COUNTIFS($D$3:$D$164,D54,$R$3:$R$164,"&lt;&gt;")&gt;1),"DUPLICADO","OK"))</f>
      </c>
      <c r="AA54" s="3056">
        <f>IF(A54="","",IF(OR(LEN(Q54)&gt;180,LEN(R54)&gt;180,LEN(S54)&gt;180,LEN(T54)&gt;180),"CAMINHO LONGO","OK"))</f>
      </c>
      <c r="AB54" s="3056">
        <f>IF(A54="","",IF(U54="","",IFERROR(INT(U54-TODAY()),"")))</f>
      </c>
      <c r="AC54" s="3056">
        <f>IF(A54="","",IF(AND(T54="",U54=""),"",IF(T54="","SEM CAMINHO",IF(U54="","SEM DATA",IFERROR(IF(AB54&lt;15,"VERMELHO",IF(AB54&lt;=30,"AMARELO","VERDE")),"DATA INVALIDA")))))</f>
      </c>
      <c r="AD54" s="3056">
        <f>IF(OR(A54="",U54="",NOT(ISNUMBER(AB54))),"",RANK(AB54,$AB$3:$AB$164,1)+COUNTIFS($AB$3:AB54,AB54)-1)</f>
      </c>
      <c r="AE54" s="1736"/>
    </row>
    <row r="55" spans="1:19" ht="22.0" hidden="false" customHeight="true" x14ac:dyDescent="0.25">
      <c r="A55" s="3119" t="s">
        <v>133</v>
      </c>
      <c r="B55" s="3118" t="s">
        <v>134</v>
      </c>
      <c r="C55" s="3118" t="s">
        <v>116</v>
      </c>
      <c r="D55" s="3118" t="s">
        <v>135</v>
      </c>
      <c r="E55" s="3118"/>
      <c r="F55" s="3118" t="s">
        <v>136</v>
      </c>
      <c r="G55" s="3118" t="s">
        <v>41</v>
      </c>
      <c r="H55" s="3118" t="s">
        <v>5</v>
      </c>
      <c r="I55" s="3118"/>
      <c r="J55" s="3118"/>
      <c r="K55" s="3118"/>
      <c r="L55" s="3118"/>
      <c r="M55" s="3118" t="s">
        <v>379</v>
      </c>
      <c r="N55" s="3118"/>
      <c r="O55" s="3118" t="s">
        <v>351</v>
      </c>
      <c r="P55" s="3118"/>
      <c r="Q55" s="3121"/>
      <c r="R55" s="3121"/>
      <c r="S55" s="3121"/>
      <c r="T55" s="3121"/>
      <c r="U55" s="3122"/>
      <c r="V55" s="3118"/>
      <c r="W55" s="3118"/>
      <c r="X55" s="3056">
        <f>IF(A55="","",IF(LEN(SUBSTITUTE(SUBSTITUTE(SUBSTITUTE(SUBSTITUTE(D55,".",""),"/",""),"-","")," ",""))&lt;&gt;14,"CNPJ INVALIDO","OK"))</f>
      </c>
      <c r="Y55" s="3056">
        <f>IF(A55="","",IF(R55="","REST PENDENTE","REST OK"))</f>
      </c>
      <c r="Z55" s="3056">
        <f>IF(A55="","",IF(AND(R55&lt;&gt;"",COUNTIFS($D$3:$D$164,D55,$R$3:$R$164,"&lt;&gt;")&gt;1),"DUPLICADO","OK"))</f>
      </c>
      <c r="AA55" s="3056">
        <f>IF(A55="","",IF(OR(LEN(Q55)&gt;180,LEN(R55)&gt;180,LEN(S55)&gt;180,LEN(T55)&gt;180),"CAMINHO LONGO","OK"))</f>
      </c>
      <c r="AB55" s="3056">
        <f>IF(A55="","",IF(U55="","",IFERROR(INT(U55-TODAY()),"")))</f>
      </c>
      <c r="AC55" s="3056">
        <f>IF(A55="","",IF(AND(T55="",U55=""),"",IF(T55="","SEM CAMINHO",IF(U55="","SEM DATA",IFERROR(IF(AB55&lt;15,"VERMELHO",IF(AB55&lt;=30,"AMARELO","VERDE")),"DATA INVALIDA")))))</f>
      </c>
      <c r="AD55" s="3056">
        <f>IF(OR(A55="",U55="",NOT(ISNUMBER(AB55))),"",RANK(AB55,$AB$3:$AB$164,1)+COUNTIFS($AB$3:AB55,AB55)-1)</f>
      </c>
      <c r="AE55" s="1736"/>
    </row>
    <row r="56" spans="1:19" ht="22.0" hidden="false" customHeight="true" x14ac:dyDescent="0.25">
      <c r="A56" s="3124" t="s">
        <v>137</v>
      </c>
      <c r="B56" s="3123" t="s">
        <v>134</v>
      </c>
      <c r="C56" s="3123" t="s">
        <v>122</v>
      </c>
      <c r="D56" s="3123">
        <v>34046667000147</v>
      </c>
      <c r="E56" s="3123"/>
      <c r="F56" s="3123" t="s">
        <v>138</v>
      </c>
      <c r="G56" s="3123" t="s">
        <v>4</v>
      </c>
      <c r="H56" s="3123" t="s">
        <v>5</v>
      </c>
      <c r="I56" s="3123"/>
      <c r="J56" s="3123"/>
      <c r="K56" s="3123"/>
      <c r="L56" s="3123"/>
      <c r="M56" s="3123" t="s">
        <v>385</v>
      </c>
      <c r="N56" s="3123"/>
      <c r="O56" s="3123" t="s">
        <v>351</v>
      </c>
      <c r="P56" s="3123"/>
      <c r="Q56" s="3126"/>
      <c r="R56" s="3126"/>
      <c r="S56" s="3126"/>
      <c r="T56" s="3126"/>
      <c r="U56" s="3127"/>
      <c r="V56" s="3123"/>
      <c r="W56" s="3123"/>
      <c r="X56" s="3056">
        <f>IF(A56="","",IF(LEN(SUBSTITUTE(SUBSTITUTE(SUBSTITUTE(SUBSTITUTE(D56,".",""),"/",""),"-","")," ",""))&lt;&gt;14,"CNPJ INVALIDO","OK"))</f>
      </c>
      <c r="Y56" s="3056">
        <f>IF(A56="","",IF(R56="","REST PENDENTE","REST OK"))</f>
      </c>
      <c r="Z56" s="3056">
        <f>IF(A56="","",IF(AND(R56&lt;&gt;"",COUNTIFS($D$3:$D$164,D56,$R$3:$R$164,"&lt;&gt;")&gt;1),"DUPLICADO","OK"))</f>
      </c>
      <c r="AA56" s="3056">
        <f>IF(A56="","",IF(OR(LEN(Q56)&gt;180,LEN(R56)&gt;180,LEN(S56)&gt;180,LEN(T56)&gt;180),"CAMINHO LONGO","OK"))</f>
      </c>
      <c r="AB56" s="3056">
        <f>IF(A56="","",IF(U56="","",IFERROR(INT(U56-TODAY()),"")))</f>
      </c>
      <c r="AC56" s="3056">
        <f>IF(A56="","",IF(AND(T56="",U56=""),"",IF(T56="","SEM CAMINHO",IF(U56="","SEM DATA",IFERROR(IF(AB56&lt;15,"VERMELHO",IF(AB56&lt;=30,"AMARELO","VERDE")),"DATA INVALIDA")))))</f>
      </c>
      <c r="AD56" s="3056">
        <f>IF(OR(A56="",U56="",NOT(ISNUMBER(AB56))),"",RANK(AB56,$AB$3:$AB$164,1)+COUNTIFS($AB$3:AB56,AB56)-1)</f>
      </c>
      <c r="AE56" s="1736"/>
    </row>
    <row r="57" spans="1:19" ht="22.0" hidden="false" customHeight="true" x14ac:dyDescent="0.25">
      <c r="A57" s="3119" t="s">
        <v>139</v>
      </c>
      <c r="B57" s="3118" t="s">
        <v>134</v>
      </c>
      <c r="C57" s="3118" t="s">
        <v>122</v>
      </c>
      <c r="D57" s="3118">
        <v>40932575000167</v>
      </c>
      <c r="E57" s="3118"/>
      <c r="F57" s="3118" t="s">
        <v>140</v>
      </c>
      <c r="G57" s="3118" t="s">
        <v>4</v>
      </c>
      <c r="H57" s="3118" t="s">
        <v>5</v>
      </c>
      <c r="I57" s="3118"/>
      <c r="J57" s="3118"/>
      <c r="K57" s="3118"/>
      <c r="L57" s="3118"/>
      <c r="M57" s="3118" t="s">
        <v>379</v>
      </c>
      <c r="N57" s="3118"/>
      <c r="O57" s="3118" t="s">
        <v>351</v>
      </c>
      <c r="P57" s="3118"/>
      <c r="Q57" s="3121"/>
      <c r="R57" s="3121"/>
      <c r="S57" s="3121"/>
      <c r="T57" s="3121"/>
      <c r="U57" s="3122"/>
      <c r="V57" s="3118"/>
      <c r="W57" s="3118"/>
      <c r="X57" s="3056">
        <f>IF(A57="","",IF(LEN(SUBSTITUTE(SUBSTITUTE(SUBSTITUTE(SUBSTITUTE(D57,".",""),"/",""),"-","")," ",""))&lt;&gt;14,"CNPJ INVALIDO","OK"))</f>
      </c>
      <c r="Y57" s="3056">
        <f>IF(A57="","",IF(R57="","REST PENDENTE","REST OK"))</f>
      </c>
      <c r="Z57" s="3056">
        <f>IF(A57="","",IF(AND(R57&lt;&gt;"",COUNTIFS($D$3:$D$164,D57,$R$3:$R$164,"&lt;&gt;")&gt;1),"DUPLICADO","OK"))</f>
      </c>
      <c r="AA57" s="3056">
        <f>IF(A57="","",IF(OR(LEN(Q57)&gt;180,LEN(R57)&gt;180,LEN(S57)&gt;180,LEN(T57)&gt;180),"CAMINHO LONGO","OK"))</f>
      </c>
      <c r="AB57" s="3056">
        <f>IF(A57="","",IF(U57="","",IFERROR(INT(U57-TODAY()),"")))</f>
      </c>
      <c r="AC57" s="3056">
        <f>IF(A57="","",IF(AND(T57="",U57=""),"",IF(T57="","SEM CAMINHO",IF(U57="","SEM DATA",IFERROR(IF(AB57&lt;15,"VERMELHO",IF(AB57&lt;=30,"AMARELO","VERDE")),"DATA INVALIDA")))))</f>
      </c>
      <c r="AD57" s="3056">
        <f>IF(OR(A57="",U57="",NOT(ISNUMBER(AB57))),"",RANK(AB57,$AB$3:$AB$164,1)+COUNTIFS($AB$3:AB57,AB57)-1)</f>
      </c>
      <c r="AE57" s="1736"/>
    </row>
    <row r="58" spans="1:19" ht="22.0" hidden="false" customHeight="true" x14ac:dyDescent="0.25">
      <c r="A58" s="3124" t="s">
        <v>141</v>
      </c>
      <c r="B58" s="3123" t="s">
        <v>142</v>
      </c>
      <c r="C58" s="3123" t="s">
        <v>62</v>
      </c>
      <c r="D58" s="3123" t="s">
        <v>143</v>
      </c>
      <c r="E58" s="3123"/>
      <c r="F58" s="3123" t="s">
        <v>144</v>
      </c>
      <c r="G58" s="3123" t="s">
        <v>13</v>
      </c>
      <c r="H58" s="3123" t="s">
        <v>49</v>
      </c>
      <c r="I58" s="3123"/>
      <c r="J58" s="3123"/>
      <c r="K58" s="3123"/>
      <c r="L58" s="3123"/>
      <c r="M58" s="3123" t="s">
        <v>385</v>
      </c>
      <c r="N58" s="3123"/>
      <c r="O58" s="3123" t="s">
        <v>347</v>
      </c>
      <c r="P58" s="3123"/>
      <c r="Q58" s="3126"/>
      <c r="R58" s="3126"/>
      <c r="S58" s="3126"/>
      <c r="T58" s="3126"/>
      <c r="U58" s="3127"/>
      <c r="V58" s="3123"/>
      <c r="W58" s="3123"/>
      <c r="X58" s="3056">
        <f>IF(A58="","",IF(LEN(SUBSTITUTE(SUBSTITUTE(SUBSTITUTE(SUBSTITUTE(D58,".",""),"/",""),"-","")," ",""))&lt;&gt;14,"CNPJ INVALIDO","OK"))</f>
      </c>
      <c r="Y58" s="3056">
        <f>IF(A58="","",IF(R58="","REST PENDENTE","REST OK"))</f>
      </c>
      <c r="Z58" s="3056">
        <f>IF(A58="","",IF(AND(R58&lt;&gt;"",COUNTIFS($D$3:$D$164,D58,$R$3:$R$164,"&lt;&gt;")&gt;1),"DUPLICADO","OK"))</f>
      </c>
      <c r="AA58" s="3056">
        <f>IF(A58="","",IF(OR(LEN(Q58)&gt;180,LEN(R58)&gt;180,LEN(S58)&gt;180,LEN(T58)&gt;180),"CAMINHO LONGO","OK"))</f>
      </c>
      <c r="AB58" s="3056">
        <f>IF(A58="","",IF(U58="","",IFERROR(INT(U58-TODAY()),"")))</f>
      </c>
      <c r="AC58" s="3056">
        <f>IF(A58="","",IF(AND(T58="",U58=""),"",IF(T58="","SEM CAMINHO",IF(U58="","SEM DATA",IFERROR(IF(AB58&lt;15,"VERMELHO",IF(AB58&lt;=30,"AMARELO","VERDE")),"DATA INVALIDA")))))</f>
      </c>
      <c r="AD58" s="3056">
        <f>IF(OR(A58="",U58="",NOT(ISNUMBER(AB58))),"",RANK(AB58,$AB$3:$AB$164,1)+COUNTIFS($AB$3:AB58,AB58)-1)</f>
      </c>
      <c r="AE58" s="1736"/>
    </row>
    <row r="59" spans="1:19" ht="22.0" hidden="false" customHeight="true" x14ac:dyDescent="0.25">
      <c r="A59" s="3119" t="s">
        <v>145</v>
      </c>
      <c r="B59" s="3118" t="s">
        <v>142</v>
      </c>
      <c r="C59" s="3118" t="s">
        <v>62</v>
      </c>
      <c r="D59" s="3118">
        <v>60906391000130</v>
      </c>
      <c r="E59" s="3118"/>
      <c r="F59" s="3118" t="s">
        <v>144</v>
      </c>
      <c r="G59" s="3118" t="s">
        <v>4</v>
      </c>
      <c r="H59" s="3118" t="s">
        <v>49</v>
      </c>
      <c r="I59" s="3118"/>
      <c r="J59" s="3118"/>
      <c r="K59" s="3118"/>
      <c r="L59" s="3118"/>
      <c r="M59" s="3118" t="s">
        <v>385</v>
      </c>
      <c r="N59" s="3118"/>
      <c r="O59" s="3118" t="s">
        <v>351</v>
      </c>
      <c r="P59" s="3118"/>
      <c r="Q59" s="3121"/>
      <c r="R59" s="3121"/>
      <c r="S59" s="3121"/>
      <c r="T59" s="3121"/>
      <c r="U59" s="3122"/>
      <c r="V59" s="3118"/>
      <c r="W59" s="3118"/>
      <c r="X59" s="3056">
        <f>IF(A59="","",IF(LEN(SUBSTITUTE(SUBSTITUTE(SUBSTITUTE(SUBSTITUTE(D59,".",""),"/",""),"-","")," ",""))&lt;&gt;14,"CNPJ INVALIDO","OK"))</f>
      </c>
      <c r="Y59" s="3056">
        <f>IF(A59="","",IF(R59="","REST PENDENTE","REST OK"))</f>
      </c>
      <c r="Z59" s="3056">
        <f>IF(A59="","",IF(AND(R59&lt;&gt;"",COUNTIFS($D$3:$D$164,D59,$R$3:$R$164,"&lt;&gt;")&gt;1),"DUPLICADO","OK"))</f>
      </c>
      <c r="AA59" s="3056">
        <f>IF(A59="","",IF(OR(LEN(Q59)&gt;180,LEN(R59)&gt;180,LEN(S59)&gt;180,LEN(T59)&gt;180),"CAMINHO LONGO","OK"))</f>
      </c>
      <c r="AB59" s="3056">
        <f>IF(A59="","",IF(U59="","",IFERROR(INT(U59-TODAY()),"")))</f>
      </c>
      <c r="AC59" s="3056">
        <f>IF(A59="","",IF(AND(T59="",U59=""),"",IF(T59="","SEM CAMINHO",IF(U59="","SEM DATA",IFERROR(IF(AB59&lt;15,"VERMELHO",IF(AB59&lt;=30,"AMARELO","VERDE")),"DATA INVALIDA")))))</f>
      </c>
      <c r="AD59" s="3056">
        <f>IF(OR(A59="",U59="",NOT(ISNUMBER(AB59))),"",RANK(AB59,$AB$3:$AB$164,1)+COUNTIFS($AB$3:AB59,AB59)-1)</f>
      </c>
      <c r="AE59" s="1736"/>
    </row>
    <row r="60" spans="1:19" ht="22.0" hidden="false" customHeight="true" x14ac:dyDescent="0.25">
      <c r="A60" s="3124" t="s">
        <v>146</v>
      </c>
      <c r="B60" s="3123" t="s">
        <v>75</v>
      </c>
      <c r="C60" s="3123" t="s">
        <v>62</v>
      </c>
      <c r="D60" s="3123">
        <v>41762299000107</v>
      </c>
      <c r="E60" s="3123"/>
      <c r="F60" s="3123" t="s">
        <v>147</v>
      </c>
      <c r="G60" s="3123" t="s">
        <v>4</v>
      </c>
      <c r="H60" s="3123" t="s">
        <v>5</v>
      </c>
      <c r="I60" s="3123"/>
      <c r="J60" s="3123"/>
      <c r="K60" s="3123"/>
      <c r="L60" s="3123"/>
      <c r="M60" s="3123" t="s">
        <v>379</v>
      </c>
      <c r="N60" s="3123"/>
      <c r="O60" s="3123" t="s">
        <v>352</v>
      </c>
      <c r="P60" s="3123"/>
      <c r="Q60" s="3126"/>
      <c r="R60" s="3126"/>
      <c r="S60" s="3126"/>
      <c r="T60" s="3126"/>
      <c r="U60" s="3127"/>
      <c r="V60" s="3123"/>
      <c r="W60" s="3123"/>
      <c r="X60" s="3056">
        <f>IF(A60="","",IF(LEN(SUBSTITUTE(SUBSTITUTE(SUBSTITUTE(SUBSTITUTE(D60,".",""),"/",""),"-","")," ",""))&lt;&gt;14,"CNPJ INVALIDO","OK"))</f>
      </c>
      <c r="Y60" s="3056">
        <f>IF(A60="","",IF(R60="","REST PENDENTE","REST OK"))</f>
      </c>
      <c r="Z60" s="3056">
        <f>IF(A60="","",IF(AND(R60&lt;&gt;"",COUNTIFS($D$3:$D$164,D60,$R$3:$R$164,"&lt;&gt;")&gt;1),"DUPLICADO","OK"))</f>
      </c>
      <c r="AA60" s="3056">
        <f>IF(A60="","",IF(OR(LEN(Q60)&gt;180,LEN(R60)&gt;180,LEN(S60)&gt;180,LEN(T60)&gt;180),"CAMINHO LONGO","OK"))</f>
      </c>
      <c r="AB60" s="3056">
        <f>IF(A60="","",IF(U60="","",IFERROR(INT(U60-TODAY()),"")))</f>
      </c>
      <c r="AC60" s="3056">
        <f>IF(A60="","",IF(AND(T60="",U60=""),"",IF(T60="","SEM CAMINHO",IF(U60="","SEM DATA",IFERROR(IF(AB60&lt;15,"VERMELHO",IF(AB60&lt;=30,"AMARELO","VERDE")),"DATA INVALIDA")))))</f>
      </c>
      <c r="AD60" s="3056">
        <f>IF(OR(A60="",U60="",NOT(ISNUMBER(AB60))),"",RANK(AB60,$AB$3:$AB$164,1)+COUNTIFS($AB$3:AB60,AB60)-1)</f>
      </c>
      <c r="AE60" s="1736"/>
    </row>
    <row r="61" spans="1:19" ht="22.0" hidden="false" customHeight="true" x14ac:dyDescent="0.25">
      <c r="A61" s="3119" t="s">
        <v>148</v>
      </c>
      <c r="B61" s="3118" t="s">
        <v>149</v>
      </c>
      <c r="C61" s="3118" t="s">
        <v>59</v>
      </c>
      <c r="D61" s="3118">
        <v>52090662000101</v>
      </c>
      <c r="E61" s="3118"/>
      <c r="F61" s="3118" t="s">
        <v>150</v>
      </c>
      <c r="G61" s="3118" t="s">
        <v>4</v>
      </c>
      <c r="H61" s="3118" t="s">
        <v>5</v>
      </c>
      <c r="I61" s="3118"/>
      <c r="J61" s="3118"/>
      <c r="K61" s="3118"/>
      <c r="L61" s="3118"/>
      <c r="M61" s="3118" t="s">
        <v>379</v>
      </c>
      <c r="N61" s="3118"/>
      <c r="O61" s="3118" t="s">
        <v>351</v>
      </c>
      <c r="P61" s="3118"/>
      <c r="Q61" s="3121"/>
      <c r="R61" s="3121"/>
      <c r="S61" s="3121"/>
      <c r="T61" s="3121"/>
      <c r="U61" s="3122"/>
      <c r="V61" s="3118"/>
      <c r="W61" s="3118"/>
      <c r="X61" s="3056">
        <f>IF(A61="","",IF(LEN(SUBSTITUTE(SUBSTITUTE(SUBSTITUTE(SUBSTITUTE(D61,".",""),"/",""),"-","")," ",""))&lt;&gt;14,"CNPJ INVALIDO","OK"))</f>
      </c>
      <c r="Y61" s="3056">
        <f>IF(A61="","",IF(R61="","REST PENDENTE","REST OK"))</f>
      </c>
      <c r="Z61" s="3056">
        <f>IF(A61="","",IF(AND(R61&lt;&gt;"",COUNTIFS($D$3:$D$164,D61,$R$3:$R$164,"&lt;&gt;")&gt;1),"DUPLICADO","OK"))</f>
      </c>
      <c r="AA61" s="3056">
        <f>IF(A61="","",IF(OR(LEN(Q61)&gt;180,LEN(R61)&gt;180,LEN(S61)&gt;180,LEN(T61)&gt;180),"CAMINHO LONGO","OK"))</f>
      </c>
      <c r="AB61" s="3056">
        <f>IF(A61="","",IF(U61="","",IFERROR(INT(U61-TODAY()),"")))</f>
      </c>
      <c r="AC61" s="3056">
        <f>IF(A61="","",IF(AND(T61="",U61=""),"",IF(T61="","SEM CAMINHO",IF(U61="","SEM DATA",IFERROR(IF(AB61&lt;15,"VERMELHO",IF(AB61&lt;=30,"AMARELO","VERDE")),"DATA INVALIDA")))))</f>
      </c>
      <c r="AD61" s="3056">
        <f>IF(OR(A61="",U61="",NOT(ISNUMBER(AB61))),"",RANK(AB61,$AB$3:$AB$164,1)+COUNTIFS($AB$3:AB61,AB61)-1)</f>
      </c>
      <c r="AE61" s="1736"/>
    </row>
    <row r="62" spans="1:19" ht="22.0" hidden="false" customHeight="true" x14ac:dyDescent="0.25">
      <c r="A62" s="3124" t="s">
        <v>151</v>
      </c>
      <c r="B62" s="3123" t="s">
        <v>149</v>
      </c>
      <c r="C62" s="3123" t="s">
        <v>46</v>
      </c>
      <c r="D62" s="3123" t="s">
        <v>152</v>
      </c>
      <c r="E62" s="3123"/>
      <c r="F62" s="3123" t="s">
        <v>150</v>
      </c>
      <c r="G62" s="3123" t="s">
        <v>13</v>
      </c>
      <c r="H62" s="3123" t="s">
        <v>49</v>
      </c>
      <c r="I62" s="3123"/>
      <c r="J62" s="3123"/>
      <c r="K62" s="3123"/>
      <c r="L62" s="3123"/>
      <c r="M62" s="3123" t="s">
        <v>377</v>
      </c>
      <c r="N62" s="3123"/>
      <c r="O62" s="3123" t="s">
        <v>347</v>
      </c>
      <c r="P62" s="3123"/>
      <c r="Q62" s="3126"/>
      <c r="R62" s="3126"/>
      <c r="S62" s="3126"/>
      <c r="T62" s="3126"/>
      <c r="U62" s="3127"/>
      <c r="V62" s="3123"/>
      <c r="W62" s="3123"/>
      <c r="X62" s="3056">
        <f>IF(A62="","",IF(LEN(SUBSTITUTE(SUBSTITUTE(SUBSTITUTE(SUBSTITUTE(D62,".",""),"/",""),"-","")," ",""))&lt;&gt;14,"CNPJ INVALIDO","OK"))</f>
      </c>
      <c r="Y62" s="3056">
        <f>IF(A62="","",IF(R62="","REST PENDENTE","REST OK"))</f>
      </c>
      <c r="Z62" s="3056">
        <f>IF(A62="","",IF(AND(R62&lt;&gt;"",COUNTIFS($D$3:$D$164,D62,$R$3:$R$164,"&lt;&gt;")&gt;1),"DUPLICADO","OK"))</f>
      </c>
      <c r="AA62" s="3056">
        <f>IF(A62="","",IF(OR(LEN(Q62)&gt;180,LEN(R62)&gt;180,LEN(S62)&gt;180,LEN(T62)&gt;180),"CAMINHO LONGO","OK"))</f>
      </c>
      <c r="AB62" s="3056">
        <f>IF(A62="","",IF(U62="","",IFERROR(INT(U62-TODAY()),"")))</f>
      </c>
      <c r="AC62" s="3056">
        <f>IF(A62="","",IF(AND(T62="",U62=""),"",IF(T62="","SEM CAMINHO",IF(U62="","SEM DATA",IFERROR(IF(AB62&lt;15,"VERMELHO",IF(AB62&lt;=30,"AMARELO","VERDE")),"DATA INVALIDA")))))</f>
      </c>
      <c r="AD62" s="3056">
        <f>IF(OR(A62="",U62="",NOT(ISNUMBER(AB62))),"",RANK(AB62,$AB$3:$AB$164,1)+COUNTIFS($AB$3:AB62,AB62)-1)</f>
      </c>
      <c r="AE62" s="1736"/>
    </row>
    <row r="63" spans="1:19" ht="22.0" hidden="false" customHeight="true" x14ac:dyDescent="0.25">
      <c r="A63" s="3119" t="s">
        <v>153</v>
      </c>
      <c r="B63" s="3118" t="s">
        <v>149</v>
      </c>
      <c r="C63" s="3118" t="s">
        <v>46</v>
      </c>
      <c r="D63" s="3118" t="s">
        <v>154</v>
      </c>
      <c r="E63" s="3118"/>
      <c r="F63" s="3118" t="s">
        <v>150</v>
      </c>
      <c r="G63" s="3118" t="s">
        <v>13</v>
      </c>
      <c r="H63" s="3118" t="s">
        <v>49</v>
      </c>
      <c r="I63" s="3118"/>
      <c r="J63" s="3118"/>
      <c r="K63" s="3118"/>
      <c r="L63" s="3118"/>
      <c r="M63" s="3118" t="s">
        <v>377</v>
      </c>
      <c r="N63" s="3118"/>
      <c r="O63" s="3118" t="s">
        <v>347</v>
      </c>
      <c r="P63" s="3118"/>
      <c r="Q63" s="3121"/>
      <c r="R63" s="3121"/>
      <c r="S63" s="3121"/>
      <c r="T63" s="3121"/>
      <c r="U63" s="3122"/>
      <c r="V63" s="3118"/>
      <c r="W63" s="3118"/>
      <c r="X63" s="3056">
        <f>IF(A63="","",IF(LEN(SUBSTITUTE(SUBSTITUTE(SUBSTITUTE(SUBSTITUTE(D63,".",""),"/",""),"-","")," ",""))&lt;&gt;14,"CNPJ INVALIDO","OK"))</f>
      </c>
      <c r="Y63" s="3056">
        <f>IF(A63="","",IF(R63="","REST PENDENTE","REST OK"))</f>
      </c>
      <c r="Z63" s="3056">
        <f>IF(A63="","",IF(AND(R63&lt;&gt;"",COUNTIFS($D$3:$D$164,D63,$R$3:$R$164,"&lt;&gt;")&gt;1),"DUPLICADO","OK"))</f>
      </c>
      <c r="AA63" s="3056">
        <f>IF(A63="","",IF(OR(LEN(Q63)&gt;180,LEN(R63)&gt;180,LEN(S63)&gt;180,LEN(T63)&gt;180),"CAMINHO LONGO","OK"))</f>
      </c>
      <c r="AB63" s="3056">
        <f>IF(A63="","",IF(U63="","",IFERROR(INT(U63-TODAY()),"")))</f>
      </c>
      <c r="AC63" s="3056">
        <f>IF(A63="","",IF(AND(T63="",U63=""),"",IF(T63="","SEM CAMINHO",IF(U63="","SEM DATA",IFERROR(IF(AB63&lt;15,"VERMELHO",IF(AB63&lt;=30,"AMARELO","VERDE")),"DATA INVALIDA")))))</f>
      </c>
      <c r="AD63" s="3056">
        <f>IF(OR(A63="",U63="",NOT(ISNUMBER(AB63))),"",RANK(AB63,$AB$3:$AB$164,1)+COUNTIFS($AB$3:AB63,AB63)-1)</f>
      </c>
      <c r="AE63" s="1736"/>
    </row>
    <row r="64" spans="1:19" ht="22.0" hidden="false" customHeight="true" x14ac:dyDescent="0.25">
      <c r="A64" s="3124" t="s">
        <v>155</v>
      </c>
      <c r="B64" s="3123" t="s">
        <v>61</v>
      </c>
      <c r="C64" s="3123" t="s">
        <v>62</v>
      </c>
      <c r="D64" s="3123">
        <v>8587897000103</v>
      </c>
      <c r="E64" s="3123"/>
      <c r="F64" s="3123" t="s">
        <v>63</v>
      </c>
      <c r="G64" s="3123" t="s">
        <v>41</v>
      </c>
      <c r="H64" s="3123" t="s">
        <v>5</v>
      </c>
      <c r="I64" s="3123"/>
      <c r="J64" s="3123"/>
      <c r="K64" s="3123"/>
      <c r="L64" s="3123"/>
      <c r="M64" s="3123" t="s">
        <v>379</v>
      </c>
      <c r="N64" s="3123"/>
      <c r="O64" s="3123" t="s">
        <v>351</v>
      </c>
      <c r="P64" s="3123"/>
      <c r="Q64" s="3126"/>
      <c r="R64" s="3126"/>
      <c r="S64" s="3126"/>
      <c r="T64" s="3126"/>
      <c r="U64" s="3127"/>
      <c r="V64" s="3123"/>
      <c r="W64" s="3123"/>
      <c r="X64" s="3056">
        <f>IF(A64="","",IF(LEN(SUBSTITUTE(SUBSTITUTE(SUBSTITUTE(SUBSTITUTE(D64,".",""),"/",""),"-","")," ",""))&lt;&gt;14,"CNPJ INVALIDO","OK"))</f>
      </c>
      <c r="Y64" s="3056">
        <f>IF(A64="","",IF(R64="","REST PENDENTE","REST OK"))</f>
      </c>
      <c r="Z64" s="3056">
        <f>IF(A64="","",IF(AND(R64&lt;&gt;"",COUNTIFS($D$3:$D$164,D64,$R$3:$R$164,"&lt;&gt;")&gt;1),"DUPLICADO","OK"))</f>
      </c>
      <c r="AA64" s="3056">
        <f>IF(A64="","",IF(OR(LEN(Q64)&gt;180,LEN(R64)&gt;180,LEN(S64)&gt;180,LEN(T64)&gt;180),"CAMINHO LONGO","OK"))</f>
      </c>
      <c r="AB64" s="3056">
        <f>IF(A64="","",IF(U64="","",IFERROR(INT(U64-TODAY()),"")))</f>
      </c>
      <c r="AC64" s="3056">
        <f>IF(A64="","",IF(AND(T64="",U64=""),"",IF(T64="","SEM CAMINHO",IF(U64="","SEM DATA",IFERROR(IF(AB64&lt;15,"VERMELHO",IF(AB64&lt;=30,"AMARELO","VERDE")),"DATA INVALIDA")))))</f>
      </c>
      <c r="AD64" s="3056">
        <f>IF(OR(A64="",U64="",NOT(ISNUMBER(AB64))),"",RANK(AB64,$AB$3:$AB$164,1)+COUNTIFS($AB$3:AB64,AB64)-1)</f>
      </c>
      <c r="AE64" s="1736"/>
    </row>
    <row r="65" spans="1:19" ht="22.0" hidden="false" customHeight="true" x14ac:dyDescent="0.25">
      <c r="A65" s="3119" t="s">
        <v>156</v>
      </c>
      <c r="B65" s="3118" t="s">
        <v>61</v>
      </c>
      <c r="C65" s="3118" t="s">
        <v>62</v>
      </c>
      <c r="D65" s="3118">
        <v>17845713000159</v>
      </c>
      <c r="E65" s="3118"/>
      <c r="F65" s="3118" t="s">
        <v>63</v>
      </c>
      <c r="G65" s="3118" t="s">
        <v>41</v>
      </c>
      <c r="H65" s="3118" t="s">
        <v>5</v>
      </c>
      <c r="I65" s="3118"/>
      <c r="J65" s="3118"/>
      <c r="K65" s="3118"/>
      <c r="L65" s="3118"/>
      <c r="M65" s="3118" t="s">
        <v>379</v>
      </c>
      <c r="N65" s="3118"/>
      <c r="O65" s="3118" t="s">
        <v>351</v>
      </c>
      <c r="P65" s="3118"/>
      <c r="Q65" s="3121"/>
      <c r="R65" s="3121"/>
      <c r="S65" s="3121"/>
      <c r="T65" s="3121"/>
      <c r="U65" s="3122"/>
      <c r="V65" s="3118"/>
      <c r="W65" s="3118"/>
      <c r="X65" s="3056">
        <f>IF(A65="","",IF(LEN(SUBSTITUTE(SUBSTITUTE(SUBSTITUTE(SUBSTITUTE(D65,".",""),"/",""),"-","")," ",""))&lt;&gt;14,"CNPJ INVALIDO","OK"))</f>
      </c>
      <c r="Y65" s="3056">
        <f>IF(A65="","",IF(R65="","REST PENDENTE","REST OK"))</f>
      </c>
      <c r="Z65" s="3056">
        <f>IF(A65="","",IF(AND(R65&lt;&gt;"",COUNTIFS($D$3:$D$164,D65,$R$3:$R$164,"&lt;&gt;")&gt;1),"DUPLICADO","OK"))</f>
      </c>
      <c r="AA65" s="3056">
        <f>IF(A65="","",IF(OR(LEN(Q65)&gt;180,LEN(R65)&gt;180,LEN(S65)&gt;180,LEN(T65)&gt;180),"CAMINHO LONGO","OK"))</f>
      </c>
      <c r="AB65" s="3056">
        <f>IF(A65="","",IF(U65="","",IFERROR(INT(U65-TODAY()),"")))</f>
      </c>
      <c r="AC65" s="3056">
        <f>IF(A65="","",IF(AND(T65="",U65=""),"",IF(T65="","SEM CAMINHO",IF(U65="","SEM DATA",IFERROR(IF(AB65&lt;15,"VERMELHO",IF(AB65&lt;=30,"AMARELO","VERDE")),"DATA INVALIDA")))))</f>
      </c>
      <c r="AD65" s="3056">
        <f>IF(OR(A65="",U65="",NOT(ISNUMBER(AB65))),"",RANK(AB65,$AB$3:$AB$164,1)+COUNTIFS($AB$3:AB65,AB65)-1)</f>
      </c>
      <c r="AE65" s="1736"/>
    </row>
    <row r="66" spans="1:19" ht="22.0" hidden="false" customHeight="true" x14ac:dyDescent="0.25">
      <c r="A66" s="3124" t="s">
        <v>157</v>
      </c>
      <c r="B66" s="3123" t="s">
        <v>61</v>
      </c>
      <c r="C66" s="3123" t="s">
        <v>62</v>
      </c>
      <c r="D66" s="3123">
        <v>37646098000169</v>
      </c>
      <c r="E66" s="3123"/>
      <c r="F66" s="3123" t="s">
        <v>63</v>
      </c>
      <c r="G66" s="3123" t="s">
        <v>41</v>
      </c>
      <c r="H66" s="3123" t="s">
        <v>5</v>
      </c>
      <c r="I66" s="3123"/>
      <c r="J66" s="3123"/>
      <c r="K66" s="3123"/>
      <c r="L66" s="3123"/>
      <c r="M66" s="3123" t="s">
        <v>379</v>
      </c>
      <c r="N66" s="3123"/>
      <c r="O66" s="3123" t="s">
        <v>353</v>
      </c>
      <c r="P66" s="3123"/>
      <c r="Q66" s="3126"/>
      <c r="R66" s="3126"/>
      <c r="S66" s="3126"/>
      <c r="T66" s="3126"/>
      <c r="U66" s="3127"/>
      <c r="V66" s="3123"/>
      <c r="W66" s="3123"/>
      <c r="X66" s="3056">
        <f>IF(A66="","",IF(LEN(SUBSTITUTE(SUBSTITUTE(SUBSTITUTE(SUBSTITUTE(D66,".",""),"/",""),"-","")," ",""))&lt;&gt;14,"CNPJ INVALIDO","OK"))</f>
      </c>
      <c r="Y66" s="3056">
        <f>IF(A66="","",IF(R66="","REST PENDENTE","REST OK"))</f>
      </c>
      <c r="Z66" s="3056">
        <f>IF(A66="","",IF(AND(R66&lt;&gt;"",COUNTIFS($D$3:$D$164,D66,$R$3:$R$164,"&lt;&gt;")&gt;1),"DUPLICADO","OK"))</f>
      </c>
      <c r="AA66" s="3056">
        <f>IF(A66="","",IF(OR(LEN(Q66)&gt;180,LEN(R66)&gt;180,LEN(S66)&gt;180,LEN(T66)&gt;180),"CAMINHO LONGO","OK"))</f>
      </c>
      <c r="AB66" s="3056">
        <f>IF(A66="","",IF(U66="","",IFERROR(INT(U66-TODAY()),"")))</f>
      </c>
      <c r="AC66" s="3056">
        <f>IF(A66="","",IF(AND(T66="",U66=""),"",IF(T66="","SEM CAMINHO",IF(U66="","SEM DATA",IFERROR(IF(AB66&lt;15,"VERMELHO",IF(AB66&lt;=30,"AMARELO","VERDE")),"DATA INVALIDA")))))</f>
      </c>
      <c r="AD66" s="3056">
        <f>IF(OR(A66="",U66="",NOT(ISNUMBER(AB66))),"",RANK(AB66,$AB$3:$AB$164,1)+COUNTIFS($AB$3:AB66,AB66)-1)</f>
      </c>
      <c r="AE66" s="1736"/>
    </row>
    <row r="67" spans="1:19" ht="22.0" hidden="false" customHeight="true" x14ac:dyDescent="0.25">
      <c r="A67" s="3119" t="s">
        <v>158</v>
      </c>
      <c r="B67" s="3118" t="s">
        <v>159</v>
      </c>
      <c r="C67" s="3118" t="s">
        <v>62</v>
      </c>
      <c r="D67" s="3118">
        <v>44470328000147</v>
      </c>
      <c r="E67" s="3118"/>
      <c r="F67" s="3118" t="s">
        <v>160</v>
      </c>
      <c r="G67" s="3118" t="s">
        <v>4</v>
      </c>
      <c r="H67" s="3118" t="s">
        <v>5</v>
      </c>
      <c r="I67" s="3118"/>
      <c r="J67" s="3118"/>
      <c r="K67" s="3118"/>
      <c r="L67" s="3118"/>
      <c r="M67" s="3118" t="s">
        <v>377</v>
      </c>
      <c r="N67" s="3118"/>
      <c r="O67" s="3118" t="s">
        <v>347</v>
      </c>
      <c r="P67" s="3118"/>
      <c r="Q67" s="3121"/>
      <c r="R67" s="3121"/>
      <c r="S67" s="3121"/>
      <c r="T67" s="3121"/>
      <c r="U67" s="3122"/>
      <c r="V67" s="3118"/>
      <c r="W67" s="3118"/>
      <c r="X67" s="3056">
        <f>IF(A67="","",IF(LEN(SUBSTITUTE(SUBSTITUTE(SUBSTITUTE(SUBSTITUTE(D67,".",""),"/",""),"-","")," ",""))&lt;&gt;14,"CNPJ INVALIDO","OK"))</f>
      </c>
      <c r="Y67" s="3056">
        <f>IF(A67="","",IF(R67="","REST PENDENTE","REST OK"))</f>
      </c>
      <c r="Z67" s="3056">
        <f>IF(A67="","",IF(AND(R67&lt;&gt;"",COUNTIFS($D$3:$D$164,D67,$R$3:$R$164,"&lt;&gt;")&gt;1),"DUPLICADO","OK"))</f>
      </c>
      <c r="AA67" s="3056">
        <f>IF(A67="","",IF(OR(LEN(Q67)&gt;180,LEN(R67)&gt;180,LEN(S67)&gt;180,LEN(T67)&gt;180),"CAMINHO LONGO","OK"))</f>
      </c>
      <c r="AB67" s="3056">
        <f>IF(A67="","",IF(U67="","",IFERROR(INT(U67-TODAY()),"")))</f>
      </c>
      <c r="AC67" s="3056">
        <f>IF(A67="","",IF(AND(T67="",U67=""),"",IF(T67="","SEM CAMINHO",IF(U67="","SEM DATA",IFERROR(IF(AB67&lt;15,"VERMELHO",IF(AB67&lt;=30,"AMARELO","VERDE")),"DATA INVALIDA")))))</f>
      </c>
      <c r="AD67" s="3056">
        <f>IF(OR(A67="",U67="",NOT(ISNUMBER(AB67))),"",RANK(AB67,$AB$3:$AB$164,1)+COUNTIFS($AB$3:AB67,AB67)-1)</f>
      </c>
      <c r="AE67" s="1736"/>
    </row>
    <row r="68" spans="1:19" ht="22.0" hidden="false" customHeight="true" x14ac:dyDescent="0.25">
      <c r="A68" s="3124" t="s">
        <v>161</v>
      </c>
      <c r="B68" s="3123" t="s">
        <v>162</v>
      </c>
      <c r="C68" s="3123" t="s">
        <v>163</v>
      </c>
      <c r="D68" s="3123" t="s">
        <v>164</v>
      </c>
      <c r="E68" s="3123"/>
      <c r="F68" s="3123"/>
      <c r="G68" s="3123" t="s">
        <v>41</v>
      </c>
      <c r="H68" s="3123" t="s">
        <v>14</v>
      </c>
      <c r="I68" s="3123"/>
      <c r="J68" s="3123"/>
      <c r="K68" s="3123"/>
      <c r="L68" s="3123"/>
      <c r="M68" s="3123" t="s">
        <v>385</v>
      </c>
      <c r="N68" s="3123" t="s">
        <v>362</v>
      </c>
      <c r="O68" s="3123" t="s">
        <v>362</v>
      </c>
      <c r="P68" s="3123"/>
      <c r="Q68" s="3126"/>
      <c r="R68" s="3126"/>
      <c r="S68" s="3126"/>
      <c r="T68" s="3126"/>
      <c r="U68" s="3127"/>
      <c r="V68" s="3123"/>
      <c r="W68" s="3123"/>
      <c r="X68" s="3056">
        <f>IF(A68="","",IF(LEN(SUBSTITUTE(SUBSTITUTE(SUBSTITUTE(SUBSTITUTE(D68,".",""),"/",""),"-","")," ",""))&lt;&gt;14,"CNPJ INVALIDO","OK"))</f>
      </c>
      <c r="Y68" s="3056">
        <f>IF(A68="","",IF(R68="","REST PENDENTE","REST OK"))</f>
      </c>
      <c r="Z68" s="3056">
        <f>IF(A68="","",IF(AND(R68&lt;&gt;"",COUNTIFS($D$3:$D$164,D68,$R$3:$R$164,"&lt;&gt;")&gt;1),"DUPLICADO","OK"))</f>
      </c>
      <c r="AA68" s="3056">
        <f>IF(A68="","",IF(OR(LEN(Q68)&gt;180,LEN(R68)&gt;180,LEN(S68)&gt;180,LEN(T68)&gt;180),"CAMINHO LONGO","OK"))</f>
      </c>
      <c r="AB68" s="3056">
        <f>IF(A68="","",IF(U68="","",IFERROR(INT(U68-TODAY()),"")))</f>
      </c>
      <c r="AC68" s="3056">
        <f>IF(A68="","",IF(AND(T68="",U68=""),"",IF(T68="","SEM CAMINHO",IF(U68="","SEM DATA",IFERROR(IF(AB68&lt;15,"VERMELHO",IF(AB68&lt;=30,"AMARELO","VERDE")),"DATA INVALIDA")))))</f>
      </c>
      <c r="AD68" s="3056">
        <f>IF(OR(A68="",U68="",NOT(ISNUMBER(AB68))),"",RANK(AB68,$AB$3:$AB$164,1)+COUNTIFS($AB$3:AB68,AB68)-1)</f>
      </c>
      <c r="AE68" s="1736"/>
    </row>
    <row r="69" spans="1:19" ht="22.0" hidden="false" customHeight="true" x14ac:dyDescent="0.25">
      <c r="A69" s="3119" t="s">
        <v>165</v>
      </c>
      <c r="B69" s="3118" t="s">
        <v>162</v>
      </c>
      <c r="C69" s="3118" t="s">
        <v>163</v>
      </c>
      <c r="D69" s="3118" t="s">
        <v>166</v>
      </c>
      <c r="E69" s="3118"/>
      <c r="F69" s="3118" t="s">
        <v>167</v>
      </c>
      <c r="G69" s="3118" t="s">
        <v>13</v>
      </c>
      <c r="H69" s="3118" t="s">
        <v>14</v>
      </c>
      <c r="I69" s="3118"/>
      <c r="J69" s="3118"/>
      <c r="K69" s="3118"/>
      <c r="L69" s="3118"/>
      <c r="M69" s="3118" t="s">
        <v>385</v>
      </c>
      <c r="N69" s="3118" t="s">
        <v>362</v>
      </c>
      <c r="O69" s="3118" t="s">
        <v>362</v>
      </c>
      <c r="P69" s="3118"/>
      <c r="Q69" s="3121"/>
      <c r="R69" s="3121"/>
      <c r="S69" s="3121"/>
      <c r="T69" s="3121"/>
      <c r="U69" s="3122"/>
      <c r="V69" s="3118"/>
      <c r="W69" s="3118"/>
      <c r="X69" s="3056">
        <f>IF(A69="","",IF(LEN(SUBSTITUTE(SUBSTITUTE(SUBSTITUTE(SUBSTITUTE(D69,".",""),"/",""),"-","")," ",""))&lt;&gt;14,"CNPJ INVALIDO","OK"))</f>
      </c>
      <c r="Y69" s="3056">
        <f>IF(A69="","",IF(R69="","REST PENDENTE","REST OK"))</f>
      </c>
      <c r="Z69" s="3056">
        <f>IF(A69="","",IF(AND(R69&lt;&gt;"",COUNTIFS($D$3:$D$164,D69,$R$3:$R$164,"&lt;&gt;")&gt;1),"DUPLICADO","OK"))</f>
      </c>
      <c r="AA69" s="3056">
        <f>IF(A69="","",IF(OR(LEN(Q69)&gt;180,LEN(R69)&gt;180,LEN(S69)&gt;180,LEN(T69)&gt;180),"CAMINHO LONGO","OK"))</f>
      </c>
      <c r="AB69" s="3056">
        <f>IF(A69="","",IF(U69="","",IFERROR(INT(U69-TODAY()),"")))</f>
      </c>
      <c r="AC69" s="3056">
        <f>IF(A69="","",IF(AND(T69="",U69=""),"",IF(T69="","SEM CAMINHO",IF(U69="","SEM DATA",IFERROR(IF(AB69&lt;15,"VERMELHO",IF(AB69&lt;=30,"AMARELO","VERDE")),"DATA INVALIDA")))))</f>
      </c>
      <c r="AD69" s="3056">
        <f>IF(OR(A69="",U69="",NOT(ISNUMBER(AB69))),"",RANK(AB69,$AB$3:$AB$164,1)+COUNTIFS($AB$3:AB69,AB69)-1)</f>
      </c>
      <c r="AE69" s="1736"/>
    </row>
    <row r="70" spans="1:19" ht="22.0" hidden="false" customHeight="true" x14ac:dyDescent="0.25">
      <c r="A70" s="3124" t="s">
        <v>168</v>
      </c>
      <c r="B70" s="3123" t="s">
        <v>162</v>
      </c>
      <c r="C70" s="3123" t="s">
        <v>163</v>
      </c>
      <c r="D70" s="3123" t="s">
        <v>169</v>
      </c>
      <c r="E70" s="3123"/>
      <c r="F70" s="3123" t="s">
        <v>167</v>
      </c>
      <c r="G70" s="3123" t="s">
        <v>13</v>
      </c>
      <c r="H70" s="3123" t="s">
        <v>14</v>
      </c>
      <c r="I70" s="3123"/>
      <c r="J70" s="3123"/>
      <c r="K70" s="3123"/>
      <c r="L70" s="3123"/>
      <c r="M70" s="3123" t="s">
        <v>385</v>
      </c>
      <c r="N70" s="3123" t="s">
        <v>362</v>
      </c>
      <c r="O70" s="3123" t="s">
        <v>362</v>
      </c>
      <c r="P70" s="3123"/>
      <c r="Q70" s="3126"/>
      <c r="R70" s="3126"/>
      <c r="S70" s="3126"/>
      <c r="T70" s="3126"/>
      <c r="U70" s="3127"/>
      <c r="V70" s="3123"/>
      <c r="W70" s="3123"/>
      <c r="X70" s="3056">
        <f>IF(A70="","",IF(LEN(SUBSTITUTE(SUBSTITUTE(SUBSTITUTE(SUBSTITUTE(D70,".",""),"/",""),"-","")," ",""))&lt;&gt;14,"CNPJ INVALIDO","OK"))</f>
      </c>
      <c r="Y70" s="3056">
        <f>IF(A70="","",IF(R70="","REST PENDENTE","REST OK"))</f>
      </c>
      <c r="Z70" s="3056">
        <f>IF(A70="","",IF(AND(R70&lt;&gt;"",COUNTIFS($D$3:$D$164,D70,$R$3:$R$164,"&lt;&gt;")&gt;1),"DUPLICADO","OK"))</f>
      </c>
      <c r="AA70" s="3056">
        <f>IF(A70="","",IF(OR(LEN(Q70)&gt;180,LEN(R70)&gt;180,LEN(S70)&gt;180,LEN(T70)&gt;180),"CAMINHO LONGO","OK"))</f>
      </c>
      <c r="AB70" s="3056">
        <f>IF(A70="","",IF(U70="","",IFERROR(INT(U70-TODAY()),"")))</f>
      </c>
      <c r="AC70" s="3056">
        <f>IF(A70="","",IF(AND(T70="",U70=""),"",IF(T70="","SEM CAMINHO",IF(U70="","SEM DATA",IFERROR(IF(AB70&lt;15,"VERMELHO",IF(AB70&lt;=30,"AMARELO","VERDE")),"DATA INVALIDA")))))</f>
      </c>
      <c r="AD70" s="3056">
        <f>IF(OR(A70="",U70="",NOT(ISNUMBER(AB70))),"",RANK(AB70,$AB$3:$AB$164,1)+COUNTIFS($AB$3:AB70,AB70)-1)</f>
      </c>
      <c r="AE70" s="1736"/>
    </row>
    <row r="71" spans="1:19" ht="22.0" hidden="false" customHeight="true" x14ac:dyDescent="0.25">
      <c r="A71" s="3119" t="s">
        <v>170</v>
      </c>
      <c r="B71" s="3118" t="s">
        <v>162</v>
      </c>
      <c r="C71" s="3118" t="s">
        <v>163</v>
      </c>
      <c r="D71" s="3118" t="s">
        <v>171</v>
      </c>
      <c r="E71" s="3118"/>
      <c r="F71" s="3118" t="s">
        <v>167</v>
      </c>
      <c r="G71" s="3118" t="s">
        <v>13</v>
      </c>
      <c r="H71" s="3118" t="s">
        <v>14</v>
      </c>
      <c r="I71" s="3118"/>
      <c r="J71" s="3118"/>
      <c r="K71" s="3118"/>
      <c r="L71" s="3118"/>
      <c r="M71" s="3118" t="s">
        <v>385</v>
      </c>
      <c r="N71" s="3118" t="s">
        <v>362</v>
      </c>
      <c r="O71" s="3118" t="s">
        <v>362</v>
      </c>
      <c r="P71" s="3118"/>
      <c r="Q71" s="3121"/>
      <c r="R71" s="3121"/>
      <c r="S71" s="3121"/>
      <c r="T71" s="3121"/>
      <c r="U71" s="3122"/>
      <c r="V71" s="3118"/>
      <c r="W71" s="3118"/>
      <c r="X71" s="3056">
        <f>IF(A71="","",IF(LEN(SUBSTITUTE(SUBSTITUTE(SUBSTITUTE(SUBSTITUTE(D71,".",""),"/",""),"-","")," ",""))&lt;&gt;14,"CNPJ INVALIDO","OK"))</f>
      </c>
      <c r="Y71" s="3056">
        <f>IF(A71="","",IF(R71="","REST PENDENTE","REST OK"))</f>
      </c>
      <c r="Z71" s="3056">
        <f>IF(A71="","",IF(AND(R71&lt;&gt;"",COUNTIFS($D$3:$D$164,D71,$R$3:$R$164,"&lt;&gt;")&gt;1),"DUPLICADO","OK"))</f>
      </c>
      <c r="AA71" s="3056">
        <f>IF(A71="","",IF(OR(LEN(Q71)&gt;180,LEN(R71)&gt;180,LEN(S71)&gt;180,LEN(T71)&gt;180),"CAMINHO LONGO","OK"))</f>
      </c>
      <c r="AB71" s="3056">
        <f>IF(A71="","",IF(U71="","",IFERROR(INT(U71-TODAY()),"")))</f>
      </c>
      <c r="AC71" s="3056">
        <f>IF(A71="","",IF(AND(T71="",U71=""),"",IF(T71="","SEM CAMINHO",IF(U71="","SEM DATA",IFERROR(IF(AB71&lt;15,"VERMELHO",IF(AB71&lt;=30,"AMARELO","VERDE")),"DATA INVALIDA")))))</f>
      </c>
      <c r="AD71" s="3056">
        <f>IF(OR(A71="",U71="",NOT(ISNUMBER(AB71))),"",RANK(AB71,$AB$3:$AB$164,1)+COUNTIFS($AB$3:AB71,AB71)-1)</f>
      </c>
      <c r="AE71" s="1736"/>
    </row>
    <row r="72" spans="1:19" ht="22.0" hidden="false" customHeight="true" x14ac:dyDescent="0.25">
      <c r="A72" s="3124" t="s">
        <v>172</v>
      </c>
      <c r="B72" s="3123" t="s">
        <v>162</v>
      </c>
      <c r="C72" s="3123" t="s">
        <v>163</v>
      </c>
      <c r="D72" s="3123" t="s">
        <v>173</v>
      </c>
      <c r="E72" s="3123"/>
      <c r="F72" s="3123" t="s">
        <v>167</v>
      </c>
      <c r="G72" s="3123" t="s">
        <v>13</v>
      </c>
      <c r="H72" s="3123" t="s">
        <v>14</v>
      </c>
      <c r="I72" s="3123"/>
      <c r="J72" s="3123"/>
      <c r="K72" s="3123"/>
      <c r="L72" s="3123"/>
      <c r="M72" s="3123" t="s">
        <v>385</v>
      </c>
      <c r="N72" s="3123" t="s">
        <v>362</v>
      </c>
      <c r="O72" s="3123" t="s">
        <v>362</v>
      </c>
      <c r="P72" s="3123"/>
      <c r="Q72" s="3126"/>
      <c r="R72" s="3126"/>
      <c r="S72" s="3126"/>
      <c r="T72" s="3126"/>
      <c r="U72" s="3127"/>
      <c r="V72" s="3123"/>
      <c r="W72" s="3123"/>
      <c r="X72" s="3056">
        <f>IF(A72="","",IF(LEN(SUBSTITUTE(SUBSTITUTE(SUBSTITUTE(SUBSTITUTE(D72,".",""),"/",""),"-","")," ",""))&lt;&gt;14,"CNPJ INVALIDO","OK"))</f>
      </c>
      <c r="Y72" s="3056">
        <f>IF(A72="","",IF(R72="","REST PENDENTE","REST OK"))</f>
      </c>
      <c r="Z72" s="3056">
        <f>IF(A72="","",IF(AND(R72&lt;&gt;"",COUNTIFS($D$3:$D$164,D72,$R$3:$R$164,"&lt;&gt;")&gt;1),"DUPLICADO","OK"))</f>
      </c>
      <c r="AA72" s="3056">
        <f>IF(A72="","",IF(OR(LEN(Q72)&gt;180,LEN(R72)&gt;180,LEN(S72)&gt;180,LEN(T72)&gt;180),"CAMINHO LONGO","OK"))</f>
      </c>
      <c r="AB72" s="3056">
        <f>IF(A72="","",IF(U72="","",IFERROR(INT(U72-TODAY()),"")))</f>
      </c>
      <c r="AC72" s="3056">
        <f>IF(A72="","",IF(AND(T72="",U72=""),"",IF(T72="","SEM CAMINHO",IF(U72="","SEM DATA",IFERROR(IF(AB72&lt;15,"VERMELHO",IF(AB72&lt;=30,"AMARELO","VERDE")),"DATA INVALIDA")))))</f>
      </c>
      <c r="AD72" s="3056">
        <f>IF(OR(A72="",U72="",NOT(ISNUMBER(AB72))),"",RANK(AB72,$AB$3:$AB$164,1)+COUNTIFS($AB$3:AB72,AB72)-1)</f>
      </c>
      <c r="AE72" s="1736"/>
    </row>
    <row r="73" spans="1:19" ht="22.0" hidden="false" customHeight="true" x14ac:dyDescent="0.25">
      <c r="A73" s="3119" t="s">
        <v>174</v>
      </c>
      <c r="B73" s="3118" t="s">
        <v>162</v>
      </c>
      <c r="C73" s="3118" t="s">
        <v>163</v>
      </c>
      <c r="D73" s="3118" t="s">
        <v>175</v>
      </c>
      <c r="E73" s="3118"/>
      <c r="F73" s="3118" t="s">
        <v>167</v>
      </c>
      <c r="G73" s="3118" t="s">
        <v>13</v>
      </c>
      <c r="H73" s="3118" t="s">
        <v>14</v>
      </c>
      <c r="I73" s="3118"/>
      <c r="J73" s="3118"/>
      <c r="K73" s="3118"/>
      <c r="L73" s="3118"/>
      <c r="M73" s="3118" t="s">
        <v>385</v>
      </c>
      <c r="N73" s="3118" t="s">
        <v>362</v>
      </c>
      <c r="O73" s="3118" t="s">
        <v>362</v>
      </c>
      <c r="P73" s="3118"/>
      <c r="Q73" s="3121"/>
      <c r="R73" s="3121"/>
      <c r="S73" s="3121"/>
      <c r="T73" s="3121"/>
      <c r="U73" s="3122"/>
      <c r="V73" s="3118"/>
      <c r="W73" s="3118"/>
      <c r="X73" s="3056">
        <f>IF(A73="","",IF(LEN(SUBSTITUTE(SUBSTITUTE(SUBSTITUTE(SUBSTITUTE(D73,".",""),"/",""),"-","")," ",""))&lt;&gt;14,"CNPJ INVALIDO","OK"))</f>
      </c>
      <c r="Y73" s="3056">
        <f>IF(A73="","",IF(R73="","REST PENDENTE","REST OK"))</f>
      </c>
      <c r="Z73" s="3056">
        <f>IF(A73="","",IF(AND(R73&lt;&gt;"",COUNTIFS($D$3:$D$164,D73,$R$3:$R$164,"&lt;&gt;")&gt;1),"DUPLICADO","OK"))</f>
      </c>
      <c r="AA73" s="3056">
        <f>IF(A73="","",IF(OR(LEN(Q73)&gt;180,LEN(R73)&gt;180,LEN(S73)&gt;180,LEN(T73)&gt;180),"CAMINHO LONGO","OK"))</f>
      </c>
      <c r="AB73" s="3056">
        <f>IF(A73="","",IF(U73="","",IFERROR(INT(U73-TODAY()),"")))</f>
      </c>
      <c r="AC73" s="3056">
        <f>IF(A73="","",IF(AND(T73="",U73=""),"",IF(T73="","SEM CAMINHO",IF(U73="","SEM DATA",IFERROR(IF(AB73&lt;15,"VERMELHO",IF(AB73&lt;=30,"AMARELO","VERDE")),"DATA INVALIDA")))))</f>
      </c>
      <c r="AD73" s="3056">
        <f>IF(OR(A73="",U73="",NOT(ISNUMBER(AB73))),"",RANK(AB73,$AB$3:$AB$164,1)+COUNTIFS($AB$3:AB73,AB73)-1)</f>
      </c>
      <c r="AE73" s="1736"/>
    </row>
    <row r="74" spans="1:19" ht="22.0" hidden="false" customHeight="true" x14ac:dyDescent="0.25">
      <c r="A74" s="3124" t="s">
        <v>176</v>
      </c>
      <c r="B74" s="3123" t="s">
        <v>162</v>
      </c>
      <c r="C74" s="3123" t="s">
        <v>163</v>
      </c>
      <c r="D74" s="3123" t="s">
        <v>177</v>
      </c>
      <c r="E74" s="3123"/>
      <c r="F74" s="3123"/>
      <c r="G74" s="3123" t="s">
        <v>4</v>
      </c>
      <c r="H74" s="3123" t="s">
        <v>14</v>
      </c>
      <c r="I74" s="3123"/>
      <c r="J74" s="3123"/>
      <c r="K74" s="3123"/>
      <c r="L74" s="3123"/>
      <c r="M74" s="3123" t="s">
        <v>385</v>
      </c>
      <c r="N74" s="3123" t="s">
        <v>362</v>
      </c>
      <c r="O74" s="3123" t="s">
        <v>350</v>
      </c>
      <c r="P74" s="3123"/>
      <c r="Q74" s="3126"/>
      <c r="R74" s="3126"/>
      <c r="S74" s="3126"/>
      <c r="T74" s="3126"/>
      <c r="U74" s="3127"/>
      <c r="V74" s="3123"/>
      <c r="W74" s="3123"/>
      <c r="X74" s="3056">
        <f>IF(A74="","",IF(LEN(SUBSTITUTE(SUBSTITUTE(SUBSTITUTE(SUBSTITUTE(D74,".",""),"/",""),"-","")," ",""))&lt;&gt;14,"CNPJ INVALIDO","OK"))</f>
      </c>
      <c r="Y74" s="3056">
        <f>IF(A74="","",IF(R74="","REST PENDENTE","REST OK"))</f>
      </c>
      <c r="Z74" s="3056">
        <f>IF(A74="","",IF(AND(R74&lt;&gt;"",COUNTIFS($D$3:$D$164,D74,$R$3:$R$164,"&lt;&gt;")&gt;1),"DUPLICADO","OK"))</f>
      </c>
      <c r="AA74" s="3056">
        <f>IF(A74="","",IF(OR(LEN(Q74)&gt;180,LEN(R74)&gt;180,LEN(S74)&gt;180,LEN(T74)&gt;180),"CAMINHO LONGO","OK"))</f>
      </c>
      <c r="AB74" s="3056">
        <f>IF(A74="","",IF(U74="","",IFERROR(INT(U74-TODAY()),"")))</f>
      </c>
      <c r="AC74" s="3056">
        <f>IF(A74="","",IF(AND(T74="",U74=""),"",IF(T74="","SEM CAMINHO",IF(U74="","SEM DATA",IFERROR(IF(AB74&lt;15,"VERMELHO",IF(AB74&lt;=30,"AMARELO","VERDE")),"DATA INVALIDA")))))</f>
      </c>
      <c r="AD74" s="3056">
        <f>IF(OR(A74="",U74="",NOT(ISNUMBER(AB74))),"",RANK(AB74,$AB$3:$AB$164,1)+COUNTIFS($AB$3:AB74,AB74)-1)</f>
      </c>
      <c r="AE74" s="1736"/>
    </row>
    <row r="75" spans="1:19" ht="22.0" hidden="false" customHeight="true" x14ac:dyDescent="0.25">
      <c r="A75" s="3119" t="s">
        <v>178</v>
      </c>
      <c r="B75" s="3118" t="s">
        <v>162</v>
      </c>
      <c r="C75" s="3118" t="s">
        <v>163</v>
      </c>
      <c r="D75" s="3118" t="s">
        <v>179</v>
      </c>
      <c r="E75" s="3118"/>
      <c r="F75" s="3118"/>
      <c r="G75" s="3118" t="s">
        <v>4</v>
      </c>
      <c r="H75" s="3118" t="s">
        <v>14</v>
      </c>
      <c r="I75" s="3118"/>
      <c r="J75" s="3118"/>
      <c r="K75" s="3118"/>
      <c r="L75" s="3118"/>
      <c r="M75" s="3118" t="s">
        <v>385</v>
      </c>
      <c r="N75" s="3118" t="s">
        <v>362</v>
      </c>
      <c r="O75" s="3118" t="s">
        <v>350</v>
      </c>
      <c r="P75" s="3118"/>
      <c r="Q75" s="3121"/>
      <c r="R75" s="3121"/>
      <c r="S75" s="3121"/>
      <c r="T75" s="3121"/>
      <c r="U75" s="3122"/>
      <c r="V75" s="3118"/>
      <c r="W75" s="3118"/>
      <c r="X75" s="3056">
        <f>IF(A75="","",IF(LEN(SUBSTITUTE(SUBSTITUTE(SUBSTITUTE(SUBSTITUTE(D75,".",""),"/",""),"-","")," ",""))&lt;&gt;14,"CNPJ INVALIDO","OK"))</f>
      </c>
      <c r="Y75" s="3056">
        <f>IF(A75="","",IF(R75="","REST PENDENTE","REST OK"))</f>
      </c>
      <c r="Z75" s="3056">
        <f>IF(A75="","",IF(AND(R75&lt;&gt;"",COUNTIFS($D$3:$D$164,D75,$R$3:$R$164,"&lt;&gt;")&gt;1),"DUPLICADO","OK"))</f>
      </c>
      <c r="AA75" s="3056">
        <f>IF(A75="","",IF(OR(LEN(Q75)&gt;180,LEN(R75)&gt;180,LEN(S75)&gt;180,LEN(T75)&gt;180),"CAMINHO LONGO","OK"))</f>
      </c>
      <c r="AB75" s="3056">
        <f>IF(A75="","",IF(U75="","",IFERROR(INT(U75-TODAY()),"")))</f>
      </c>
      <c r="AC75" s="3056">
        <f>IF(A75="","",IF(AND(T75="",U75=""),"",IF(T75="","SEM CAMINHO",IF(U75="","SEM DATA",IFERROR(IF(AB75&lt;15,"VERMELHO",IF(AB75&lt;=30,"AMARELO","VERDE")),"DATA INVALIDA")))))</f>
      </c>
      <c r="AD75" s="3056">
        <f>IF(OR(A75="",U75="",NOT(ISNUMBER(AB75))),"",RANK(AB75,$AB$3:$AB$164,1)+COUNTIFS($AB$3:AB75,AB75)-1)</f>
      </c>
      <c r="AE75" s="1736"/>
    </row>
    <row r="76" spans="1:19" ht="22.0" hidden="false" customHeight="true" x14ac:dyDescent="0.25">
      <c r="A76" s="3124" t="s">
        <v>180</v>
      </c>
      <c r="B76" s="3123" t="s">
        <v>9</v>
      </c>
      <c r="C76" s="3123" t="s">
        <v>24</v>
      </c>
      <c r="D76" s="3123">
        <v>10977876000146</v>
      </c>
      <c r="E76" s="3123"/>
      <c r="F76" s="3123" t="s">
        <v>12</v>
      </c>
      <c r="G76" s="3123" t="s">
        <v>4</v>
      </c>
      <c r="H76" s="3123" t="s">
        <v>5</v>
      </c>
      <c r="I76" s="3123"/>
      <c r="J76" s="3123"/>
      <c r="K76" s="3123"/>
      <c r="L76" s="3123"/>
      <c r="M76" s="3123" t="s">
        <v>385</v>
      </c>
      <c r="N76" s="3123"/>
      <c r="O76" s="3123" t="s">
        <v>351</v>
      </c>
      <c r="P76" s="3123"/>
      <c r="Q76" s="3126"/>
      <c r="R76" s="3126"/>
      <c r="S76" s="3126"/>
      <c r="T76" s="3126"/>
      <c r="U76" s="3127"/>
      <c r="V76" s="3123"/>
      <c r="W76" s="3123"/>
      <c r="X76" s="3056">
        <f>IF(A76="","",IF(LEN(SUBSTITUTE(SUBSTITUTE(SUBSTITUTE(SUBSTITUTE(D76,".",""),"/",""),"-","")," ",""))&lt;&gt;14,"CNPJ INVALIDO","OK"))</f>
      </c>
      <c r="Y76" s="3056">
        <f>IF(A76="","",IF(R76="","REST PENDENTE","REST OK"))</f>
      </c>
      <c r="Z76" s="3056">
        <f>IF(A76="","",IF(AND(R76&lt;&gt;"",COUNTIFS($D$3:$D$164,D76,$R$3:$R$164,"&lt;&gt;")&gt;1),"DUPLICADO","OK"))</f>
      </c>
      <c r="AA76" s="3056">
        <f>IF(A76="","",IF(OR(LEN(Q76)&gt;180,LEN(R76)&gt;180,LEN(S76)&gt;180,LEN(T76)&gt;180),"CAMINHO LONGO","OK"))</f>
      </c>
      <c r="AB76" s="3056">
        <f>IF(A76="","",IF(U76="","",IFERROR(INT(U76-TODAY()),"")))</f>
      </c>
      <c r="AC76" s="3056">
        <f>IF(A76="","",IF(AND(T76="",U76=""),"",IF(T76="","SEM CAMINHO",IF(U76="","SEM DATA",IFERROR(IF(AB76&lt;15,"VERMELHO",IF(AB76&lt;=30,"AMARELO","VERDE")),"DATA INVALIDA")))))</f>
      </c>
      <c r="AD76" s="3056">
        <f>IF(OR(A76="",U76="",NOT(ISNUMBER(AB76))),"",RANK(AB76,$AB$3:$AB$164,1)+COUNTIFS($AB$3:AB76,AB76)-1)</f>
      </c>
      <c r="AE76" s="1736"/>
    </row>
    <row r="77" spans="1:19" ht="22.0" hidden="false" customHeight="true" x14ac:dyDescent="0.25">
      <c r="A77" s="3119" t="s">
        <v>181</v>
      </c>
      <c r="B77" s="3118" t="s">
        <v>182</v>
      </c>
      <c r="C77" s="3118" t="s">
        <v>79</v>
      </c>
      <c r="D77" s="3118" t="s">
        <v>183</v>
      </c>
      <c r="E77" s="3118"/>
      <c r="F77" s="3118" t="s">
        <v>184</v>
      </c>
      <c r="G77" s="3118" t="s">
        <v>13</v>
      </c>
      <c r="H77" s="3118" t="s">
        <v>5</v>
      </c>
      <c r="I77" s="3118"/>
      <c r="J77" s="3118"/>
      <c r="K77" s="3118"/>
      <c r="L77" s="3118"/>
      <c r="M77" s="3118" t="s">
        <v>375</v>
      </c>
      <c r="N77" s="3118"/>
      <c r="O77" s="3118" t="s">
        <v>351</v>
      </c>
      <c r="P77" s="3118"/>
      <c r="Q77" s="3121"/>
      <c r="R77" s="3121"/>
      <c r="S77" s="3121"/>
      <c r="T77" s="3121"/>
      <c r="U77" s="3122"/>
      <c r="V77" s="3118"/>
      <c r="W77" s="3118"/>
      <c r="X77" s="3056">
        <f>IF(A77="","",IF(LEN(SUBSTITUTE(SUBSTITUTE(SUBSTITUTE(SUBSTITUTE(D77,".",""),"/",""),"-","")," ",""))&lt;&gt;14,"CNPJ INVALIDO","OK"))</f>
      </c>
      <c r="Y77" s="3056">
        <f>IF(A77="","",IF(R77="","REST PENDENTE","REST OK"))</f>
      </c>
      <c r="Z77" s="3056">
        <f>IF(A77="","",IF(AND(R77&lt;&gt;"",COUNTIFS($D$3:$D$164,D77,$R$3:$R$164,"&lt;&gt;")&gt;1),"DUPLICADO","OK"))</f>
      </c>
      <c r="AA77" s="3056">
        <f>IF(A77="","",IF(OR(LEN(Q77)&gt;180,LEN(R77)&gt;180,LEN(S77)&gt;180,LEN(T77)&gt;180),"CAMINHO LONGO","OK"))</f>
      </c>
      <c r="AB77" s="3056">
        <f>IF(A77="","",IF(U77="","",IFERROR(INT(U77-TODAY()),"")))</f>
      </c>
      <c r="AC77" s="3056">
        <f>IF(A77="","",IF(AND(T77="",U77=""),"",IF(T77="","SEM CAMINHO",IF(U77="","SEM DATA",IFERROR(IF(AB77&lt;15,"VERMELHO",IF(AB77&lt;=30,"AMARELO","VERDE")),"DATA INVALIDA")))))</f>
      </c>
      <c r="AD77" s="3056">
        <f>IF(OR(A77="",U77="",NOT(ISNUMBER(AB77))),"",RANK(AB77,$AB$3:$AB$164,1)+COUNTIFS($AB$3:AB77,AB77)-1)</f>
      </c>
      <c r="AE77" s="1736"/>
    </row>
    <row r="78" spans="1:19" ht="22.0" hidden="false" customHeight="true" x14ac:dyDescent="0.25">
      <c r="A78" s="3124" t="s">
        <v>185</v>
      </c>
      <c r="B78" s="3123" t="s">
        <v>182</v>
      </c>
      <c r="C78" s="3123" t="s">
        <v>79</v>
      </c>
      <c r="D78" s="3123" t="s">
        <v>186</v>
      </c>
      <c r="E78" s="3123"/>
      <c r="F78" s="3123" t="s">
        <v>184</v>
      </c>
      <c r="G78" s="3123" t="s">
        <v>13</v>
      </c>
      <c r="H78" s="3123" t="s">
        <v>14</v>
      </c>
      <c r="I78" s="3123"/>
      <c r="J78" s="3123"/>
      <c r="K78" s="3123"/>
      <c r="L78" s="3123"/>
      <c r="M78" s="3123" t="s">
        <v>355</v>
      </c>
      <c r="N78" s="3123"/>
      <c r="O78" s="3123" t="s">
        <v>354</v>
      </c>
      <c r="P78" s="3123"/>
      <c r="Q78" s="3126"/>
      <c r="R78" s="3126"/>
      <c r="S78" s="3126"/>
      <c r="T78" s="3126"/>
      <c r="U78" s="3127"/>
      <c r="V78" s="3123"/>
      <c r="W78" s="3123"/>
      <c r="X78" s="3056">
        <f>IF(A78="","",IF(LEN(SUBSTITUTE(SUBSTITUTE(SUBSTITUTE(SUBSTITUTE(D78,".",""),"/",""),"-","")," ",""))&lt;&gt;14,"CNPJ INVALIDO","OK"))</f>
      </c>
      <c r="Y78" s="3056">
        <f>IF(A78="","",IF(R78="","REST PENDENTE","REST OK"))</f>
      </c>
      <c r="Z78" s="3056">
        <f>IF(A78="","",IF(AND(R78&lt;&gt;"",COUNTIFS($D$3:$D$164,D78,$R$3:$R$164,"&lt;&gt;")&gt;1),"DUPLICADO","OK"))</f>
      </c>
      <c r="AA78" s="3056">
        <f>IF(A78="","",IF(OR(LEN(Q78)&gt;180,LEN(R78)&gt;180,LEN(S78)&gt;180,LEN(T78)&gt;180),"CAMINHO LONGO","OK"))</f>
      </c>
      <c r="AB78" s="3056">
        <f>IF(A78="","",IF(U78="","",IFERROR(INT(U78-TODAY()),"")))</f>
      </c>
      <c r="AC78" s="3056">
        <f>IF(A78="","",IF(AND(T78="",U78=""),"",IF(T78="","SEM CAMINHO",IF(U78="","SEM DATA",IFERROR(IF(AB78&lt;15,"VERMELHO",IF(AB78&lt;=30,"AMARELO","VERDE")),"DATA INVALIDA")))))</f>
      </c>
      <c r="AD78" s="3056">
        <f>IF(OR(A78="",U78="",NOT(ISNUMBER(AB78))),"",RANK(AB78,$AB$3:$AB$164,1)+COUNTIFS($AB$3:AB78,AB78)-1)</f>
      </c>
      <c r="AE78" s="1736"/>
    </row>
    <row r="79" spans="1:19" ht="22.0" hidden="false" customHeight="true" x14ac:dyDescent="0.25">
      <c r="A79" s="3119" t="s">
        <v>187</v>
      </c>
      <c r="B79" s="3118" t="s">
        <v>188</v>
      </c>
      <c r="C79" s="3118" t="s">
        <v>62</v>
      </c>
      <c r="D79" s="3118">
        <v>40920539000183</v>
      </c>
      <c r="E79" s="3118"/>
      <c r="F79" s="3118" t="s">
        <v>189</v>
      </c>
      <c r="G79" s="3118" t="s">
        <v>4</v>
      </c>
      <c r="H79" s="3118" t="s">
        <v>5</v>
      </c>
      <c r="I79" s="3118"/>
      <c r="J79" s="3118"/>
      <c r="K79" s="3118"/>
      <c r="L79" s="3118"/>
      <c r="M79" s="3118" t="s">
        <v>385</v>
      </c>
      <c r="N79" s="3118"/>
      <c r="O79" s="3118"/>
      <c r="P79" s="3118"/>
      <c r="Q79" s="3121"/>
      <c r="R79" s="3121"/>
      <c r="S79" s="3121"/>
      <c r="T79" s="3121"/>
      <c r="U79" s="3122"/>
      <c r="V79" s="3118"/>
      <c r="W79" s="3118"/>
      <c r="X79" s="3056">
        <f>IF(A79="","",IF(LEN(SUBSTITUTE(SUBSTITUTE(SUBSTITUTE(SUBSTITUTE(D79,".",""),"/",""),"-","")," ",""))&lt;&gt;14,"CNPJ INVALIDO","OK"))</f>
      </c>
      <c r="Y79" s="3056">
        <f>IF(A79="","",IF(R79="","REST PENDENTE","REST OK"))</f>
      </c>
      <c r="Z79" s="3056">
        <f>IF(A79="","",IF(AND(R79&lt;&gt;"",COUNTIFS($D$3:$D$164,D79,$R$3:$R$164,"&lt;&gt;")&gt;1),"DUPLICADO","OK"))</f>
      </c>
      <c r="AA79" s="3056">
        <f>IF(A79="","",IF(OR(LEN(Q79)&gt;180,LEN(R79)&gt;180,LEN(S79)&gt;180,LEN(T79)&gt;180),"CAMINHO LONGO","OK"))</f>
      </c>
      <c r="AB79" s="3056">
        <f>IF(A79="","",IF(U79="","",IFERROR(INT(U79-TODAY()),"")))</f>
      </c>
      <c r="AC79" s="3056">
        <f>IF(A79="","",IF(AND(T79="",U79=""),"",IF(T79="","SEM CAMINHO",IF(U79="","SEM DATA",IFERROR(IF(AB79&lt;15,"VERMELHO",IF(AB79&lt;=30,"AMARELO","VERDE")),"DATA INVALIDA")))))</f>
      </c>
      <c r="AD79" s="3056">
        <f>IF(OR(A79="",U79="",NOT(ISNUMBER(AB79))),"",RANK(AB79,$AB$3:$AB$164,1)+COUNTIFS($AB$3:AB79,AB79)-1)</f>
      </c>
      <c r="AE79" s="1736"/>
    </row>
    <row r="80" spans="1:19" ht="22.0" hidden="false" customHeight="true" x14ac:dyDescent="0.25">
      <c r="A80" s="3124" t="s">
        <v>190</v>
      </c>
      <c r="B80" s="3123" t="s">
        <v>188</v>
      </c>
      <c r="C80" s="3123" t="s">
        <v>69</v>
      </c>
      <c r="D80" s="3123" t="s">
        <v>191</v>
      </c>
      <c r="E80" s="3123"/>
      <c r="F80" s="3123" t="s">
        <v>189</v>
      </c>
      <c r="G80" s="3123" t="s">
        <v>41</v>
      </c>
      <c r="H80" s="3123" t="s">
        <v>5</v>
      </c>
      <c r="I80" s="3123"/>
      <c r="J80" s="3123"/>
      <c r="K80" s="3123"/>
      <c r="L80" s="3123"/>
      <c r="M80" s="3123" t="s">
        <v>379</v>
      </c>
      <c r="N80" s="3123"/>
      <c r="O80" s="3123" t="s">
        <v>350</v>
      </c>
      <c r="P80" s="3123"/>
      <c r="Q80" s="3126"/>
      <c r="R80" s="3126"/>
      <c r="S80" s="3126"/>
      <c r="T80" s="3126"/>
      <c r="U80" s="3127"/>
      <c r="V80" s="3123"/>
      <c r="W80" s="3123"/>
      <c r="X80" s="3056">
        <f>IF(A80="","",IF(LEN(SUBSTITUTE(SUBSTITUTE(SUBSTITUTE(SUBSTITUTE(D80,".",""),"/",""),"-","")," ",""))&lt;&gt;14,"CNPJ INVALIDO","OK"))</f>
      </c>
      <c r="Y80" s="3056">
        <f>IF(A80="","",IF(R80="","REST PENDENTE","REST OK"))</f>
      </c>
      <c r="Z80" s="3056">
        <f>IF(A80="","",IF(AND(R80&lt;&gt;"",COUNTIFS($D$3:$D$164,D80,$R$3:$R$164,"&lt;&gt;")&gt;1),"DUPLICADO","OK"))</f>
      </c>
      <c r="AA80" s="3056">
        <f>IF(A80="","",IF(OR(LEN(Q80)&gt;180,LEN(R80)&gt;180,LEN(S80)&gt;180,LEN(T80)&gt;180),"CAMINHO LONGO","OK"))</f>
      </c>
      <c r="AB80" s="3056">
        <f>IF(A80="","",IF(U80="","",IFERROR(INT(U80-TODAY()),"")))</f>
      </c>
      <c r="AC80" s="3056">
        <f>IF(A80="","",IF(AND(T80="",U80=""),"",IF(T80="","SEM CAMINHO",IF(U80="","SEM DATA",IFERROR(IF(AB80&lt;15,"VERMELHO",IF(AB80&lt;=30,"AMARELO","VERDE")),"DATA INVALIDA")))))</f>
      </c>
      <c r="AD80" s="3056">
        <f>IF(OR(A80="",U80="",NOT(ISNUMBER(AB80))),"",RANK(AB80,$AB$3:$AB$164,1)+COUNTIFS($AB$3:AB80,AB80)-1)</f>
      </c>
      <c r="AE80" s="1736"/>
    </row>
    <row r="81" spans="1:19" ht="22.0" hidden="false" customHeight="true" x14ac:dyDescent="0.25">
      <c r="A81" s="3119" t="s">
        <v>192</v>
      </c>
      <c r="B81" s="3118" t="s">
        <v>188</v>
      </c>
      <c r="C81" s="3118" t="s">
        <v>69</v>
      </c>
      <c r="D81" s="3118" t="s">
        <v>193</v>
      </c>
      <c r="E81" s="3118"/>
      <c r="F81" s="3118" t="s">
        <v>189</v>
      </c>
      <c r="G81" s="3118" t="s">
        <v>13</v>
      </c>
      <c r="H81" s="3118" t="s">
        <v>14</v>
      </c>
      <c r="I81" s="3118"/>
      <c r="J81" s="3118"/>
      <c r="K81" s="3118"/>
      <c r="L81" s="3118"/>
      <c r="M81" s="3118" t="s">
        <v>386</v>
      </c>
      <c r="N81" s="3118"/>
      <c r="O81" s="3118" t="s">
        <v>347</v>
      </c>
      <c r="P81" s="3118"/>
      <c r="Q81" s="3121"/>
      <c r="R81" s="3121"/>
      <c r="S81" s="3121"/>
      <c r="T81" s="3121"/>
      <c r="U81" s="3122"/>
      <c r="V81" s="3118"/>
      <c r="W81" s="3118"/>
      <c r="X81" s="3056">
        <f>IF(A81="","",IF(LEN(SUBSTITUTE(SUBSTITUTE(SUBSTITUTE(SUBSTITUTE(D81,".",""),"/",""),"-","")," ",""))&lt;&gt;14,"CNPJ INVALIDO","OK"))</f>
      </c>
      <c r="Y81" s="3056">
        <f>IF(A81="","",IF(R81="","REST PENDENTE","REST OK"))</f>
      </c>
      <c r="Z81" s="3056">
        <f>IF(A81="","",IF(AND(R81&lt;&gt;"",COUNTIFS($D$3:$D$164,D81,$R$3:$R$164,"&lt;&gt;")&gt;1),"DUPLICADO","OK"))</f>
      </c>
      <c r="AA81" s="3056">
        <f>IF(A81="","",IF(OR(LEN(Q81)&gt;180,LEN(R81)&gt;180,LEN(S81)&gt;180,LEN(T81)&gt;180),"CAMINHO LONGO","OK"))</f>
      </c>
      <c r="AB81" s="3056">
        <f>IF(A81="","",IF(U81="","",IFERROR(INT(U81-TODAY()),"")))</f>
      </c>
      <c r="AC81" s="3056">
        <f>IF(A81="","",IF(AND(T81="",U81=""),"",IF(T81="","SEM CAMINHO",IF(U81="","SEM DATA",IFERROR(IF(AB81&lt;15,"VERMELHO",IF(AB81&lt;=30,"AMARELO","VERDE")),"DATA INVALIDA")))))</f>
      </c>
      <c r="AD81" s="3056">
        <f>IF(OR(A81="",U81="",NOT(ISNUMBER(AB81))),"",RANK(AB81,$AB$3:$AB$164,1)+COUNTIFS($AB$3:AB81,AB81)-1)</f>
      </c>
      <c r="AE81" s="1736"/>
    </row>
    <row r="82" spans="1:19" ht="22.0" hidden="false" customHeight="true" x14ac:dyDescent="0.25">
      <c r="A82" s="3124" t="s">
        <v>194</v>
      </c>
      <c r="B82" s="3123" t="s">
        <v>1</v>
      </c>
      <c r="C82" s="3123" t="s">
        <v>195</v>
      </c>
      <c r="D82" s="3123" t="s">
        <v>196</v>
      </c>
      <c r="E82" s="3123"/>
      <c r="F82" s="3123" t="s">
        <v>3</v>
      </c>
      <c r="G82" s="3123" t="s">
        <v>197</v>
      </c>
      <c r="H82" s="3123" t="s">
        <v>49</v>
      </c>
      <c r="I82" s="3123"/>
      <c r="J82" s="3123"/>
      <c r="K82" s="3123"/>
      <c r="L82" s="3123"/>
      <c r="M82" s="3123" t="s">
        <v>376</v>
      </c>
      <c r="N82" s="3123" t="s">
        <v>361</v>
      </c>
      <c r="O82" s="3123" t="s">
        <v>351</v>
      </c>
      <c r="P82" s="3123"/>
      <c r="Q82" s="3126"/>
      <c r="R82" s="3126"/>
      <c r="S82" s="3126"/>
      <c r="T82" s="3126"/>
      <c r="U82" s="3127"/>
      <c r="V82" s="3123"/>
      <c r="W82" s="3123"/>
      <c r="X82" s="3056">
        <f>IF(A82="","",IF(LEN(SUBSTITUTE(SUBSTITUTE(SUBSTITUTE(SUBSTITUTE(D82,".",""),"/",""),"-","")," ",""))&lt;&gt;14,"CNPJ INVALIDO","OK"))</f>
      </c>
      <c r="Y82" s="3056">
        <f>IF(A82="","",IF(R82="","REST PENDENTE","REST OK"))</f>
      </c>
      <c r="Z82" s="3056">
        <f>IF(A82="","",IF(AND(R82&lt;&gt;"",COUNTIFS($D$3:$D$164,D82,$R$3:$R$164,"&lt;&gt;")&gt;1),"DUPLICADO","OK"))</f>
      </c>
      <c r="AA82" s="3056">
        <f>IF(A82="","",IF(OR(LEN(Q82)&gt;180,LEN(R82)&gt;180,LEN(S82)&gt;180,LEN(T82)&gt;180),"CAMINHO LONGO","OK"))</f>
      </c>
      <c r="AB82" s="3056">
        <f>IF(A82="","",IF(U82="","",IFERROR(INT(U82-TODAY()),"")))</f>
      </c>
      <c r="AC82" s="3056">
        <f>IF(A82="","",IF(AND(T82="",U82=""),"",IF(T82="","SEM CAMINHO",IF(U82="","SEM DATA",IFERROR(IF(AB82&lt;15,"VERMELHO",IF(AB82&lt;=30,"AMARELO","VERDE")),"DATA INVALIDA")))))</f>
      </c>
      <c r="AD82" s="3056">
        <f>IF(OR(A82="",U82="",NOT(ISNUMBER(AB82))),"",RANK(AB82,$AB$3:$AB$164,1)+COUNTIFS($AB$3:AB82,AB82)-1)</f>
      </c>
      <c r="AE82" s="1736"/>
    </row>
    <row r="83" spans="1:19" ht="22.0" hidden="false" customHeight="true" x14ac:dyDescent="0.25">
      <c r="A83" s="3119" t="s">
        <v>198</v>
      </c>
      <c r="B83" s="3118" t="s">
        <v>1</v>
      </c>
      <c r="C83" s="3118" t="s">
        <v>195</v>
      </c>
      <c r="D83" s="3118" t="s">
        <v>199</v>
      </c>
      <c r="E83" s="3118"/>
      <c r="F83" s="3118" t="s">
        <v>3</v>
      </c>
      <c r="G83" s="3118" t="s">
        <v>4</v>
      </c>
      <c r="H83" s="3118" t="s">
        <v>49</v>
      </c>
      <c r="I83" s="3118"/>
      <c r="J83" s="3118"/>
      <c r="K83" s="3118"/>
      <c r="L83" s="3118"/>
      <c r="M83" s="3118" t="s">
        <v>376</v>
      </c>
      <c r="N83" s="3118" t="s">
        <v>361</v>
      </c>
      <c r="O83" s="3118" t="s">
        <v>351</v>
      </c>
      <c r="P83" s="3118"/>
      <c r="Q83" s="3121"/>
      <c r="R83" s="3121"/>
      <c r="S83" s="3121"/>
      <c r="T83" s="3121"/>
      <c r="U83" s="3122"/>
      <c r="V83" s="3118"/>
      <c r="W83" s="3118"/>
      <c r="X83" s="3056">
        <f>IF(A83="","",IF(LEN(SUBSTITUTE(SUBSTITUTE(SUBSTITUTE(SUBSTITUTE(D83,".",""),"/",""),"-","")," ",""))&lt;&gt;14,"CNPJ INVALIDO","OK"))</f>
      </c>
      <c r="Y83" s="3056">
        <f>IF(A83="","",IF(R83="","REST PENDENTE","REST OK"))</f>
      </c>
      <c r="Z83" s="3056">
        <f>IF(A83="","",IF(AND(R83&lt;&gt;"",COUNTIFS($D$3:$D$164,D83,$R$3:$R$164,"&lt;&gt;")&gt;1),"DUPLICADO","OK"))</f>
      </c>
      <c r="AA83" s="3056">
        <f>IF(A83="","",IF(OR(LEN(Q83)&gt;180,LEN(R83)&gt;180,LEN(S83)&gt;180,LEN(T83)&gt;180),"CAMINHO LONGO","OK"))</f>
      </c>
      <c r="AB83" s="3056">
        <f>IF(A83="","",IF(U83="","",IFERROR(INT(U83-TODAY()),"")))</f>
      </c>
      <c r="AC83" s="3056">
        <f>IF(A83="","",IF(AND(T83="",U83=""),"",IF(T83="","SEM CAMINHO",IF(U83="","SEM DATA",IFERROR(IF(AB83&lt;15,"VERMELHO",IF(AB83&lt;=30,"AMARELO","VERDE")),"DATA INVALIDA")))))</f>
      </c>
      <c r="AD83" s="3056">
        <f>IF(OR(A83="",U83="",NOT(ISNUMBER(AB83))),"",RANK(AB83,$AB$3:$AB$164,1)+COUNTIFS($AB$3:AB83,AB83)-1)</f>
      </c>
      <c r="AE83" s="1736"/>
    </row>
    <row r="84" spans="1:19" ht="22.0" hidden="false" customHeight="true" x14ac:dyDescent="0.25">
      <c r="A84" s="3124" t="s">
        <v>200</v>
      </c>
      <c r="B84" s="3123" t="s">
        <v>1</v>
      </c>
      <c r="C84" s="3123" t="s">
        <v>195</v>
      </c>
      <c r="D84" s="3123" t="s">
        <v>201</v>
      </c>
      <c r="E84" s="3123"/>
      <c r="F84" s="3123" t="s">
        <v>3</v>
      </c>
      <c r="G84" s="3123" t="s">
        <v>4</v>
      </c>
      <c r="H84" s="3123" t="s">
        <v>49</v>
      </c>
      <c r="I84" s="3123"/>
      <c r="J84" s="3123"/>
      <c r="K84" s="3123"/>
      <c r="L84" s="3123"/>
      <c r="M84" s="3123" t="s">
        <v>376</v>
      </c>
      <c r="N84" s="3123" t="s">
        <v>361</v>
      </c>
      <c r="O84" s="3123" t="s">
        <v>351</v>
      </c>
      <c r="P84" s="3123"/>
      <c r="Q84" s="3126"/>
      <c r="R84" s="3126"/>
      <c r="S84" s="3126"/>
      <c r="T84" s="3126"/>
      <c r="U84" s="3127"/>
      <c r="V84" s="3123"/>
      <c r="W84" s="3123"/>
      <c r="X84" s="3056">
        <f>IF(A84="","",IF(LEN(SUBSTITUTE(SUBSTITUTE(SUBSTITUTE(SUBSTITUTE(D84,".",""),"/",""),"-","")," ",""))&lt;&gt;14,"CNPJ INVALIDO","OK"))</f>
      </c>
      <c r="Y84" s="3056">
        <f>IF(A84="","",IF(R84="","REST PENDENTE","REST OK"))</f>
      </c>
      <c r="Z84" s="3056">
        <f>IF(A84="","",IF(AND(R84&lt;&gt;"",COUNTIFS($D$3:$D$164,D84,$R$3:$R$164,"&lt;&gt;")&gt;1),"DUPLICADO","OK"))</f>
      </c>
      <c r="AA84" s="3056">
        <f>IF(A84="","",IF(OR(LEN(Q84)&gt;180,LEN(R84)&gt;180,LEN(S84)&gt;180,LEN(T84)&gt;180),"CAMINHO LONGO","OK"))</f>
      </c>
      <c r="AB84" s="3056">
        <f>IF(A84="","",IF(U84="","",IFERROR(INT(U84-TODAY()),"")))</f>
      </c>
      <c r="AC84" s="3056">
        <f>IF(A84="","",IF(AND(T84="",U84=""),"",IF(T84="","SEM CAMINHO",IF(U84="","SEM DATA",IFERROR(IF(AB84&lt;15,"VERMELHO",IF(AB84&lt;=30,"AMARELO","VERDE")),"DATA INVALIDA")))))</f>
      </c>
      <c r="AD84" s="3056">
        <f>IF(OR(A84="",U84="",NOT(ISNUMBER(AB84))),"",RANK(AB84,$AB$3:$AB$164,1)+COUNTIFS($AB$3:AB84,AB84)-1)</f>
      </c>
      <c r="AE84" s="1736"/>
    </row>
    <row r="85" spans="1:19" ht="22.0" hidden="false" customHeight="true" x14ac:dyDescent="0.25">
      <c r="A85" s="3119" t="s">
        <v>202</v>
      </c>
      <c r="B85" s="3118" t="s">
        <v>203</v>
      </c>
      <c r="C85" s="3118" t="s">
        <v>204</v>
      </c>
      <c r="D85" s="3118">
        <v>48579725000102</v>
      </c>
      <c r="E85" s="3118"/>
      <c r="F85" s="3118" t="s">
        <v>205</v>
      </c>
      <c r="G85" s="3118" t="s">
        <v>13</v>
      </c>
      <c r="H85" s="3118" t="s">
        <v>5</v>
      </c>
      <c r="I85" s="3118"/>
      <c r="J85" s="3118"/>
      <c r="K85" s="3118"/>
      <c r="L85" s="3118"/>
      <c r="M85" s="3118" t="s">
        <v>379</v>
      </c>
      <c r="N85" s="3118"/>
      <c r="O85" s="3118" t="s">
        <v>356</v>
      </c>
      <c r="P85" s="3118"/>
      <c r="Q85" s="3121"/>
      <c r="R85" s="3121"/>
      <c r="S85" s="3121"/>
      <c r="T85" s="3121"/>
      <c r="U85" s="3122"/>
      <c r="V85" s="3118"/>
      <c r="W85" s="3118"/>
      <c r="X85" s="3056">
        <f>IF(A85="","",IF(LEN(SUBSTITUTE(SUBSTITUTE(SUBSTITUTE(SUBSTITUTE(D85,".",""),"/",""),"-","")," ",""))&lt;&gt;14,"CNPJ INVALIDO","OK"))</f>
      </c>
      <c r="Y85" s="3056">
        <f>IF(A85="","",IF(R85="","REST PENDENTE","REST OK"))</f>
      </c>
      <c r="Z85" s="3056">
        <f>IF(A85="","",IF(AND(R85&lt;&gt;"",COUNTIFS($D$3:$D$164,D85,$R$3:$R$164,"&lt;&gt;")&gt;1),"DUPLICADO","OK"))</f>
      </c>
      <c r="AA85" s="3056">
        <f>IF(A85="","",IF(OR(LEN(Q85)&gt;180,LEN(R85)&gt;180,LEN(S85)&gt;180,LEN(T85)&gt;180),"CAMINHO LONGO","OK"))</f>
      </c>
      <c r="AB85" s="3056">
        <f>IF(A85="","",IF(U85="","",IFERROR(INT(U85-TODAY()),"")))</f>
      </c>
      <c r="AC85" s="3056">
        <f>IF(A85="","",IF(AND(T85="",U85=""),"",IF(T85="","SEM CAMINHO",IF(U85="","SEM DATA",IFERROR(IF(AB85&lt;15,"VERMELHO",IF(AB85&lt;=30,"AMARELO","VERDE")),"DATA INVALIDA")))))</f>
      </c>
      <c r="AD85" s="3056">
        <f>IF(OR(A85="",U85="",NOT(ISNUMBER(AB85))),"",RANK(AB85,$AB$3:$AB$164,1)+COUNTIFS($AB$3:AB85,AB85)-1)</f>
      </c>
      <c r="AE85" s="1736"/>
    </row>
    <row r="86" spans="1:19" ht="22.0" hidden="false" customHeight="true" x14ac:dyDescent="0.25">
      <c r="A86" s="3124" t="s">
        <v>206</v>
      </c>
      <c r="B86" s="3123" t="s">
        <v>207</v>
      </c>
      <c r="C86" s="3123" t="s">
        <v>62</v>
      </c>
      <c r="D86" s="3123">
        <v>21879417000146</v>
      </c>
      <c r="E86" s="3123"/>
      <c r="F86" s="3123" t="s">
        <v>208</v>
      </c>
      <c r="G86" s="3123" t="s">
        <v>41</v>
      </c>
      <c r="H86" s="3123" t="s">
        <v>5</v>
      </c>
      <c r="I86" s="3123"/>
      <c r="J86" s="3123"/>
      <c r="K86" s="3123"/>
      <c r="L86" s="3123"/>
      <c r="M86" s="3123" t="s">
        <v>379</v>
      </c>
      <c r="N86" s="3123"/>
      <c r="O86" s="3123" t="s">
        <v>349</v>
      </c>
      <c r="P86" s="3123"/>
      <c r="Q86" s="3126"/>
      <c r="R86" s="3126"/>
      <c r="S86" s="3126"/>
      <c r="T86" s="3126"/>
      <c r="U86" s="3127"/>
      <c r="V86" s="3123"/>
      <c r="W86" s="3123"/>
      <c r="X86" s="3056">
        <f>IF(A86="","",IF(LEN(SUBSTITUTE(SUBSTITUTE(SUBSTITUTE(SUBSTITUTE(D86,".",""),"/",""),"-","")," ",""))&lt;&gt;14,"CNPJ INVALIDO","OK"))</f>
      </c>
      <c r="Y86" s="3056">
        <f>IF(A86="","",IF(R86="","REST PENDENTE","REST OK"))</f>
      </c>
      <c r="Z86" s="3056">
        <f>IF(A86="","",IF(AND(R86&lt;&gt;"",COUNTIFS($D$3:$D$164,D86,$R$3:$R$164,"&lt;&gt;")&gt;1),"DUPLICADO","OK"))</f>
      </c>
      <c r="AA86" s="3056">
        <f>IF(A86="","",IF(OR(LEN(Q86)&gt;180,LEN(R86)&gt;180,LEN(S86)&gt;180,LEN(T86)&gt;180),"CAMINHO LONGO","OK"))</f>
      </c>
      <c r="AB86" s="3056">
        <f>IF(A86="","",IF(U86="","",IFERROR(INT(U86-TODAY()),"")))</f>
      </c>
      <c r="AC86" s="3056">
        <f>IF(A86="","",IF(AND(T86="",U86=""),"",IF(T86="","SEM CAMINHO",IF(U86="","SEM DATA",IFERROR(IF(AB86&lt;15,"VERMELHO",IF(AB86&lt;=30,"AMARELO","VERDE")),"DATA INVALIDA")))))</f>
      </c>
      <c r="AD86" s="3056">
        <f>IF(OR(A86="",U86="",NOT(ISNUMBER(AB86))),"",RANK(AB86,$AB$3:$AB$164,1)+COUNTIFS($AB$3:AB86,AB86)-1)</f>
      </c>
      <c r="AE86" s="1736"/>
    </row>
    <row r="87" spans="1:19" ht="22.0" hidden="false" customHeight="true" x14ac:dyDescent="0.25">
      <c r="A87" s="3119" t="s">
        <v>209</v>
      </c>
      <c r="B87" s="3118" t="s">
        <v>207</v>
      </c>
      <c r="C87" s="3118" t="s">
        <v>62</v>
      </c>
      <c r="D87" s="3118" t="s">
        <v>388</v>
      </c>
      <c r="E87" s="3118"/>
      <c r="F87" s="3118" t="s">
        <v>208</v>
      </c>
      <c r="G87" s="3118" t="s">
        <v>4</v>
      </c>
      <c r="H87" s="3118" t="s">
        <v>5</v>
      </c>
      <c r="I87" s="3118"/>
      <c r="J87" s="3118"/>
      <c r="K87" s="3118"/>
      <c r="L87" s="3118"/>
      <c r="M87" s="3118" t="s">
        <v>379</v>
      </c>
      <c r="N87" s="3118"/>
      <c r="O87" s="3118" t="s">
        <v>349</v>
      </c>
      <c r="P87" s="3118"/>
      <c r="Q87" s="3121"/>
      <c r="R87" s="3121"/>
      <c r="S87" s="3121"/>
      <c r="T87" s="3121"/>
      <c r="U87" s="3122"/>
      <c r="V87" s="3118"/>
      <c r="W87" s="3118"/>
      <c r="X87" s="3056">
        <f>IF(A87="","",IF(LEN(SUBSTITUTE(SUBSTITUTE(SUBSTITUTE(SUBSTITUTE(D87,".",""),"/",""),"-","")," ",""))&lt;&gt;14,"CNPJ INVALIDO","OK"))</f>
      </c>
      <c r="Y87" s="3056">
        <f>IF(A87="","",IF(R87="","REST PENDENTE","REST OK"))</f>
      </c>
      <c r="Z87" s="3056">
        <f>IF(A87="","",IF(AND(R87&lt;&gt;"",COUNTIFS($D$3:$D$164,D87,$R$3:$R$164,"&lt;&gt;")&gt;1),"DUPLICADO","OK"))</f>
      </c>
      <c r="AA87" s="3056">
        <f>IF(A87="","",IF(OR(LEN(Q87)&gt;180,LEN(R87)&gt;180,LEN(S87)&gt;180,LEN(T87)&gt;180),"CAMINHO LONGO","OK"))</f>
      </c>
      <c r="AB87" s="3056">
        <f>IF(A87="","",IF(U87="","",IFERROR(INT(U87-TODAY()),"")))</f>
      </c>
      <c r="AC87" s="3056">
        <f>IF(A87="","",IF(AND(T87="",U87=""),"",IF(T87="","SEM CAMINHO",IF(U87="","SEM DATA",IFERROR(IF(AB87&lt;15,"VERMELHO",IF(AB87&lt;=30,"AMARELO","VERDE")),"DATA INVALIDA")))))</f>
      </c>
      <c r="AD87" s="3056">
        <f>IF(OR(A87="",U87="",NOT(ISNUMBER(AB87))),"",RANK(AB87,$AB$3:$AB$164,1)+COUNTIFS($AB$3:AB87,AB87)-1)</f>
      </c>
      <c r="AE87" s="1736"/>
    </row>
    <row r="88" spans="1:19" ht="22.0" hidden="false" customHeight="true" x14ac:dyDescent="0.25">
      <c r="A88" s="3124" t="s">
        <v>210</v>
      </c>
      <c r="B88" s="3123" t="s">
        <v>211</v>
      </c>
      <c r="C88" s="3123" t="s">
        <v>69</v>
      </c>
      <c r="D88" s="3123" t="s">
        <v>387</v>
      </c>
      <c r="E88" s="3123"/>
      <c r="F88" s="3123"/>
      <c r="G88" s="3123" t="s">
        <v>4</v>
      </c>
      <c r="H88" s="3123" t="s">
        <v>49</v>
      </c>
      <c r="I88" s="3123"/>
      <c r="J88" s="3123"/>
      <c r="K88" s="3123"/>
      <c r="L88" s="3123"/>
      <c r="M88" s="3123" t="s">
        <v>379</v>
      </c>
      <c r="N88" s="3123"/>
      <c r="O88" s="3123" t="s">
        <v>349</v>
      </c>
      <c r="P88" s="3123"/>
      <c r="Q88" s="3126"/>
      <c r="R88" s="3126"/>
      <c r="S88" s="3126"/>
      <c r="T88" s="3126"/>
      <c r="U88" s="3127"/>
      <c r="V88" s="3123"/>
      <c r="W88" s="3123"/>
      <c r="X88" s="3056">
        <f>IF(A88="","",IF(LEN(SUBSTITUTE(SUBSTITUTE(SUBSTITUTE(SUBSTITUTE(D88,".",""),"/",""),"-","")," ",""))&lt;&gt;14,"CNPJ INVALIDO","OK"))</f>
      </c>
      <c r="Y88" s="3056">
        <f>IF(A88="","",IF(R88="","REST PENDENTE","REST OK"))</f>
      </c>
      <c r="Z88" s="3056">
        <f>IF(A88="","",IF(AND(R88&lt;&gt;"",COUNTIFS($D$3:$D$164,D88,$R$3:$R$164,"&lt;&gt;")&gt;1),"DUPLICADO","OK"))</f>
      </c>
      <c r="AA88" s="3056">
        <f>IF(A88="","",IF(OR(LEN(Q88)&gt;180,LEN(R88)&gt;180,LEN(S88)&gt;180,LEN(T88)&gt;180),"CAMINHO LONGO","OK"))</f>
      </c>
      <c r="AB88" s="3056">
        <f>IF(A88="","",IF(U88="","",IFERROR(INT(U88-TODAY()),"")))</f>
      </c>
      <c r="AC88" s="3056">
        <f>IF(A88="","",IF(AND(T88="",U88=""),"",IF(T88="","SEM CAMINHO",IF(U88="","SEM DATA",IFERROR(IF(AB88&lt;15,"VERMELHO",IF(AB88&lt;=30,"AMARELO","VERDE")),"DATA INVALIDA")))))</f>
      </c>
      <c r="AD88" s="3056">
        <f>IF(OR(A88="",U88="",NOT(ISNUMBER(AB88))),"",RANK(AB88,$AB$3:$AB$164,1)+COUNTIFS($AB$3:AB88,AB88)-1)</f>
      </c>
      <c r="AE88" s="1736"/>
    </row>
    <row r="89" spans="1:19" ht="22.0" hidden="false" customHeight="true" x14ac:dyDescent="0.25">
      <c r="A89" s="3119" t="s">
        <v>212</v>
      </c>
      <c r="B89" s="3118" t="s">
        <v>211</v>
      </c>
      <c r="C89" s="3118" t="s">
        <v>69</v>
      </c>
      <c r="D89" s="3118"/>
      <c r="E89" s="3118"/>
      <c r="F89" s="3118"/>
      <c r="G89" s="3118" t="s">
        <v>4</v>
      </c>
      <c r="H89" s="3118" t="s">
        <v>49</v>
      </c>
      <c r="I89" s="3118"/>
      <c r="J89" s="3118"/>
      <c r="K89" s="3118"/>
      <c r="L89" s="3118"/>
      <c r="M89" s="3118" t="s">
        <v>379</v>
      </c>
      <c r="N89" s="3118"/>
      <c r="O89" s="3118" t="s">
        <v>349</v>
      </c>
      <c r="P89" s="3118"/>
      <c r="Q89" s="3121"/>
      <c r="R89" s="3121"/>
      <c r="S89" s="3121"/>
      <c r="T89" s="3121"/>
      <c r="U89" s="3122"/>
      <c r="V89" s="3118"/>
      <c r="W89" s="3118"/>
      <c r="X89" s="3056">
        <f>IF(A89="","",IF(LEN(SUBSTITUTE(SUBSTITUTE(SUBSTITUTE(SUBSTITUTE(D89,".",""),"/",""),"-","")," ",""))&lt;&gt;14,"CNPJ INVALIDO","OK"))</f>
      </c>
      <c r="Y89" s="3056">
        <f>IF(A89="","",IF(R89="","REST PENDENTE","REST OK"))</f>
      </c>
      <c r="Z89" s="3056">
        <f>IF(A89="","",IF(AND(R89&lt;&gt;"",COUNTIFS($D$3:$D$164,D89,$R$3:$R$164,"&lt;&gt;")&gt;1),"DUPLICADO","OK"))</f>
      </c>
      <c r="AA89" s="3056">
        <f>IF(A89="","",IF(OR(LEN(Q89)&gt;180,LEN(R89)&gt;180,LEN(S89)&gt;180,LEN(T89)&gt;180),"CAMINHO LONGO","OK"))</f>
      </c>
      <c r="AB89" s="3056">
        <f>IF(A89="","",IF(U89="","",IFERROR(INT(U89-TODAY()),"")))</f>
      </c>
      <c r="AC89" s="3056">
        <f>IF(A89="","",IF(AND(T89="",U89=""),"",IF(T89="","SEM CAMINHO",IF(U89="","SEM DATA",IFERROR(IF(AB89&lt;15,"VERMELHO",IF(AB89&lt;=30,"AMARELO","VERDE")),"DATA INVALIDA")))))</f>
      </c>
      <c r="AD89" s="3056">
        <f>IF(OR(A89="",U89="",NOT(ISNUMBER(AB89))),"",RANK(AB89,$AB$3:$AB$164,1)+COUNTIFS($AB$3:AB89,AB89)-1)</f>
      </c>
      <c r="AE89" s="1736"/>
    </row>
    <row r="90" spans="1:19" ht="22.0" hidden="false" customHeight="true" x14ac:dyDescent="0.25">
      <c r="A90" s="3124" t="s">
        <v>213</v>
      </c>
      <c r="B90" s="3123" t="s">
        <v>214</v>
      </c>
      <c r="C90" s="3123" t="s">
        <v>62</v>
      </c>
      <c r="D90" s="3123">
        <v>44868733000118</v>
      </c>
      <c r="E90" s="3123"/>
      <c r="F90" s="3123" t="s">
        <v>215</v>
      </c>
      <c r="G90" s="3123" t="s">
        <v>4</v>
      </c>
      <c r="H90" s="3123" t="s">
        <v>5</v>
      </c>
      <c r="I90" s="3123"/>
      <c r="J90" s="3123"/>
      <c r="K90" s="3123"/>
      <c r="L90" s="3123"/>
      <c r="M90" s="3123" t="s">
        <v>379</v>
      </c>
      <c r="N90" s="3123"/>
      <c r="O90" s="3123" t="s">
        <v>350</v>
      </c>
      <c r="P90" s="3123"/>
      <c r="Q90" s="3126"/>
      <c r="R90" s="3126"/>
      <c r="S90" s="3126"/>
      <c r="T90" s="3126"/>
      <c r="U90" s="3127"/>
      <c r="V90" s="3123"/>
      <c r="W90" s="3123"/>
      <c r="X90" s="3056">
        <f>IF(A90="","",IF(LEN(SUBSTITUTE(SUBSTITUTE(SUBSTITUTE(SUBSTITUTE(D90,".",""),"/",""),"-","")," ",""))&lt;&gt;14,"CNPJ INVALIDO","OK"))</f>
      </c>
      <c r="Y90" s="3056">
        <f>IF(A90="","",IF(R90="","REST PENDENTE","REST OK"))</f>
      </c>
      <c r="Z90" s="3056">
        <f>IF(A90="","",IF(AND(R90&lt;&gt;"",COUNTIFS($D$3:$D$164,D90,$R$3:$R$164,"&lt;&gt;")&gt;1),"DUPLICADO","OK"))</f>
      </c>
      <c r="AA90" s="3056">
        <f>IF(A90="","",IF(OR(LEN(Q90)&gt;180,LEN(R90)&gt;180,LEN(S90)&gt;180,LEN(T90)&gt;180),"CAMINHO LONGO","OK"))</f>
      </c>
      <c r="AB90" s="3056">
        <f>IF(A90="","",IF(U90="","",IFERROR(INT(U90-TODAY()),"")))</f>
      </c>
      <c r="AC90" s="3056">
        <f>IF(A90="","",IF(AND(T90="",U90=""),"",IF(T90="","SEM CAMINHO",IF(U90="","SEM DATA",IFERROR(IF(AB90&lt;15,"VERMELHO",IF(AB90&lt;=30,"AMARELO","VERDE")),"DATA INVALIDA")))))</f>
      </c>
      <c r="AD90" s="3056">
        <f>IF(OR(A90="",U90="",NOT(ISNUMBER(AB90))),"",RANK(AB90,$AB$3:$AB$164,1)+COUNTIFS($AB$3:AB90,AB90)-1)</f>
      </c>
      <c r="AE90" s="1736"/>
    </row>
    <row r="91" spans="1:19" ht="22.0" hidden="false" customHeight="true" x14ac:dyDescent="0.25">
      <c r="A91" s="3119" t="s">
        <v>216</v>
      </c>
      <c r="B91" s="3118" t="s">
        <v>9</v>
      </c>
      <c r="C91" s="3118" t="s">
        <v>69</v>
      </c>
      <c r="D91" s="3118" t="s">
        <v>217</v>
      </c>
      <c r="E91" s="3118"/>
      <c r="F91" s="3118" t="s">
        <v>12</v>
      </c>
      <c r="G91" s="3118" t="s">
        <v>13</v>
      </c>
      <c r="H91" s="3118" t="s">
        <v>49</v>
      </c>
      <c r="I91" s="3118"/>
      <c r="J91" s="3118"/>
      <c r="K91" s="3118"/>
      <c r="L91" s="3118"/>
      <c r="M91" s="3118" t="s">
        <v>379</v>
      </c>
      <c r="N91" s="3118"/>
      <c r="O91" s="3118" t="s">
        <v>349</v>
      </c>
      <c r="P91" s="3118"/>
      <c r="Q91" s="3121"/>
      <c r="R91" s="3121"/>
      <c r="S91" s="3121"/>
      <c r="T91" s="3121"/>
      <c r="U91" s="3122"/>
      <c r="V91" s="3118"/>
      <c r="W91" s="3118"/>
      <c r="X91" s="3056">
        <f>IF(A91="","",IF(LEN(SUBSTITUTE(SUBSTITUTE(SUBSTITUTE(SUBSTITUTE(D91,".",""),"/",""),"-","")," ",""))&lt;&gt;14,"CNPJ INVALIDO","OK"))</f>
      </c>
      <c r="Y91" s="3056">
        <f>IF(A91="","",IF(R91="","REST PENDENTE","REST OK"))</f>
      </c>
      <c r="Z91" s="3056">
        <f>IF(A91="","",IF(AND(R91&lt;&gt;"",COUNTIFS($D$3:$D$164,D91,$R$3:$R$164,"&lt;&gt;")&gt;1),"DUPLICADO","OK"))</f>
      </c>
      <c r="AA91" s="3056">
        <f>IF(A91="","",IF(OR(LEN(Q91)&gt;180,LEN(R91)&gt;180,LEN(S91)&gt;180,LEN(T91)&gt;180),"CAMINHO LONGO","OK"))</f>
      </c>
      <c r="AB91" s="3056">
        <f>IF(A91="","",IF(U91="","",IFERROR(INT(U91-TODAY()),"")))</f>
      </c>
      <c r="AC91" s="3056">
        <f>IF(A91="","",IF(AND(T91="",U91=""),"",IF(T91="","SEM CAMINHO",IF(U91="","SEM DATA",IFERROR(IF(AB91&lt;15,"VERMELHO",IF(AB91&lt;=30,"AMARELO","VERDE")),"DATA INVALIDA")))))</f>
      </c>
      <c r="AD91" s="3056">
        <f>IF(OR(A91="",U91="",NOT(ISNUMBER(AB91))),"",RANK(AB91,$AB$3:$AB$164,1)+COUNTIFS($AB$3:AB91,AB91)-1)</f>
      </c>
      <c r="AE91" s="1736"/>
    </row>
    <row r="92" spans="1:19" ht="22.0" hidden="false" customHeight="true" x14ac:dyDescent="0.25">
      <c r="A92" s="3124" t="s">
        <v>218</v>
      </c>
      <c r="B92" s="3123" t="s">
        <v>219</v>
      </c>
      <c r="C92" s="3123" t="s">
        <v>62</v>
      </c>
      <c r="D92" s="3123">
        <v>51987426000111</v>
      </c>
      <c r="E92" s="3123"/>
      <c r="F92" s="3123" t="s">
        <v>220</v>
      </c>
      <c r="G92" s="3123" t="s">
        <v>4</v>
      </c>
      <c r="H92" s="3123" t="s">
        <v>5</v>
      </c>
      <c r="I92" s="3123"/>
      <c r="J92" s="3123"/>
      <c r="K92" s="3123"/>
      <c r="L92" s="3123"/>
      <c r="M92" s="3123" t="s">
        <v>389</v>
      </c>
      <c r="N92" s="3123"/>
      <c r="O92" s="3123" t="s">
        <v>350</v>
      </c>
      <c r="P92" s="3123"/>
      <c r="Q92" s="3126"/>
      <c r="R92" s="3126"/>
      <c r="S92" s="3126"/>
      <c r="T92" s="3126"/>
      <c r="U92" s="3127"/>
      <c r="V92" s="3123"/>
      <c r="W92" s="3123"/>
      <c r="X92" s="3056">
        <f>IF(A92="","",IF(LEN(SUBSTITUTE(SUBSTITUTE(SUBSTITUTE(SUBSTITUTE(D92,".",""),"/",""),"-","")," ",""))&lt;&gt;14,"CNPJ INVALIDO","OK"))</f>
      </c>
      <c r="Y92" s="3056">
        <f>IF(A92="","",IF(R92="","REST PENDENTE","REST OK"))</f>
      </c>
      <c r="Z92" s="3056">
        <f>IF(A92="","",IF(AND(R92&lt;&gt;"",COUNTIFS($D$3:$D$164,D92,$R$3:$R$164,"&lt;&gt;")&gt;1),"DUPLICADO","OK"))</f>
      </c>
      <c r="AA92" s="3056">
        <f>IF(A92="","",IF(OR(LEN(Q92)&gt;180,LEN(R92)&gt;180,LEN(S92)&gt;180,LEN(T92)&gt;180),"CAMINHO LONGO","OK"))</f>
      </c>
      <c r="AB92" s="3056">
        <f>IF(A92="","",IF(U92="","",IFERROR(INT(U92-TODAY()),"")))</f>
      </c>
      <c r="AC92" s="3056">
        <f>IF(A92="","",IF(AND(T92="",U92=""),"",IF(T92="","SEM CAMINHO",IF(U92="","SEM DATA",IFERROR(IF(AB92&lt;15,"VERMELHO",IF(AB92&lt;=30,"AMARELO","VERDE")),"DATA INVALIDA")))))</f>
      </c>
      <c r="AD92" s="3056">
        <f>IF(OR(A92="",U92="",NOT(ISNUMBER(AB92))),"",RANK(AB92,$AB$3:$AB$164,1)+COUNTIFS($AB$3:AB92,AB92)-1)</f>
      </c>
      <c r="AE92" s="1736"/>
    </row>
    <row r="93" spans="1:19" ht="22.0" hidden="false" customHeight="true" x14ac:dyDescent="0.25">
      <c r="A93" s="3119" t="s">
        <v>221</v>
      </c>
      <c r="B93" s="3118" t="s">
        <v>222</v>
      </c>
      <c r="C93" s="3118" t="s">
        <v>62</v>
      </c>
      <c r="D93" s="3118" t="s">
        <v>390</v>
      </c>
      <c r="E93" s="3118"/>
      <c r="F93" s="3118" t="s">
        <v>223</v>
      </c>
      <c r="G93" s="3118" t="s">
        <v>13</v>
      </c>
      <c r="H93" s="3118" t="s">
        <v>49</v>
      </c>
      <c r="I93" s="3118"/>
      <c r="J93" s="3118"/>
      <c r="K93" s="3118"/>
      <c r="L93" s="3118"/>
      <c r="M93" s="3118" t="s">
        <v>389</v>
      </c>
      <c r="N93" s="3118"/>
      <c r="O93" s="3118" t="s">
        <v>350</v>
      </c>
      <c r="P93" s="3118"/>
      <c r="Q93" s="3121"/>
      <c r="R93" s="3121"/>
      <c r="S93" s="3121"/>
      <c r="T93" s="3121"/>
      <c r="U93" s="3122"/>
      <c r="V93" s="3118"/>
      <c r="W93" s="3118"/>
      <c r="X93" s="3056">
        <f>IF(A93="","",IF(LEN(SUBSTITUTE(SUBSTITUTE(SUBSTITUTE(SUBSTITUTE(D93,".",""),"/",""),"-","")," ",""))&lt;&gt;14,"CNPJ INVALIDO","OK"))</f>
      </c>
      <c r="Y93" s="3056">
        <f>IF(A93="","",IF(R93="","REST PENDENTE","REST OK"))</f>
      </c>
      <c r="Z93" s="3056">
        <f>IF(A93="","",IF(AND(R93&lt;&gt;"",COUNTIFS($D$3:$D$164,D93,$R$3:$R$164,"&lt;&gt;")&gt;1),"DUPLICADO","OK"))</f>
      </c>
      <c r="AA93" s="3056">
        <f>IF(A93="","",IF(OR(LEN(Q93)&gt;180,LEN(R93)&gt;180,LEN(S93)&gt;180,LEN(T93)&gt;180),"CAMINHO LONGO","OK"))</f>
      </c>
      <c r="AB93" s="3056">
        <f>IF(A93="","",IF(U93="","",IFERROR(INT(U93-TODAY()),"")))</f>
      </c>
      <c r="AC93" s="3056">
        <f>IF(A93="","",IF(AND(T93="",U93=""),"",IF(T93="","SEM CAMINHO",IF(U93="","SEM DATA",IFERROR(IF(AB93&lt;15,"VERMELHO",IF(AB93&lt;=30,"AMARELO","VERDE")),"DATA INVALIDA")))))</f>
      </c>
      <c r="AD93" s="3056">
        <f>IF(OR(A93="",U93="",NOT(ISNUMBER(AB93))),"",RANK(AB93,$AB$3:$AB$164,1)+COUNTIFS($AB$3:AB93,AB93)-1)</f>
      </c>
      <c r="AE93" s="1736"/>
    </row>
    <row r="94" spans="1:19" ht="22.0" hidden="false" customHeight="true" x14ac:dyDescent="0.25">
      <c r="A94" s="3124" t="s">
        <v>224</v>
      </c>
      <c r="B94" s="3123" t="s">
        <v>182</v>
      </c>
      <c r="C94" s="3123" t="s">
        <v>83</v>
      </c>
      <c r="D94" s="3123">
        <v>21371431000134</v>
      </c>
      <c r="E94" s="3123"/>
      <c r="F94" s="3123" t="s">
        <v>225</v>
      </c>
      <c r="G94" s="3123" t="s">
        <v>4</v>
      </c>
      <c r="H94" s="3123" t="s">
        <v>5</v>
      </c>
      <c r="I94" s="3123"/>
      <c r="J94" s="3123"/>
      <c r="K94" s="3123"/>
      <c r="L94" s="3123"/>
      <c r="M94" s="3123" t="s">
        <v>375</v>
      </c>
      <c r="N94" s="3123"/>
      <c r="O94" s="3123" t="s">
        <v>357</v>
      </c>
      <c r="P94" s="3123"/>
      <c r="Q94" s="3126"/>
      <c r="R94" s="3126"/>
      <c r="S94" s="3126"/>
      <c r="T94" s="3126"/>
      <c r="U94" s="3127"/>
      <c r="V94" s="3123"/>
      <c r="W94" s="3123"/>
      <c r="X94" s="3056">
        <f>IF(A94="","",IF(LEN(SUBSTITUTE(SUBSTITUTE(SUBSTITUTE(SUBSTITUTE(D94,".",""),"/",""),"-","")," ",""))&lt;&gt;14,"CNPJ INVALIDO","OK"))</f>
      </c>
      <c r="Y94" s="3056">
        <f>IF(A94="","",IF(R94="","REST PENDENTE","REST OK"))</f>
      </c>
      <c r="Z94" s="3056">
        <f>IF(A94="","",IF(AND(R94&lt;&gt;"",COUNTIFS($D$3:$D$164,D94,$R$3:$R$164,"&lt;&gt;")&gt;1),"DUPLICADO","OK"))</f>
      </c>
      <c r="AA94" s="3056">
        <f>IF(A94="","",IF(OR(LEN(Q94)&gt;180,LEN(R94)&gt;180,LEN(S94)&gt;180,LEN(T94)&gt;180),"CAMINHO LONGO","OK"))</f>
      </c>
      <c r="AB94" s="3056">
        <f>IF(A94="","",IF(U94="","",IFERROR(INT(U94-TODAY()),"")))</f>
      </c>
      <c r="AC94" s="3056">
        <f>IF(A94="","",IF(AND(T94="",U94=""),"",IF(T94="","SEM CAMINHO",IF(U94="","SEM DATA",IFERROR(IF(AB94&lt;15,"VERMELHO",IF(AB94&lt;=30,"AMARELO","VERDE")),"DATA INVALIDA")))))</f>
      </c>
      <c r="AD94" s="3056">
        <f>IF(OR(A94="",U94="",NOT(ISNUMBER(AB94))),"",RANK(AB94,$AB$3:$AB$164,1)+COUNTIFS($AB$3:AB94,AB94)-1)</f>
      </c>
      <c r="AE94" s="1736"/>
    </row>
    <row r="95" spans="1:19" ht="22.0" hidden="false" customHeight="true" x14ac:dyDescent="0.25">
      <c r="A95" s="3119" t="s">
        <v>226</v>
      </c>
      <c r="B95" s="3118" t="s">
        <v>227</v>
      </c>
      <c r="C95" s="3118" t="s">
        <v>122</v>
      </c>
      <c r="D95" s="3118">
        <v>9421791000106</v>
      </c>
      <c r="E95" s="3118"/>
      <c r="F95" s="3118" t="s">
        <v>228</v>
      </c>
      <c r="G95" s="3118" t="s">
        <v>4</v>
      </c>
      <c r="H95" s="3118" t="s">
        <v>5</v>
      </c>
      <c r="I95" s="3118"/>
      <c r="J95" s="3118"/>
      <c r="K95" s="3118"/>
      <c r="L95" s="3118"/>
      <c r="M95" s="3118" t="s">
        <v>379</v>
      </c>
      <c r="N95" s="3118"/>
      <c r="O95" s="3118" t="s">
        <v>349</v>
      </c>
      <c r="P95" s="3118"/>
      <c r="Q95" s="3121"/>
      <c r="R95" s="3121"/>
      <c r="S95" s="3121"/>
      <c r="T95" s="3121"/>
      <c r="U95" s="3122"/>
      <c r="V95" s="3118"/>
      <c r="W95" s="3118"/>
      <c r="X95" s="3056">
        <f>IF(A95="","",IF(LEN(SUBSTITUTE(SUBSTITUTE(SUBSTITUTE(SUBSTITUTE(D95,".",""),"/",""),"-","")," ",""))&lt;&gt;14,"CNPJ INVALIDO","OK"))</f>
      </c>
      <c r="Y95" s="3056">
        <f>IF(A95="","",IF(R95="","REST PENDENTE","REST OK"))</f>
      </c>
      <c r="Z95" s="3056">
        <f>IF(A95="","",IF(AND(R95&lt;&gt;"",COUNTIFS($D$3:$D$164,D95,$R$3:$R$164,"&lt;&gt;")&gt;1),"DUPLICADO","OK"))</f>
      </c>
      <c r="AA95" s="3056">
        <f>IF(A95="","",IF(OR(LEN(Q95)&gt;180,LEN(R95)&gt;180,LEN(S95)&gt;180,LEN(T95)&gt;180),"CAMINHO LONGO","OK"))</f>
      </c>
      <c r="AB95" s="3056">
        <f>IF(A95="","",IF(U95="","",IFERROR(INT(U95-TODAY()),"")))</f>
      </c>
      <c r="AC95" s="3056">
        <f>IF(A95="","",IF(AND(T95="",U95=""),"",IF(T95="","SEM CAMINHO",IF(U95="","SEM DATA",IFERROR(IF(AB95&lt;15,"VERMELHO",IF(AB95&lt;=30,"AMARELO","VERDE")),"DATA INVALIDA")))))</f>
      </c>
      <c r="AD95" s="3056">
        <f>IF(OR(A95="",U95="",NOT(ISNUMBER(AB95))),"",RANK(AB95,$AB$3:$AB$164,1)+COUNTIFS($AB$3:AB95,AB95)-1)</f>
      </c>
      <c r="AE95" s="1736"/>
    </row>
    <row r="96" spans="1:19" ht="22.0" hidden="false" customHeight="true" x14ac:dyDescent="0.25">
      <c r="A96" s="3124" t="s">
        <v>229</v>
      </c>
      <c r="B96" s="3123" t="s">
        <v>96</v>
      </c>
      <c r="C96" s="3123" t="s">
        <v>230</v>
      </c>
      <c r="D96" s="3123" t="s">
        <v>391</v>
      </c>
      <c r="E96" s="3123"/>
      <c r="F96" s="3123" t="s">
        <v>99</v>
      </c>
      <c r="G96" s="3123" t="s">
        <v>4</v>
      </c>
      <c r="H96" s="3123" t="s">
        <v>14</v>
      </c>
      <c r="I96" s="3123"/>
      <c r="J96" s="3123"/>
      <c r="K96" s="3123"/>
      <c r="L96" s="3123"/>
      <c r="M96" s="3123" t="s">
        <v>376</v>
      </c>
      <c r="N96" s="3123"/>
      <c r="O96" s="3123" t="s">
        <v>349</v>
      </c>
      <c r="P96" s="3123"/>
      <c r="Q96" s="3126"/>
      <c r="R96" s="3126"/>
      <c r="S96" s="3126"/>
      <c r="T96" s="3126"/>
      <c r="U96" s="3127"/>
      <c r="V96" s="3123"/>
      <c r="W96" s="3123"/>
      <c r="X96" s="3056">
        <f>IF(A96="","",IF(LEN(SUBSTITUTE(SUBSTITUTE(SUBSTITUTE(SUBSTITUTE(D96,".",""),"/",""),"-","")," ",""))&lt;&gt;14,"CNPJ INVALIDO","OK"))</f>
      </c>
      <c r="Y96" s="3056">
        <f>IF(A96="","",IF(R96="","REST PENDENTE","REST OK"))</f>
      </c>
      <c r="Z96" s="3056">
        <f>IF(A96="","",IF(AND(R96&lt;&gt;"",COUNTIFS($D$3:$D$164,D96,$R$3:$R$164,"&lt;&gt;")&gt;1),"DUPLICADO","OK"))</f>
      </c>
      <c r="AA96" s="3056">
        <f>IF(A96="","",IF(OR(LEN(Q96)&gt;180,LEN(R96)&gt;180,LEN(S96)&gt;180,LEN(T96)&gt;180),"CAMINHO LONGO","OK"))</f>
      </c>
      <c r="AB96" s="3056">
        <f>IF(A96="","",IF(U96="","",IFERROR(INT(U96-TODAY()),"")))</f>
      </c>
      <c r="AC96" s="3056">
        <f>IF(A96="","",IF(AND(T96="",U96=""),"",IF(T96="","SEM CAMINHO",IF(U96="","SEM DATA",IFERROR(IF(AB96&lt;15,"VERMELHO",IF(AB96&lt;=30,"AMARELO","VERDE")),"DATA INVALIDA")))))</f>
      </c>
      <c r="AD96" s="3056">
        <f>IF(OR(A96="",U96="",NOT(ISNUMBER(AB96))),"",RANK(AB96,$AB$3:$AB$164,1)+COUNTIFS($AB$3:AB96,AB96)-1)</f>
      </c>
      <c r="AE96" s="1736"/>
    </row>
    <row r="97" spans="1:19" ht="22.0" hidden="false" customHeight="true" x14ac:dyDescent="0.25">
      <c r="A97" s="3119" t="s">
        <v>231</v>
      </c>
      <c r="B97" s="3118" t="s">
        <v>211</v>
      </c>
      <c r="C97" s="3118" t="s">
        <v>69</v>
      </c>
      <c r="D97" s="3118" t="s">
        <v>232</v>
      </c>
      <c r="E97" s="3118"/>
      <c r="F97" s="3118"/>
      <c r="G97" s="3118" t="s">
        <v>4</v>
      </c>
      <c r="H97" s="3118" t="s">
        <v>49</v>
      </c>
      <c r="I97" s="3118"/>
      <c r="J97" s="3118"/>
      <c r="K97" s="3118"/>
      <c r="L97" s="3118"/>
      <c r="M97" s="3118" t="s">
        <v>379</v>
      </c>
      <c r="N97" s="3118"/>
      <c r="O97" s="3118" t="s">
        <v>349</v>
      </c>
      <c r="P97" s="3118"/>
      <c r="Q97" s="3121"/>
      <c r="R97" s="3121"/>
      <c r="S97" s="3121"/>
      <c r="T97" s="3121"/>
      <c r="U97" s="3122"/>
      <c r="V97" s="3118"/>
      <c r="W97" s="3118"/>
      <c r="X97" s="3056">
        <f>IF(A97="","",IF(LEN(SUBSTITUTE(SUBSTITUTE(SUBSTITUTE(SUBSTITUTE(D97,".",""),"/",""),"-","")," ",""))&lt;&gt;14,"CNPJ INVALIDO","OK"))</f>
      </c>
      <c r="Y97" s="3056">
        <f>IF(A97="","",IF(R97="","REST PENDENTE","REST OK"))</f>
      </c>
      <c r="Z97" s="3056">
        <f>IF(A97="","",IF(AND(R97&lt;&gt;"",COUNTIFS($D$3:$D$164,D97,$R$3:$R$164,"&lt;&gt;")&gt;1),"DUPLICADO","OK"))</f>
      </c>
      <c r="AA97" s="3056">
        <f>IF(A97="","",IF(OR(LEN(Q97)&gt;180,LEN(R97)&gt;180,LEN(S97)&gt;180,LEN(T97)&gt;180),"CAMINHO LONGO","OK"))</f>
      </c>
      <c r="AB97" s="3056">
        <f>IF(A97="","",IF(U97="","",IFERROR(INT(U97-TODAY()),"")))</f>
      </c>
      <c r="AC97" s="3056">
        <f>IF(A97="","",IF(AND(T97="",U97=""),"",IF(T97="","SEM CAMINHO",IF(U97="","SEM DATA",IFERROR(IF(AB97&lt;15,"VERMELHO",IF(AB97&lt;=30,"AMARELO","VERDE")),"DATA INVALIDA")))))</f>
      </c>
      <c r="AD97" s="3056">
        <f>IF(OR(A97="",U97="",NOT(ISNUMBER(AB97))),"",RANK(AB97,$AB$3:$AB$164,1)+COUNTIFS($AB$3:AB97,AB97)-1)</f>
      </c>
      <c r="AE97" s="1736"/>
    </row>
    <row r="98" spans="1:19" ht="22.0" hidden="false" customHeight="true" x14ac:dyDescent="0.25">
      <c r="A98" s="3124" t="s">
        <v>233</v>
      </c>
      <c r="B98" s="3123" t="s">
        <v>134</v>
      </c>
      <c r="C98" s="3123" t="s">
        <v>116</v>
      </c>
      <c r="D98" s="3123" t="s">
        <v>234</v>
      </c>
      <c r="E98" s="3123"/>
      <c r="F98" s="3123" t="s">
        <v>138</v>
      </c>
      <c r="G98" s="3123" t="s">
        <v>13</v>
      </c>
      <c r="H98" s="3123" t="s">
        <v>14</v>
      </c>
      <c r="I98" s="3123"/>
      <c r="J98" s="3123"/>
      <c r="K98" s="3123"/>
      <c r="L98" s="3123"/>
      <c r="M98" s="3123" t="s">
        <v>359</v>
      </c>
      <c r="N98" s="3123"/>
      <c r="O98" s="3123" t="s">
        <v>358</v>
      </c>
      <c r="P98" s="3123"/>
      <c r="Q98" s="3126"/>
      <c r="R98" s="3126"/>
      <c r="S98" s="3126"/>
      <c r="T98" s="3126"/>
      <c r="U98" s="3127"/>
      <c r="V98" s="3123"/>
      <c r="W98" s="3123"/>
      <c r="X98" s="3056">
        <f>IF(A98="","",IF(LEN(SUBSTITUTE(SUBSTITUTE(SUBSTITUTE(SUBSTITUTE(D98,".",""),"/",""),"-","")," ",""))&lt;&gt;14,"CNPJ INVALIDO","OK"))</f>
      </c>
      <c r="Y98" s="3056">
        <f>IF(A98="","",IF(R98="","REST PENDENTE","REST OK"))</f>
      </c>
      <c r="Z98" s="3056">
        <f>IF(A98="","",IF(AND(R98&lt;&gt;"",COUNTIFS($D$3:$D$164,D98,$R$3:$R$164,"&lt;&gt;")&gt;1),"DUPLICADO","OK"))</f>
      </c>
      <c r="AA98" s="3056">
        <f>IF(A98="","",IF(OR(LEN(Q98)&gt;180,LEN(R98)&gt;180,LEN(S98)&gt;180,LEN(T98)&gt;180),"CAMINHO LONGO","OK"))</f>
      </c>
      <c r="AB98" s="3056">
        <f>IF(A98="","",IF(U98="","",IFERROR(INT(U98-TODAY()),"")))</f>
      </c>
      <c r="AC98" s="3056">
        <f>IF(A98="","",IF(AND(T98="",U98=""),"",IF(T98="","SEM CAMINHO",IF(U98="","SEM DATA",IFERROR(IF(AB98&lt;15,"VERMELHO",IF(AB98&lt;=30,"AMARELO","VERDE")),"DATA INVALIDA")))))</f>
      </c>
      <c r="AD98" s="3056">
        <f>IF(OR(A98="",U98="",NOT(ISNUMBER(AB98))),"",RANK(AB98,$AB$3:$AB$164,1)+COUNTIFS($AB$3:AB98,AB98)-1)</f>
      </c>
      <c r="AE98" s="1736"/>
    </row>
    <row r="99" spans="1:19" ht="22.0" hidden="false" customHeight="true" x14ac:dyDescent="0.25">
      <c r="A99" s="3119" t="s">
        <v>235</v>
      </c>
      <c r="B99" s="3118" t="s">
        <v>134</v>
      </c>
      <c r="C99" s="3118" t="s">
        <v>116</v>
      </c>
      <c r="D99" s="3118" t="s">
        <v>236</v>
      </c>
      <c r="E99" s="3118"/>
      <c r="F99" s="3118" t="s">
        <v>138</v>
      </c>
      <c r="G99" s="3118" t="s">
        <v>13</v>
      </c>
      <c r="H99" s="3118" t="s">
        <v>14</v>
      </c>
      <c r="I99" s="3118"/>
      <c r="J99" s="3118"/>
      <c r="K99" s="3118"/>
      <c r="L99" s="3118"/>
      <c r="M99" s="3118" t="s">
        <v>359</v>
      </c>
      <c r="N99" s="3118"/>
      <c r="O99" s="3118" t="s">
        <v>358</v>
      </c>
      <c r="P99" s="3118"/>
      <c r="Q99" s="3121"/>
      <c r="R99" s="3121"/>
      <c r="S99" s="3121"/>
      <c r="T99" s="3121"/>
      <c r="U99" s="3122"/>
      <c r="V99" s="3118"/>
      <c r="W99" s="3118"/>
      <c r="X99" s="3056">
        <f>IF(A99="","",IF(LEN(SUBSTITUTE(SUBSTITUTE(SUBSTITUTE(SUBSTITUTE(D99,".",""),"/",""),"-","")," ",""))&lt;&gt;14,"CNPJ INVALIDO","OK"))</f>
      </c>
      <c r="Y99" s="3056">
        <f>IF(A99="","",IF(R99="","REST PENDENTE","REST OK"))</f>
      </c>
      <c r="Z99" s="3056">
        <f>IF(A99="","",IF(AND(R99&lt;&gt;"",COUNTIFS($D$3:$D$164,D99,$R$3:$R$164,"&lt;&gt;")&gt;1),"DUPLICADO","OK"))</f>
      </c>
      <c r="AA99" s="3056">
        <f>IF(A99="","",IF(OR(LEN(Q99)&gt;180,LEN(R99)&gt;180,LEN(S99)&gt;180,LEN(T99)&gt;180),"CAMINHO LONGO","OK"))</f>
      </c>
      <c r="AB99" s="3056">
        <f>IF(A99="","",IF(U99="","",IFERROR(INT(U99-TODAY()),"")))</f>
      </c>
      <c r="AC99" s="3056">
        <f>IF(A99="","",IF(AND(T99="",U99=""),"",IF(T99="","SEM CAMINHO",IF(U99="","SEM DATA",IFERROR(IF(AB99&lt;15,"VERMELHO",IF(AB99&lt;=30,"AMARELO","VERDE")),"DATA INVALIDA")))))</f>
      </c>
      <c r="AD99" s="3056">
        <f>IF(OR(A99="",U99="",NOT(ISNUMBER(AB99))),"",RANK(AB99,$AB$3:$AB$164,1)+COUNTIFS($AB$3:AB99,AB99)-1)</f>
      </c>
      <c r="AE99" s="1736"/>
    </row>
    <row r="100" spans="1:19" ht="22.0" hidden="false" customHeight="true" x14ac:dyDescent="0.25">
      <c r="A100" s="3124" t="s">
        <v>237</v>
      </c>
      <c r="B100" s="3123" t="s">
        <v>134</v>
      </c>
      <c r="C100" s="3123" t="s">
        <v>116</v>
      </c>
      <c r="D100" s="3123" t="s">
        <v>238</v>
      </c>
      <c r="E100" s="3123"/>
      <c r="F100" s="3123" t="s">
        <v>138</v>
      </c>
      <c r="G100" s="3123" t="s">
        <v>13</v>
      </c>
      <c r="H100" s="3123" t="s">
        <v>14</v>
      </c>
      <c r="I100" s="3123"/>
      <c r="J100" s="3123"/>
      <c r="K100" s="3123"/>
      <c r="L100" s="3123"/>
      <c r="M100" s="3123" t="s">
        <v>359</v>
      </c>
      <c r="N100" s="3123"/>
      <c r="O100" s="3123" t="s">
        <v>358</v>
      </c>
      <c r="P100" s="3123"/>
      <c r="Q100" s="3126"/>
      <c r="R100" s="3126"/>
      <c r="S100" s="3126"/>
      <c r="T100" s="3126"/>
      <c r="U100" s="3127"/>
      <c r="V100" s="3123"/>
      <c r="W100" s="3123"/>
      <c r="X100" s="3056">
        <f>IF(A100="","",IF(LEN(SUBSTITUTE(SUBSTITUTE(SUBSTITUTE(SUBSTITUTE(D100,".",""),"/",""),"-","")," ",""))&lt;&gt;14,"CNPJ INVALIDO","OK"))</f>
      </c>
      <c r="Y100" s="3056">
        <f>IF(A100="","",IF(R100="","REST PENDENTE","REST OK"))</f>
      </c>
      <c r="Z100" s="3056">
        <f>IF(A100="","",IF(AND(R100&lt;&gt;"",COUNTIFS($D$3:$D$164,D100,$R$3:$R$164,"&lt;&gt;")&gt;1),"DUPLICADO","OK"))</f>
      </c>
      <c r="AA100" s="3056">
        <f>IF(A100="","",IF(OR(LEN(Q100)&gt;180,LEN(R100)&gt;180,LEN(S100)&gt;180,LEN(T100)&gt;180),"CAMINHO LONGO","OK"))</f>
      </c>
      <c r="AB100" s="3056">
        <f>IF(A100="","",IF(U100="","",IFERROR(INT(U100-TODAY()),"")))</f>
      </c>
      <c r="AC100" s="3056">
        <f>IF(A100="","",IF(AND(T100="",U100=""),"",IF(T100="","SEM CAMINHO",IF(U100="","SEM DATA",IFERROR(IF(AB100&lt;15,"VERMELHO",IF(AB100&lt;=30,"AMARELO","VERDE")),"DATA INVALIDA")))))</f>
      </c>
      <c r="AD100" s="3056">
        <f>IF(OR(A100="",U100="",NOT(ISNUMBER(AB100))),"",RANK(AB100,$AB$3:$AB$164,1)+COUNTIFS($AB$3:AB100,AB100)-1)</f>
      </c>
      <c r="AE100" s="1736"/>
    </row>
    <row r="101" spans="1:19" ht="22.0" hidden="false" customHeight="true" x14ac:dyDescent="0.25">
      <c r="A101" s="3119" t="s">
        <v>239</v>
      </c>
      <c r="B101" s="3118" t="s">
        <v>55</v>
      </c>
      <c r="C101" s="3118" t="s">
        <v>56</v>
      </c>
      <c r="D101" s="3118" t="s">
        <v>240</v>
      </c>
      <c r="E101" s="3118"/>
      <c r="F101" s="3118" t="s">
        <v>57</v>
      </c>
      <c r="G101" s="3118" t="s">
        <v>13</v>
      </c>
      <c r="H101" s="3118" t="s">
        <v>5</v>
      </c>
      <c r="I101" s="3118"/>
      <c r="J101" s="3118"/>
      <c r="K101" s="3118"/>
      <c r="L101" s="3118"/>
      <c r="M101" s="3118" t="s">
        <v>376</v>
      </c>
      <c r="N101" s="3118" t="s">
        <v>361</v>
      </c>
      <c r="O101" s="3118" t="s">
        <v>349</v>
      </c>
      <c r="P101" s="3118"/>
      <c r="Q101" s="3121"/>
      <c r="R101" s="3121"/>
      <c r="S101" s="3121"/>
      <c r="T101" s="3121"/>
      <c r="U101" s="3122"/>
      <c r="V101" s="3118"/>
      <c r="W101" s="3118"/>
      <c r="X101" s="3056">
        <f>IF(A101="","",IF(LEN(SUBSTITUTE(SUBSTITUTE(SUBSTITUTE(SUBSTITUTE(D101,".",""),"/",""),"-","")," ",""))&lt;&gt;14,"CNPJ INVALIDO","OK"))</f>
      </c>
      <c r="Y101" s="3056">
        <f>IF(A101="","",IF(R101="","REST PENDENTE","REST OK"))</f>
      </c>
      <c r="Z101" s="3056">
        <f>IF(A101="","",IF(AND(R101&lt;&gt;"",COUNTIFS($D$3:$D$164,D101,$R$3:$R$164,"&lt;&gt;")&gt;1),"DUPLICADO","OK"))</f>
      </c>
      <c r="AA101" s="3056">
        <f>IF(A101="","",IF(OR(LEN(Q101)&gt;180,LEN(R101)&gt;180,LEN(S101)&gt;180,LEN(T101)&gt;180),"CAMINHO LONGO","OK"))</f>
      </c>
      <c r="AB101" s="3056">
        <f>IF(A101="","",IF(U101="","",IFERROR(INT(U101-TODAY()),"")))</f>
      </c>
      <c r="AC101" s="3056">
        <f>IF(A101="","",IF(AND(T101="",U101=""),"",IF(T101="","SEM CAMINHO",IF(U101="","SEM DATA",IFERROR(IF(AB101&lt;15,"VERMELHO",IF(AB101&lt;=30,"AMARELO","VERDE")),"DATA INVALIDA")))))</f>
      </c>
      <c r="AD101" s="3056">
        <f>IF(OR(A101="",U101="",NOT(ISNUMBER(AB101))),"",RANK(AB101,$AB$3:$AB$164,1)+COUNTIFS($AB$3:AB101,AB101)-1)</f>
      </c>
      <c r="AE101" s="1736"/>
    </row>
    <row r="102" spans="1:19" ht="22.0" hidden="false" customHeight="true" x14ac:dyDescent="0.25">
      <c r="A102" s="3124" t="s">
        <v>241</v>
      </c>
      <c r="B102" s="3123" t="s">
        <v>55</v>
      </c>
      <c r="C102" s="3123" t="s">
        <v>242</v>
      </c>
      <c r="D102" s="3123" t="s">
        <v>243</v>
      </c>
      <c r="E102" s="3123"/>
      <c r="F102" s="3123" t="s">
        <v>57</v>
      </c>
      <c r="G102" s="3123" t="s">
        <v>13</v>
      </c>
      <c r="H102" s="3123" t="s">
        <v>5</v>
      </c>
      <c r="I102" s="3123"/>
      <c r="J102" s="3123"/>
      <c r="K102" s="3123"/>
      <c r="L102" s="3123"/>
      <c r="M102" s="3123" t="s">
        <v>376</v>
      </c>
      <c r="N102" s="3123" t="s">
        <v>372</v>
      </c>
      <c r="O102" s="3123" t="s">
        <v>349</v>
      </c>
      <c r="P102" s="3123"/>
      <c r="Q102" s="3126"/>
      <c r="R102" s="3126"/>
      <c r="S102" s="3126"/>
      <c r="T102" s="3126"/>
      <c r="U102" s="3127"/>
      <c r="V102" s="3123"/>
      <c r="W102" s="3123"/>
      <c r="X102" s="3056">
        <f>IF(A102="","",IF(LEN(SUBSTITUTE(SUBSTITUTE(SUBSTITUTE(SUBSTITUTE(D102,".",""),"/",""),"-","")," ",""))&lt;&gt;14,"CNPJ INVALIDO","OK"))</f>
      </c>
      <c r="Y102" s="3056">
        <f>IF(A102="","",IF(R102="","REST PENDENTE","REST OK"))</f>
      </c>
      <c r="Z102" s="3056">
        <f>IF(A102="","",IF(AND(R102&lt;&gt;"",COUNTIFS($D$3:$D$164,D102,$R$3:$R$164,"&lt;&gt;")&gt;1),"DUPLICADO","OK"))</f>
      </c>
      <c r="AA102" s="3056">
        <f>IF(A102="","",IF(OR(LEN(Q102)&gt;180,LEN(R102)&gt;180,LEN(S102)&gt;180,LEN(T102)&gt;180),"CAMINHO LONGO","OK"))</f>
      </c>
      <c r="AB102" s="3056">
        <f>IF(A102="","",IF(U102="","",IFERROR(INT(U102-TODAY()),"")))</f>
      </c>
      <c r="AC102" s="3056">
        <f>IF(A102="","",IF(AND(T102="",U102=""),"",IF(T102="","SEM CAMINHO",IF(U102="","SEM DATA",IFERROR(IF(AB102&lt;15,"VERMELHO",IF(AB102&lt;=30,"AMARELO","VERDE")),"DATA INVALIDA")))))</f>
      </c>
      <c r="AD102" s="3056">
        <f>IF(OR(A102="",U102="",NOT(ISNUMBER(AB102))),"",RANK(AB102,$AB$3:$AB$164,1)+COUNTIFS($AB$3:AB102,AB102)-1)</f>
      </c>
      <c r="AE102" s="1736"/>
    </row>
    <row r="103" spans="1:19" ht="22.0" hidden="false" customHeight="true" x14ac:dyDescent="0.25">
      <c r="A103" s="3119" t="s">
        <v>244</v>
      </c>
      <c r="B103" s="3118" t="s">
        <v>55</v>
      </c>
      <c r="C103" s="3118" t="s">
        <v>245</v>
      </c>
      <c r="D103" s="3118" t="s">
        <v>246</v>
      </c>
      <c r="E103" s="3118"/>
      <c r="F103" s="3118" t="s">
        <v>57</v>
      </c>
      <c r="G103" s="3118" t="s">
        <v>13</v>
      </c>
      <c r="H103" s="3118" t="s">
        <v>5</v>
      </c>
      <c r="I103" s="3118"/>
      <c r="J103" s="3118"/>
      <c r="K103" s="3118"/>
      <c r="L103" s="3118"/>
      <c r="M103" s="3118" t="s">
        <v>376</v>
      </c>
      <c r="N103" s="3118" t="s">
        <v>361</v>
      </c>
      <c r="O103" s="3118" t="s">
        <v>349</v>
      </c>
      <c r="P103" s="3118"/>
      <c r="Q103" s="3121"/>
      <c r="R103" s="3121"/>
      <c r="S103" s="3121"/>
      <c r="T103" s="3121"/>
      <c r="U103" s="3122"/>
      <c r="V103" s="3118"/>
      <c r="W103" s="3118"/>
      <c r="X103" s="3056">
        <f>IF(A103="","",IF(LEN(SUBSTITUTE(SUBSTITUTE(SUBSTITUTE(SUBSTITUTE(D103,".",""),"/",""),"-","")," ",""))&lt;&gt;14,"CNPJ INVALIDO","OK"))</f>
      </c>
      <c r="Y103" s="3056">
        <f>IF(A103="","",IF(R103="","REST PENDENTE","REST OK"))</f>
      </c>
      <c r="Z103" s="3056">
        <f>IF(A103="","",IF(AND(R103&lt;&gt;"",COUNTIFS($D$3:$D$164,D103,$R$3:$R$164,"&lt;&gt;")&gt;1),"DUPLICADO","OK"))</f>
      </c>
      <c r="AA103" s="3056">
        <f>IF(A103="","",IF(OR(LEN(Q103)&gt;180,LEN(R103)&gt;180,LEN(S103)&gt;180,LEN(T103)&gt;180),"CAMINHO LONGO","OK"))</f>
      </c>
      <c r="AB103" s="3056">
        <f>IF(A103="","",IF(U103="","",IFERROR(INT(U103-TODAY()),"")))</f>
      </c>
      <c r="AC103" s="3056">
        <f>IF(A103="","",IF(AND(T103="",U103=""),"",IF(T103="","SEM CAMINHO",IF(U103="","SEM DATA",IFERROR(IF(AB103&lt;15,"VERMELHO",IF(AB103&lt;=30,"AMARELO","VERDE")),"DATA INVALIDA")))))</f>
      </c>
      <c r="AD103" s="3056">
        <f>IF(OR(A103="",U103="",NOT(ISNUMBER(AB103))),"",RANK(AB103,$AB$3:$AB$164,1)+COUNTIFS($AB$3:AB103,AB103)-1)</f>
      </c>
      <c r="AE103" s="1736"/>
    </row>
    <row r="104" spans="1:19" ht="22.0" hidden="false" customHeight="true" x14ac:dyDescent="0.25">
      <c r="A104" s="3124" t="s">
        <v>247</v>
      </c>
      <c r="B104" s="3123" t="s">
        <v>55</v>
      </c>
      <c r="C104" s="3123" t="s">
        <v>248</v>
      </c>
      <c r="D104" s="3123" t="s">
        <v>249</v>
      </c>
      <c r="E104" s="3123"/>
      <c r="F104" s="3123" t="s">
        <v>57</v>
      </c>
      <c r="G104" s="3123" t="s">
        <v>13</v>
      </c>
      <c r="H104" s="3123" t="s">
        <v>49</v>
      </c>
      <c r="I104" s="3123"/>
      <c r="J104" s="3123"/>
      <c r="K104" s="3123"/>
      <c r="L104" s="3123"/>
      <c r="M104" s="3123" t="s">
        <v>376</v>
      </c>
      <c r="N104" s="3123" t="s">
        <v>373</v>
      </c>
      <c r="O104" s="3123" t="s">
        <v>349</v>
      </c>
      <c r="P104" s="3123"/>
      <c r="Q104" s="3126"/>
      <c r="R104" s="3126"/>
      <c r="S104" s="3126"/>
      <c r="T104" s="3126"/>
      <c r="U104" s="3127"/>
      <c r="V104" s="3123"/>
      <c r="W104" s="3123"/>
      <c r="X104" s="3056">
        <f>IF(A104="","",IF(LEN(SUBSTITUTE(SUBSTITUTE(SUBSTITUTE(SUBSTITUTE(D104,".",""),"/",""),"-","")," ",""))&lt;&gt;14,"CNPJ INVALIDO","OK"))</f>
      </c>
      <c r="Y104" s="3056">
        <f>IF(A104="","",IF(R104="","REST PENDENTE","REST OK"))</f>
      </c>
      <c r="Z104" s="3056">
        <f>IF(A104="","",IF(AND(R104&lt;&gt;"",COUNTIFS($D$3:$D$164,D104,$R$3:$R$164,"&lt;&gt;")&gt;1),"DUPLICADO","OK"))</f>
      </c>
      <c r="AA104" s="3056">
        <f>IF(A104="","",IF(OR(LEN(Q104)&gt;180,LEN(R104)&gt;180,LEN(S104)&gt;180,LEN(T104)&gt;180),"CAMINHO LONGO","OK"))</f>
      </c>
      <c r="AB104" s="3056">
        <f>IF(A104="","",IF(U104="","",IFERROR(INT(U104-TODAY()),"")))</f>
      </c>
      <c r="AC104" s="3056">
        <f>IF(A104="","",IF(AND(T104="",U104=""),"",IF(T104="","SEM CAMINHO",IF(U104="","SEM DATA",IFERROR(IF(AB104&lt;15,"VERMELHO",IF(AB104&lt;=30,"AMARELO","VERDE")),"DATA INVALIDA")))))</f>
      </c>
      <c r="AD104" s="3056">
        <f>IF(OR(A104="",U104="",NOT(ISNUMBER(AB104))),"",RANK(AB104,$AB$3:$AB$164,1)+COUNTIFS($AB$3:AB104,AB104)-1)</f>
      </c>
      <c r="AE104" s="1736"/>
    </row>
    <row r="105" spans="1:19" ht="22.0" hidden="false" customHeight="true" x14ac:dyDescent="0.25">
      <c r="A105" s="3119" t="s">
        <v>250</v>
      </c>
      <c r="B105" s="3118" t="s">
        <v>1</v>
      </c>
      <c r="C105" s="3118" t="s">
        <v>2</v>
      </c>
      <c r="D105" s="3118" t="s">
        <v>251</v>
      </c>
      <c r="E105" s="3118"/>
      <c r="F105" s="3118" t="s">
        <v>252</v>
      </c>
      <c r="G105" s="3118" t="s">
        <v>4</v>
      </c>
      <c r="H105" s="3118" t="s">
        <v>49</v>
      </c>
      <c r="I105" s="3118"/>
      <c r="J105" s="3118"/>
      <c r="K105" s="3118"/>
      <c r="L105" s="3118"/>
      <c r="M105" s="3118" t="s">
        <v>371</v>
      </c>
      <c r="N105" s="3118" t="s">
        <v>361</v>
      </c>
      <c r="O105" s="3118" t="s">
        <v>349</v>
      </c>
      <c r="P105" s="3118"/>
      <c r="Q105" s="3121"/>
      <c r="R105" s="3121"/>
      <c r="S105" s="3121"/>
      <c r="T105" s="3121"/>
      <c r="U105" s="3122"/>
      <c r="V105" s="3118"/>
      <c r="W105" s="3118"/>
      <c r="X105" s="3056">
        <f>IF(A105="","",IF(LEN(SUBSTITUTE(SUBSTITUTE(SUBSTITUTE(SUBSTITUTE(D105,".",""),"/",""),"-","")," ",""))&lt;&gt;14,"CNPJ INVALIDO","OK"))</f>
      </c>
      <c r="Y105" s="3056">
        <f>IF(A105="","",IF(R105="","REST PENDENTE","REST OK"))</f>
      </c>
      <c r="Z105" s="3056">
        <f>IF(A105="","",IF(AND(R105&lt;&gt;"",COUNTIFS($D$3:$D$164,D105,$R$3:$R$164,"&lt;&gt;")&gt;1),"DUPLICADO","OK"))</f>
      </c>
      <c r="AA105" s="3056">
        <f>IF(A105="","",IF(OR(LEN(Q105)&gt;180,LEN(R105)&gt;180,LEN(S105)&gt;180,LEN(T105)&gt;180),"CAMINHO LONGO","OK"))</f>
      </c>
      <c r="AB105" s="3056">
        <f>IF(A105="","",IF(U105="","",IFERROR(INT(U105-TODAY()),"")))</f>
      </c>
      <c r="AC105" s="3056">
        <f>IF(A105="","",IF(AND(T105="",U105=""),"",IF(T105="","SEM CAMINHO",IF(U105="","SEM DATA",IFERROR(IF(AB105&lt;15,"VERMELHO",IF(AB105&lt;=30,"AMARELO","VERDE")),"DATA INVALIDA")))))</f>
      </c>
      <c r="AD105" s="3056">
        <f>IF(OR(A105="",U105="",NOT(ISNUMBER(AB105))),"",RANK(AB105,$AB$3:$AB$164,1)+COUNTIFS($AB$3:AB105,AB105)-1)</f>
      </c>
      <c r="AE105" s="1736"/>
    </row>
    <row r="106" spans="1:19" ht="22.0" hidden="false" customHeight="true" x14ac:dyDescent="0.25">
      <c r="A106" s="3124" t="s">
        <v>253</v>
      </c>
      <c r="B106" s="3123" t="s">
        <v>214</v>
      </c>
      <c r="C106" s="3123" t="s">
        <v>62</v>
      </c>
      <c r="D106" s="3123" t="s">
        <v>392</v>
      </c>
      <c r="E106" s="3123"/>
      <c r="F106" s="3123" t="s">
        <v>254</v>
      </c>
      <c r="G106" s="3123" t="s">
        <v>13</v>
      </c>
      <c r="H106" s="3123" t="s">
        <v>5</v>
      </c>
      <c r="I106" s="3123"/>
      <c r="J106" s="3123"/>
      <c r="K106" s="3123"/>
      <c r="L106" s="3123"/>
      <c r="M106" s="3123" t="s">
        <v>376</v>
      </c>
      <c r="N106" s="3123"/>
      <c r="O106" s="3123" t="s">
        <v>349</v>
      </c>
      <c r="P106" s="3123"/>
      <c r="Q106" s="3126"/>
      <c r="R106" s="3126"/>
      <c r="S106" s="3126"/>
      <c r="T106" s="3126"/>
      <c r="U106" s="3127"/>
      <c r="V106" s="3123"/>
      <c r="W106" s="3123"/>
      <c r="X106" s="3056">
        <f>IF(A106="","",IF(LEN(SUBSTITUTE(SUBSTITUTE(SUBSTITUTE(SUBSTITUTE(D106,".",""),"/",""),"-","")," ",""))&lt;&gt;14,"CNPJ INVALIDO","OK"))</f>
      </c>
      <c r="Y106" s="3056">
        <f>IF(A106="","",IF(R106="","REST PENDENTE","REST OK"))</f>
      </c>
      <c r="Z106" s="3056">
        <f>IF(A106="","",IF(AND(R106&lt;&gt;"",COUNTIFS($D$3:$D$164,D106,$R$3:$R$164,"&lt;&gt;")&gt;1),"DUPLICADO","OK"))</f>
      </c>
      <c r="AA106" s="3056">
        <f>IF(A106="","",IF(OR(LEN(Q106)&gt;180,LEN(R106)&gt;180,LEN(S106)&gt;180,LEN(T106)&gt;180),"CAMINHO LONGO","OK"))</f>
      </c>
      <c r="AB106" s="3056">
        <f>IF(A106="","",IF(U106="","",IFERROR(INT(U106-TODAY()),"")))</f>
      </c>
      <c r="AC106" s="3056">
        <f>IF(A106="","",IF(AND(T106="",U106=""),"",IF(T106="","SEM CAMINHO",IF(U106="","SEM DATA",IFERROR(IF(AB106&lt;15,"VERMELHO",IF(AB106&lt;=30,"AMARELO","VERDE")),"DATA INVALIDA")))))</f>
      </c>
      <c r="AD106" s="3056">
        <f>IF(OR(A106="",U106="",NOT(ISNUMBER(AB106))),"",RANK(AB106,$AB$3:$AB$164,1)+COUNTIFS($AB$3:AB106,AB106)-1)</f>
      </c>
      <c r="AE106" s="1736"/>
    </row>
    <row r="107" spans="1:19" ht="22.0" hidden="false" customHeight="true" x14ac:dyDescent="0.25">
      <c r="A107" s="3119" t="s">
        <v>255</v>
      </c>
      <c r="B107" s="3118" t="s">
        <v>214</v>
      </c>
      <c r="C107" s="3118" t="s">
        <v>62</v>
      </c>
      <c r="D107" s="3118" t="s">
        <v>393</v>
      </c>
      <c r="E107" s="3118"/>
      <c r="F107" s="3118" t="s">
        <v>254</v>
      </c>
      <c r="G107" s="3118" t="s">
        <v>13</v>
      </c>
      <c r="H107" s="3118" t="s">
        <v>49</v>
      </c>
      <c r="I107" s="3118"/>
      <c r="J107" s="3118"/>
      <c r="K107" s="3118"/>
      <c r="L107" s="3118"/>
      <c r="M107" s="3118" t="s">
        <v>389</v>
      </c>
      <c r="N107" s="3118"/>
      <c r="O107" s="3118" t="s">
        <v>349</v>
      </c>
      <c r="P107" s="3118"/>
      <c r="Q107" s="3121"/>
      <c r="R107" s="3121"/>
      <c r="S107" s="3121"/>
      <c r="T107" s="3121"/>
      <c r="U107" s="3122"/>
      <c r="V107" s="3118"/>
      <c r="W107" s="3118"/>
      <c r="X107" s="3056">
        <f>IF(A107="","",IF(LEN(SUBSTITUTE(SUBSTITUTE(SUBSTITUTE(SUBSTITUTE(D107,".",""),"/",""),"-","")," ",""))&lt;&gt;14,"CNPJ INVALIDO","OK"))</f>
      </c>
      <c r="Y107" s="3056">
        <f>IF(A107="","",IF(R107="","REST PENDENTE","REST OK"))</f>
      </c>
      <c r="Z107" s="3056">
        <f>IF(A107="","",IF(AND(R107&lt;&gt;"",COUNTIFS($D$3:$D$164,D107,$R$3:$R$164,"&lt;&gt;")&gt;1),"DUPLICADO","OK"))</f>
      </c>
      <c r="AA107" s="3056">
        <f>IF(A107="","",IF(OR(LEN(Q107)&gt;180,LEN(R107)&gt;180,LEN(S107)&gt;180,LEN(T107)&gt;180),"CAMINHO LONGO","OK"))</f>
      </c>
      <c r="AB107" s="3056">
        <f>IF(A107="","",IF(U107="","",IFERROR(INT(U107-TODAY()),"")))</f>
      </c>
      <c r="AC107" s="3056">
        <f>IF(A107="","",IF(AND(T107="",U107=""),"",IF(T107="","SEM CAMINHO",IF(U107="","SEM DATA",IFERROR(IF(AB107&lt;15,"VERMELHO",IF(AB107&lt;=30,"AMARELO","VERDE")),"DATA INVALIDA")))))</f>
      </c>
      <c r="AD107" s="3056">
        <f>IF(OR(A107="",U107="",NOT(ISNUMBER(AB107))),"",RANK(AB107,$AB$3:$AB$164,1)+COUNTIFS($AB$3:AB107,AB107)-1)</f>
      </c>
      <c r="AE107" s="1736"/>
    </row>
    <row r="108" spans="1:19" ht="22.0" hidden="false" customHeight="true" x14ac:dyDescent="0.25">
      <c r="A108" s="3124" t="s">
        <v>256</v>
      </c>
      <c r="B108" s="3123" t="s">
        <v>214</v>
      </c>
      <c r="C108" s="3123" t="s">
        <v>62</v>
      </c>
      <c r="D108" s="3123" t="s">
        <v>394</v>
      </c>
      <c r="E108" s="3123"/>
      <c r="F108" s="3123" t="s">
        <v>257</v>
      </c>
      <c r="G108" s="3123" t="s">
        <v>4</v>
      </c>
      <c r="H108" s="3123" t="s">
        <v>5</v>
      </c>
      <c r="I108" s="3123"/>
      <c r="J108" s="3123"/>
      <c r="K108" s="3123"/>
      <c r="L108" s="3123"/>
      <c r="M108" s="3123" t="s">
        <v>379</v>
      </c>
      <c r="N108" s="3123"/>
      <c r="O108" s="3123" t="s">
        <v>349</v>
      </c>
      <c r="P108" s="3123"/>
      <c r="Q108" s="3126"/>
      <c r="R108" s="3126"/>
      <c r="S108" s="3126"/>
      <c r="T108" s="3126"/>
      <c r="U108" s="3127"/>
      <c r="V108" s="3123"/>
      <c r="W108" s="3123"/>
      <c r="X108" s="3056">
        <f>IF(A108="","",IF(LEN(SUBSTITUTE(SUBSTITUTE(SUBSTITUTE(SUBSTITUTE(D108,".",""),"/",""),"-","")," ",""))&lt;&gt;14,"CNPJ INVALIDO","OK"))</f>
      </c>
      <c r="Y108" s="3056">
        <f>IF(A108="","",IF(R108="","REST PENDENTE","REST OK"))</f>
      </c>
      <c r="Z108" s="3056">
        <f>IF(A108="","",IF(AND(R108&lt;&gt;"",COUNTIFS($D$3:$D$164,D108,$R$3:$R$164,"&lt;&gt;")&gt;1),"DUPLICADO","OK"))</f>
      </c>
      <c r="AA108" s="3056">
        <f>IF(A108="","",IF(OR(LEN(Q108)&gt;180,LEN(R108)&gt;180,LEN(S108)&gt;180,LEN(T108)&gt;180),"CAMINHO LONGO","OK"))</f>
      </c>
      <c r="AB108" s="3056">
        <f>IF(A108="","",IF(U108="","",IFERROR(INT(U108-TODAY()),"")))</f>
      </c>
      <c r="AC108" s="3056">
        <f>IF(A108="","",IF(AND(T108="",U108=""),"",IF(T108="","SEM CAMINHO",IF(U108="","SEM DATA",IFERROR(IF(AB108&lt;15,"VERMELHO",IF(AB108&lt;=30,"AMARELO","VERDE")),"DATA INVALIDA")))))</f>
      </c>
      <c r="AD108" s="3056">
        <f>IF(OR(A108="",U108="",NOT(ISNUMBER(AB108))),"",RANK(AB108,$AB$3:$AB$164,1)+COUNTIFS($AB$3:AB108,AB108)-1)</f>
      </c>
      <c r="AE108" s="1736"/>
    </row>
    <row r="109" spans="1:19" ht="22.0" hidden="false" customHeight="true" x14ac:dyDescent="0.25">
      <c r="A109" s="3119" t="s">
        <v>258</v>
      </c>
      <c r="B109" s="3118" t="s">
        <v>259</v>
      </c>
      <c r="C109" s="3118" t="s">
        <v>69</v>
      </c>
      <c r="D109" s="3118" t="s">
        <v>260</v>
      </c>
      <c r="E109" s="3118"/>
      <c r="F109" s="3118" t="s">
        <v>261</v>
      </c>
      <c r="G109" s="3118" t="s">
        <v>4</v>
      </c>
      <c r="H109" s="3118" t="s">
        <v>5</v>
      </c>
      <c r="I109" s="3118"/>
      <c r="J109" s="3118"/>
      <c r="K109" s="3118"/>
      <c r="L109" s="3118"/>
      <c r="M109" s="3118" t="s">
        <v>371</v>
      </c>
      <c r="N109" s="3118"/>
      <c r="O109" s="3118"/>
      <c r="P109" s="3118"/>
      <c r="Q109" s="3121"/>
      <c r="R109" s="3121"/>
      <c r="S109" s="3121"/>
      <c r="T109" s="3121"/>
      <c r="U109" s="3122"/>
      <c r="V109" s="3118"/>
      <c r="W109" s="3118"/>
      <c r="X109" s="3056">
        <f>IF(A109="","",IF(LEN(SUBSTITUTE(SUBSTITUTE(SUBSTITUTE(SUBSTITUTE(D109,".",""),"/",""),"-","")," ",""))&lt;&gt;14,"CNPJ INVALIDO","OK"))</f>
      </c>
      <c r="Y109" s="3056">
        <f>IF(A109="","",IF(R109="","REST PENDENTE","REST OK"))</f>
      </c>
      <c r="Z109" s="3056">
        <f>IF(A109="","",IF(AND(R109&lt;&gt;"",COUNTIFS($D$3:$D$164,D109,$R$3:$R$164,"&lt;&gt;")&gt;1),"DUPLICADO","OK"))</f>
      </c>
      <c r="AA109" s="3056">
        <f>IF(A109="","",IF(OR(LEN(Q109)&gt;180,LEN(R109)&gt;180,LEN(S109)&gt;180,LEN(T109)&gt;180),"CAMINHO LONGO","OK"))</f>
      </c>
      <c r="AB109" s="3056">
        <f>IF(A109="","",IF(U109="","",IFERROR(INT(U109-TODAY()),"")))</f>
      </c>
      <c r="AC109" s="3056">
        <f>IF(A109="","",IF(AND(T109="",U109=""),"",IF(T109="","SEM CAMINHO",IF(U109="","SEM DATA",IFERROR(IF(AB109&lt;15,"VERMELHO",IF(AB109&lt;=30,"AMARELO","VERDE")),"DATA INVALIDA")))))</f>
      </c>
      <c r="AD109" s="3056">
        <f>IF(OR(A109="",U109="",NOT(ISNUMBER(AB109))),"",RANK(AB109,$AB$3:$AB$164,1)+COUNTIFS($AB$3:AB109,AB109)-1)</f>
      </c>
      <c r="AE109" s="1736"/>
    </row>
    <row r="110" spans="1:19" ht="22.0" hidden="false" customHeight="true" x14ac:dyDescent="0.25">
      <c r="A110" s="3124" t="s">
        <v>262</v>
      </c>
      <c r="B110" s="3123" t="s">
        <v>259</v>
      </c>
      <c r="C110" s="3123" t="s">
        <v>69</v>
      </c>
      <c r="D110" s="3123" t="s">
        <v>263</v>
      </c>
      <c r="E110" s="3123"/>
      <c r="F110" s="3123" t="s">
        <v>261</v>
      </c>
      <c r="G110" s="3123" t="s">
        <v>13</v>
      </c>
      <c r="H110" s="3123" t="s">
        <v>5</v>
      </c>
      <c r="I110" s="3123"/>
      <c r="J110" s="3123"/>
      <c r="K110" s="3123"/>
      <c r="L110" s="3123"/>
      <c r="M110" s="3123" t="s">
        <v>371</v>
      </c>
      <c r="N110" s="3123"/>
      <c r="O110" s="3123"/>
      <c r="P110" s="3123"/>
      <c r="Q110" s="3126"/>
      <c r="R110" s="3126"/>
      <c r="S110" s="3126"/>
      <c r="T110" s="3126"/>
      <c r="U110" s="3127"/>
      <c r="V110" s="3123"/>
      <c r="W110" s="3123"/>
      <c r="X110" s="3056">
        <f>IF(A110="","",IF(LEN(SUBSTITUTE(SUBSTITUTE(SUBSTITUTE(SUBSTITUTE(D110,".",""),"/",""),"-","")," ",""))&lt;&gt;14,"CNPJ INVALIDO","OK"))</f>
      </c>
      <c r="Y110" s="3056">
        <f>IF(A110="","",IF(R110="","REST PENDENTE","REST OK"))</f>
      </c>
      <c r="Z110" s="3056">
        <f>IF(A110="","",IF(AND(R110&lt;&gt;"",COUNTIFS($D$3:$D$164,D110,$R$3:$R$164,"&lt;&gt;")&gt;1),"DUPLICADO","OK"))</f>
      </c>
      <c r="AA110" s="3056">
        <f>IF(A110="","",IF(OR(LEN(Q110)&gt;180,LEN(R110)&gt;180,LEN(S110)&gt;180,LEN(T110)&gt;180),"CAMINHO LONGO","OK"))</f>
      </c>
      <c r="AB110" s="3056">
        <f>IF(A110="","",IF(U110="","",IFERROR(INT(U110-TODAY()),"")))</f>
      </c>
      <c r="AC110" s="3056">
        <f>IF(A110="","",IF(AND(T110="",U110=""),"",IF(T110="","SEM CAMINHO",IF(U110="","SEM DATA",IFERROR(IF(AB110&lt;15,"VERMELHO",IF(AB110&lt;=30,"AMARELO","VERDE")),"DATA INVALIDA")))))</f>
      </c>
      <c r="AD110" s="3056">
        <f>IF(OR(A110="",U110="",NOT(ISNUMBER(AB110))),"",RANK(AB110,$AB$3:$AB$164,1)+COUNTIFS($AB$3:AB110,AB110)-1)</f>
      </c>
      <c r="AE110" s="1736"/>
    </row>
    <row r="111" spans="1:19" ht="22.0" hidden="false" customHeight="true" x14ac:dyDescent="0.25">
      <c r="A111" s="3119" t="s">
        <v>264</v>
      </c>
      <c r="B111" s="3118" t="s">
        <v>159</v>
      </c>
      <c r="C111" s="3118" t="s">
        <v>69</v>
      </c>
      <c r="D111" s="3118" t="s">
        <v>265</v>
      </c>
      <c r="E111" s="3118"/>
      <c r="F111" s="3118" t="s">
        <v>266</v>
      </c>
      <c r="G111" s="3118" t="s">
        <v>13</v>
      </c>
      <c r="H111" s="3118" t="s">
        <v>5</v>
      </c>
      <c r="I111" s="3118"/>
      <c r="J111" s="3118"/>
      <c r="K111" s="3118"/>
      <c r="L111" s="3118"/>
      <c r="M111" s="3118" t="s">
        <v>389</v>
      </c>
      <c r="N111" s="3118"/>
      <c r="O111" s="3118" t="s">
        <v>363</v>
      </c>
      <c r="P111" s="3118"/>
      <c r="Q111" s="3121"/>
      <c r="R111" s="3121"/>
      <c r="S111" s="3121"/>
      <c r="T111" s="3121"/>
      <c r="U111" s="3122"/>
      <c r="V111" s="3118"/>
      <c r="W111" s="3118"/>
      <c r="X111" s="3056">
        <f>IF(A111="","",IF(LEN(SUBSTITUTE(SUBSTITUTE(SUBSTITUTE(SUBSTITUTE(D111,".",""),"/",""),"-","")," ",""))&lt;&gt;14,"CNPJ INVALIDO","OK"))</f>
      </c>
      <c r="Y111" s="3056">
        <f>IF(A111="","",IF(R111="","REST PENDENTE","REST OK"))</f>
      </c>
      <c r="Z111" s="3056">
        <f>IF(A111="","",IF(AND(R111&lt;&gt;"",COUNTIFS($D$3:$D$164,D111,$R$3:$R$164,"&lt;&gt;")&gt;1),"DUPLICADO","OK"))</f>
      </c>
      <c r="AA111" s="3056">
        <f>IF(A111="","",IF(OR(LEN(Q111)&gt;180,LEN(R111)&gt;180,LEN(S111)&gt;180,LEN(T111)&gt;180),"CAMINHO LONGO","OK"))</f>
      </c>
      <c r="AB111" s="3056">
        <f>IF(A111="","",IF(U111="","",IFERROR(INT(U111-TODAY()),"")))</f>
      </c>
      <c r="AC111" s="3056">
        <f>IF(A111="","",IF(AND(T111="",U111=""),"",IF(T111="","SEM CAMINHO",IF(U111="","SEM DATA",IFERROR(IF(AB111&lt;15,"VERMELHO",IF(AB111&lt;=30,"AMARELO","VERDE")),"DATA INVALIDA")))))</f>
      </c>
      <c r="AD111" s="3056">
        <f>IF(OR(A111="",U111="",NOT(ISNUMBER(AB111))),"",RANK(AB111,$AB$3:$AB$164,1)+COUNTIFS($AB$3:AB111,AB111)-1)</f>
      </c>
      <c r="AE111" s="1736"/>
    </row>
    <row r="112" spans="1:19" ht="22.0" hidden="false" customHeight="true" x14ac:dyDescent="0.25">
      <c r="A112" s="3124" t="s">
        <v>267</v>
      </c>
      <c r="B112" s="3123" t="s">
        <v>159</v>
      </c>
      <c r="C112" s="3123" t="s">
        <v>268</v>
      </c>
      <c r="D112" s="3123" t="s">
        <v>269</v>
      </c>
      <c r="E112" s="3123"/>
      <c r="F112" s="3123" t="s">
        <v>266</v>
      </c>
      <c r="G112" s="3123" t="s">
        <v>13</v>
      </c>
      <c r="H112" s="3123" t="s">
        <v>14</v>
      </c>
      <c r="I112" s="3123"/>
      <c r="J112" s="3123"/>
      <c r="K112" s="3123"/>
      <c r="L112" s="3123"/>
      <c r="M112" s="3123" t="s">
        <v>376</v>
      </c>
      <c r="N112" s="3123"/>
      <c r="O112" s="3123" t="s">
        <v>349</v>
      </c>
      <c r="P112" s="3123"/>
      <c r="Q112" s="3126"/>
      <c r="R112" s="3126"/>
      <c r="S112" s="3126"/>
      <c r="T112" s="3126"/>
      <c r="U112" s="3127"/>
      <c r="V112" s="3123"/>
      <c r="W112" s="3123"/>
      <c r="X112" s="3056">
        <f>IF(A112="","",IF(LEN(SUBSTITUTE(SUBSTITUTE(SUBSTITUTE(SUBSTITUTE(D112,".",""),"/",""),"-","")," ",""))&lt;&gt;14,"CNPJ INVALIDO","OK"))</f>
      </c>
      <c r="Y112" s="3056">
        <f>IF(A112="","",IF(R112="","REST PENDENTE","REST OK"))</f>
      </c>
      <c r="Z112" s="3056">
        <f>IF(A112="","",IF(AND(R112&lt;&gt;"",COUNTIFS($D$3:$D$164,D112,$R$3:$R$164,"&lt;&gt;")&gt;1),"DUPLICADO","OK"))</f>
      </c>
      <c r="AA112" s="3056">
        <f>IF(A112="","",IF(OR(LEN(Q112)&gt;180,LEN(R112)&gt;180,LEN(S112)&gt;180,LEN(T112)&gt;180),"CAMINHO LONGO","OK"))</f>
      </c>
      <c r="AB112" s="3056">
        <f>IF(A112="","",IF(U112="","",IFERROR(INT(U112-TODAY()),"")))</f>
      </c>
      <c r="AC112" s="3056">
        <f>IF(A112="","",IF(AND(T112="",U112=""),"",IF(T112="","SEM CAMINHO",IF(U112="","SEM DATA",IFERROR(IF(AB112&lt;15,"VERMELHO",IF(AB112&lt;=30,"AMARELO","VERDE")),"DATA INVALIDA")))))</f>
      </c>
      <c r="AD112" s="3056">
        <f>IF(OR(A112="",U112="",NOT(ISNUMBER(AB112))),"",RANK(AB112,$AB$3:$AB$164,1)+COUNTIFS($AB$3:AB112,AB112)-1)</f>
      </c>
      <c r="AE112" s="1736"/>
    </row>
    <row r="113" spans="1:19" ht="22.0" hidden="false" customHeight="true" x14ac:dyDescent="0.25">
      <c r="A113" s="3119" t="s">
        <v>270</v>
      </c>
      <c r="B113" s="3118" t="s">
        <v>271</v>
      </c>
      <c r="C113" s="3118"/>
      <c r="D113" s="3118" t="s">
        <v>272</v>
      </c>
      <c r="E113" s="3118"/>
      <c r="F113" s="3118" t="s">
        <v>273</v>
      </c>
      <c r="G113" s="3118" t="s">
        <v>41</v>
      </c>
      <c r="H113" s="3118" t="s">
        <v>49</v>
      </c>
      <c r="I113" s="3118"/>
      <c r="J113" s="3118"/>
      <c r="K113" s="3118"/>
      <c r="L113" s="3118"/>
      <c r="M113" s="3118" t="s">
        <v>379</v>
      </c>
      <c r="N113" s="3118"/>
      <c r="O113" s="3118" t="s">
        <v>364</v>
      </c>
      <c r="P113" s="3118"/>
      <c r="Q113" s="3121"/>
      <c r="R113" s="3121"/>
      <c r="S113" s="3121"/>
      <c r="T113" s="3121"/>
      <c r="U113" s="3122"/>
      <c r="V113" s="3118"/>
      <c r="W113" s="3118"/>
      <c r="X113" s="3056">
        <f>IF(A113="","",IF(LEN(SUBSTITUTE(SUBSTITUTE(SUBSTITUTE(SUBSTITUTE(D113,".",""),"/",""),"-","")," ",""))&lt;&gt;14,"CNPJ INVALIDO","OK"))</f>
      </c>
      <c r="Y113" s="3056">
        <f>IF(A113="","",IF(R113="","REST PENDENTE","REST OK"))</f>
      </c>
      <c r="Z113" s="3056">
        <f>IF(A113="","",IF(AND(R113&lt;&gt;"",COUNTIFS($D$3:$D$164,D113,$R$3:$R$164,"&lt;&gt;")&gt;1),"DUPLICADO","OK"))</f>
      </c>
      <c r="AA113" s="3056">
        <f>IF(A113="","",IF(OR(LEN(Q113)&gt;180,LEN(R113)&gt;180,LEN(S113)&gt;180,LEN(T113)&gt;180),"CAMINHO LONGO","OK"))</f>
      </c>
      <c r="AB113" s="3056">
        <f>IF(A113="","",IF(U113="","",IFERROR(INT(U113-TODAY()),"")))</f>
      </c>
      <c r="AC113" s="3056">
        <f>IF(A113="","",IF(AND(T113="",U113=""),"",IF(T113="","SEM CAMINHO",IF(U113="","SEM DATA",IFERROR(IF(AB113&lt;15,"VERMELHO",IF(AB113&lt;=30,"AMARELO","VERDE")),"DATA INVALIDA")))))</f>
      </c>
      <c r="AD113" s="3056">
        <f>IF(OR(A113="",U113="",NOT(ISNUMBER(AB113))),"",RANK(AB113,$AB$3:$AB$164,1)+COUNTIFS($AB$3:AB113,AB113)-1)</f>
      </c>
      <c r="AE113" s="1736"/>
    </row>
    <row r="114" spans="1:19" ht="22.0" hidden="false" customHeight="true" x14ac:dyDescent="0.25">
      <c r="A114" s="3124" t="s">
        <v>274</v>
      </c>
      <c r="B114" s="3123" t="s">
        <v>134</v>
      </c>
      <c r="C114" s="3123" t="s">
        <v>122</v>
      </c>
      <c r="D114" s="3123" t="s">
        <v>395</v>
      </c>
      <c r="E114" s="3123"/>
      <c r="F114" s="3123" t="s">
        <v>275</v>
      </c>
      <c r="G114" s="3123" t="s">
        <v>4</v>
      </c>
      <c r="H114" s="3123" t="s">
        <v>5</v>
      </c>
      <c r="I114" s="3123"/>
      <c r="J114" s="3123"/>
      <c r="K114" s="3123"/>
      <c r="L114" s="3123"/>
      <c r="M114" s="3123" t="s">
        <v>379</v>
      </c>
      <c r="N114" s="3123"/>
      <c r="O114" s="3123" t="s">
        <v>365</v>
      </c>
      <c r="P114" s="3123"/>
      <c r="Q114" s="3126"/>
      <c r="R114" s="3126"/>
      <c r="S114" s="3126"/>
      <c r="T114" s="3126"/>
      <c r="U114" s="3127"/>
      <c r="V114" s="3123"/>
      <c r="W114" s="3123"/>
      <c r="X114" s="3056">
        <f>IF(A114="","",IF(LEN(SUBSTITUTE(SUBSTITUTE(SUBSTITUTE(SUBSTITUTE(D114,".",""),"/",""),"-","")," ",""))&lt;&gt;14,"CNPJ INVALIDO","OK"))</f>
      </c>
      <c r="Y114" s="3056">
        <f>IF(A114="","",IF(R114="","REST PENDENTE","REST OK"))</f>
      </c>
      <c r="Z114" s="3056">
        <f>IF(A114="","",IF(AND(R114&lt;&gt;"",COUNTIFS($D$3:$D$164,D114,$R$3:$R$164,"&lt;&gt;")&gt;1),"DUPLICADO","OK"))</f>
      </c>
      <c r="AA114" s="3056">
        <f>IF(A114="","",IF(OR(LEN(Q114)&gt;180,LEN(R114)&gt;180,LEN(S114)&gt;180,LEN(T114)&gt;180),"CAMINHO LONGO","OK"))</f>
      </c>
      <c r="AB114" s="3056">
        <f>IF(A114="","",IF(U114="","",IFERROR(INT(U114-TODAY()),"")))</f>
      </c>
      <c r="AC114" s="3056">
        <f>IF(A114="","",IF(AND(T114="",U114=""),"",IF(T114="","SEM CAMINHO",IF(U114="","SEM DATA",IFERROR(IF(AB114&lt;15,"VERMELHO",IF(AB114&lt;=30,"AMARELO","VERDE")),"DATA INVALIDA")))))</f>
      </c>
      <c r="AD114" s="3056">
        <f>IF(OR(A114="",U114="",NOT(ISNUMBER(AB114))),"",RANK(AB114,$AB$3:$AB$164,1)+COUNTIFS($AB$3:AB114,AB114)-1)</f>
      </c>
      <c r="AE114" s="1736"/>
    </row>
    <row r="115" spans="1:19" ht="22.0" hidden="false" customHeight="true" x14ac:dyDescent="0.25">
      <c r="A115" s="3119" t="s">
        <v>276</v>
      </c>
      <c r="B115" s="3118" t="s">
        <v>182</v>
      </c>
      <c r="C115" s="3118" t="s">
        <v>83</v>
      </c>
      <c r="D115" s="3118" t="s">
        <v>396</v>
      </c>
      <c r="E115" s="3118"/>
      <c r="F115" s="3118" t="s">
        <v>225</v>
      </c>
      <c r="G115" s="3118" t="s">
        <v>4</v>
      </c>
      <c r="H115" s="3118" t="s">
        <v>5</v>
      </c>
      <c r="I115" s="3118"/>
      <c r="J115" s="3118"/>
      <c r="K115" s="3118"/>
      <c r="L115" s="3118"/>
      <c r="M115" s="3118" t="s">
        <v>376</v>
      </c>
      <c r="N115" s="3118"/>
      <c r="O115" s="3118" t="s">
        <v>365</v>
      </c>
      <c r="P115" s="3118"/>
      <c r="Q115" s="3121"/>
      <c r="R115" s="3121"/>
      <c r="S115" s="3121"/>
      <c r="T115" s="3121"/>
      <c r="U115" s="3122"/>
      <c r="V115" s="3118"/>
      <c r="W115" s="3118"/>
      <c r="X115" s="3056">
        <f>IF(A115="","",IF(LEN(SUBSTITUTE(SUBSTITUTE(SUBSTITUTE(SUBSTITUTE(D115,".",""),"/",""),"-","")," ",""))&lt;&gt;14,"CNPJ INVALIDO","OK"))</f>
      </c>
      <c r="Y115" s="3056">
        <f>IF(A115="","",IF(R115="","REST PENDENTE","REST OK"))</f>
      </c>
      <c r="Z115" s="3056">
        <f>IF(A115="","",IF(AND(R115&lt;&gt;"",COUNTIFS($D$3:$D$164,D115,$R$3:$R$164,"&lt;&gt;")&gt;1),"DUPLICADO","OK"))</f>
      </c>
      <c r="AA115" s="3056">
        <f>IF(A115="","",IF(OR(LEN(Q115)&gt;180,LEN(R115)&gt;180,LEN(S115)&gt;180,LEN(T115)&gt;180),"CAMINHO LONGO","OK"))</f>
      </c>
      <c r="AB115" s="3056">
        <f>IF(A115="","",IF(U115="","",IFERROR(INT(U115-TODAY()),"")))</f>
      </c>
      <c r="AC115" s="3056">
        <f>IF(A115="","",IF(AND(T115="",U115=""),"",IF(T115="","SEM CAMINHO",IF(U115="","SEM DATA",IFERROR(IF(AB115&lt;15,"VERMELHO",IF(AB115&lt;=30,"AMARELO","VERDE")),"DATA INVALIDA")))))</f>
      </c>
      <c r="AD115" s="3056">
        <f>IF(OR(A115="",U115="",NOT(ISNUMBER(AB115))),"",RANK(AB115,$AB$3:$AB$164,1)+COUNTIFS($AB$3:AB115,AB115)-1)</f>
      </c>
      <c r="AE115" s="1736"/>
    </row>
    <row r="116" spans="1:19" ht="22.0" hidden="false" customHeight="true" x14ac:dyDescent="0.25">
      <c r="A116" s="3124" t="s">
        <v>277</v>
      </c>
      <c r="B116" s="3123" t="s">
        <v>211</v>
      </c>
      <c r="C116" s="3123" t="s">
        <v>69</v>
      </c>
      <c r="D116" s="3123" t="s">
        <v>278</v>
      </c>
      <c r="E116" s="3123"/>
      <c r="F116" s="3123" t="s">
        <v>279</v>
      </c>
      <c r="G116" s="3123" t="s">
        <v>13</v>
      </c>
      <c r="H116" s="3123" t="s">
        <v>49</v>
      </c>
      <c r="I116" s="3123">
        <v>46147</v>
      </c>
      <c r="J116" s="3123"/>
      <c r="K116" s="3123"/>
      <c r="L116" s="3123"/>
      <c r="M116" s="3123" t="s">
        <v>366</v>
      </c>
      <c r="N116" s="3123"/>
      <c r="O116" s="3123" t="s">
        <v>363</v>
      </c>
      <c r="P116" s="3123"/>
      <c r="Q116" s="3126"/>
      <c r="R116" s="3126"/>
      <c r="S116" s="3126"/>
      <c r="T116" s="3126"/>
      <c r="U116" s="3127"/>
      <c r="V116" s="3123"/>
      <c r="W116" s="3123"/>
      <c r="X116" s="3056">
        <f>IF(A116="","",IF(LEN(SUBSTITUTE(SUBSTITUTE(SUBSTITUTE(SUBSTITUTE(D116,".",""),"/",""),"-","")," ",""))&lt;&gt;14,"CNPJ INVALIDO","OK"))</f>
      </c>
      <c r="Y116" s="3056">
        <f>IF(A116="","",IF(R116="","REST PENDENTE","REST OK"))</f>
      </c>
      <c r="Z116" s="3056">
        <f>IF(A116="","",IF(AND(R116&lt;&gt;"",COUNTIFS($D$3:$D$164,D116,$R$3:$R$164,"&lt;&gt;")&gt;1),"DUPLICADO","OK"))</f>
      </c>
      <c r="AA116" s="3056">
        <f>IF(A116="","",IF(OR(LEN(Q116)&gt;180,LEN(R116)&gt;180,LEN(S116)&gt;180,LEN(T116)&gt;180),"CAMINHO LONGO","OK"))</f>
      </c>
      <c r="AB116" s="3056">
        <f>IF(A116="","",IF(U116="","",IFERROR(INT(U116-TODAY()),"")))</f>
      </c>
      <c r="AC116" s="3056">
        <f>IF(A116="","",IF(AND(T116="",U116=""),"",IF(T116="","SEM CAMINHO",IF(U116="","SEM DATA",IFERROR(IF(AB116&lt;15,"VERMELHO",IF(AB116&lt;=30,"AMARELO","VERDE")),"DATA INVALIDA")))))</f>
      </c>
      <c r="AD116" s="3056">
        <f>IF(OR(A116="",U116="",NOT(ISNUMBER(AB116))),"",RANK(AB116,$AB$3:$AB$164,1)+COUNTIFS($AB$3:AB116,AB116)-1)</f>
      </c>
      <c r="AE116" s="1736"/>
    </row>
    <row r="117" spans="1:19" ht="22.0" hidden="false" customHeight="true" x14ac:dyDescent="0.25">
      <c r="A117" s="3119" t="s">
        <v>280</v>
      </c>
      <c r="B117" s="3118" t="s">
        <v>162</v>
      </c>
      <c r="C117" s="3118" t="s">
        <v>281</v>
      </c>
      <c r="D117" s="3118" t="s">
        <v>282</v>
      </c>
      <c r="E117" s="3118"/>
      <c r="F117" s="3118"/>
      <c r="G117" s="3118" t="s">
        <v>4</v>
      </c>
      <c r="H117" s="3118" t="s">
        <v>49</v>
      </c>
      <c r="I117" s="3118"/>
      <c r="J117" s="3118"/>
      <c r="K117" s="3118"/>
      <c r="L117" s="3118"/>
      <c r="M117" s="3118" t="s">
        <v>376</v>
      </c>
      <c r="N117" s="3118" t="s">
        <v>362</v>
      </c>
      <c r="O117" s="3118" t="s">
        <v>365</v>
      </c>
      <c r="P117" s="3118"/>
      <c r="Q117" s="3121"/>
      <c r="R117" s="3121"/>
      <c r="S117" s="3121"/>
      <c r="T117" s="3121"/>
      <c r="U117" s="3122"/>
      <c r="V117" s="3118"/>
      <c r="W117" s="3118"/>
      <c r="X117" s="3056">
        <f>IF(A117="","",IF(LEN(SUBSTITUTE(SUBSTITUTE(SUBSTITUTE(SUBSTITUTE(D117,".",""),"/",""),"-","")," ",""))&lt;&gt;14,"CNPJ INVALIDO","OK"))</f>
      </c>
      <c r="Y117" s="3056">
        <f>IF(A117="","",IF(R117="","REST PENDENTE","REST OK"))</f>
      </c>
      <c r="Z117" s="3056">
        <f>IF(A117="","",IF(AND(R117&lt;&gt;"",COUNTIFS($D$3:$D$164,D117,$R$3:$R$164,"&lt;&gt;")&gt;1),"DUPLICADO","OK"))</f>
      </c>
      <c r="AA117" s="3056">
        <f>IF(A117="","",IF(OR(LEN(Q117)&gt;180,LEN(R117)&gt;180,LEN(S117)&gt;180,LEN(T117)&gt;180),"CAMINHO LONGO","OK"))</f>
      </c>
      <c r="AB117" s="3056">
        <f>IF(A117="","",IF(U117="","",IFERROR(INT(U117-TODAY()),"")))</f>
      </c>
      <c r="AC117" s="3056">
        <f>IF(A117="","",IF(AND(T117="",U117=""),"",IF(T117="","SEM CAMINHO",IF(U117="","SEM DATA",IFERROR(IF(AB117&lt;15,"VERMELHO",IF(AB117&lt;=30,"AMARELO","VERDE")),"DATA INVALIDA")))))</f>
      </c>
      <c r="AD117" s="3056">
        <f>IF(OR(A117="",U117="",NOT(ISNUMBER(AB117))),"",RANK(AB117,$AB$3:$AB$164,1)+COUNTIFS($AB$3:AB117,AB117)-1)</f>
      </c>
      <c r="AE117" s="1736"/>
    </row>
    <row r="118" spans="1:19" ht="22.0" hidden="false" customHeight="true" x14ac:dyDescent="0.25">
      <c r="A118" s="3124" t="s">
        <v>283</v>
      </c>
      <c r="B118" s="3123" t="s">
        <v>75</v>
      </c>
      <c r="C118" s="3123" t="s">
        <v>62</v>
      </c>
      <c r="D118" s="3123" t="s">
        <v>397</v>
      </c>
      <c r="E118" s="3123"/>
      <c r="F118" s="3123" t="s">
        <v>284</v>
      </c>
      <c r="G118" s="3123" t="s">
        <v>4</v>
      </c>
      <c r="H118" s="3123" t="s">
        <v>14</v>
      </c>
      <c r="I118" s="3123"/>
      <c r="J118" s="3123"/>
      <c r="K118" s="3123"/>
      <c r="L118" s="3123"/>
      <c r="M118" s="3123" t="s">
        <v>389</v>
      </c>
      <c r="N118" s="3123"/>
      <c r="O118" s="3123" t="s">
        <v>365</v>
      </c>
      <c r="P118" s="3123"/>
      <c r="Q118" s="3126"/>
      <c r="R118" s="3126"/>
      <c r="S118" s="3126"/>
      <c r="T118" s="3126"/>
      <c r="U118" s="3127"/>
      <c r="V118" s="3123"/>
      <c r="W118" s="3123"/>
      <c r="X118" s="3056">
        <f>IF(A118="","",IF(LEN(SUBSTITUTE(SUBSTITUTE(SUBSTITUTE(SUBSTITUTE(D118,".",""),"/",""),"-","")," ",""))&lt;&gt;14,"CNPJ INVALIDO","OK"))</f>
      </c>
      <c r="Y118" s="3056">
        <f>IF(A118="","",IF(R118="","REST PENDENTE","REST OK"))</f>
      </c>
      <c r="Z118" s="3056">
        <f>IF(A118="","",IF(AND(R118&lt;&gt;"",COUNTIFS($D$3:$D$164,D118,$R$3:$R$164,"&lt;&gt;")&gt;1),"DUPLICADO","OK"))</f>
      </c>
      <c r="AA118" s="3056">
        <f>IF(A118="","",IF(OR(LEN(Q118)&gt;180,LEN(R118)&gt;180,LEN(S118)&gt;180,LEN(T118)&gt;180),"CAMINHO LONGO","OK"))</f>
      </c>
      <c r="AB118" s="3056">
        <f>IF(A118="","",IF(U118="","",IFERROR(INT(U118-TODAY()),"")))</f>
      </c>
      <c r="AC118" s="3056">
        <f>IF(A118="","",IF(AND(T118="",U118=""),"",IF(T118="","SEM CAMINHO",IF(U118="","SEM DATA",IFERROR(IF(AB118&lt;15,"VERMELHO",IF(AB118&lt;=30,"AMARELO","VERDE")),"DATA INVALIDA")))))</f>
      </c>
      <c r="AD118" s="3056">
        <f>IF(OR(A118="",U118="",NOT(ISNUMBER(AB118))),"",RANK(AB118,$AB$3:$AB$164,1)+COUNTIFS($AB$3:AB118,AB118)-1)</f>
      </c>
      <c r="AE118" s="1736"/>
    </row>
    <row r="119" spans="1:19" ht="22.0" hidden="false" customHeight="true" x14ac:dyDescent="0.25">
      <c r="A119" s="3119" t="s">
        <v>285</v>
      </c>
      <c r="B119" s="3118" t="s">
        <v>286</v>
      </c>
      <c r="C119" s="3118"/>
      <c r="D119" s="3118" t="s">
        <v>398</v>
      </c>
      <c r="E119" s="3118"/>
      <c r="F119" s="3118" t="s">
        <v>287</v>
      </c>
      <c r="G119" s="3118" t="s">
        <v>4</v>
      </c>
      <c r="H119" s="3118" t="s">
        <v>49</v>
      </c>
      <c r="I119" s="3118"/>
      <c r="J119" s="3118"/>
      <c r="K119" s="3118"/>
      <c r="L119" s="3118"/>
      <c r="M119" s="3118" t="s">
        <v>379</v>
      </c>
      <c r="N119" s="3118"/>
      <c r="O119" s="3118" t="s">
        <v>365</v>
      </c>
      <c r="P119" s="3118"/>
      <c r="Q119" s="3121"/>
      <c r="R119" s="3121"/>
      <c r="S119" s="3121"/>
      <c r="T119" s="3121"/>
      <c r="U119" s="3122"/>
      <c r="V119" s="3118"/>
      <c r="W119" s="3118"/>
      <c r="X119" s="3056">
        <f>IF(A119="","",IF(LEN(SUBSTITUTE(SUBSTITUTE(SUBSTITUTE(SUBSTITUTE(D119,".",""),"/",""),"-","")," ",""))&lt;&gt;14,"CNPJ INVALIDO","OK"))</f>
      </c>
      <c r="Y119" s="3056">
        <f>IF(A119="","",IF(R119="","REST PENDENTE","REST OK"))</f>
      </c>
      <c r="Z119" s="3056">
        <f>IF(A119="","",IF(AND(R119&lt;&gt;"",COUNTIFS($D$3:$D$164,D119,$R$3:$R$164,"&lt;&gt;")&gt;1),"DUPLICADO","OK"))</f>
      </c>
      <c r="AA119" s="3056">
        <f>IF(A119="","",IF(OR(LEN(Q119)&gt;180,LEN(R119)&gt;180,LEN(S119)&gt;180,LEN(T119)&gt;180),"CAMINHO LONGO","OK"))</f>
      </c>
      <c r="AB119" s="3056">
        <f>IF(A119="","",IF(U119="","",IFERROR(INT(U119-TODAY()),"")))</f>
      </c>
      <c r="AC119" s="3056">
        <f>IF(A119="","",IF(AND(T119="",U119=""),"",IF(T119="","SEM CAMINHO",IF(U119="","SEM DATA",IFERROR(IF(AB119&lt;15,"VERMELHO",IF(AB119&lt;=30,"AMARELO","VERDE")),"DATA INVALIDA")))))</f>
      </c>
      <c r="AD119" s="3056">
        <f>IF(OR(A119="",U119="",NOT(ISNUMBER(AB119))),"",RANK(AB119,$AB$3:$AB$164,1)+COUNTIFS($AB$3:AB119,AB119)-1)</f>
      </c>
      <c r="AE119" s="1736"/>
    </row>
    <row r="120" spans="1:19" ht="22.0" hidden="false" customHeight="true" x14ac:dyDescent="0.25">
      <c r="A120" s="3124" t="s">
        <v>288</v>
      </c>
      <c r="B120" s="3123" t="s">
        <v>286</v>
      </c>
      <c r="C120" s="3123" t="s">
        <v>69</v>
      </c>
      <c r="D120" s="3123" t="s">
        <v>289</v>
      </c>
      <c r="E120" s="3123"/>
      <c r="F120" s="3123" t="s">
        <v>290</v>
      </c>
      <c r="G120" s="3123" t="s">
        <v>13</v>
      </c>
      <c r="H120" s="3123" t="s">
        <v>49</v>
      </c>
      <c r="I120" s="3123"/>
      <c r="J120" s="3123"/>
      <c r="K120" s="3123"/>
      <c r="L120" s="3123"/>
      <c r="M120" s="3123" t="s">
        <v>376</v>
      </c>
      <c r="N120" s="3123"/>
      <c r="O120" s="3123" t="s">
        <v>365</v>
      </c>
      <c r="P120" s="3123"/>
      <c r="Q120" s="3126"/>
      <c r="R120" s="3126"/>
      <c r="S120" s="3126"/>
      <c r="T120" s="3126"/>
      <c r="U120" s="3127"/>
      <c r="V120" s="3123"/>
      <c r="W120" s="3123"/>
      <c r="X120" s="3056">
        <f>IF(A120="","",IF(LEN(SUBSTITUTE(SUBSTITUTE(SUBSTITUTE(SUBSTITUTE(D120,".",""),"/",""),"-","")," ",""))&lt;&gt;14,"CNPJ INVALIDO","OK"))</f>
      </c>
      <c r="Y120" s="3056">
        <f>IF(A120="","",IF(R120="","REST PENDENTE","REST OK"))</f>
      </c>
      <c r="Z120" s="3056">
        <f>IF(A120="","",IF(AND(R120&lt;&gt;"",COUNTIFS($D$3:$D$164,D120,$R$3:$R$164,"&lt;&gt;")&gt;1),"DUPLICADO","OK"))</f>
      </c>
      <c r="AA120" s="3056">
        <f>IF(A120="","",IF(OR(LEN(Q120)&gt;180,LEN(R120)&gt;180,LEN(S120)&gt;180,LEN(T120)&gt;180),"CAMINHO LONGO","OK"))</f>
      </c>
      <c r="AB120" s="3056">
        <f>IF(A120="","",IF(U120="","",IFERROR(INT(U120-TODAY()),"")))</f>
      </c>
      <c r="AC120" s="3056">
        <f>IF(A120="","",IF(AND(T120="",U120=""),"",IF(T120="","SEM CAMINHO",IF(U120="","SEM DATA",IFERROR(IF(AB120&lt;15,"VERMELHO",IF(AB120&lt;=30,"AMARELO","VERDE")),"DATA INVALIDA")))))</f>
      </c>
      <c r="AD120" s="3056">
        <f>IF(OR(A120="",U120="",NOT(ISNUMBER(AB120))),"",RANK(AB120,$AB$3:$AB$164,1)+COUNTIFS($AB$3:AB120,AB120)-1)</f>
      </c>
      <c r="AE120" s="1736"/>
    </row>
    <row r="121" spans="1:19" ht="22.0" hidden="false" customHeight="true" x14ac:dyDescent="0.25">
      <c r="A121" s="3119" t="s">
        <v>291</v>
      </c>
      <c r="B121" s="3118" t="s">
        <v>75</v>
      </c>
      <c r="C121" s="3118" t="s">
        <v>69</v>
      </c>
      <c r="D121" s="3118" t="s">
        <v>292</v>
      </c>
      <c r="E121" s="3118"/>
      <c r="F121" s="3118"/>
      <c r="G121" s="3118"/>
      <c r="H121" s="3118"/>
      <c r="I121" s="3118"/>
      <c r="J121" s="3118"/>
      <c r="K121" s="3118"/>
      <c r="L121" s="3118"/>
      <c r="M121" s="3118" t="s">
        <v>371</v>
      </c>
      <c r="N121" s="3118"/>
      <c r="O121" s="3118"/>
      <c r="P121" s="3118"/>
      <c r="Q121" s="3121"/>
      <c r="R121" s="3121"/>
      <c r="S121" s="3121"/>
      <c r="T121" s="3121"/>
      <c r="U121" s="3122"/>
      <c r="V121" s="3118"/>
      <c r="W121" s="3118"/>
      <c r="X121" s="3056">
        <f>IF(A121="","",IF(LEN(SUBSTITUTE(SUBSTITUTE(SUBSTITUTE(SUBSTITUTE(D121,".",""),"/",""),"-","")," ",""))&lt;&gt;14,"CNPJ INVALIDO","OK"))</f>
      </c>
      <c r="Y121" s="3056">
        <f>IF(A121="","",IF(R121="","REST PENDENTE","REST OK"))</f>
      </c>
      <c r="Z121" s="3056">
        <f>IF(A121="","",IF(AND(R121&lt;&gt;"",COUNTIFS($D$3:$D$164,D121,$R$3:$R$164,"&lt;&gt;")&gt;1),"DUPLICADO","OK"))</f>
      </c>
      <c r="AA121" s="3056">
        <f>IF(A121="","",IF(OR(LEN(Q121)&gt;180,LEN(R121)&gt;180,LEN(S121)&gt;180,LEN(T121)&gt;180),"CAMINHO LONGO","OK"))</f>
      </c>
      <c r="AB121" s="3056">
        <f>IF(A121="","",IF(U121="","",IFERROR(INT(U121-TODAY()),"")))</f>
      </c>
      <c r="AC121" s="3056">
        <f>IF(A121="","",IF(AND(T121="",U121=""),"",IF(T121="","SEM CAMINHO",IF(U121="","SEM DATA",IFERROR(IF(AB121&lt;15,"VERMELHO",IF(AB121&lt;=30,"AMARELO","VERDE")),"DATA INVALIDA")))))</f>
      </c>
      <c r="AD121" s="3056">
        <f>IF(OR(A121="",U121="",NOT(ISNUMBER(AB121))),"",RANK(AB121,$AB$3:$AB$164,1)+COUNTIFS($AB$3:AB121,AB121)-1)</f>
      </c>
      <c r="AE121" s="1736"/>
    </row>
    <row r="122" spans="1:19" ht="22.0" hidden="false" customHeight="true" x14ac:dyDescent="0.25">
      <c r="A122" s="3124" t="s">
        <v>293</v>
      </c>
      <c r="B122" s="3123" t="s">
        <v>227</v>
      </c>
      <c r="C122" s="3123" t="s">
        <v>116</v>
      </c>
      <c r="D122" s="3123" t="s">
        <v>294</v>
      </c>
      <c r="E122" s="3123"/>
      <c r="F122" s="3123" t="s">
        <v>228</v>
      </c>
      <c r="G122" s="3123" t="s">
        <v>13</v>
      </c>
      <c r="H122" s="3123" t="s">
        <v>14</v>
      </c>
      <c r="I122" s="3123"/>
      <c r="J122" s="3123"/>
      <c r="K122" s="3123"/>
      <c r="L122" s="3123"/>
      <c r="M122" s="3123" t="s">
        <v>368</v>
      </c>
      <c r="N122" s="3123"/>
      <c r="O122" s="3123" t="s">
        <v>369</v>
      </c>
      <c r="P122" s="3123"/>
      <c r="Q122" s="3126"/>
      <c r="R122" s="3126"/>
      <c r="S122" s="3126"/>
      <c r="T122" s="3126"/>
      <c r="U122" s="3127"/>
      <c r="V122" s="3123"/>
      <c r="W122" s="3123"/>
      <c r="X122" s="3056">
        <f>IF(A122="","",IF(LEN(SUBSTITUTE(SUBSTITUTE(SUBSTITUTE(SUBSTITUTE(D122,".",""),"/",""),"-","")," ",""))&lt;&gt;14,"CNPJ INVALIDO","OK"))</f>
      </c>
      <c r="Y122" s="3056">
        <f>IF(A122="","",IF(R122="","REST PENDENTE","REST OK"))</f>
      </c>
      <c r="Z122" s="3056">
        <f>IF(A122="","",IF(AND(R122&lt;&gt;"",COUNTIFS($D$3:$D$164,D122,$R$3:$R$164,"&lt;&gt;")&gt;1),"DUPLICADO","OK"))</f>
      </c>
      <c r="AA122" s="3056">
        <f>IF(A122="","",IF(OR(LEN(Q122)&gt;180,LEN(R122)&gt;180,LEN(S122)&gt;180,LEN(T122)&gt;180),"CAMINHO LONGO","OK"))</f>
      </c>
      <c r="AB122" s="3056">
        <f>IF(A122="","",IF(U122="","",IFERROR(INT(U122-TODAY()),"")))</f>
      </c>
      <c r="AC122" s="3056">
        <f>IF(A122="","",IF(AND(T122="",U122=""),"",IF(T122="","SEM CAMINHO",IF(U122="","SEM DATA",IFERROR(IF(AB122&lt;15,"VERMELHO",IF(AB122&lt;=30,"AMARELO","VERDE")),"DATA INVALIDA")))))</f>
      </c>
      <c r="AD122" s="3056">
        <f>IF(OR(A122="",U122="",NOT(ISNUMBER(AB122))),"",RANK(AB122,$AB$3:$AB$164,1)+COUNTIFS($AB$3:AB122,AB122)-1)</f>
      </c>
      <c r="AE122" s="1736"/>
    </row>
    <row r="123" spans="1:19" ht="22.0" hidden="false" customHeight="true" x14ac:dyDescent="0.25">
      <c r="A123" s="3119" t="s">
        <v>295</v>
      </c>
      <c r="B123" s="3118" t="s">
        <v>45</v>
      </c>
      <c r="C123" s="3118" t="s">
        <v>296</v>
      </c>
      <c r="D123" s="3118" t="s">
        <v>297</v>
      </c>
      <c r="E123" s="3118"/>
      <c r="F123" s="3118" t="s">
        <v>48</v>
      </c>
      <c r="G123" s="3118" t="s">
        <v>13</v>
      </c>
      <c r="H123" s="3118" t="s">
        <v>14</v>
      </c>
      <c r="I123" s="3118"/>
      <c r="J123" s="3118"/>
      <c r="K123" s="3118"/>
      <c r="L123" s="3118"/>
      <c r="M123" s="3118" t="s">
        <v>371</v>
      </c>
      <c r="N123" s="3118"/>
      <c r="O123" s="3118" t="s">
        <v>367</v>
      </c>
      <c r="P123" s="3118"/>
      <c r="Q123" s="3121"/>
      <c r="R123" s="3121"/>
      <c r="S123" s="3121"/>
      <c r="T123" s="3121"/>
      <c r="U123" s="3122"/>
      <c r="V123" s="3118"/>
      <c r="W123" s="3118"/>
      <c r="X123" s="3056">
        <f>IF(A123="","",IF(LEN(SUBSTITUTE(SUBSTITUTE(SUBSTITUTE(SUBSTITUTE(D123,".",""),"/",""),"-","")," ",""))&lt;&gt;14,"CNPJ INVALIDO","OK"))</f>
      </c>
      <c r="Y123" s="3056">
        <f>IF(A123="","",IF(R123="","REST PENDENTE","REST OK"))</f>
      </c>
      <c r="Z123" s="3056">
        <f>IF(A123="","",IF(AND(R123&lt;&gt;"",COUNTIFS($D$3:$D$164,D123,$R$3:$R$164,"&lt;&gt;")&gt;1),"DUPLICADO","OK"))</f>
      </c>
      <c r="AA123" s="3056">
        <f>IF(A123="","",IF(OR(LEN(Q123)&gt;180,LEN(R123)&gt;180,LEN(S123)&gt;180,LEN(T123)&gt;180),"CAMINHO LONGO","OK"))</f>
      </c>
      <c r="AB123" s="3056">
        <f>IF(A123="","",IF(U123="","",IFERROR(INT(U123-TODAY()),"")))</f>
      </c>
      <c r="AC123" s="3056">
        <f>IF(A123="","",IF(AND(T123="",U123=""),"",IF(T123="","SEM CAMINHO",IF(U123="","SEM DATA",IFERROR(IF(AB123&lt;15,"VERMELHO",IF(AB123&lt;=30,"AMARELO","VERDE")),"DATA INVALIDA")))))</f>
      </c>
      <c r="AD123" s="3056">
        <f>IF(OR(A123="",U123="",NOT(ISNUMBER(AB123))),"",RANK(AB123,$AB$3:$AB$164,1)+COUNTIFS($AB$3:AB123,AB123)-1)</f>
      </c>
      <c r="AE123" s="1736"/>
    </row>
    <row r="124" spans="1:19" ht="22.0" hidden="false" customHeight="true" x14ac:dyDescent="0.25">
      <c r="A124" s="3124" t="s">
        <v>298</v>
      </c>
      <c r="B124" s="3123" t="s">
        <v>299</v>
      </c>
      <c r="C124" s="3123" t="s">
        <v>16</v>
      </c>
      <c r="D124" s="3123" t="s">
        <v>300</v>
      </c>
      <c r="E124" s="3123"/>
      <c r="F124" s="3123" t="s">
        <v>109</v>
      </c>
      <c r="G124" s="3123" t="s">
        <v>4</v>
      </c>
      <c r="H124" s="3123" t="s">
        <v>49</v>
      </c>
      <c r="I124" s="3123"/>
      <c r="J124" s="3123"/>
      <c r="K124" s="3123"/>
      <c r="L124" s="3123"/>
      <c r="M124" s="3123" t="s">
        <v>379</v>
      </c>
      <c r="N124" s="3123"/>
      <c r="O124" s="3123" t="s">
        <v>365</v>
      </c>
      <c r="P124" s="3123"/>
      <c r="Q124" s="3126"/>
      <c r="R124" s="3126"/>
      <c r="S124" s="3126"/>
      <c r="T124" s="3126"/>
      <c r="U124" s="3127"/>
      <c r="V124" s="3123"/>
      <c r="W124" s="3123"/>
      <c r="X124" s="3056">
        <f>IF(A124="","",IF(LEN(SUBSTITUTE(SUBSTITUTE(SUBSTITUTE(SUBSTITUTE(D124,".",""),"/",""),"-","")," ",""))&lt;&gt;14,"CNPJ INVALIDO","OK"))</f>
      </c>
      <c r="Y124" s="3056">
        <f>IF(A124="","",IF(R124="","REST PENDENTE","REST OK"))</f>
      </c>
      <c r="Z124" s="3056">
        <f>IF(A124="","",IF(AND(R124&lt;&gt;"",COUNTIFS($D$3:$D$164,D124,$R$3:$R$164,"&lt;&gt;")&gt;1),"DUPLICADO","OK"))</f>
      </c>
      <c r="AA124" s="3056">
        <f>IF(A124="","",IF(OR(LEN(Q124)&gt;180,LEN(R124)&gt;180,LEN(S124)&gt;180,LEN(T124)&gt;180),"CAMINHO LONGO","OK"))</f>
      </c>
      <c r="AB124" s="3056">
        <f>IF(A124="","",IF(U124="","",IFERROR(INT(U124-TODAY()),"")))</f>
      </c>
      <c r="AC124" s="3056">
        <f>IF(A124="","",IF(AND(T124="",U124=""),"",IF(T124="","SEM CAMINHO",IF(U124="","SEM DATA",IFERROR(IF(AB124&lt;15,"VERMELHO",IF(AB124&lt;=30,"AMARELO","VERDE")),"DATA INVALIDA")))))</f>
      </c>
      <c r="AD124" s="3056">
        <f>IF(OR(A124="",U124="",NOT(ISNUMBER(AB124))),"",RANK(AB124,$AB$3:$AB$164,1)+COUNTIFS($AB$3:AB124,AB124)-1)</f>
      </c>
      <c r="AE124" s="1736"/>
    </row>
    <row r="125" spans="1:19" ht="22.0" hidden="false" customHeight="true" x14ac:dyDescent="0.25">
      <c r="A125" s="3119" t="s">
        <v>301</v>
      </c>
      <c r="B125" s="3118" t="s">
        <v>302</v>
      </c>
      <c r="C125" s="3118" t="s">
        <v>69</v>
      </c>
      <c r="D125" s="3118" t="s">
        <v>303</v>
      </c>
      <c r="E125" s="3118"/>
      <c r="F125" s="3118"/>
      <c r="G125" s="3118" t="s">
        <v>4</v>
      </c>
      <c r="H125" s="3118" t="s">
        <v>49</v>
      </c>
      <c r="I125" s="3118"/>
      <c r="J125" s="3118"/>
      <c r="K125" s="3118"/>
      <c r="L125" s="3118"/>
      <c r="M125" s="3118" t="s">
        <v>379</v>
      </c>
      <c r="N125" s="3118"/>
      <c r="O125" s="3118" t="s">
        <v>365</v>
      </c>
      <c r="P125" s="3118"/>
      <c r="Q125" s="3121"/>
      <c r="R125" s="3121"/>
      <c r="S125" s="3121"/>
      <c r="T125" s="3121"/>
      <c r="U125" s="3122"/>
      <c r="V125" s="3118"/>
      <c r="W125" s="3118"/>
      <c r="X125" s="3056">
        <f>IF(A125="","",IF(LEN(SUBSTITUTE(SUBSTITUTE(SUBSTITUTE(SUBSTITUTE(D125,".",""),"/",""),"-","")," ",""))&lt;&gt;14,"CNPJ INVALIDO","OK"))</f>
      </c>
      <c r="Y125" s="3056">
        <f>IF(A125="","",IF(R125="","REST PENDENTE","REST OK"))</f>
      </c>
      <c r="Z125" s="3056">
        <f>IF(A125="","",IF(AND(R125&lt;&gt;"",COUNTIFS($D$3:$D$164,D125,$R$3:$R$164,"&lt;&gt;")&gt;1),"DUPLICADO","OK"))</f>
      </c>
      <c r="AA125" s="3056">
        <f>IF(A125="","",IF(OR(LEN(Q125)&gt;180,LEN(R125)&gt;180,LEN(S125)&gt;180,LEN(T125)&gt;180),"CAMINHO LONGO","OK"))</f>
      </c>
      <c r="AB125" s="3056">
        <f>IF(A125="","",IF(U125="","",IFERROR(INT(U125-TODAY()),"")))</f>
      </c>
      <c r="AC125" s="3056">
        <f>IF(A125="","",IF(AND(T125="",U125=""),"",IF(T125="","SEM CAMINHO",IF(U125="","SEM DATA",IFERROR(IF(AB125&lt;15,"VERMELHO",IF(AB125&lt;=30,"AMARELO","VERDE")),"DATA INVALIDA")))))</f>
      </c>
      <c r="AD125" s="3056">
        <f>IF(OR(A125="",U125="",NOT(ISNUMBER(AB125))),"",RANK(AB125,$AB$3:$AB$164,1)+COUNTIFS($AB$3:AB125,AB125)-1)</f>
      </c>
      <c r="AE125" s="1736"/>
    </row>
    <row r="126" spans="1:19" ht="22.0" hidden="false" customHeight="true" x14ac:dyDescent="0.25">
      <c r="A126" s="3124" t="s">
        <v>304</v>
      </c>
      <c r="B126" s="3123" t="s">
        <v>305</v>
      </c>
      <c r="C126" s="3123"/>
      <c r="D126" s="3123"/>
      <c r="E126" s="3123"/>
      <c r="F126" s="3123" t="s">
        <v>306</v>
      </c>
      <c r="G126" s="3123" t="s">
        <v>13</v>
      </c>
      <c r="H126" s="3123"/>
      <c r="I126" s="3123"/>
      <c r="J126" s="3123"/>
      <c r="K126" s="3123"/>
      <c r="L126" s="3123"/>
      <c r="M126" s="3123" t="s">
        <v>371</v>
      </c>
      <c r="N126" s="3123"/>
      <c r="O126" s="3123" t="s">
        <v>363</v>
      </c>
      <c r="P126" s="3123"/>
      <c r="Q126" s="3126"/>
      <c r="R126" s="3126"/>
      <c r="S126" s="3126"/>
      <c r="T126" s="3126"/>
      <c r="U126" s="3127"/>
      <c r="V126" s="3123"/>
      <c r="W126" s="3123"/>
      <c r="X126" s="3056">
        <f>IF(A126="","",IF(LEN(SUBSTITUTE(SUBSTITUTE(SUBSTITUTE(SUBSTITUTE(D126,".",""),"/",""),"-","")," ",""))&lt;&gt;14,"CNPJ INVALIDO","OK"))</f>
      </c>
      <c r="Y126" s="3056">
        <f>IF(A126="","",IF(R126="","REST PENDENTE","REST OK"))</f>
      </c>
      <c r="Z126" s="3056">
        <f>IF(A126="","",IF(AND(R126&lt;&gt;"",COUNTIFS($D$3:$D$164,D126,$R$3:$R$164,"&lt;&gt;")&gt;1),"DUPLICADO","OK"))</f>
      </c>
      <c r="AA126" s="3056">
        <f>IF(A126="","",IF(OR(LEN(Q126)&gt;180,LEN(R126)&gt;180,LEN(S126)&gt;180,LEN(T126)&gt;180),"CAMINHO LONGO","OK"))</f>
      </c>
      <c r="AB126" s="3056">
        <f>IF(A126="","",IF(U126="","",IFERROR(INT(U126-TODAY()),"")))</f>
      </c>
      <c r="AC126" s="3056">
        <f>IF(A126="","",IF(AND(T126="",U126=""),"",IF(T126="","SEM CAMINHO",IF(U126="","SEM DATA",IFERROR(IF(AB126&lt;15,"VERMELHO",IF(AB126&lt;=30,"AMARELO","VERDE")),"DATA INVALIDA")))))</f>
      </c>
      <c r="AD126" s="3056">
        <f>IF(OR(A126="",U126="",NOT(ISNUMBER(AB126))),"",RANK(AB126,$AB$3:$AB$164,1)+COUNTIFS($AB$3:AB126,AB126)-1)</f>
      </c>
      <c r="AE126" s="1736"/>
    </row>
    <row r="127" spans="1:19" ht="22.0" hidden="false" customHeight="true" x14ac:dyDescent="0.25">
      <c r="A127" s="3119" t="s">
        <v>307</v>
      </c>
      <c r="B127" s="3118" t="s">
        <v>305</v>
      </c>
      <c r="C127" s="3118"/>
      <c r="D127" s="3118"/>
      <c r="E127" s="3118"/>
      <c r="F127" s="3118" t="s">
        <v>306</v>
      </c>
      <c r="G127" s="3118" t="s">
        <v>308</v>
      </c>
      <c r="H127" s="3118"/>
      <c r="I127" s="3118"/>
      <c r="J127" s="3118"/>
      <c r="K127" s="3118"/>
      <c r="L127" s="3118"/>
      <c r="M127" s="3118" t="s">
        <v>371</v>
      </c>
      <c r="N127" s="3118"/>
      <c r="O127" s="3118" t="s">
        <v>363</v>
      </c>
      <c r="P127" s="3118"/>
      <c r="Q127" s="3121"/>
      <c r="R127" s="3121"/>
      <c r="S127" s="3121"/>
      <c r="T127" s="3121"/>
      <c r="U127" s="3122"/>
      <c r="V127" s="3118"/>
      <c r="W127" s="3118"/>
      <c r="X127" s="3056">
        <f>IF(A127="","",IF(LEN(SUBSTITUTE(SUBSTITUTE(SUBSTITUTE(SUBSTITUTE(D127,".",""),"/",""),"-","")," ",""))&lt;&gt;14,"CNPJ INVALIDO","OK"))</f>
      </c>
      <c r="Y127" s="3056">
        <f>IF(A127="","",IF(R127="","REST PENDENTE","REST OK"))</f>
      </c>
      <c r="Z127" s="3056">
        <f>IF(A127="","",IF(AND(R127&lt;&gt;"",COUNTIFS($D$3:$D$164,D127,$R$3:$R$164,"&lt;&gt;")&gt;1),"DUPLICADO","OK"))</f>
      </c>
      <c r="AA127" s="3056">
        <f>IF(A127="","",IF(OR(LEN(Q127)&gt;180,LEN(R127)&gt;180,LEN(S127)&gt;180,LEN(T127)&gt;180),"CAMINHO LONGO","OK"))</f>
      </c>
      <c r="AB127" s="3056">
        <f>IF(A127="","",IF(U127="","",IFERROR(INT(U127-TODAY()),"")))</f>
      </c>
      <c r="AC127" s="3056">
        <f>IF(A127="","",IF(AND(T127="",U127=""),"",IF(T127="","SEM CAMINHO",IF(U127="","SEM DATA",IFERROR(IF(AB127&lt;15,"VERMELHO",IF(AB127&lt;=30,"AMARELO","VERDE")),"DATA INVALIDA")))))</f>
      </c>
      <c r="AD127" s="3056">
        <f>IF(OR(A127="",U127="",NOT(ISNUMBER(AB127))),"",RANK(AB127,$AB$3:$AB$164,1)+COUNTIFS($AB$3:AB127,AB127)-1)</f>
      </c>
      <c r="AE127" s="1736"/>
    </row>
    <row r="128" spans="1:19" ht="22.0" hidden="false" customHeight="true" x14ac:dyDescent="0.25">
      <c r="A128" s="3124" t="s">
        <v>309</v>
      </c>
      <c r="B128" s="3123" t="s">
        <v>9</v>
      </c>
      <c r="C128" s="3123" t="s">
        <v>69</v>
      </c>
      <c r="D128" s="3123" t="s">
        <v>310</v>
      </c>
      <c r="E128" s="3123"/>
      <c r="F128" s="3123" t="s">
        <v>311</v>
      </c>
      <c r="G128" s="3123" t="s">
        <v>13</v>
      </c>
      <c r="H128" s="3123" t="s">
        <v>49</v>
      </c>
      <c r="I128" s="3123"/>
      <c r="J128" s="3123"/>
      <c r="K128" s="3123"/>
      <c r="L128" s="3123"/>
      <c r="M128" s="3123" t="s">
        <v>376</v>
      </c>
      <c r="N128" s="3123"/>
      <c r="O128" s="3123" t="s">
        <v>365</v>
      </c>
      <c r="P128" s="3123"/>
      <c r="Q128" s="3126"/>
      <c r="R128" s="3126"/>
      <c r="S128" s="3126"/>
      <c r="T128" s="3126"/>
      <c r="U128" s="3127"/>
      <c r="V128" s="3123"/>
      <c r="W128" s="3123"/>
      <c r="X128" s="3056">
        <f>IF(A128="","",IF(LEN(SUBSTITUTE(SUBSTITUTE(SUBSTITUTE(SUBSTITUTE(D128,".",""),"/",""),"-","")," ",""))&lt;&gt;14,"CNPJ INVALIDO","OK"))</f>
      </c>
      <c r="Y128" s="3056">
        <f>IF(A128="","",IF(R128="","REST PENDENTE","REST OK"))</f>
      </c>
      <c r="Z128" s="3056">
        <f>IF(A128="","",IF(AND(R128&lt;&gt;"",COUNTIFS($D$3:$D$164,D128,$R$3:$R$164,"&lt;&gt;")&gt;1),"DUPLICADO","OK"))</f>
      </c>
      <c r="AA128" s="3056">
        <f>IF(A128="","",IF(OR(LEN(Q128)&gt;180,LEN(R128)&gt;180,LEN(S128)&gt;180,LEN(T128)&gt;180),"CAMINHO LONGO","OK"))</f>
      </c>
      <c r="AB128" s="3056">
        <f>IF(A128="","",IF(U128="","",IFERROR(INT(U128-TODAY()),"")))</f>
      </c>
      <c r="AC128" s="3056">
        <f>IF(A128="","",IF(AND(T128="",U128=""),"",IF(T128="","SEM CAMINHO",IF(U128="","SEM DATA",IFERROR(IF(AB128&lt;15,"VERMELHO",IF(AB128&lt;=30,"AMARELO","VERDE")),"DATA INVALIDA")))))</f>
      </c>
      <c r="AD128" s="3056">
        <f>IF(OR(A128="",U128="",NOT(ISNUMBER(AB128))),"",RANK(AB128,$AB$3:$AB$164,1)+COUNTIFS($AB$3:AB128,AB128)-1)</f>
      </c>
      <c r="AE128" s="1736"/>
    </row>
    <row r="129" spans="1:19" ht="22.0" hidden="false" customHeight="true" x14ac:dyDescent="0.25">
      <c r="A129" s="3119" t="s">
        <v>312</v>
      </c>
      <c r="B129" s="3118" t="s">
        <v>75</v>
      </c>
      <c r="C129" s="3118" t="s">
        <v>69</v>
      </c>
      <c r="D129" s="3118" t="s">
        <v>313</v>
      </c>
      <c r="E129" s="3118"/>
      <c r="F129" s="3118" t="s">
        <v>314</v>
      </c>
      <c r="G129" s="3118" t="s">
        <v>4</v>
      </c>
      <c r="H129" s="3118" t="s">
        <v>49</v>
      </c>
      <c r="I129" s="3118"/>
      <c r="J129" s="3118"/>
      <c r="K129" s="3118"/>
      <c r="L129" s="3118"/>
      <c r="M129" s="3118" t="s">
        <v>379</v>
      </c>
      <c r="N129" s="3118"/>
      <c r="O129" s="3118" t="s">
        <v>370</v>
      </c>
      <c r="P129" s="3118"/>
      <c r="Q129" s="3121"/>
      <c r="R129" s="3121"/>
      <c r="S129" s="3121"/>
      <c r="T129" s="3121"/>
      <c r="U129" s="3122"/>
      <c r="V129" s="3118"/>
      <c r="W129" s="3118"/>
      <c r="X129" s="3056">
        <f>IF(A129="","",IF(LEN(SUBSTITUTE(SUBSTITUTE(SUBSTITUTE(SUBSTITUTE(D129,".",""),"/",""),"-","")," ",""))&lt;&gt;14,"CNPJ INVALIDO","OK"))</f>
      </c>
      <c r="Y129" s="3056">
        <f>IF(A129="","",IF(R129="","REST PENDENTE","REST OK"))</f>
      </c>
      <c r="Z129" s="3056">
        <f>IF(A129="","",IF(AND(R129&lt;&gt;"",COUNTIFS($D$3:$D$164,D129,$R$3:$R$164,"&lt;&gt;")&gt;1),"DUPLICADO","OK"))</f>
      </c>
      <c r="AA129" s="3056">
        <f>IF(A129="","",IF(OR(LEN(Q129)&gt;180,LEN(R129)&gt;180,LEN(S129)&gt;180,LEN(T129)&gt;180),"CAMINHO LONGO","OK"))</f>
      </c>
      <c r="AB129" s="3056">
        <f>IF(A129="","",IF(U129="","",IFERROR(INT(U129-TODAY()),"")))</f>
      </c>
      <c r="AC129" s="3056">
        <f>IF(A129="","",IF(AND(T129="",U129=""),"",IF(T129="","SEM CAMINHO",IF(U129="","SEM DATA",IFERROR(IF(AB129&lt;15,"VERMELHO",IF(AB129&lt;=30,"AMARELO","VERDE")),"DATA INVALIDA")))))</f>
      </c>
      <c r="AD129" s="3056">
        <f>IF(OR(A129="",U129="",NOT(ISNUMBER(AB129))),"",RANK(AB129,$AB$3:$AB$164,1)+COUNTIFS($AB$3:AB129,AB129)-1)</f>
      </c>
      <c r="AE129" s="1736"/>
    </row>
    <row r="130" spans="1:19" ht="22.0" hidden="false" customHeight="true" x14ac:dyDescent="0.25">
      <c r="A130" s="3124" t="s">
        <v>315</v>
      </c>
      <c r="B130" s="3123" t="s">
        <v>45</v>
      </c>
      <c r="C130" s="3123" t="s">
        <v>316</v>
      </c>
      <c r="D130" s="3123" t="s">
        <v>317</v>
      </c>
      <c r="E130" s="3123"/>
      <c r="F130" s="3123"/>
      <c r="G130" s="3123" t="s">
        <v>13</v>
      </c>
      <c r="H130" s="3123"/>
      <c r="I130" s="3123"/>
      <c r="J130" s="3123"/>
      <c r="K130" s="3123"/>
      <c r="L130" s="3123"/>
      <c r="M130" s="3123" t="s">
        <v>399</v>
      </c>
      <c r="N130" s="3123" t="s">
        <v>374</v>
      </c>
      <c r="O130" s="3123" t="s">
        <v>367</v>
      </c>
      <c r="P130" s="3123"/>
      <c r="Q130" s="3126"/>
      <c r="R130" s="3126"/>
      <c r="S130" s="3126"/>
      <c r="T130" s="3126"/>
      <c r="U130" s="3127"/>
      <c r="V130" s="3123"/>
      <c r="W130" s="3123"/>
      <c r="X130" s="3056">
        <f>IF(A130="","",IF(LEN(SUBSTITUTE(SUBSTITUTE(SUBSTITUTE(SUBSTITUTE(D130,".",""),"/",""),"-","")," ",""))&lt;&gt;14,"CNPJ INVALIDO","OK"))</f>
      </c>
      <c r="Y130" s="3056">
        <f>IF(A130="","",IF(R130="","REST PENDENTE","REST OK"))</f>
      </c>
      <c r="Z130" s="3056">
        <f>IF(A130="","",IF(AND(R130&lt;&gt;"",COUNTIFS($D$3:$D$164,D130,$R$3:$R$164,"&lt;&gt;")&gt;1),"DUPLICADO","OK"))</f>
      </c>
      <c r="AA130" s="3056">
        <f>IF(A130="","",IF(OR(LEN(Q130)&gt;180,LEN(R130)&gt;180,LEN(S130)&gt;180,LEN(T130)&gt;180),"CAMINHO LONGO","OK"))</f>
      </c>
      <c r="AB130" s="3056">
        <f>IF(A130="","",IF(U130="","",IFERROR(INT(U130-TODAY()),"")))</f>
      </c>
      <c r="AC130" s="3056">
        <f>IF(A130="","",IF(AND(T130="",U130=""),"",IF(T130="","SEM CAMINHO",IF(U130="","SEM DATA",IFERROR(IF(AB130&lt;15,"VERMELHO",IF(AB130&lt;=30,"AMARELO","VERDE")),"DATA INVALIDA")))))</f>
      </c>
      <c r="AD130" s="3056">
        <f>IF(OR(A130="",U130="",NOT(ISNUMBER(AB130))),"",RANK(AB130,$AB$3:$AB$164,1)+COUNTIFS($AB$3:AB130,AB130)-1)</f>
      </c>
      <c r="AE130" s="1736"/>
    </row>
    <row r="131" spans="1:19" ht="22.0" hidden="false" customHeight="true" x14ac:dyDescent="0.25">
      <c r="A131" s="3119" t="s">
        <v>318</v>
      </c>
      <c r="B131" s="3118" t="s">
        <v>45</v>
      </c>
      <c r="C131" s="3118" t="s">
        <v>316</v>
      </c>
      <c r="D131" s="3118" t="s">
        <v>319</v>
      </c>
      <c r="E131" s="3118"/>
      <c r="F131" s="3118" t="s">
        <v>48</v>
      </c>
      <c r="G131" s="3118" t="s">
        <v>320</v>
      </c>
      <c r="H131" s="3118"/>
      <c r="I131" s="3118"/>
      <c r="J131" s="3118"/>
      <c r="K131" s="3118"/>
      <c r="L131" s="3118"/>
      <c r="M131" s="3118" t="s">
        <v>399</v>
      </c>
      <c r="N131" s="3118" t="s">
        <v>374</v>
      </c>
      <c r="O131" s="3118" t="s">
        <v>371</v>
      </c>
      <c r="P131" s="3118"/>
      <c r="Q131" s="3121"/>
      <c r="R131" s="3121"/>
      <c r="S131" s="3121"/>
      <c r="T131" s="3121"/>
      <c r="U131" s="3122"/>
      <c r="V131" s="3118"/>
      <c r="W131" s="3118"/>
      <c r="X131" s="3056">
        <f>IF(A131="","",IF(LEN(SUBSTITUTE(SUBSTITUTE(SUBSTITUTE(SUBSTITUTE(D131,".",""),"/",""),"-","")," ",""))&lt;&gt;14,"CNPJ INVALIDO","OK"))</f>
      </c>
      <c r="Y131" s="3056">
        <f>IF(A131="","",IF(R131="","REST PENDENTE","REST OK"))</f>
      </c>
      <c r="Z131" s="3056">
        <f>IF(A131="","",IF(AND(R131&lt;&gt;"",COUNTIFS($D$3:$D$164,D131,$R$3:$R$164,"&lt;&gt;")&gt;1),"DUPLICADO","OK"))</f>
      </c>
      <c r="AA131" s="3056">
        <f>IF(A131="","",IF(OR(LEN(Q131)&gt;180,LEN(R131)&gt;180,LEN(S131)&gt;180,LEN(T131)&gt;180),"CAMINHO LONGO","OK"))</f>
      </c>
      <c r="AB131" s="3056">
        <f>IF(A131="","",IF(U131="","",IFERROR(INT(U131-TODAY()),"")))</f>
      </c>
      <c r="AC131" s="3056">
        <f>IF(A131="","",IF(AND(T131="",U131=""),"",IF(T131="","SEM CAMINHO",IF(U131="","SEM DATA",IFERROR(IF(AB131&lt;15,"VERMELHO",IF(AB131&lt;=30,"AMARELO","VERDE")),"DATA INVALIDA")))))</f>
      </c>
      <c r="AD131" s="3056">
        <f>IF(OR(A131="",U131="",NOT(ISNUMBER(AB131))),"",RANK(AB131,$AB$3:$AB$164,1)+COUNTIFS($AB$3:AB131,AB131)-1)</f>
      </c>
      <c r="AE131" s="1736"/>
    </row>
    <row r="132" spans="1:19" ht="22.0" hidden="false" customHeight="true" x14ac:dyDescent="0.25">
      <c r="A132" s="3124" t="s">
        <v>321</v>
      </c>
      <c r="B132" s="3123" t="s">
        <v>45</v>
      </c>
      <c r="C132" s="3123" t="s">
        <v>316</v>
      </c>
      <c r="D132" s="3123" t="s">
        <v>322</v>
      </c>
      <c r="E132" s="3123"/>
      <c r="F132" s="3123" t="s">
        <v>48</v>
      </c>
      <c r="G132" s="3123" t="s">
        <v>320</v>
      </c>
      <c r="H132" s="3123"/>
      <c r="I132" s="3123"/>
      <c r="J132" s="3123"/>
      <c r="K132" s="3123"/>
      <c r="L132" s="3123"/>
      <c r="M132" s="3123" t="s">
        <v>379</v>
      </c>
      <c r="N132" s="3123" t="s">
        <v>374</v>
      </c>
      <c r="O132" s="3123" t="s">
        <v>370</v>
      </c>
      <c r="P132" s="3123"/>
      <c r="Q132" s="3126"/>
      <c r="R132" s="3126"/>
      <c r="S132" s="3126"/>
      <c r="T132" s="3126"/>
      <c r="U132" s="3127"/>
      <c r="V132" s="3123"/>
      <c r="W132" s="3123"/>
      <c r="X132" s="3056">
        <f>IF(A132="","",IF(LEN(SUBSTITUTE(SUBSTITUTE(SUBSTITUTE(SUBSTITUTE(D132,".",""),"/",""),"-","")," ",""))&lt;&gt;14,"CNPJ INVALIDO","OK"))</f>
      </c>
      <c r="Y132" s="3056">
        <f>IF(A132="","",IF(R132="","REST PENDENTE","REST OK"))</f>
      </c>
      <c r="Z132" s="3056">
        <f>IF(A132="","",IF(AND(R132&lt;&gt;"",COUNTIFS($D$3:$D$164,D132,$R$3:$R$164,"&lt;&gt;")&gt;1),"DUPLICADO","OK"))</f>
      </c>
      <c r="AA132" s="3056">
        <f>IF(A132="","",IF(OR(LEN(Q132)&gt;180,LEN(R132)&gt;180,LEN(S132)&gt;180,LEN(T132)&gt;180),"CAMINHO LONGO","OK"))</f>
      </c>
      <c r="AB132" s="3056">
        <f>IF(A132="","",IF(U132="","",IFERROR(INT(U132-TODAY()),"")))</f>
      </c>
      <c r="AC132" s="3056">
        <f>IF(A132="","",IF(AND(T132="",U132=""),"",IF(T132="","SEM CAMINHO",IF(U132="","SEM DATA",IFERROR(IF(AB132&lt;15,"VERMELHO",IF(AB132&lt;=30,"AMARELO","VERDE")),"DATA INVALIDA")))))</f>
      </c>
      <c r="AD132" s="3056">
        <f>IF(OR(A132="",U132="",NOT(ISNUMBER(AB132))),"",RANK(AB132,$AB$3:$AB$164,1)+COUNTIFS($AB$3:AB132,AB132)-1)</f>
      </c>
      <c r="AE132" s="1736"/>
    </row>
    <row r="133" spans="1:19" ht="22.0" hidden="false" customHeight="true" x14ac:dyDescent="0.25">
      <c r="A133" s="3119" t="s">
        <v>323</v>
      </c>
      <c r="B133" s="3118" t="s">
        <v>305</v>
      </c>
      <c r="C133" s="3118"/>
      <c r="D133" s="3118"/>
      <c r="E133" s="3118"/>
      <c r="F133" s="3118" t="s">
        <v>306</v>
      </c>
      <c r="G133" s="3118" t="s">
        <v>4</v>
      </c>
      <c r="H133" s="3118"/>
      <c r="I133" s="3118"/>
      <c r="J133" s="3118"/>
      <c r="K133" s="3118"/>
      <c r="L133" s="3118"/>
      <c r="M133" s="3118" t="s">
        <v>371</v>
      </c>
      <c r="N133" s="3118"/>
      <c r="O133" s="3118" t="s">
        <v>365</v>
      </c>
      <c r="P133" s="3118"/>
      <c r="Q133" s="3121"/>
      <c r="R133" s="3121"/>
      <c r="S133" s="3121"/>
      <c r="T133" s="3121"/>
      <c r="U133" s="3122"/>
      <c r="V133" s="3118"/>
      <c r="W133" s="3118"/>
      <c r="X133" s="3056">
        <f>IF(A133="","",IF(LEN(SUBSTITUTE(SUBSTITUTE(SUBSTITUTE(SUBSTITUTE(D133,".",""),"/",""),"-","")," ",""))&lt;&gt;14,"CNPJ INVALIDO","OK"))</f>
      </c>
      <c r="Y133" s="3056">
        <f>IF(A133="","",IF(R133="","REST PENDENTE","REST OK"))</f>
      </c>
      <c r="Z133" s="3056">
        <f>IF(A133="","",IF(AND(R133&lt;&gt;"",COUNTIFS($D$3:$D$164,D133,$R$3:$R$164,"&lt;&gt;")&gt;1),"DUPLICADO","OK"))</f>
      </c>
      <c r="AA133" s="3056">
        <f>IF(A133="","",IF(OR(LEN(Q133)&gt;180,LEN(R133)&gt;180,LEN(S133)&gt;180,LEN(T133)&gt;180),"CAMINHO LONGO","OK"))</f>
      </c>
      <c r="AB133" s="3056">
        <f>IF(A133="","",IF(U133="","",IFERROR(INT(U133-TODAY()),"")))</f>
      </c>
      <c r="AC133" s="3056">
        <f>IF(A133="","",IF(AND(T133="",U133=""),"",IF(T133="","SEM CAMINHO",IF(U133="","SEM DATA",IFERROR(IF(AB133&lt;15,"VERMELHO",IF(AB133&lt;=30,"AMARELO","VERDE")),"DATA INVALIDA")))))</f>
      </c>
      <c r="AD133" s="3056">
        <f>IF(OR(A133="",U133="",NOT(ISNUMBER(AB133))),"",RANK(AB133,$AB$3:$AB$164,1)+COUNTIFS($AB$3:AB133,AB133)-1)</f>
      </c>
      <c r="AE133" s="1736"/>
    </row>
    <row r="134" spans="1:19" ht="22.0" hidden="false" customHeight="true" x14ac:dyDescent="0.25">
      <c r="A134" s="3124" t="s">
        <v>324</v>
      </c>
      <c r="B134" s="3123" t="s">
        <v>75</v>
      </c>
      <c r="C134" s="3123"/>
      <c r="D134" s="3123"/>
      <c r="E134" s="3123"/>
      <c r="F134" s="3123"/>
      <c r="G134" s="3123"/>
      <c r="H134" s="3123"/>
      <c r="I134" s="3123"/>
      <c r="J134" s="3123"/>
      <c r="K134" s="3123"/>
      <c r="L134" s="3123"/>
      <c r="M134" s="3123" t="s">
        <v>371</v>
      </c>
      <c r="N134" s="3123"/>
      <c r="O134" s="3123" t="s">
        <v>371</v>
      </c>
      <c r="P134" s="3123"/>
      <c r="Q134" s="3126"/>
      <c r="R134" s="3126"/>
      <c r="S134" s="3126"/>
      <c r="T134" s="3126"/>
      <c r="U134" s="3127"/>
      <c r="V134" s="3123"/>
      <c r="W134" s="3123"/>
      <c r="X134" s="3056">
        <f>IF(A134="","",IF(LEN(SUBSTITUTE(SUBSTITUTE(SUBSTITUTE(SUBSTITUTE(D134,".",""),"/",""),"-","")," ",""))&lt;&gt;14,"CNPJ INVALIDO","OK"))</f>
      </c>
      <c r="Y134" s="3056">
        <f>IF(A134="","",IF(R134="","REST PENDENTE","REST OK"))</f>
      </c>
      <c r="Z134" s="3056">
        <f>IF(A134="","",IF(AND(R134&lt;&gt;"",COUNTIFS($D$3:$D$164,D134,$R$3:$R$164,"&lt;&gt;")&gt;1),"DUPLICADO","OK"))</f>
      </c>
      <c r="AA134" s="3056">
        <f>IF(A134="","",IF(OR(LEN(Q134)&gt;180,LEN(R134)&gt;180,LEN(S134)&gt;180,LEN(T134)&gt;180),"CAMINHO LONGO","OK"))</f>
      </c>
      <c r="AB134" s="3056">
        <f>IF(A134="","",IF(U134="","",IFERROR(INT(U134-TODAY()),"")))</f>
      </c>
      <c r="AC134" s="3056">
        <f>IF(A134="","",IF(AND(T134="",U134=""),"",IF(T134="","SEM CAMINHO",IF(U134="","SEM DATA",IFERROR(IF(AB134&lt;15,"VERMELHO",IF(AB134&lt;=30,"AMARELO","VERDE")),"DATA INVALIDA")))))</f>
      </c>
      <c r="AD134" s="3056">
        <f>IF(OR(A134="",U134="",NOT(ISNUMBER(AB134))),"",RANK(AB134,$AB$3:$AB$164,1)+COUNTIFS($AB$3:AB134,AB134)-1)</f>
      </c>
      <c r="AE134" s="1736"/>
    </row>
    <row r="135" ht="22.0" customHeight="true" hidden="false">
      <c r="A135" s="3119"/>
      <c r="B135" s="3118"/>
      <c r="C135" s="3118"/>
      <c r="D135" s="3118"/>
      <c r="E135" s="3118"/>
      <c r="F135" s="3118"/>
      <c r="G135" s="3118"/>
      <c r="H135" s="3118"/>
      <c r="I135" s="3118"/>
      <c r="J135" s="3118"/>
      <c r="K135" s="3118"/>
      <c r="L135" s="3118"/>
      <c r="M135" s="3118"/>
      <c r="N135" s="3118"/>
      <c r="O135" s="3118"/>
      <c r="P135" s="3118"/>
      <c r="Q135" s="3121"/>
      <c r="R135" s="3121"/>
      <c r="S135" s="3121"/>
      <c r="T135" s="3121"/>
      <c r="U135" s="3122"/>
      <c r="V135" s="3118"/>
      <c r="W135" s="3118"/>
      <c r="X135" s="3056">
        <f>IF(A135="","",IF(LEN(SUBSTITUTE(SUBSTITUTE(SUBSTITUTE(SUBSTITUTE(D135,".",""),"/",""),"-","")," ",""))&lt;&gt;14,"CNPJ INVALIDO","OK"))</f>
      </c>
      <c r="Y135" s="3056">
        <f>IF(A135="","",IF(R135="","REST PENDENTE","REST OK"))</f>
      </c>
      <c r="Z135" s="3056">
        <f>IF(A135="","",IF(AND(R135&lt;&gt;"",COUNTIFS($D$3:$D$164,D135,$R$3:$R$164,"&lt;&gt;")&gt;1),"DUPLICADO","OK"))</f>
      </c>
      <c r="AA135" s="3056">
        <f>IF(A135="","",IF(OR(LEN(Q135)&gt;180,LEN(R135)&gt;180,LEN(S135)&gt;180,LEN(T135)&gt;180),"CAMINHO LONGO","OK"))</f>
      </c>
      <c r="AB135" s="3056">
        <f>IF(A135="","",IF(U135="","",IFERROR(INT(U135-TODAY()),"")))</f>
      </c>
      <c r="AC135" s="3056">
        <f>IF(A135="","",IF(AND(T135="",U135=""),"",IF(T135="","SEM CAMINHO",IF(U135="","SEM DATA",IFERROR(IF(AB135&lt;15,"VERMELHO",IF(AB135&lt;=30,"AMARELO","VERDE")),"DATA INVALIDA")))))</f>
      </c>
      <c r="AD135" s="3056">
        <f>IF(OR(A135="",U135="",NOT(ISNUMBER(AB135))),"",RANK(AB135,$AB$3:$AB$164,1)+COUNTIFS($AB$3:AB135,AB135)-1)</f>
      </c>
      <c r="AE135" s="1736"/>
    </row>
    <row r="136" ht="22.0" customHeight="true" hidden="false">
      <c r="A136" s="3124"/>
      <c r="B136" s="3123"/>
      <c r="C136" s="3123"/>
      <c r="D136" s="3123"/>
      <c r="E136" s="3123"/>
      <c r="F136" s="3123"/>
      <c r="G136" s="3123"/>
      <c r="H136" s="3123"/>
      <c r="I136" s="3123"/>
      <c r="J136" s="3123"/>
      <c r="K136" s="3123"/>
      <c r="L136" s="3123"/>
      <c r="M136" s="3123"/>
      <c r="N136" s="3123"/>
      <c r="O136" s="3123"/>
      <c r="P136" s="3123"/>
      <c r="Q136" s="3126"/>
      <c r="R136" s="3126"/>
      <c r="S136" s="3126"/>
      <c r="T136" s="3126"/>
      <c r="U136" s="3127"/>
      <c r="V136" s="3123"/>
      <c r="W136" s="3123"/>
      <c r="X136" s="3056">
        <f>IF(A136="","",IF(LEN(SUBSTITUTE(SUBSTITUTE(SUBSTITUTE(SUBSTITUTE(D136,".",""),"/",""),"-","")," ",""))&lt;&gt;14,"CNPJ INVALIDO","OK"))</f>
      </c>
      <c r="Y136" s="3056">
        <f>IF(A136="","",IF(R136="","REST PENDENTE","REST OK"))</f>
      </c>
      <c r="Z136" s="3056">
        <f>IF(A136="","",IF(AND(R136&lt;&gt;"",COUNTIFS($D$3:$D$164,D136,$R$3:$R$164,"&lt;&gt;")&gt;1),"DUPLICADO","OK"))</f>
      </c>
      <c r="AA136" s="3056">
        <f>IF(A136="","",IF(OR(LEN(Q136)&gt;180,LEN(R136)&gt;180,LEN(S136)&gt;180,LEN(T136)&gt;180),"CAMINHO LONGO","OK"))</f>
      </c>
      <c r="AB136" s="3056">
        <f>IF(A136="","",IF(U136="","",IFERROR(INT(U136-TODAY()),"")))</f>
      </c>
      <c r="AC136" s="3056">
        <f>IF(A136="","",IF(AND(T136="",U136=""),"",IF(T136="","SEM CAMINHO",IF(U136="","SEM DATA",IFERROR(IF(AB136&lt;15,"VERMELHO",IF(AB136&lt;=30,"AMARELO","VERDE")),"DATA INVALIDA")))))</f>
      </c>
      <c r="AD136" s="3056">
        <f>IF(OR(A136="",U136="",NOT(ISNUMBER(AB136))),"",RANK(AB136,$AB$3:$AB$164,1)+COUNTIFS($AB$3:AB136,AB136)-1)</f>
      </c>
      <c r="AE136" s="1736"/>
    </row>
    <row r="137" ht="22.0" customHeight="true" hidden="false">
      <c r="A137" s="3119"/>
      <c r="B137" s="3118"/>
      <c r="C137" s="3118"/>
      <c r="D137" s="3118"/>
      <c r="E137" s="3118"/>
      <c r="F137" s="3118"/>
      <c r="G137" s="3118"/>
      <c r="H137" s="3118"/>
      <c r="I137" s="3118"/>
      <c r="J137" s="3118"/>
      <c r="K137" s="3118"/>
      <c r="L137" s="3118"/>
      <c r="M137" s="3118"/>
      <c r="N137" s="3118"/>
      <c r="O137" s="3118"/>
      <c r="P137" s="3118"/>
      <c r="Q137" s="3121"/>
      <c r="R137" s="3121"/>
      <c r="S137" s="3121"/>
      <c r="T137" s="3121"/>
      <c r="U137" s="3122"/>
      <c r="V137" s="3118"/>
      <c r="W137" s="3118"/>
      <c r="X137" s="3056">
        <f>IF(A137="","",IF(LEN(SUBSTITUTE(SUBSTITUTE(SUBSTITUTE(SUBSTITUTE(D137,".",""),"/",""),"-","")," ",""))&lt;&gt;14,"CNPJ INVALIDO","OK"))</f>
      </c>
      <c r="Y137" s="3056">
        <f>IF(A137="","",IF(R137="","REST PENDENTE","REST OK"))</f>
      </c>
      <c r="Z137" s="3056">
        <f>IF(A137="","",IF(AND(R137&lt;&gt;"",COUNTIFS($D$3:$D$164,D137,$R$3:$R$164,"&lt;&gt;")&gt;1),"DUPLICADO","OK"))</f>
      </c>
      <c r="AA137" s="3056">
        <f>IF(A137="","",IF(OR(LEN(Q137)&gt;180,LEN(R137)&gt;180,LEN(S137)&gt;180,LEN(T137)&gt;180),"CAMINHO LONGO","OK"))</f>
      </c>
      <c r="AB137" s="3056">
        <f>IF(A137="","",IF(U137="","",IFERROR(INT(U137-TODAY()),"")))</f>
      </c>
      <c r="AC137" s="3056">
        <f>IF(A137="","",IF(AND(T137="",U137=""),"",IF(T137="","SEM CAMINHO",IF(U137="","SEM DATA",IFERROR(IF(AB137&lt;15,"VERMELHO",IF(AB137&lt;=30,"AMARELO","VERDE")),"DATA INVALIDA")))))</f>
      </c>
      <c r="AD137" s="3056">
        <f>IF(OR(A137="",U137="",NOT(ISNUMBER(AB137))),"",RANK(AB137,$AB$3:$AB$164,1)+COUNTIFS($AB$3:AB137,AB137)-1)</f>
      </c>
      <c r="AE137" s="1736"/>
    </row>
    <row r="138" ht="22.0" customHeight="true" hidden="false">
      <c r="A138" s="3124"/>
      <c r="B138" s="3123"/>
      <c r="C138" s="3123"/>
      <c r="D138" s="3123"/>
      <c r="E138" s="3123"/>
      <c r="F138" s="3123"/>
      <c r="G138" s="3123"/>
      <c r="H138" s="3123"/>
      <c r="I138" s="3123"/>
      <c r="J138" s="3123"/>
      <c r="K138" s="3123"/>
      <c r="L138" s="3123"/>
      <c r="M138" s="3123"/>
      <c r="N138" s="3123"/>
      <c r="O138" s="3123"/>
      <c r="P138" s="3123"/>
      <c r="Q138" s="3126"/>
      <c r="R138" s="3126"/>
      <c r="S138" s="3126"/>
      <c r="T138" s="3126"/>
      <c r="U138" s="3127"/>
      <c r="V138" s="3123"/>
      <c r="W138" s="3123"/>
      <c r="X138" s="3056">
        <f>IF(A138="","",IF(LEN(SUBSTITUTE(SUBSTITUTE(SUBSTITUTE(SUBSTITUTE(D138,".",""),"/",""),"-","")," ",""))&lt;&gt;14,"CNPJ INVALIDO","OK"))</f>
      </c>
      <c r="Y138" s="3056">
        <f>IF(A138="","",IF(R138="","REST PENDENTE","REST OK"))</f>
      </c>
      <c r="Z138" s="3056">
        <f>IF(A138="","",IF(AND(R138&lt;&gt;"",COUNTIFS($D$3:$D$164,D138,$R$3:$R$164,"&lt;&gt;")&gt;1),"DUPLICADO","OK"))</f>
      </c>
      <c r="AA138" s="3056">
        <f>IF(A138="","",IF(OR(LEN(Q138)&gt;180,LEN(R138)&gt;180,LEN(S138)&gt;180,LEN(T138)&gt;180),"CAMINHO LONGO","OK"))</f>
      </c>
      <c r="AB138" s="3056">
        <f>IF(A138="","",IF(U138="","",IFERROR(INT(U138-TODAY()),"")))</f>
      </c>
      <c r="AC138" s="3056">
        <f>IF(A138="","",IF(AND(T138="",U138=""),"",IF(T138="","SEM CAMINHO",IF(U138="","SEM DATA",IFERROR(IF(AB138&lt;15,"VERMELHO",IF(AB138&lt;=30,"AMARELO","VERDE")),"DATA INVALIDA")))))</f>
      </c>
      <c r="AD138" s="3056">
        <f>IF(OR(A138="",U138="",NOT(ISNUMBER(AB138))),"",RANK(AB138,$AB$3:$AB$164,1)+COUNTIFS($AB$3:AB138,AB138)-1)</f>
      </c>
      <c r="AE138" s="1736"/>
    </row>
    <row r="139" ht="22.0" customHeight="true" hidden="false">
      <c r="A139" s="3119"/>
      <c r="B139" s="3118"/>
      <c r="C139" s="3118"/>
      <c r="D139" s="3118"/>
      <c r="E139" s="3118"/>
      <c r="F139" s="3118"/>
      <c r="G139" s="3118"/>
      <c r="H139" s="3118"/>
      <c r="I139" s="3118"/>
      <c r="J139" s="3118"/>
      <c r="K139" s="3118"/>
      <c r="L139" s="3118"/>
      <c r="M139" s="3118"/>
      <c r="N139" s="3118"/>
      <c r="O139" s="3118"/>
      <c r="P139" s="3118"/>
      <c r="Q139" s="3121"/>
      <c r="R139" s="3121"/>
      <c r="S139" s="3121"/>
      <c r="T139" s="3121"/>
      <c r="U139" s="3122"/>
      <c r="V139" s="3118"/>
      <c r="W139" s="3118"/>
      <c r="X139" s="3056">
        <f>IF(A139="","",IF(LEN(SUBSTITUTE(SUBSTITUTE(SUBSTITUTE(SUBSTITUTE(D139,".",""),"/",""),"-","")," ",""))&lt;&gt;14,"CNPJ INVALIDO","OK"))</f>
      </c>
      <c r="Y139" s="3056">
        <f>IF(A139="","",IF(R139="","REST PENDENTE","REST OK"))</f>
      </c>
      <c r="Z139" s="3056">
        <f>IF(A139="","",IF(AND(R139&lt;&gt;"",COUNTIFS($D$3:$D$164,D139,$R$3:$R$164,"&lt;&gt;")&gt;1),"DUPLICADO","OK"))</f>
      </c>
      <c r="AA139" s="3056">
        <f>IF(A139="","",IF(OR(LEN(Q139)&gt;180,LEN(R139)&gt;180,LEN(S139)&gt;180,LEN(T139)&gt;180),"CAMINHO LONGO","OK"))</f>
      </c>
      <c r="AB139" s="3056">
        <f>IF(A139="","",IF(U139="","",IFERROR(INT(U139-TODAY()),"")))</f>
      </c>
      <c r="AC139" s="3056">
        <f>IF(A139="","",IF(AND(T139="",U139=""),"",IF(T139="","SEM CAMINHO",IF(U139="","SEM DATA",IFERROR(IF(AB139&lt;15,"VERMELHO",IF(AB139&lt;=30,"AMARELO","VERDE")),"DATA INVALIDA")))))</f>
      </c>
      <c r="AD139" s="3056">
        <f>IF(OR(A139="",U139="",NOT(ISNUMBER(AB139))),"",RANK(AB139,$AB$3:$AB$164,1)+COUNTIFS($AB$3:AB139,AB139)-1)</f>
      </c>
      <c r="AE139" s="1736"/>
    </row>
    <row r="140" ht="22.0" customHeight="true" hidden="false">
      <c r="A140" s="3124"/>
      <c r="B140" s="3123"/>
      <c r="C140" s="3123"/>
      <c r="D140" s="3123"/>
      <c r="E140" s="3123"/>
      <c r="F140" s="3123"/>
      <c r="G140" s="3123"/>
      <c r="H140" s="3123"/>
      <c r="I140" s="3123"/>
      <c r="J140" s="3123"/>
      <c r="K140" s="3123"/>
      <c r="L140" s="3123"/>
      <c r="M140" s="3123"/>
      <c r="N140" s="3123"/>
      <c r="O140" s="3123"/>
      <c r="P140" s="3123"/>
      <c r="Q140" s="3126"/>
      <c r="R140" s="3126"/>
      <c r="S140" s="3126"/>
      <c r="T140" s="3126"/>
      <c r="U140" s="3127"/>
      <c r="V140" s="3123"/>
      <c r="W140" s="3123"/>
      <c r="X140" s="3056">
        <f>IF(A140="","",IF(LEN(SUBSTITUTE(SUBSTITUTE(SUBSTITUTE(SUBSTITUTE(D140,".",""),"/",""),"-","")," ",""))&lt;&gt;14,"CNPJ INVALIDO","OK"))</f>
      </c>
      <c r="Y140" s="3056">
        <f>IF(A140="","",IF(R140="","REST PENDENTE","REST OK"))</f>
      </c>
      <c r="Z140" s="3056">
        <f>IF(A140="","",IF(AND(R140&lt;&gt;"",COUNTIFS($D$3:$D$164,D140,$R$3:$R$164,"&lt;&gt;")&gt;1),"DUPLICADO","OK"))</f>
      </c>
      <c r="AA140" s="3056">
        <f>IF(A140="","",IF(OR(LEN(Q140)&gt;180,LEN(R140)&gt;180,LEN(S140)&gt;180,LEN(T140)&gt;180),"CAMINHO LONGO","OK"))</f>
      </c>
      <c r="AB140" s="3056">
        <f>IF(A140="","",IF(U140="","",IFERROR(INT(U140-TODAY()),"")))</f>
      </c>
      <c r="AC140" s="3056">
        <f>IF(A140="","",IF(AND(T140="",U140=""),"",IF(T140="","SEM CAMINHO",IF(U140="","SEM DATA",IFERROR(IF(AB140&lt;15,"VERMELHO",IF(AB140&lt;=30,"AMARELO","VERDE")),"DATA INVALIDA")))))</f>
      </c>
      <c r="AD140" s="3056">
        <f>IF(OR(A140="",U140="",NOT(ISNUMBER(AB140))),"",RANK(AB140,$AB$3:$AB$164,1)+COUNTIFS($AB$3:AB140,AB140)-1)</f>
      </c>
      <c r="AE140" s="1736"/>
    </row>
    <row r="141" ht="22.0" customHeight="true" hidden="false">
      <c r="A141" s="3119"/>
      <c r="B141" s="3118"/>
      <c r="C141" s="3118"/>
      <c r="D141" s="3118"/>
      <c r="E141" s="3118"/>
      <c r="F141" s="3118"/>
      <c r="G141" s="3118"/>
      <c r="H141" s="3118"/>
      <c r="I141" s="3118"/>
      <c r="J141" s="3118"/>
      <c r="K141" s="3118"/>
      <c r="L141" s="3118"/>
      <c r="M141" s="3118"/>
      <c r="N141" s="3118"/>
      <c r="O141" s="3118"/>
      <c r="P141" s="3118"/>
      <c r="Q141" s="3121"/>
      <c r="R141" s="3121"/>
      <c r="S141" s="3121"/>
      <c r="T141" s="3121"/>
      <c r="U141" s="3122"/>
      <c r="V141" s="3118"/>
      <c r="W141" s="3118"/>
      <c r="X141" s="3056">
        <f>IF(A141="","",IF(LEN(SUBSTITUTE(SUBSTITUTE(SUBSTITUTE(SUBSTITUTE(D141,".",""),"/",""),"-","")," ",""))&lt;&gt;14,"CNPJ INVALIDO","OK"))</f>
      </c>
      <c r="Y141" s="3056">
        <f>IF(A141="","",IF(R141="","REST PENDENTE","REST OK"))</f>
      </c>
      <c r="Z141" s="3056">
        <f>IF(A141="","",IF(AND(R141&lt;&gt;"",COUNTIFS($D$3:$D$164,D141,$R$3:$R$164,"&lt;&gt;")&gt;1),"DUPLICADO","OK"))</f>
      </c>
      <c r="AA141" s="3056">
        <f>IF(A141="","",IF(OR(LEN(Q141)&gt;180,LEN(R141)&gt;180,LEN(S141)&gt;180,LEN(T141)&gt;180),"CAMINHO LONGO","OK"))</f>
      </c>
      <c r="AB141" s="3056">
        <f>IF(A141="","",IF(U141="","",IFERROR(INT(U141-TODAY()),"")))</f>
      </c>
      <c r="AC141" s="3056">
        <f>IF(A141="","",IF(AND(T141="",U141=""),"",IF(T141="","SEM CAMINHO",IF(U141="","SEM DATA",IFERROR(IF(AB141&lt;15,"VERMELHO",IF(AB141&lt;=30,"AMARELO","VERDE")),"DATA INVALIDA")))))</f>
      </c>
      <c r="AD141" s="3056">
        <f>IF(OR(A141="",U141="",NOT(ISNUMBER(AB141))),"",RANK(AB141,$AB$3:$AB$164,1)+COUNTIFS($AB$3:AB141,AB141)-1)</f>
      </c>
      <c r="AE141" s="1736"/>
    </row>
    <row r="142" ht="22.0" customHeight="true" hidden="false">
      <c r="A142" s="3124"/>
      <c r="B142" s="3123"/>
      <c r="C142" s="3123"/>
      <c r="D142" s="3123"/>
      <c r="E142" s="3123"/>
      <c r="F142" s="3123"/>
      <c r="G142" s="3123"/>
      <c r="H142" s="3123"/>
      <c r="I142" s="3123"/>
      <c r="J142" s="3123"/>
      <c r="K142" s="3123"/>
      <c r="L142" s="3123"/>
      <c r="M142" s="3123"/>
      <c r="N142" s="3123"/>
      <c r="O142" s="3123"/>
      <c r="P142" s="3123"/>
      <c r="Q142" s="3126"/>
      <c r="R142" s="3126"/>
      <c r="S142" s="3126"/>
      <c r="T142" s="3126"/>
      <c r="U142" s="3127"/>
      <c r="V142" s="3123"/>
      <c r="W142" s="3123"/>
      <c r="X142" s="3056">
        <f>IF(A142="","",IF(LEN(SUBSTITUTE(SUBSTITUTE(SUBSTITUTE(SUBSTITUTE(D142,".",""),"/",""),"-","")," ",""))&lt;&gt;14,"CNPJ INVALIDO","OK"))</f>
      </c>
      <c r="Y142" s="3056">
        <f>IF(A142="","",IF(R142="","REST PENDENTE","REST OK"))</f>
      </c>
      <c r="Z142" s="3056">
        <f>IF(A142="","",IF(AND(R142&lt;&gt;"",COUNTIFS($D$3:$D$164,D142,$R$3:$R$164,"&lt;&gt;")&gt;1),"DUPLICADO","OK"))</f>
      </c>
      <c r="AA142" s="3056">
        <f>IF(A142="","",IF(OR(LEN(Q142)&gt;180,LEN(R142)&gt;180,LEN(S142)&gt;180,LEN(T142)&gt;180),"CAMINHO LONGO","OK"))</f>
      </c>
      <c r="AB142" s="3056">
        <f>IF(A142="","",IF(U142="","",IFERROR(INT(U142-TODAY()),"")))</f>
      </c>
      <c r="AC142" s="3056">
        <f>IF(A142="","",IF(AND(T142="",U142=""),"",IF(T142="","SEM CAMINHO",IF(U142="","SEM DATA",IFERROR(IF(AB142&lt;15,"VERMELHO",IF(AB142&lt;=30,"AMARELO","VERDE")),"DATA INVALIDA")))))</f>
      </c>
      <c r="AD142" s="3056">
        <f>IF(OR(A142="",U142="",NOT(ISNUMBER(AB142))),"",RANK(AB142,$AB$3:$AB$164,1)+COUNTIFS($AB$3:AB142,AB142)-1)</f>
      </c>
      <c r="AE142" s="1736"/>
    </row>
    <row r="143" ht="22.0" customHeight="true" hidden="false">
      <c r="A143" s="3119"/>
      <c r="B143" s="3118"/>
      <c r="C143" s="3118"/>
      <c r="D143" s="3118"/>
      <c r="E143" s="3118"/>
      <c r="F143" s="3118"/>
      <c r="G143" s="3118"/>
      <c r="H143" s="3118"/>
      <c r="I143" s="3118"/>
      <c r="J143" s="3118"/>
      <c r="K143" s="3118"/>
      <c r="L143" s="3118"/>
      <c r="M143" s="3118"/>
      <c r="N143" s="3118"/>
      <c r="O143" s="3118"/>
      <c r="P143" s="3118"/>
      <c r="Q143" s="3121"/>
      <c r="R143" s="3121"/>
      <c r="S143" s="3121"/>
      <c r="T143" s="3121"/>
      <c r="U143" s="3122"/>
      <c r="V143" s="3118"/>
      <c r="W143" s="3118"/>
      <c r="X143" s="3056">
        <f>IF(A143="","",IF(LEN(SUBSTITUTE(SUBSTITUTE(SUBSTITUTE(SUBSTITUTE(D143,".",""),"/",""),"-","")," ",""))&lt;&gt;14,"CNPJ INVALIDO","OK"))</f>
      </c>
      <c r="Y143" s="3056">
        <f>IF(A143="","",IF(R143="","REST PENDENTE","REST OK"))</f>
      </c>
      <c r="Z143" s="3056">
        <f>IF(A143="","",IF(AND(R143&lt;&gt;"",COUNTIFS($D$3:$D$164,D143,$R$3:$R$164,"&lt;&gt;")&gt;1),"DUPLICADO","OK"))</f>
      </c>
      <c r="AA143" s="3056">
        <f>IF(A143="","",IF(OR(LEN(Q143)&gt;180,LEN(R143)&gt;180,LEN(S143)&gt;180,LEN(T143)&gt;180),"CAMINHO LONGO","OK"))</f>
      </c>
      <c r="AB143" s="3056">
        <f>IF(A143="","",IF(U143="","",IFERROR(INT(U143-TODAY()),"")))</f>
      </c>
      <c r="AC143" s="3056">
        <f>IF(A143="","",IF(AND(T143="",U143=""),"",IF(T143="","SEM CAMINHO",IF(U143="","SEM DATA",IFERROR(IF(AB143&lt;15,"VERMELHO",IF(AB143&lt;=30,"AMARELO","VERDE")),"DATA INVALIDA")))))</f>
      </c>
      <c r="AD143" s="3056">
        <f>IF(OR(A143="",U143="",NOT(ISNUMBER(AB143))),"",RANK(AB143,$AB$3:$AB$164,1)+COUNTIFS($AB$3:AB143,AB143)-1)</f>
      </c>
      <c r="AE143" s="1736"/>
    </row>
    <row r="144" ht="22.0" customHeight="true" hidden="false">
      <c r="A144" s="3124"/>
      <c r="B144" s="3123"/>
      <c r="C144" s="3123"/>
      <c r="D144" s="3123"/>
      <c r="E144" s="3123"/>
      <c r="F144" s="3123"/>
      <c r="G144" s="3123"/>
      <c r="H144" s="3123"/>
      <c r="I144" s="3123"/>
      <c r="J144" s="3123"/>
      <c r="K144" s="3123"/>
      <c r="L144" s="3123"/>
      <c r="M144" s="3123"/>
      <c r="N144" s="3123"/>
      <c r="O144" s="3123"/>
      <c r="P144" s="3123"/>
      <c r="Q144" s="3126"/>
      <c r="R144" s="3126"/>
      <c r="S144" s="3126"/>
      <c r="T144" s="3126"/>
      <c r="U144" s="3127"/>
      <c r="V144" s="3123"/>
      <c r="W144" s="3123"/>
      <c r="X144" s="3056">
        <f>IF(A144="","",IF(LEN(SUBSTITUTE(SUBSTITUTE(SUBSTITUTE(SUBSTITUTE(D144,".",""),"/",""),"-","")," ",""))&lt;&gt;14,"CNPJ INVALIDO","OK"))</f>
      </c>
      <c r="Y144" s="3056">
        <f>IF(A144="","",IF(R144="","REST PENDENTE","REST OK"))</f>
      </c>
      <c r="Z144" s="3056">
        <f>IF(A144="","",IF(AND(R144&lt;&gt;"",COUNTIFS($D$3:$D$164,D144,$R$3:$R$164,"&lt;&gt;")&gt;1),"DUPLICADO","OK"))</f>
      </c>
      <c r="AA144" s="3056">
        <f>IF(A144="","",IF(OR(LEN(Q144)&gt;180,LEN(R144)&gt;180,LEN(S144)&gt;180,LEN(T144)&gt;180),"CAMINHO LONGO","OK"))</f>
      </c>
      <c r="AB144" s="3056">
        <f>IF(A144="","",IF(U144="","",IFERROR(INT(U144-TODAY()),"")))</f>
      </c>
      <c r="AC144" s="3056">
        <f>IF(A144="","",IF(AND(T144="",U144=""),"",IF(T144="","SEM CAMINHO",IF(U144="","SEM DATA",IFERROR(IF(AB144&lt;15,"VERMELHO",IF(AB144&lt;=30,"AMARELO","VERDE")),"DATA INVALIDA")))))</f>
      </c>
      <c r="AD144" s="3056">
        <f>IF(OR(A144="",U144="",NOT(ISNUMBER(AB144))),"",RANK(AB144,$AB$3:$AB$164,1)+COUNTIFS($AB$3:AB144,AB144)-1)</f>
      </c>
      <c r="AE144" s="1736"/>
    </row>
    <row r="145" ht="22.0" customHeight="true" hidden="false">
      <c r="A145" s="3119"/>
      <c r="B145" s="3118"/>
      <c r="C145" s="3118"/>
      <c r="D145" s="3118"/>
      <c r="E145" s="3118"/>
      <c r="F145" s="3118"/>
      <c r="G145" s="3118"/>
      <c r="H145" s="3118"/>
      <c r="I145" s="3118"/>
      <c r="J145" s="3118"/>
      <c r="K145" s="3118"/>
      <c r="L145" s="3118"/>
      <c r="M145" s="3118"/>
      <c r="N145" s="3118"/>
      <c r="O145" s="3118"/>
      <c r="P145" s="3118"/>
      <c r="Q145" s="3121"/>
      <c r="R145" s="3121"/>
      <c r="S145" s="3121"/>
      <c r="T145" s="3121"/>
      <c r="U145" s="3122"/>
      <c r="V145" s="3118"/>
      <c r="W145" s="3118"/>
      <c r="X145" s="3056">
        <f>IF(A145="","",IF(LEN(SUBSTITUTE(SUBSTITUTE(SUBSTITUTE(SUBSTITUTE(D145,".",""),"/",""),"-","")," ",""))&lt;&gt;14,"CNPJ INVALIDO","OK"))</f>
      </c>
      <c r="Y145" s="3056">
        <f>IF(A145="","",IF(R145="","REST PENDENTE","REST OK"))</f>
      </c>
      <c r="Z145" s="3056">
        <f>IF(A145="","",IF(AND(R145&lt;&gt;"",COUNTIFS($D$3:$D$164,D145,$R$3:$R$164,"&lt;&gt;")&gt;1),"DUPLICADO","OK"))</f>
      </c>
      <c r="AA145" s="3056">
        <f>IF(A145="","",IF(OR(LEN(Q145)&gt;180,LEN(R145)&gt;180,LEN(S145)&gt;180,LEN(T145)&gt;180),"CAMINHO LONGO","OK"))</f>
      </c>
      <c r="AB145" s="3056">
        <f>IF(A145="","",IF(U145="","",IFERROR(INT(U145-TODAY()),"")))</f>
      </c>
      <c r="AC145" s="3056">
        <f>IF(A145="","",IF(AND(T145="",U145=""),"",IF(T145="","SEM CAMINHO",IF(U145="","SEM DATA",IFERROR(IF(AB145&lt;15,"VERMELHO",IF(AB145&lt;=30,"AMARELO","VERDE")),"DATA INVALIDA")))))</f>
      </c>
      <c r="AD145" s="3056">
        <f>IF(OR(A145="",U145="",NOT(ISNUMBER(AB145))),"",RANK(AB145,$AB$3:$AB$164,1)+COUNTIFS($AB$3:AB145,AB145)-1)</f>
      </c>
      <c r="AE145" s="1736"/>
    </row>
    <row r="146" ht="22.0" customHeight="true" hidden="false">
      <c r="A146" s="3124"/>
      <c r="B146" s="3123"/>
      <c r="C146" s="3123"/>
      <c r="D146" s="3123"/>
      <c r="E146" s="3123"/>
      <c r="F146" s="3123"/>
      <c r="G146" s="3123"/>
      <c r="H146" s="3123"/>
      <c r="I146" s="3123"/>
      <c r="J146" s="3123"/>
      <c r="K146" s="3123"/>
      <c r="L146" s="3123"/>
      <c r="M146" s="3123"/>
      <c r="N146" s="3123"/>
      <c r="O146" s="3123"/>
      <c r="P146" s="3123"/>
      <c r="Q146" s="3126"/>
      <c r="R146" s="3126"/>
      <c r="S146" s="3126"/>
      <c r="T146" s="3126"/>
      <c r="U146" s="3127"/>
      <c r="V146" s="3123"/>
      <c r="W146" s="3123"/>
      <c r="X146" s="3056">
        <f>IF(A146="","",IF(LEN(SUBSTITUTE(SUBSTITUTE(SUBSTITUTE(SUBSTITUTE(D146,".",""),"/",""),"-","")," ",""))&lt;&gt;14,"CNPJ INVALIDO","OK"))</f>
      </c>
      <c r="Y146" s="3056">
        <f>IF(A146="","",IF(R146="","REST PENDENTE","REST OK"))</f>
      </c>
      <c r="Z146" s="3056">
        <f>IF(A146="","",IF(AND(R146&lt;&gt;"",COUNTIFS($D$3:$D$164,D146,$R$3:$R$164,"&lt;&gt;")&gt;1),"DUPLICADO","OK"))</f>
      </c>
      <c r="AA146" s="3056">
        <f>IF(A146="","",IF(OR(LEN(Q146)&gt;180,LEN(R146)&gt;180,LEN(S146)&gt;180,LEN(T146)&gt;180),"CAMINHO LONGO","OK"))</f>
      </c>
      <c r="AB146" s="3056">
        <f>IF(A146="","",IF(U146="","",IFERROR(INT(U146-TODAY()),"")))</f>
      </c>
      <c r="AC146" s="3056">
        <f>IF(A146="","",IF(AND(T146="",U146=""),"",IF(T146="","SEM CAMINHO",IF(U146="","SEM DATA",IFERROR(IF(AB146&lt;15,"VERMELHO",IF(AB146&lt;=30,"AMARELO","VERDE")),"DATA INVALIDA")))))</f>
      </c>
      <c r="AD146" s="3056">
        <f>IF(OR(A146="",U146="",NOT(ISNUMBER(AB146))),"",RANK(AB146,$AB$3:$AB$164,1)+COUNTIFS($AB$3:AB146,AB146)-1)</f>
      </c>
      <c r="AE146" s="1736"/>
    </row>
    <row r="147" ht="22.0" customHeight="true" hidden="false">
      <c r="A147" s="3119"/>
      <c r="B147" s="3118"/>
      <c r="C147" s="3118"/>
      <c r="D147" s="3118"/>
      <c r="E147" s="3118"/>
      <c r="F147" s="3118"/>
      <c r="G147" s="3118"/>
      <c r="H147" s="3118"/>
      <c r="I147" s="3118"/>
      <c r="J147" s="3118"/>
      <c r="K147" s="3118"/>
      <c r="L147" s="3118"/>
      <c r="M147" s="3118"/>
      <c r="N147" s="3118"/>
      <c r="O147" s="3118"/>
      <c r="P147" s="3118"/>
      <c r="Q147" s="3121"/>
      <c r="R147" s="3121"/>
      <c r="S147" s="3121"/>
      <c r="T147" s="3121"/>
      <c r="U147" s="3122"/>
      <c r="V147" s="3118"/>
      <c r="W147" s="3118"/>
      <c r="X147" s="3056">
        <f>IF(A147="","",IF(LEN(SUBSTITUTE(SUBSTITUTE(SUBSTITUTE(SUBSTITUTE(D147,".",""),"/",""),"-","")," ",""))&lt;&gt;14,"CNPJ INVALIDO","OK"))</f>
      </c>
      <c r="Y147" s="3056">
        <f>IF(A147="","",IF(R147="","REST PENDENTE","REST OK"))</f>
      </c>
      <c r="Z147" s="3056">
        <f>IF(A147="","",IF(AND(R147&lt;&gt;"",COUNTIFS($D$3:$D$164,D147,$R$3:$R$164,"&lt;&gt;")&gt;1),"DUPLICADO","OK"))</f>
      </c>
      <c r="AA147" s="3056">
        <f>IF(A147="","",IF(OR(LEN(Q147)&gt;180,LEN(R147)&gt;180,LEN(S147)&gt;180,LEN(T147)&gt;180),"CAMINHO LONGO","OK"))</f>
      </c>
      <c r="AB147" s="3056">
        <f>IF(A147="","",IF(U147="","",IFERROR(INT(U147-TODAY()),"")))</f>
      </c>
      <c r="AC147" s="3056">
        <f>IF(A147="","",IF(AND(T147="",U147=""),"",IF(T147="","SEM CAMINHO",IF(U147="","SEM DATA",IFERROR(IF(AB147&lt;15,"VERMELHO",IF(AB147&lt;=30,"AMARELO","VERDE")),"DATA INVALIDA")))))</f>
      </c>
      <c r="AD147" s="3056">
        <f>IF(OR(A147="",U147="",NOT(ISNUMBER(AB147))),"",RANK(AB147,$AB$3:$AB$164,1)+COUNTIFS($AB$3:AB147,AB147)-1)</f>
      </c>
      <c r="AE147" s="1736"/>
    </row>
    <row r="148" ht="22.0" customHeight="true" hidden="false">
      <c r="A148" s="3124"/>
      <c r="B148" s="3123"/>
      <c r="C148" s="3123"/>
      <c r="D148" s="3123"/>
      <c r="E148" s="3123"/>
      <c r="F148" s="3123"/>
      <c r="G148" s="3123"/>
      <c r="H148" s="3123"/>
      <c r="I148" s="3123"/>
      <c r="J148" s="3123"/>
      <c r="K148" s="3123"/>
      <c r="L148" s="3123"/>
      <c r="M148" s="3123"/>
      <c r="N148" s="3123"/>
      <c r="O148" s="3123"/>
      <c r="P148" s="3123"/>
      <c r="Q148" s="3126"/>
      <c r="R148" s="3126"/>
      <c r="S148" s="3126"/>
      <c r="T148" s="3126"/>
      <c r="U148" s="3127"/>
      <c r="V148" s="3123"/>
      <c r="W148" s="3123"/>
      <c r="X148" s="3056">
        <f>IF(A148="","",IF(LEN(SUBSTITUTE(SUBSTITUTE(SUBSTITUTE(SUBSTITUTE(D148,".",""),"/",""),"-","")," ",""))&lt;&gt;14,"CNPJ INVALIDO","OK"))</f>
      </c>
      <c r="Y148" s="3056">
        <f>IF(A148="","",IF(R148="","REST PENDENTE","REST OK"))</f>
      </c>
      <c r="Z148" s="3056">
        <f>IF(A148="","",IF(AND(R148&lt;&gt;"",COUNTIFS($D$3:$D$164,D148,$R$3:$R$164,"&lt;&gt;")&gt;1),"DUPLICADO","OK"))</f>
      </c>
      <c r="AA148" s="3056">
        <f>IF(A148="","",IF(OR(LEN(Q148)&gt;180,LEN(R148)&gt;180,LEN(S148)&gt;180,LEN(T148)&gt;180),"CAMINHO LONGO","OK"))</f>
      </c>
      <c r="AB148" s="3056">
        <f>IF(A148="","",IF(U148="","",IFERROR(INT(U148-TODAY()),"")))</f>
      </c>
      <c r="AC148" s="3056">
        <f>IF(A148="","",IF(AND(T148="",U148=""),"",IF(T148="","SEM CAMINHO",IF(U148="","SEM DATA",IFERROR(IF(AB148&lt;15,"VERMELHO",IF(AB148&lt;=30,"AMARELO","VERDE")),"DATA INVALIDA")))))</f>
      </c>
      <c r="AD148" s="3056">
        <f>IF(OR(A148="",U148="",NOT(ISNUMBER(AB148))),"",RANK(AB148,$AB$3:$AB$164,1)+COUNTIFS($AB$3:AB148,AB148)-1)</f>
      </c>
      <c r="AE148" s="1736"/>
    </row>
    <row r="149" ht="22.0" customHeight="true" hidden="false">
      <c r="A149" s="3119"/>
      <c r="B149" s="3118"/>
      <c r="C149" s="3118"/>
      <c r="D149" s="3118"/>
      <c r="E149" s="3118"/>
      <c r="F149" s="3118"/>
      <c r="G149" s="3118"/>
      <c r="H149" s="3118"/>
      <c r="I149" s="3118"/>
      <c r="J149" s="3118"/>
      <c r="K149" s="3118"/>
      <c r="L149" s="3118"/>
      <c r="M149" s="3118"/>
      <c r="N149" s="3118"/>
      <c r="O149" s="3118"/>
      <c r="P149" s="3118"/>
      <c r="Q149" s="3121"/>
      <c r="R149" s="3121"/>
      <c r="S149" s="3121"/>
      <c r="T149" s="3121"/>
      <c r="U149" s="3122"/>
      <c r="V149" s="3118"/>
      <c r="W149" s="3118"/>
      <c r="X149" s="3056">
        <f>IF(A149="","",IF(LEN(SUBSTITUTE(SUBSTITUTE(SUBSTITUTE(SUBSTITUTE(D149,".",""),"/",""),"-","")," ",""))&lt;&gt;14,"CNPJ INVALIDO","OK"))</f>
      </c>
      <c r="Y149" s="3056">
        <f>IF(A149="","",IF(R149="","REST PENDENTE","REST OK"))</f>
      </c>
      <c r="Z149" s="3056">
        <f>IF(A149="","",IF(AND(R149&lt;&gt;"",COUNTIFS($D$3:$D$164,D149,$R$3:$R$164,"&lt;&gt;")&gt;1),"DUPLICADO","OK"))</f>
      </c>
      <c r="AA149" s="3056">
        <f>IF(A149="","",IF(OR(LEN(Q149)&gt;180,LEN(R149)&gt;180,LEN(S149)&gt;180,LEN(T149)&gt;180),"CAMINHO LONGO","OK"))</f>
      </c>
      <c r="AB149" s="3056">
        <f>IF(A149="","",IF(U149="","",IFERROR(INT(U149-TODAY()),"")))</f>
      </c>
      <c r="AC149" s="3056">
        <f>IF(A149="","",IF(AND(T149="",U149=""),"",IF(T149="","SEM CAMINHO",IF(U149="","SEM DATA",IFERROR(IF(AB149&lt;15,"VERMELHO",IF(AB149&lt;=30,"AMARELO","VERDE")),"DATA INVALIDA")))))</f>
      </c>
      <c r="AD149" s="3056">
        <f>IF(OR(A149="",U149="",NOT(ISNUMBER(AB149))),"",RANK(AB149,$AB$3:$AB$164,1)+COUNTIFS($AB$3:AB149,AB149)-1)</f>
      </c>
      <c r="AE149" s="1736"/>
    </row>
    <row r="150" ht="22.0" customHeight="true" hidden="false">
      <c r="A150" s="3124"/>
      <c r="B150" s="3123"/>
      <c r="C150" s="3123"/>
      <c r="D150" s="3123"/>
      <c r="E150" s="3123"/>
      <c r="F150" s="3123"/>
      <c r="G150" s="3123"/>
      <c r="H150" s="3123"/>
      <c r="I150" s="3123"/>
      <c r="J150" s="3123"/>
      <c r="K150" s="3123"/>
      <c r="L150" s="3123"/>
      <c r="M150" s="3123"/>
      <c r="N150" s="3123"/>
      <c r="O150" s="3123"/>
      <c r="P150" s="3123"/>
      <c r="Q150" s="3126"/>
      <c r="R150" s="3126"/>
      <c r="S150" s="3126"/>
      <c r="T150" s="3126"/>
      <c r="U150" s="3127"/>
      <c r="V150" s="3123"/>
      <c r="W150" s="3123"/>
      <c r="X150" s="3056">
        <f>IF(A150="","",IF(LEN(SUBSTITUTE(SUBSTITUTE(SUBSTITUTE(SUBSTITUTE(D150,".",""),"/",""),"-","")," ",""))&lt;&gt;14,"CNPJ INVALIDO","OK"))</f>
      </c>
      <c r="Y150" s="3056">
        <f>IF(A150="","",IF(R150="","REST PENDENTE","REST OK"))</f>
      </c>
      <c r="Z150" s="3056">
        <f>IF(A150="","",IF(AND(R150&lt;&gt;"",COUNTIFS($D$3:$D$164,D150,$R$3:$R$164,"&lt;&gt;")&gt;1),"DUPLICADO","OK"))</f>
      </c>
      <c r="AA150" s="3056">
        <f>IF(A150="","",IF(OR(LEN(Q150)&gt;180,LEN(R150)&gt;180,LEN(S150)&gt;180,LEN(T150)&gt;180),"CAMINHO LONGO","OK"))</f>
      </c>
      <c r="AB150" s="3056">
        <f>IF(A150="","",IF(U150="","",IFERROR(INT(U150-TODAY()),"")))</f>
      </c>
      <c r="AC150" s="3056">
        <f>IF(A150="","",IF(AND(T150="",U150=""),"",IF(T150="","SEM CAMINHO",IF(U150="","SEM DATA",IFERROR(IF(AB150&lt;15,"VERMELHO",IF(AB150&lt;=30,"AMARELO","VERDE")),"DATA INVALIDA")))))</f>
      </c>
      <c r="AD150" s="3056">
        <f>IF(OR(A150="",U150="",NOT(ISNUMBER(AB150))),"",RANK(AB150,$AB$3:$AB$164,1)+COUNTIFS($AB$3:AB150,AB150)-1)</f>
      </c>
      <c r="AE150" s="1736"/>
    </row>
    <row r="151" ht="22.0" customHeight="true" hidden="false">
      <c r="A151" s="3119"/>
      <c r="B151" s="3118"/>
      <c r="C151" s="3118"/>
      <c r="D151" s="3118"/>
      <c r="E151" s="3118"/>
      <c r="F151" s="3118"/>
      <c r="G151" s="3118"/>
      <c r="H151" s="3118"/>
      <c r="I151" s="3118"/>
      <c r="J151" s="3118"/>
      <c r="K151" s="3118"/>
      <c r="L151" s="3118"/>
      <c r="M151" s="3118"/>
      <c r="N151" s="3118"/>
      <c r="O151" s="3118"/>
      <c r="P151" s="3118"/>
      <c r="Q151" s="3121"/>
      <c r="R151" s="3121"/>
      <c r="S151" s="3121"/>
      <c r="T151" s="3121"/>
      <c r="U151" s="3122"/>
      <c r="V151" s="3118"/>
      <c r="W151" s="3118"/>
      <c r="X151" s="3056">
        <f>IF(A151="","",IF(LEN(SUBSTITUTE(SUBSTITUTE(SUBSTITUTE(SUBSTITUTE(D151,".",""),"/",""),"-","")," ",""))&lt;&gt;14,"CNPJ INVALIDO","OK"))</f>
      </c>
      <c r="Y151" s="3056">
        <f>IF(A151="","",IF(R151="","REST PENDENTE","REST OK"))</f>
      </c>
      <c r="Z151" s="3056">
        <f>IF(A151="","",IF(AND(R151&lt;&gt;"",COUNTIFS($D$3:$D$164,D151,$R$3:$R$164,"&lt;&gt;")&gt;1),"DUPLICADO","OK"))</f>
      </c>
      <c r="AA151" s="3056">
        <f>IF(A151="","",IF(OR(LEN(Q151)&gt;180,LEN(R151)&gt;180,LEN(S151)&gt;180,LEN(T151)&gt;180),"CAMINHO LONGO","OK"))</f>
      </c>
      <c r="AB151" s="3056">
        <f>IF(A151="","",IF(U151="","",IFERROR(INT(U151-TODAY()),"")))</f>
      </c>
      <c r="AC151" s="3056">
        <f>IF(A151="","",IF(AND(T151="",U151=""),"",IF(T151="","SEM CAMINHO",IF(U151="","SEM DATA",IFERROR(IF(AB151&lt;15,"VERMELHO",IF(AB151&lt;=30,"AMARELO","VERDE")),"DATA INVALIDA")))))</f>
      </c>
      <c r="AD151" s="3056">
        <f>IF(OR(A151="",U151="",NOT(ISNUMBER(AB151))),"",RANK(AB151,$AB$3:$AB$164,1)+COUNTIFS($AB$3:AB151,AB151)-1)</f>
      </c>
      <c r="AE151" s="1736"/>
    </row>
    <row r="152" ht="22.0" customHeight="true" hidden="false">
      <c r="A152" s="3124"/>
      <c r="B152" s="3123"/>
      <c r="C152" s="3123"/>
      <c r="D152" s="3123"/>
      <c r="E152" s="3123"/>
      <c r="F152" s="3123"/>
      <c r="G152" s="3123"/>
      <c r="H152" s="3123"/>
      <c r="I152" s="3123"/>
      <c r="J152" s="3123"/>
      <c r="K152" s="3123"/>
      <c r="L152" s="3123"/>
      <c r="M152" s="3123"/>
      <c r="N152" s="3123"/>
      <c r="O152" s="3123"/>
      <c r="P152" s="3123"/>
      <c r="Q152" s="3126"/>
      <c r="R152" s="3126"/>
      <c r="S152" s="3126"/>
      <c r="T152" s="3126"/>
      <c r="U152" s="3127"/>
      <c r="V152" s="3123"/>
      <c r="W152" s="3123"/>
      <c r="X152" s="3056">
        <f>IF(A152="","",IF(LEN(SUBSTITUTE(SUBSTITUTE(SUBSTITUTE(SUBSTITUTE(D152,".",""),"/",""),"-","")," ",""))&lt;&gt;14,"CNPJ INVALIDO","OK"))</f>
      </c>
      <c r="Y152" s="3056">
        <f>IF(A152="","",IF(R152="","REST PENDENTE","REST OK"))</f>
      </c>
      <c r="Z152" s="3056">
        <f>IF(A152="","",IF(AND(R152&lt;&gt;"",COUNTIFS($D$3:$D$164,D152,$R$3:$R$164,"&lt;&gt;")&gt;1),"DUPLICADO","OK"))</f>
      </c>
      <c r="AA152" s="3056">
        <f>IF(A152="","",IF(OR(LEN(Q152)&gt;180,LEN(R152)&gt;180,LEN(S152)&gt;180,LEN(T152)&gt;180),"CAMINHO LONGO","OK"))</f>
      </c>
      <c r="AB152" s="3056">
        <f>IF(A152="","",IF(U152="","",IFERROR(INT(U152-TODAY()),"")))</f>
      </c>
      <c r="AC152" s="3056">
        <f>IF(A152="","",IF(AND(T152="",U152=""),"",IF(T152="","SEM CAMINHO",IF(U152="","SEM DATA",IFERROR(IF(AB152&lt;15,"VERMELHO",IF(AB152&lt;=30,"AMARELO","VERDE")),"DATA INVALIDA")))))</f>
      </c>
      <c r="AD152" s="3056">
        <f>IF(OR(A152="",U152="",NOT(ISNUMBER(AB152))),"",RANK(AB152,$AB$3:$AB$164,1)+COUNTIFS($AB$3:AB152,AB152)-1)</f>
      </c>
      <c r="AE152" s="1736"/>
    </row>
    <row r="153" ht="22.0" customHeight="true" hidden="false">
      <c r="A153" s="3119"/>
      <c r="B153" s="3118"/>
      <c r="C153" s="3118"/>
      <c r="D153" s="3118"/>
      <c r="E153" s="3118"/>
      <c r="F153" s="3118"/>
      <c r="G153" s="3118"/>
      <c r="H153" s="3118"/>
      <c r="I153" s="3118"/>
      <c r="J153" s="3118"/>
      <c r="K153" s="3118"/>
      <c r="L153" s="3118"/>
      <c r="M153" s="3118"/>
      <c r="N153" s="3118"/>
      <c r="O153" s="3118"/>
      <c r="P153" s="3118"/>
      <c r="Q153" s="3121"/>
      <c r="R153" s="3121"/>
      <c r="S153" s="3121"/>
      <c r="T153" s="3121"/>
      <c r="U153" s="3122"/>
      <c r="V153" s="3118"/>
      <c r="W153" s="3118"/>
      <c r="X153" s="3056">
        <f>IF(A153="","",IF(LEN(SUBSTITUTE(SUBSTITUTE(SUBSTITUTE(SUBSTITUTE(D153,".",""),"/",""),"-","")," ",""))&lt;&gt;14,"CNPJ INVALIDO","OK"))</f>
      </c>
      <c r="Y153" s="3056">
        <f>IF(A153="","",IF(R153="","REST PENDENTE","REST OK"))</f>
      </c>
      <c r="Z153" s="3056">
        <f>IF(A153="","",IF(AND(R153&lt;&gt;"",COUNTIFS($D$3:$D$164,D153,$R$3:$R$164,"&lt;&gt;")&gt;1),"DUPLICADO","OK"))</f>
      </c>
      <c r="AA153" s="3056">
        <f>IF(A153="","",IF(OR(LEN(Q153)&gt;180,LEN(R153)&gt;180,LEN(S153)&gt;180,LEN(T153)&gt;180),"CAMINHO LONGO","OK"))</f>
      </c>
      <c r="AB153" s="3056">
        <f>IF(A153="","",IF(U153="","",IFERROR(INT(U153-TODAY()),"")))</f>
      </c>
      <c r="AC153" s="3056">
        <f>IF(A153="","",IF(AND(T153="",U153=""),"",IF(T153="","SEM CAMINHO",IF(U153="","SEM DATA",IFERROR(IF(AB153&lt;15,"VERMELHO",IF(AB153&lt;=30,"AMARELO","VERDE")),"DATA INVALIDA")))))</f>
      </c>
      <c r="AD153" s="3056">
        <f>IF(OR(A153="",U153="",NOT(ISNUMBER(AB153))),"",RANK(AB153,$AB$3:$AB$164,1)+COUNTIFS($AB$3:AB153,AB153)-1)</f>
      </c>
      <c r="AE153" s="1736"/>
    </row>
    <row r="154" ht="22.0" customHeight="true" hidden="false">
      <c r="A154" s="3124"/>
      <c r="B154" s="3123"/>
      <c r="C154" s="3123"/>
      <c r="D154" s="3123"/>
      <c r="E154" s="3123"/>
      <c r="F154" s="3123"/>
      <c r="G154" s="3123"/>
      <c r="H154" s="3123"/>
      <c r="I154" s="3123"/>
      <c r="J154" s="3123"/>
      <c r="K154" s="3123"/>
      <c r="L154" s="3123"/>
      <c r="M154" s="3123"/>
      <c r="N154" s="3123"/>
      <c r="O154" s="3123"/>
      <c r="P154" s="3123"/>
      <c r="Q154" s="3126"/>
      <c r="R154" s="3126"/>
      <c r="S154" s="3126"/>
      <c r="T154" s="3126"/>
      <c r="U154" s="3127"/>
      <c r="V154" s="3123"/>
      <c r="W154" s="3123"/>
      <c r="X154" s="3056">
        <f>IF(A154="","",IF(LEN(SUBSTITUTE(SUBSTITUTE(SUBSTITUTE(SUBSTITUTE(D154,".",""),"/",""),"-","")," ",""))&lt;&gt;14,"CNPJ INVALIDO","OK"))</f>
      </c>
      <c r="Y154" s="3056">
        <f>IF(A154="","",IF(R154="","REST PENDENTE","REST OK"))</f>
      </c>
      <c r="Z154" s="3056">
        <f>IF(A154="","",IF(AND(R154&lt;&gt;"",COUNTIFS($D$3:$D$164,D154,$R$3:$R$164,"&lt;&gt;")&gt;1),"DUPLICADO","OK"))</f>
      </c>
      <c r="AA154" s="3056">
        <f>IF(A154="","",IF(OR(LEN(Q154)&gt;180,LEN(R154)&gt;180,LEN(S154)&gt;180,LEN(T154)&gt;180),"CAMINHO LONGO","OK"))</f>
      </c>
      <c r="AB154" s="3056">
        <f>IF(A154="","",IF(U154="","",IFERROR(INT(U154-TODAY()),"")))</f>
      </c>
      <c r="AC154" s="3056">
        <f>IF(A154="","",IF(AND(T154="",U154=""),"",IF(T154="","SEM CAMINHO",IF(U154="","SEM DATA",IFERROR(IF(AB154&lt;15,"VERMELHO",IF(AB154&lt;=30,"AMARELO","VERDE")),"DATA INVALIDA")))))</f>
      </c>
      <c r="AD154" s="3056">
        <f>IF(OR(A154="",U154="",NOT(ISNUMBER(AB154))),"",RANK(AB154,$AB$3:$AB$164,1)+COUNTIFS($AB$3:AB154,AB154)-1)</f>
      </c>
      <c r="AE154" s="1736"/>
    </row>
    <row r="155" ht="22.0" customHeight="true" hidden="false">
      <c r="A155" s="3119"/>
      <c r="B155" s="3118"/>
      <c r="C155" s="3118"/>
      <c r="D155" s="3118"/>
      <c r="E155" s="3118"/>
      <c r="F155" s="3118"/>
      <c r="G155" s="3118"/>
      <c r="H155" s="3118"/>
      <c r="I155" s="3118"/>
      <c r="J155" s="3118"/>
      <c r="K155" s="3118"/>
      <c r="L155" s="3118"/>
      <c r="M155" s="3118"/>
      <c r="N155" s="3118"/>
      <c r="O155" s="3118"/>
      <c r="P155" s="3118"/>
      <c r="Q155" s="3121"/>
      <c r="R155" s="3121"/>
      <c r="S155" s="3121"/>
      <c r="T155" s="3121"/>
      <c r="U155" s="3122"/>
      <c r="V155" s="3118"/>
      <c r="W155" s="3118"/>
      <c r="X155" s="3056">
        <f>IF(A155="","",IF(LEN(SUBSTITUTE(SUBSTITUTE(SUBSTITUTE(SUBSTITUTE(D155,".",""),"/",""),"-","")," ",""))&lt;&gt;14,"CNPJ INVALIDO","OK"))</f>
      </c>
      <c r="Y155" s="3056">
        <f>IF(A155="","",IF(R155="","REST PENDENTE","REST OK"))</f>
      </c>
      <c r="Z155" s="3056">
        <f>IF(A155="","",IF(AND(R155&lt;&gt;"",COUNTIFS($D$3:$D$164,D155,$R$3:$R$164,"&lt;&gt;")&gt;1),"DUPLICADO","OK"))</f>
      </c>
      <c r="AA155" s="3056">
        <f>IF(A155="","",IF(OR(LEN(Q155)&gt;180,LEN(R155)&gt;180,LEN(S155)&gt;180,LEN(T155)&gt;180),"CAMINHO LONGO","OK"))</f>
      </c>
      <c r="AB155" s="3056">
        <f>IF(A155="","",IF(U155="","",IFERROR(INT(U155-TODAY()),"")))</f>
      </c>
      <c r="AC155" s="3056">
        <f>IF(A155="","",IF(AND(T155="",U155=""),"",IF(T155="","SEM CAMINHO",IF(U155="","SEM DATA",IFERROR(IF(AB155&lt;15,"VERMELHO",IF(AB155&lt;=30,"AMARELO","VERDE")),"DATA INVALIDA")))))</f>
      </c>
      <c r="AD155" s="3056">
        <f>IF(OR(A155="",U155="",NOT(ISNUMBER(AB155))),"",RANK(AB155,$AB$3:$AB$164,1)+COUNTIFS($AB$3:AB155,AB155)-1)</f>
      </c>
      <c r="AE155" s="1736"/>
    </row>
    <row r="156" ht="22.0" customHeight="true" hidden="false">
      <c r="A156" s="3124"/>
      <c r="B156" s="3123"/>
      <c r="C156" s="3123"/>
      <c r="D156" s="3123"/>
      <c r="E156" s="3123"/>
      <c r="F156" s="3123"/>
      <c r="G156" s="3123"/>
      <c r="H156" s="3123"/>
      <c r="I156" s="3123"/>
      <c r="J156" s="3123"/>
      <c r="K156" s="3123"/>
      <c r="L156" s="3123"/>
      <c r="M156" s="3123"/>
      <c r="N156" s="3123"/>
      <c r="O156" s="3123"/>
      <c r="P156" s="3123"/>
      <c r="Q156" s="3126"/>
      <c r="R156" s="3126"/>
      <c r="S156" s="3126"/>
      <c r="T156" s="3126"/>
      <c r="U156" s="3127"/>
      <c r="V156" s="3123"/>
      <c r="W156" s="3123"/>
      <c r="X156" s="3056">
        <f>IF(A156="","",IF(LEN(SUBSTITUTE(SUBSTITUTE(SUBSTITUTE(SUBSTITUTE(D156,".",""),"/",""),"-","")," ",""))&lt;&gt;14,"CNPJ INVALIDO","OK"))</f>
      </c>
      <c r="Y156" s="3056">
        <f>IF(A156="","",IF(R156="","REST PENDENTE","REST OK"))</f>
      </c>
      <c r="Z156" s="3056">
        <f>IF(A156="","",IF(AND(R156&lt;&gt;"",COUNTIFS($D$3:$D$164,D156,$R$3:$R$164,"&lt;&gt;")&gt;1),"DUPLICADO","OK"))</f>
      </c>
      <c r="AA156" s="3056">
        <f>IF(A156="","",IF(OR(LEN(Q156)&gt;180,LEN(R156)&gt;180,LEN(S156)&gt;180,LEN(T156)&gt;180),"CAMINHO LONGO","OK"))</f>
      </c>
      <c r="AB156" s="3056">
        <f>IF(A156="","",IF(U156="","",IFERROR(INT(U156-TODAY()),"")))</f>
      </c>
      <c r="AC156" s="3056">
        <f>IF(A156="","",IF(AND(T156="",U156=""),"",IF(T156="","SEM CAMINHO",IF(U156="","SEM DATA",IFERROR(IF(AB156&lt;15,"VERMELHO",IF(AB156&lt;=30,"AMARELO","VERDE")),"DATA INVALIDA")))))</f>
      </c>
      <c r="AD156" s="3056">
        <f>IF(OR(A156="",U156="",NOT(ISNUMBER(AB156))),"",RANK(AB156,$AB$3:$AB$164,1)+COUNTIFS($AB$3:AB156,AB156)-1)</f>
      </c>
      <c r="AE156" s="1736"/>
    </row>
    <row r="157" ht="22.0" customHeight="true" hidden="false">
      <c r="A157" s="3119"/>
      <c r="B157" s="3118"/>
      <c r="C157" s="3118"/>
      <c r="D157" s="3118"/>
      <c r="E157" s="3118"/>
      <c r="F157" s="3118"/>
      <c r="G157" s="3118"/>
      <c r="H157" s="3118"/>
      <c r="I157" s="3118"/>
      <c r="J157" s="3118"/>
      <c r="K157" s="3118"/>
      <c r="L157" s="3118"/>
      <c r="M157" s="3118"/>
      <c r="N157" s="3118"/>
      <c r="O157" s="3118"/>
      <c r="P157" s="3118"/>
      <c r="Q157" s="3121"/>
      <c r="R157" s="3121"/>
      <c r="S157" s="3121"/>
      <c r="T157" s="3121"/>
      <c r="U157" s="3122"/>
      <c r="V157" s="3118"/>
      <c r="W157" s="3118"/>
      <c r="X157" s="3056">
        <f>IF(A157="","",IF(LEN(SUBSTITUTE(SUBSTITUTE(SUBSTITUTE(SUBSTITUTE(D157,".",""),"/",""),"-","")," ",""))&lt;&gt;14,"CNPJ INVALIDO","OK"))</f>
      </c>
      <c r="Y157" s="3056">
        <f>IF(A157="","",IF(R157="","REST PENDENTE","REST OK"))</f>
      </c>
      <c r="Z157" s="3056">
        <f>IF(A157="","",IF(AND(R157&lt;&gt;"",COUNTIFS($D$3:$D$164,D157,$R$3:$R$164,"&lt;&gt;")&gt;1),"DUPLICADO","OK"))</f>
      </c>
      <c r="AA157" s="3056">
        <f>IF(A157="","",IF(OR(LEN(Q157)&gt;180,LEN(R157)&gt;180,LEN(S157)&gt;180,LEN(T157)&gt;180),"CAMINHO LONGO","OK"))</f>
      </c>
      <c r="AB157" s="3056">
        <f>IF(A157="","",IF(U157="","",IFERROR(INT(U157-TODAY()),"")))</f>
      </c>
      <c r="AC157" s="3056">
        <f>IF(A157="","",IF(AND(T157="",U157=""),"",IF(T157="","SEM CAMINHO",IF(U157="","SEM DATA",IFERROR(IF(AB157&lt;15,"VERMELHO",IF(AB157&lt;=30,"AMARELO","VERDE")),"DATA INVALIDA")))))</f>
      </c>
      <c r="AD157" s="3056">
        <f>IF(OR(A157="",U157="",NOT(ISNUMBER(AB157))),"",RANK(AB157,$AB$3:$AB$164,1)+COUNTIFS($AB$3:AB157,AB157)-1)</f>
      </c>
      <c r="AE157" s="1736"/>
    </row>
    <row r="158" ht="22.0" customHeight="true" hidden="false">
      <c r="A158" s="3124"/>
      <c r="B158" s="3123"/>
      <c r="C158" s="3123"/>
      <c r="D158" s="3123"/>
      <c r="E158" s="3123"/>
      <c r="F158" s="3123"/>
      <c r="G158" s="3123"/>
      <c r="H158" s="3123"/>
      <c r="I158" s="3123"/>
      <c r="J158" s="3123"/>
      <c r="K158" s="3123"/>
      <c r="L158" s="3123"/>
      <c r="M158" s="3123"/>
      <c r="N158" s="3123"/>
      <c r="O158" s="3123"/>
      <c r="P158" s="3123"/>
      <c r="Q158" s="3126"/>
      <c r="R158" s="3126"/>
      <c r="S158" s="3126"/>
      <c r="T158" s="3126"/>
      <c r="U158" s="3127"/>
      <c r="V158" s="3123"/>
      <c r="W158" s="3123"/>
      <c r="X158" s="3056">
        <f>IF(A158="","",IF(LEN(SUBSTITUTE(SUBSTITUTE(SUBSTITUTE(SUBSTITUTE(D158,".",""),"/",""),"-","")," ",""))&lt;&gt;14,"CNPJ INVALIDO","OK"))</f>
      </c>
      <c r="Y158" s="3056">
        <f>IF(A158="","",IF(R158="","REST PENDENTE","REST OK"))</f>
      </c>
      <c r="Z158" s="3056">
        <f>IF(A158="","",IF(AND(R158&lt;&gt;"",COUNTIFS($D$3:$D$164,D158,$R$3:$R$164,"&lt;&gt;")&gt;1),"DUPLICADO","OK"))</f>
      </c>
      <c r="AA158" s="3056">
        <f>IF(A158="","",IF(OR(LEN(Q158)&gt;180,LEN(R158)&gt;180,LEN(S158)&gt;180,LEN(T158)&gt;180),"CAMINHO LONGO","OK"))</f>
      </c>
      <c r="AB158" s="3056">
        <f>IF(A158="","",IF(U158="","",IFERROR(INT(U158-TODAY()),"")))</f>
      </c>
      <c r="AC158" s="3056">
        <f>IF(A158="","",IF(AND(T158="",U158=""),"",IF(T158="","SEM CAMINHO",IF(U158="","SEM DATA",IFERROR(IF(AB158&lt;15,"VERMELHO",IF(AB158&lt;=30,"AMARELO","VERDE")),"DATA INVALIDA")))))</f>
      </c>
      <c r="AD158" s="3056">
        <f>IF(OR(A158="",U158="",NOT(ISNUMBER(AB158))),"",RANK(AB158,$AB$3:$AB$164,1)+COUNTIFS($AB$3:AB158,AB158)-1)</f>
      </c>
      <c r="AE158" s="1736"/>
    </row>
    <row r="159" ht="22.0" customHeight="true" hidden="false">
      <c r="A159" s="3119"/>
      <c r="B159" s="3118"/>
      <c r="C159" s="3118"/>
      <c r="D159" s="3118"/>
      <c r="E159" s="3118"/>
      <c r="F159" s="3118"/>
      <c r="G159" s="3118"/>
      <c r="H159" s="3118"/>
      <c r="I159" s="3118"/>
      <c r="J159" s="3118"/>
      <c r="K159" s="3118"/>
      <c r="L159" s="3118"/>
      <c r="M159" s="3118"/>
      <c r="N159" s="3118"/>
      <c r="O159" s="3118"/>
      <c r="P159" s="3118"/>
      <c r="Q159" s="3121"/>
      <c r="R159" s="3121"/>
      <c r="S159" s="3121"/>
      <c r="T159" s="3121"/>
      <c r="U159" s="3122"/>
      <c r="V159" s="3118"/>
      <c r="W159" s="3118"/>
      <c r="X159" s="3056">
        <f>IF(A159="","",IF(LEN(SUBSTITUTE(SUBSTITUTE(SUBSTITUTE(SUBSTITUTE(D159,".",""),"/",""),"-","")," ",""))&lt;&gt;14,"CNPJ INVALIDO","OK"))</f>
      </c>
      <c r="Y159" s="3056">
        <f>IF(A159="","",IF(R159="","REST PENDENTE","REST OK"))</f>
      </c>
      <c r="Z159" s="3056">
        <f>IF(A159="","",IF(AND(R159&lt;&gt;"",COUNTIFS($D$3:$D$164,D159,$R$3:$R$164,"&lt;&gt;")&gt;1),"DUPLICADO","OK"))</f>
      </c>
      <c r="AA159" s="3056">
        <f>IF(A159="","",IF(OR(LEN(Q159)&gt;180,LEN(R159)&gt;180,LEN(S159)&gt;180,LEN(T159)&gt;180),"CAMINHO LONGO","OK"))</f>
      </c>
      <c r="AB159" s="3056">
        <f>IF(A159="","",IF(U159="","",IFERROR(INT(U159-TODAY()),"")))</f>
      </c>
      <c r="AC159" s="3056">
        <f>IF(A159="","",IF(AND(T159="",U159=""),"",IF(T159="","SEM CAMINHO",IF(U159="","SEM DATA",IFERROR(IF(AB159&lt;15,"VERMELHO",IF(AB159&lt;=30,"AMARELO","VERDE")),"DATA INVALIDA")))))</f>
      </c>
      <c r="AD159" s="3056">
        <f>IF(OR(A159="",U159="",NOT(ISNUMBER(AB159))),"",RANK(AB159,$AB$3:$AB$164,1)+COUNTIFS($AB$3:AB159,AB159)-1)</f>
      </c>
      <c r="AE159" s="1736"/>
    </row>
    <row r="160" ht="22.0" customHeight="true" hidden="false">
      <c r="A160" s="3124"/>
      <c r="B160" s="3123"/>
      <c r="C160" s="3123"/>
      <c r="D160" s="3123"/>
      <c r="E160" s="3123"/>
      <c r="F160" s="3123"/>
      <c r="G160" s="3123"/>
      <c r="H160" s="3123"/>
      <c r="I160" s="3123"/>
      <c r="J160" s="3123"/>
      <c r="K160" s="3123"/>
      <c r="L160" s="3123"/>
      <c r="M160" s="3123"/>
      <c r="N160" s="3123"/>
      <c r="O160" s="3123"/>
      <c r="P160" s="3123"/>
      <c r="Q160" s="3126"/>
      <c r="R160" s="3126"/>
      <c r="S160" s="3126"/>
      <c r="T160" s="3126"/>
      <c r="U160" s="3127"/>
      <c r="V160" s="3123"/>
      <c r="W160" s="3123"/>
      <c r="X160" s="3056">
        <f>IF(A160="","",IF(LEN(SUBSTITUTE(SUBSTITUTE(SUBSTITUTE(SUBSTITUTE(D160,".",""),"/",""),"-","")," ",""))&lt;&gt;14,"CNPJ INVALIDO","OK"))</f>
      </c>
      <c r="Y160" s="3056">
        <f>IF(A160="","",IF(R160="","REST PENDENTE","REST OK"))</f>
      </c>
      <c r="Z160" s="3056">
        <f>IF(A160="","",IF(AND(R160&lt;&gt;"",COUNTIFS($D$3:$D$164,D160,$R$3:$R$164,"&lt;&gt;")&gt;1),"DUPLICADO","OK"))</f>
      </c>
      <c r="AA160" s="3056">
        <f>IF(A160="","",IF(OR(LEN(Q160)&gt;180,LEN(R160)&gt;180,LEN(S160)&gt;180,LEN(T160)&gt;180),"CAMINHO LONGO","OK"))</f>
      </c>
      <c r="AB160" s="3056">
        <f>IF(A160="","",IF(U160="","",IFERROR(INT(U160-TODAY()),"")))</f>
      </c>
      <c r="AC160" s="3056">
        <f>IF(A160="","",IF(AND(T160="",U160=""),"",IF(T160="","SEM CAMINHO",IF(U160="","SEM DATA",IFERROR(IF(AB160&lt;15,"VERMELHO",IF(AB160&lt;=30,"AMARELO","VERDE")),"DATA INVALIDA")))))</f>
      </c>
      <c r="AD160" s="3056">
        <f>IF(OR(A160="",U160="",NOT(ISNUMBER(AB160))),"",RANK(AB160,$AB$3:$AB$164,1)+COUNTIFS($AB$3:AB160,AB160)-1)</f>
      </c>
      <c r="AE160" s="1736"/>
    </row>
    <row r="161" ht="22.0" customHeight="true" hidden="false">
      <c r="A161" s="3119"/>
      <c r="B161" s="3118"/>
      <c r="C161" s="3118"/>
      <c r="D161" s="3118"/>
      <c r="E161" s="3118"/>
      <c r="F161" s="3118"/>
      <c r="G161" s="3118"/>
      <c r="H161" s="3118"/>
      <c r="I161" s="3118"/>
      <c r="J161" s="3118"/>
      <c r="K161" s="3118"/>
      <c r="L161" s="3118"/>
      <c r="M161" s="3118"/>
      <c r="N161" s="3118"/>
      <c r="O161" s="3118"/>
      <c r="P161" s="3118"/>
      <c r="Q161" s="3121"/>
      <c r="R161" s="3121"/>
      <c r="S161" s="3121"/>
      <c r="T161" s="3121"/>
      <c r="U161" s="3122"/>
      <c r="V161" s="3118"/>
      <c r="W161" s="3118"/>
      <c r="X161" s="3056">
        <f>IF(A161="","",IF(LEN(SUBSTITUTE(SUBSTITUTE(SUBSTITUTE(SUBSTITUTE(D161,".",""),"/",""),"-","")," ",""))&lt;&gt;14,"CNPJ INVALIDO","OK"))</f>
      </c>
      <c r="Y161" s="3056">
        <f>IF(A161="","",IF(R161="","REST PENDENTE","REST OK"))</f>
      </c>
      <c r="Z161" s="3056">
        <f>IF(A161="","",IF(AND(R161&lt;&gt;"",COUNTIFS($D$3:$D$164,D161,$R$3:$R$164,"&lt;&gt;")&gt;1),"DUPLICADO","OK"))</f>
      </c>
      <c r="AA161" s="3056">
        <f>IF(A161="","",IF(OR(LEN(Q161)&gt;180,LEN(R161)&gt;180,LEN(S161)&gt;180,LEN(T161)&gt;180),"CAMINHO LONGO","OK"))</f>
      </c>
      <c r="AB161" s="3056">
        <f>IF(A161="","",IF(U161="","",IFERROR(INT(U161-TODAY()),"")))</f>
      </c>
      <c r="AC161" s="3056">
        <f>IF(A161="","",IF(AND(T161="",U161=""),"",IF(T161="","SEM CAMINHO",IF(U161="","SEM DATA",IFERROR(IF(AB161&lt;15,"VERMELHO",IF(AB161&lt;=30,"AMARELO","VERDE")),"DATA INVALIDA")))))</f>
      </c>
      <c r="AD161" s="3056">
        <f>IF(OR(A161="",U161="",NOT(ISNUMBER(AB161))),"",RANK(AB161,$AB$3:$AB$164,1)+COUNTIFS($AB$3:AB161,AB161)-1)</f>
      </c>
      <c r="AE161" s="1736"/>
    </row>
    <row r="162" ht="22.0" customHeight="true" hidden="false">
      <c r="A162" s="3124"/>
      <c r="B162" s="3123"/>
      <c r="C162" s="3123"/>
      <c r="D162" s="3123"/>
      <c r="E162" s="3123"/>
      <c r="F162" s="3123"/>
      <c r="G162" s="3123"/>
      <c r="H162" s="3123"/>
      <c r="I162" s="3123"/>
      <c r="J162" s="3123"/>
      <c r="K162" s="3123"/>
      <c r="L162" s="3123"/>
      <c r="M162" s="3123"/>
      <c r="N162" s="3123"/>
      <c r="O162" s="3123"/>
      <c r="P162" s="3123"/>
      <c r="Q162" s="3126"/>
      <c r="R162" s="3126"/>
      <c r="S162" s="3126"/>
      <c r="T162" s="3126"/>
      <c r="U162" s="3127"/>
      <c r="V162" s="3123"/>
      <c r="W162" s="3123"/>
      <c r="X162" s="3056">
        <f>IF(A162="","",IF(LEN(SUBSTITUTE(SUBSTITUTE(SUBSTITUTE(SUBSTITUTE(D162,".",""),"/",""),"-","")," ",""))&lt;&gt;14,"CNPJ INVALIDO","OK"))</f>
      </c>
      <c r="Y162" s="3056">
        <f>IF(A162="","",IF(R162="","REST PENDENTE","REST OK"))</f>
      </c>
      <c r="Z162" s="3056">
        <f>IF(A162="","",IF(AND(R162&lt;&gt;"",COUNTIFS($D$3:$D$164,D162,$R$3:$R$164,"&lt;&gt;")&gt;1),"DUPLICADO","OK"))</f>
      </c>
      <c r="AA162" s="3056">
        <f>IF(A162="","",IF(OR(LEN(Q162)&gt;180,LEN(R162)&gt;180,LEN(S162)&gt;180,LEN(T162)&gt;180),"CAMINHO LONGO","OK"))</f>
      </c>
      <c r="AB162" s="3056">
        <f>IF(A162="","",IF(U162="","",IFERROR(INT(U162-TODAY()),"")))</f>
      </c>
      <c r="AC162" s="3056">
        <f>IF(A162="","",IF(AND(T162="",U162=""),"",IF(T162="","SEM CAMINHO",IF(U162="","SEM DATA",IFERROR(IF(AB162&lt;15,"VERMELHO",IF(AB162&lt;=30,"AMARELO","VERDE")),"DATA INVALIDA")))))</f>
      </c>
      <c r="AD162" s="3056">
        <f>IF(OR(A162="",U162="",NOT(ISNUMBER(AB162))),"",RANK(AB162,$AB$3:$AB$164,1)+COUNTIFS($AB$3:AB162,AB162)-1)</f>
      </c>
      <c r="AE162" s="1736"/>
    </row>
    <row r="163" ht="22.0" customHeight="true" hidden="false">
      <c r="A163" s="3119"/>
      <c r="B163" s="3118"/>
      <c r="C163" s="3118"/>
      <c r="D163" s="3118"/>
      <c r="E163" s="3118"/>
      <c r="F163" s="3118"/>
      <c r="G163" s="3118"/>
      <c r="H163" s="3118"/>
      <c r="I163" s="3118"/>
      <c r="J163" s="3118"/>
      <c r="K163" s="3118"/>
      <c r="L163" s="3118"/>
      <c r="M163" s="3118"/>
      <c r="N163" s="3118"/>
      <c r="O163" s="3118"/>
      <c r="P163" s="3118"/>
      <c r="Q163" s="3121"/>
      <c r="R163" s="3121"/>
      <c r="S163" s="3121"/>
      <c r="T163" s="3121"/>
      <c r="U163" s="3122"/>
      <c r="V163" s="3118"/>
      <c r="W163" s="3118"/>
      <c r="X163" s="3056">
        <f>IF(A163="","",IF(LEN(SUBSTITUTE(SUBSTITUTE(SUBSTITUTE(SUBSTITUTE(D163,".",""),"/",""),"-","")," ",""))&lt;&gt;14,"CNPJ INVALIDO","OK"))</f>
      </c>
      <c r="Y163" s="3056">
        <f>IF(A163="","",IF(R163="","REST PENDENTE","REST OK"))</f>
      </c>
      <c r="Z163" s="3056">
        <f>IF(A163="","",IF(AND(R163&lt;&gt;"",COUNTIFS($D$3:$D$164,D163,$R$3:$R$164,"&lt;&gt;")&gt;1),"DUPLICADO","OK"))</f>
      </c>
      <c r="AA163" s="3056">
        <f>IF(A163="","",IF(OR(LEN(Q163)&gt;180,LEN(R163)&gt;180,LEN(S163)&gt;180,LEN(T163)&gt;180),"CAMINHO LONGO","OK"))</f>
      </c>
      <c r="AB163" s="3056">
        <f>IF(A163="","",IF(U163="","",IFERROR(INT(U163-TODAY()),"")))</f>
      </c>
      <c r="AC163" s="3056">
        <f>IF(A163="","",IF(AND(T163="",U163=""),"",IF(T163="","SEM CAMINHO",IF(U163="","SEM DATA",IFERROR(IF(AB163&lt;15,"VERMELHO",IF(AB163&lt;=30,"AMARELO","VERDE")),"DATA INVALIDA")))))</f>
      </c>
      <c r="AD163" s="3056">
        <f>IF(OR(A163="",U163="",NOT(ISNUMBER(AB163))),"",RANK(AB163,$AB$3:$AB$164,1)+COUNTIFS($AB$3:AB163,AB163)-1)</f>
      </c>
      <c r="AE163" s="1736"/>
    </row>
    <row r="164" ht="22.0" customHeight="true" hidden="false">
      <c r="A164" s="3124"/>
      <c r="B164" s="3123"/>
      <c r="C164" s="3123"/>
      <c r="D164" s="3123"/>
      <c r="E164" s="3123"/>
      <c r="F164" s="3123"/>
      <c r="G164" s="3123"/>
      <c r="H164" s="3123"/>
      <c r="I164" s="3123"/>
      <c r="J164" s="3123"/>
      <c r="K164" s="3123"/>
      <c r="L164" s="3123"/>
      <c r="M164" s="3123"/>
      <c r="N164" s="3123"/>
      <c r="O164" s="3123"/>
      <c r="P164" s="3123"/>
      <c r="Q164" s="3126"/>
      <c r="R164" s="3126"/>
      <c r="S164" s="3126"/>
      <c r="T164" s="3126"/>
      <c r="U164" s="3127"/>
      <c r="V164" s="3123"/>
      <c r="W164" s="3123"/>
      <c r="X164" s="3056">
        <f>IF(A164="","",IF(LEN(SUBSTITUTE(SUBSTITUTE(SUBSTITUTE(SUBSTITUTE(D164,".",""),"/",""),"-","")," ",""))&lt;&gt;14,"CNPJ INVALIDO","OK"))</f>
      </c>
      <c r="Y164" s="3056">
        <f>IF(A164="","",IF(R164="","REST PENDENTE","REST OK"))</f>
      </c>
      <c r="Z164" s="3056">
        <f>IF(A164="","",IF(AND(R164&lt;&gt;"",COUNTIFS($D$3:$D$164,D164,$R$3:$R$164,"&lt;&gt;")&gt;1),"DUPLICADO","OK"))</f>
      </c>
      <c r="AA164" s="3056">
        <f>IF(A164="","",IF(OR(LEN(Q164)&gt;180,LEN(R164)&gt;180,LEN(S164)&gt;180,LEN(T164)&gt;180),"CAMINHO LONGO","OK"))</f>
      </c>
      <c r="AB164" s="3056">
        <f>IF(A164="","",IF(U164="","",IFERROR(INT(U164-TODAY()),"")))</f>
      </c>
      <c r="AC164" s="3056">
        <f>IF(A164="","",IF(AND(T164="",U164=""),"",IF(T164="","SEM CAMINHO",IF(U164="","SEM DATA",IFERROR(IF(AB164&lt;15,"VERMELHO",IF(AB164&lt;=30,"AMARELO","VERDE")),"DATA INVALIDA")))))</f>
      </c>
      <c r="AD164" s="3056">
        <f>IF(OR(A164="",U164="",NOT(ISNUMBER(AB164))),"",RANK(AB164,$AB$3:$AB$164,1)+COUNTIFS($AB$3:AB164,AB164)-1)</f>
      </c>
      <c r="AE164" s="1736"/>
    </row>
  </sheetData>
  <autoFilter ref="A2:W164"/>
  <mergeCells count="1">
    <mergeCell ref="A1:W1"/>
  </mergeCells>
  <phoneticPr fontId="6" type="noConversion"/>
  <printOptions gridLines="false"/>
  <pageMargins left="0.511811024" right="0.511811024" top="0.78740157499999996" bottom="0.78740157499999996" header="0.31496062000000002" footer="0.31496062000000002"/>
  <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664CF-DAE5-4396-BA73-B978C471E6A7}">
  <sheetPr codeName="Planilha1" filterMode="1"/>
  <dimension ref="A1:AE164"/>
  <sheetViews>
    <sheetView tabSelected="false" workbookViewId="0" showGridLines="false" zoomScale="90">
      <pane ySplit="2.0" topLeftCell="A3" activePane="bottomLeft" state="frozen"/>
      <selection pane="bottomLeft"/>
    </sheetView>
  </sheetViews>
  <sheetFormatPr defaultRowHeight="15" x14ac:dyDescent="0.25"/>
  <cols>
    <col min="1" max="1" customWidth="true" hidden="false" width="52.0"/>
    <col min="2" max="2" customWidth="true" hidden="false" width="22.0"/>
    <col min="3" max="3" customWidth="true" hidden="false" width="26.0"/>
    <col min="4" max="4" customWidth="true" hidden="false" width="20.0"/>
    <col min="5" max="5" customWidth="true" hidden="false" width="17.7109375"/>
    <col min="6" max="6" customWidth="true" hidden="false" width="18.0"/>
    <col min="7" max="7" customWidth="true" hidden="false" width="20.0"/>
    <col min="8" max="8" customWidth="true" hidden="false" width="8.7109375"/>
    <col min="9" max="9" customWidth="true" hidden="false" width="16.7109375"/>
    <col min="10" max="10" customWidth="true" hidden="false" width="10.85546875"/>
    <col min="11" max="11" customWidth="true" hidden="false" width="16.7109375"/>
    <col min="12" max="12" customWidth="true" hidden="false" width="11.7109375"/>
    <col min="13" max="13" customWidth="true" hidden="false" width="16.7109375"/>
    <col min="14" max="14" customWidth="true" hidden="false" width="10.28515625"/>
    <col min="15" max="15" customWidth="true" hidden="false" width="16.7109375"/>
    <col min="16" max="16" customWidth="true" hidden="false" width="13.7109375"/>
    <col min="17" max="17" customWidth="true" hidden="false" width="44.0"/>
    <col min="18" max="18" customWidth="true" hidden="false" width="62.0"/>
    <col min="19" max="19" customWidth="true" hidden="false" width="42.0"/>
    <col min="20" max="20" customWidth="true" hidden="false" width="48.0"/>
    <col min="21" max="21" customWidth="true" hidden="false" width="18.0"/>
    <col min="22" max="22" customWidth="true" hidden="false" width="24.0"/>
    <col min="23" max="23" customWidth="true" hidden="false" width="18.0"/>
    <col min="24" max="24" customWidth="true" hidden="true" width="22.0"/>
    <col min="25" max="25" customWidth="true" hidden="true" width="22.0"/>
    <col min="26" max="26" customWidth="true" hidden="true" width="22.0"/>
    <col min="27" max="27" customWidth="true" hidden="true" width="22.0"/>
    <col min="28" max="28" customWidth="true" hidden="true" width="22.0"/>
    <col min="29" max="29" customWidth="true" hidden="true" width="22.0"/>
    <col min="30" max="30" customWidth="true" hidden="true" width="22.0"/>
    <col min="31" max="31" customWidth="true" hidden="true" width="22.0"/>
  </cols>
  <sheetData>
    <row r="1" spans="1:19" ht="42.0" customHeight="true" x14ac:dyDescent="0.25">
      <c r="A1" s="3037" t="s">
        <v>407</v>
      </c>
      <c r="B1" s="3037"/>
      <c r="C1" s="3037"/>
      <c r="D1" s="3037"/>
      <c r="E1" s="3037"/>
      <c r="F1" s="3037"/>
      <c r="G1" s="3037"/>
      <c r="H1" s="3037"/>
      <c r="I1" s="3037"/>
      <c r="J1" s="3037"/>
      <c r="K1" s="3037"/>
      <c r="L1" s="3037"/>
      <c r="M1" s="3037"/>
      <c r="N1" s="3037"/>
      <c r="O1" s="3037"/>
      <c r="P1" s="3037"/>
      <c r="Q1" s="3037"/>
      <c r="R1" s="3037"/>
      <c r="S1" s="3037"/>
      <c r="T1" s="3037"/>
      <c r="U1" s="3037"/>
      <c r="V1" s="3037"/>
      <c r="W1" s="3037"/>
      <c r="X1" s="1716"/>
      <c r="AE1" s="0"/>
    </row>
    <row r="2" spans="1:19" ht="32.0" customHeight="true" thickBot="1" x14ac:dyDescent="0.3">
      <c r="A2" s="3038" t="s">
        <v>325</v>
      </c>
      <c r="B2" s="3038" t="s">
        <v>326</v>
      </c>
      <c r="C2" s="3038" t="s">
        <v>408</v>
      </c>
      <c r="D2" s="3038" t="s">
        <v>328</v>
      </c>
      <c r="E2" s="3038" t="s">
        <v>329</v>
      </c>
      <c r="F2" s="3038" t="s">
        <v>330</v>
      </c>
      <c r="G2" s="3038" t="s">
        <v>331</v>
      </c>
      <c r="H2" s="3038" t="s">
        <v>332</v>
      </c>
      <c r="I2" s="3038" t="s">
        <v>333</v>
      </c>
      <c r="J2" s="3038" t="s">
        <v>334</v>
      </c>
      <c r="K2" s="3038" t="s">
        <v>335</v>
      </c>
      <c r="L2" s="3038" t="s">
        <v>336</v>
      </c>
      <c r="M2" s="3038" t="s">
        <v>337</v>
      </c>
      <c r="N2" s="3038" t="s">
        <v>338</v>
      </c>
      <c r="O2" s="3038" t="s">
        <v>339</v>
      </c>
      <c r="P2" s="3038" t="s">
        <v>340</v>
      </c>
      <c r="Q2" s="3039" t="s">
        <v>409</v>
      </c>
      <c r="R2" s="3040" t="s">
        <v>410</v>
      </c>
      <c r="S2" s="3041" t="s">
        <v>523</v>
      </c>
      <c r="T2" s="3042" t="s">
        <v>470</v>
      </c>
      <c r="U2" s="3043" t="s">
        <v>471</v>
      </c>
      <c r="V2" s="3044" t="s">
        <v>472</v>
      </c>
      <c r="W2" s="3045" t="s">
        <v>412</v>
      </c>
      <c r="X2" s="3038" t="s">
        <v>413</v>
      </c>
      <c r="Y2" s="3038" t="s">
        <v>414</v>
      </c>
      <c r="Z2" s="3038" t="s">
        <v>415</v>
      </c>
      <c r="AA2" s="3038" t="s">
        <v>416</v>
      </c>
      <c r="AB2" s="3038" t="s">
        <v>473</v>
      </c>
      <c r="AC2" s="3038" t="s">
        <v>474</v>
      </c>
      <c r="AD2" s="3038" t="s">
        <v>475</v>
      </c>
      <c r="AE2" s="1717"/>
    </row>
    <row r="3" spans="1:19" ht="22.0" hidden="false" customHeight="true" thickTop="1" x14ac:dyDescent="0.25">
      <c r="A3" s="3129" t="s">
        <v>0</v>
      </c>
      <c r="B3" s="3128" t="s">
        <v>1</v>
      </c>
      <c r="C3" s="3128" t="s">
        <v>2</v>
      </c>
      <c r="D3" s="3128">
        <v>35381421000194</v>
      </c>
      <c r="E3" s="3128"/>
      <c r="F3" s="3128" t="s">
        <v>3</v>
      </c>
      <c r="G3" s="3128" t="s">
        <v>4</v>
      </c>
      <c r="H3" s="3128" t="s">
        <v>5</v>
      </c>
      <c r="I3" s="3128" t="s">
        <v>344</v>
      </c>
      <c r="J3" s="3128"/>
      <c r="K3" s="3128"/>
      <c r="L3" s="3128"/>
      <c r="M3" s="3128"/>
      <c r="N3" s="3128"/>
      <c r="O3" s="3128"/>
      <c r="P3" s="3128"/>
      <c r="Q3" s="3131"/>
      <c r="R3" s="3131"/>
      <c r="S3" s="3131"/>
      <c r="T3" s="3131"/>
      <c r="U3" s="3132"/>
      <c r="V3" s="3128"/>
      <c r="W3" s="3128" t="s">
        <v>417</v>
      </c>
      <c r="X3" s="3056">
        <f>IF(A3="","",IF(LEN(SUBSTITUTE(SUBSTITUTE(SUBSTITUTE(SUBSTITUTE(D3,".",""),"/",""),"-","")," ",""))&lt;&gt;14,"CNPJ INVALIDO","OK"))</f>
      </c>
      <c r="Y3" s="3056">
        <f>IF(A3="","",IF(R3="","REST PENDENTE","REST OK"))</f>
      </c>
      <c r="Z3" s="3056">
        <f>IF(A3="","",IF(AND(R3&lt;&gt;"",COUNTIFS($D$3:$D$164,D3,$R$3:$R$164,"&lt;&gt;")&gt;1),"DUPLICADO","OK"))</f>
      </c>
      <c r="AA3" s="3056">
        <f>IF(A3="","",IF(OR(LEN(Q3)&gt;180,LEN(R3)&gt;180,LEN(S3)&gt;180,LEN(T3)&gt;180),"CAMINHO LONGO","OK"))</f>
      </c>
      <c r="AB3" s="3056">
        <f>IF(A3="","",IF(U3="","",IFERROR(INT(U3-TODAY()),"")))</f>
      </c>
      <c r="AC3" s="3056">
        <f>IF(A3="","",IF(AND(T3="",U3=""),"",IF(T3="","SEM CAMINHO",IF(U3="","SEM DATA",IFERROR(IF(AB3&lt;15,"VERMELHO",IF(AB3&lt;=30,"AMARELO","VERDE")),"DATA INVALIDA")))))</f>
      </c>
      <c r="AD3" s="3056">
        <f>IF(OR(A3="",U3="",NOT(ISNUMBER(AB3))),"",RANK(AB3,$AB$3:$AB$164,1)+COUNTIFS($AB$3:AB3,AB3)-1)</f>
      </c>
      <c r="AE3" s="1736"/>
    </row>
    <row r="4" spans="1:19" ht="22.0" hidden="false" customHeight="true" x14ac:dyDescent="0.25">
      <c r="A4" s="3134" t="s">
        <v>6</v>
      </c>
      <c r="B4" s="3133" t="s">
        <v>1</v>
      </c>
      <c r="C4" s="3133" t="s">
        <v>2</v>
      </c>
      <c r="D4" s="3133" t="s">
        <v>7</v>
      </c>
      <c r="E4" s="3133"/>
      <c r="F4" s="3133" t="s">
        <v>3</v>
      </c>
      <c r="G4" s="3133" t="s">
        <v>4</v>
      </c>
      <c r="H4" s="3133" t="s">
        <v>5</v>
      </c>
      <c r="I4" s="3133" t="s">
        <v>344</v>
      </c>
      <c r="J4" s="3133"/>
      <c r="K4" s="3133"/>
      <c r="L4" s="3133"/>
      <c r="M4" s="3133"/>
      <c r="N4" s="3133"/>
      <c r="O4" s="3133"/>
      <c r="P4" s="3133"/>
      <c r="Q4" s="3136"/>
      <c r="R4" s="3136"/>
      <c r="S4" s="3136"/>
      <c r="T4" s="3136"/>
      <c r="U4" s="3137"/>
      <c r="V4" s="3133"/>
      <c r="W4" s="3133"/>
      <c r="X4" s="3056">
        <f>IF(A4="","",IF(LEN(SUBSTITUTE(SUBSTITUTE(SUBSTITUTE(SUBSTITUTE(D4,".",""),"/",""),"-","")," ",""))&lt;&gt;14,"CNPJ INVALIDO","OK"))</f>
      </c>
      <c r="Y4" s="3056">
        <f>IF(A4="","",IF(R4="","REST PENDENTE","REST OK"))</f>
      </c>
      <c r="Z4" s="3056">
        <f>IF(A4="","",IF(AND(R4&lt;&gt;"",COUNTIFS($D$3:$D$164,D4,$R$3:$R$164,"&lt;&gt;")&gt;1),"DUPLICADO","OK"))</f>
      </c>
      <c r="AA4" s="3056">
        <f>IF(A4="","",IF(OR(LEN(Q4)&gt;180,LEN(R4)&gt;180,LEN(S4)&gt;180,LEN(T4)&gt;180),"CAMINHO LONGO","OK"))</f>
      </c>
      <c r="AB4" s="3056">
        <f>IF(A4="","",IF(U4="","",IFERROR(INT(U4-TODAY()),"")))</f>
      </c>
      <c r="AC4" s="3056">
        <f>IF(A4="","",IF(AND(T4="",U4=""),"",IF(T4="","SEM CAMINHO",IF(U4="","SEM DATA",IFERROR(IF(AB4&lt;15,"VERMELHO",IF(AB4&lt;=30,"AMARELO","VERDE")),"DATA INVALIDA")))))</f>
      </c>
      <c r="AD4" s="3056">
        <f>IF(OR(A4="",U4="",NOT(ISNUMBER(AB4))),"",RANK(AB4,$AB$3:$AB$164,1)+COUNTIFS($AB$3:AB4,AB4)-1)</f>
      </c>
      <c r="AE4" s="1736"/>
    </row>
    <row r="5" spans="1:19" ht="22.0" hidden="false" customHeight="true" x14ac:dyDescent="0.25">
      <c r="A5" s="3129" t="s">
        <v>8</v>
      </c>
      <c r="B5" s="3128" t="s">
        <v>9</v>
      </c>
      <c r="C5" s="3128" t="s">
        <v>10</v>
      </c>
      <c r="D5" s="3128" t="s">
        <v>11</v>
      </c>
      <c r="E5" s="3128"/>
      <c r="F5" s="3128" t="s">
        <v>12</v>
      </c>
      <c r="G5" s="3128" t="s">
        <v>13</v>
      </c>
      <c r="H5" s="3128" t="s">
        <v>14</v>
      </c>
      <c r="I5" s="3128" t="s">
        <v>344</v>
      </c>
      <c r="J5" s="3128"/>
      <c r="K5" s="3128"/>
      <c r="L5" s="3128"/>
      <c r="M5" s="3128"/>
      <c r="N5" s="3128"/>
      <c r="O5" s="3128"/>
      <c r="P5" s="3128"/>
      <c r="Q5" s="3131"/>
      <c r="R5" s="3131"/>
      <c r="S5" s="3131"/>
      <c r="T5" s="3131"/>
      <c r="U5" s="3132"/>
      <c r="V5" s="3128"/>
      <c r="W5" s="3128"/>
      <c r="X5" s="3056">
        <f>IF(A5="","",IF(LEN(SUBSTITUTE(SUBSTITUTE(SUBSTITUTE(SUBSTITUTE(D5,".",""),"/",""),"-","")," ",""))&lt;&gt;14,"CNPJ INVALIDO","OK"))</f>
      </c>
      <c r="Y5" s="3056">
        <f>IF(A5="","",IF(R5="","REST PENDENTE","REST OK"))</f>
      </c>
      <c r="Z5" s="3056">
        <f>IF(A5="","",IF(AND(R5&lt;&gt;"",COUNTIFS($D$3:$D$164,D5,$R$3:$R$164,"&lt;&gt;")&gt;1),"DUPLICADO","OK"))</f>
      </c>
      <c r="AA5" s="3056">
        <f>IF(A5="","",IF(OR(LEN(Q5)&gt;180,LEN(R5)&gt;180,LEN(S5)&gt;180,LEN(T5)&gt;180),"CAMINHO LONGO","OK"))</f>
      </c>
      <c r="AB5" s="3056">
        <f>IF(A5="","",IF(U5="","",IFERROR(INT(U5-TODAY()),"")))</f>
      </c>
      <c r="AC5" s="3056">
        <f>IF(A5="","",IF(AND(T5="",U5=""),"",IF(T5="","SEM CAMINHO",IF(U5="","SEM DATA",IFERROR(IF(AB5&lt;15,"VERMELHO",IF(AB5&lt;=30,"AMARELO","VERDE")),"DATA INVALIDA")))))</f>
      </c>
      <c r="AD5" s="3056">
        <f>IF(OR(A5="",U5="",NOT(ISNUMBER(AB5))),"",RANK(AB5,$AB$3:$AB$164,1)+COUNTIFS($AB$3:AB5,AB5)-1)</f>
      </c>
      <c r="AE5" s="1736"/>
    </row>
    <row r="6" spans="1:19" ht="22.0" hidden="false" customHeight="true" x14ac:dyDescent="0.25">
      <c r="A6" s="3134" t="s">
        <v>15</v>
      </c>
      <c r="B6" s="3133" t="s">
        <v>9</v>
      </c>
      <c r="C6" s="3133" t="s">
        <v>16</v>
      </c>
      <c r="D6" s="3133" t="s">
        <v>17</v>
      </c>
      <c r="E6" s="3133"/>
      <c r="F6" s="3133" t="s">
        <v>12</v>
      </c>
      <c r="G6" s="3133" t="s">
        <v>13</v>
      </c>
      <c r="H6" s="3133" t="s">
        <v>14</v>
      </c>
      <c r="I6" s="3133" t="s">
        <v>344</v>
      </c>
      <c r="J6" s="3133" t="s">
        <v>344</v>
      </c>
      <c r="K6" s="3133" t="s">
        <v>344</v>
      </c>
      <c r="L6" s="3133" t="s">
        <v>344</v>
      </c>
      <c r="M6" s="3133" t="s">
        <v>344</v>
      </c>
      <c r="N6" s="3133" t="s">
        <v>344</v>
      </c>
      <c r="O6" s="3133" t="s">
        <v>344</v>
      </c>
      <c r="P6" s="3133" t="s">
        <v>344</v>
      </c>
      <c r="Q6" s="3136"/>
      <c r="R6" s="3136"/>
      <c r="S6" s="3136"/>
      <c r="T6" s="3136"/>
      <c r="U6" s="3137"/>
      <c r="V6" s="3133"/>
      <c r="W6" s="3133"/>
      <c r="X6" s="3056">
        <f>IF(A6="","",IF(LEN(SUBSTITUTE(SUBSTITUTE(SUBSTITUTE(SUBSTITUTE(D6,".",""),"/",""),"-","")," ",""))&lt;&gt;14,"CNPJ INVALIDO","OK"))</f>
      </c>
      <c r="Y6" s="3056">
        <f>IF(A6="","",IF(R6="","REST PENDENTE","REST OK"))</f>
      </c>
      <c r="Z6" s="3056">
        <f>IF(A6="","",IF(AND(R6&lt;&gt;"",COUNTIFS($D$3:$D$164,D6,$R$3:$R$164,"&lt;&gt;")&gt;1),"DUPLICADO","OK"))</f>
      </c>
      <c r="AA6" s="3056">
        <f>IF(A6="","",IF(OR(LEN(Q6)&gt;180,LEN(R6)&gt;180,LEN(S6)&gt;180,LEN(T6)&gt;180),"CAMINHO LONGO","OK"))</f>
      </c>
      <c r="AB6" s="3056">
        <f>IF(A6="","",IF(U6="","",IFERROR(INT(U6-TODAY()),"")))</f>
      </c>
      <c r="AC6" s="3056">
        <f>IF(A6="","",IF(AND(T6="",U6=""),"",IF(T6="","SEM CAMINHO",IF(U6="","SEM DATA",IFERROR(IF(AB6&lt;15,"VERMELHO",IF(AB6&lt;=30,"AMARELO","VERDE")),"DATA INVALIDA")))))</f>
      </c>
      <c r="AD6" s="3056">
        <f>IF(OR(A6="",U6="",NOT(ISNUMBER(AB6))),"",RANK(AB6,$AB$3:$AB$164,1)+COUNTIFS($AB$3:AB6,AB6)-1)</f>
      </c>
      <c r="AE6" s="1736"/>
    </row>
    <row r="7" spans="1:19" ht="22.0" hidden="false" customHeight="true" x14ac:dyDescent="0.25">
      <c r="A7" s="3129" t="s">
        <v>18</v>
      </c>
      <c r="B7" s="3128" t="s">
        <v>9</v>
      </c>
      <c r="C7" s="3128" t="s">
        <v>19</v>
      </c>
      <c r="D7" s="3128" t="s">
        <v>20</v>
      </c>
      <c r="E7" s="3128"/>
      <c r="F7" s="3128" t="s">
        <v>12</v>
      </c>
      <c r="G7" s="3128" t="s">
        <v>13</v>
      </c>
      <c r="H7" s="3128" t="s">
        <v>14</v>
      </c>
      <c r="I7" s="3128" t="s">
        <v>344</v>
      </c>
      <c r="J7" s="3128" t="s">
        <v>344</v>
      </c>
      <c r="K7" s="3128" t="s">
        <v>344</v>
      </c>
      <c r="L7" s="3128" t="s">
        <v>344</v>
      </c>
      <c r="M7" s="3128" t="s">
        <v>344</v>
      </c>
      <c r="N7" s="3128" t="s">
        <v>344</v>
      </c>
      <c r="O7" s="3128" t="s">
        <v>344</v>
      </c>
      <c r="P7" s="3128" t="s">
        <v>344</v>
      </c>
      <c r="Q7" s="3131"/>
      <c r="R7" s="3131"/>
      <c r="S7" s="3131"/>
      <c r="T7" s="3131"/>
      <c r="U7" s="3132"/>
      <c r="V7" s="3128"/>
      <c r="W7" s="3128"/>
      <c r="X7" s="3056">
        <f>IF(A7="","",IF(LEN(SUBSTITUTE(SUBSTITUTE(SUBSTITUTE(SUBSTITUTE(D7,".",""),"/",""),"-","")," ",""))&lt;&gt;14,"CNPJ INVALIDO","OK"))</f>
      </c>
      <c r="Y7" s="3056">
        <f>IF(A7="","",IF(R7="","REST PENDENTE","REST OK"))</f>
      </c>
      <c r="Z7" s="3056">
        <f>IF(A7="","",IF(AND(R7&lt;&gt;"",COUNTIFS($D$3:$D$164,D7,$R$3:$R$164,"&lt;&gt;")&gt;1),"DUPLICADO","OK"))</f>
      </c>
      <c r="AA7" s="3056">
        <f>IF(A7="","",IF(OR(LEN(Q7)&gt;180,LEN(R7)&gt;180,LEN(S7)&gt;180,LEN(T7)&gt;180),"CAMINHO LONGO","OK"))</f>
      </c>
      <c r="AB7" s="3056">
        <f>IF(A7="","",IF(U7="","",IFERROR(INT(U7-TODAY()),"")))</f>
      </c>
      <c r="AC7" s="3056">
        <f>IF(A7="","",IF(AND(T7="",U7=""),"",IF(T7="","SEM CAMINHO",IF(U7="","SEM DATA",IFERROR(IF(AB7&lt;15,"VERMELHO",IF(AB7&lt;=30,"AMARELO","VERDE")),"DATA INVALIDA")))))</f>
      </c>
      <c r="AD7" s="3056">
        <f>IF(OR(A7="",U7="",NOT(ISNUMBER(AB7))),"",RANK(AB7,$AB$3:$AB$164,1)+COUNTIFS($AB$3:AB7,AB7)-1)</f>
      </c>
      <c r="AE7" s="1736"/>
    </row>
    <row r="8" spans="1:19" ht="22.0" hidden="false" customHeight="true" x14ac:dyDescent="0.25">
      <c r="A8" s="3134" t="s">
        <v>21</v>
      </c>
      <c r="B8" s="3133" t="s">
        <v>9</v>
      </c>
      <c r="C8" s="3133" t="s">
        <v>19</v>
      </c>
      <c r="D8" s="3133" t="s">
        <v>22</v>
      </c>
      <c r="E8" s="3133"/>
      <c r="F8" s="3133" t="s">
        <v>12</v>
      </c>
      <c r="G8" s="3133" t="s">
        <v>13</v>
      </c>
      <c r="H8" s="3133" t="s">
        <v>14</v>
      </c>
      <c r="I8" s="3133" t="s">
        <v>344</v>
      </c>
      <c r="J8" s="3133" t="s">
        <v>344</v>
      </c>
      <c r="K8" s="3133" t="s">
        <v>344</v>
      </c>
      <c r="L8" s="3133" t="s">
        <v>344</v>
      </c>
      <c r="M8" s="3133" t="s">
        <v>344</v>
      </c>
      <c r="N8" s="3133" t="s">
        <v>344</v>
      </c>
      <c r="O8" s="3133" t="s">
        <v>344</v>
      </c>
      <c r="P8" s="3133" t="s">
        <v>344</v>
      </c>
      <c r="Q8" s="3136"/>
      <c r="R8" s="3136"/>
      <c r="S8" s="3136"/>
      <c r="T8" s="3136"/>
      <c r="U8" s="3137"/>
      <c r="V8" s="3133"/>
      <c r="W8" s="3133"/>
      <c r="X8" s="3056">
        <f>IF(A8="","",IF(LEN(SUBSTITUTE(SUBSTITUTE(SUBSTITUTE(SUBSTITUTE(D8,".",""),"/",""),"-","")," ",""))&lt;&gt;14,"CNPJ INVALIDO","OK"))</f>
      </c>
      <c r="Y8" s="3056">
        <f>IF(A8="","",IF(R8="","REST PENDENTE","REST OK"))</f>
      </c>
      <c r="Z8" s="3056">
        <f>IF(A8="","",IF(AND(R8&lt;&gt;"",COUNTIFS($D$3:$D$164,D8,$R$3:$R$164,"&lt;&gt;")&gt;1),"DUPLICADO","OK"))</f>
      </c>
      <c r="AA8" s="3056">
        <f>IF(A8="","",IF(OR(LEN(Q8)&gt;180,LEN(R8)&gt;180,LEN(S8)&gt;180,LEN(T8)&gt;180),"CAMINHO LONGO","OK"))</f>
      </c>
      <c r="AB8" s="3056">
        <f>IF(A8="","",IF(U8="","",IFERROR(INT(U8-TODAY()),"")))</f>
      </c>
      <c r="AC8" s="3056">
        <f>IF(A8="","",IF(AND(T8="",U8=""),"",IF(T8="","SEM CAMINHO",IF(U8="","SEM DATA",IFERROR(IF(AB8&lt;15,"VERMELHO",IF(AB8&lt;=30,"AMARELO","VERDE")),"DATA INVALIDA")))))</f>
      </c>
      <c r="AD8" s="3056">
        <f>IF(OR(A8="",U8="",NOT(ISNUMBER(AB8))),"",RANK(AB8,$AB$3:$AB$164,1)+COUNTIFS($AB$3:AB8,AB8)-1)</f>
      </c>
      <c r="AE8" s="1736"/>
    </row>
    <row r="9" spans="1:19" ht="22.0" hidden="false" customHeight="true" x14ac:dyDescent="0.25">
      <c r="A9" s="3129" t="s">
        <v>23</v>
      </c>
      <c r="B9" s="3128" t="s">
        <v>9</v>
      </c>
      <c r="C9" s="3128" t="s">
        <v>24</v>
      </c>
      <c r="D9" s="3128" t="s">
        <v>25</v>
      </c>
      <c r="E9" s="3128"/>
      <c r="F9" s="3128" t="s">
        <v>12</v>
      </c>
      <c r="G9" s="3128" t="s">
        <v>13</v>
      </c>
      <c r="H9" s="3128" t="s">
        <v>14</v>
      </c>
      <c r="I9" s="3128" t="s">
        <v>344</v>
      </c>
      <c r="J9" s="3128" t="s">
        <v>344</v>
      </c>
      <c r="K9" s="3128" t="s">
        <v>344</v>
      </c>
      <c r="L9" s="3128" t="s">
        <v>344</v>
      </c>
      <c r="M9" s="3128" t="s">
        <v>344</v>
      </c>
      <c r="N9" s="3128" t="s">
        <v>344</v>
      </c>
      <c r="O9" s="3128" t="s">
        <v>344</v>
      </c>
      <c r="P9" s="3128" t="s">
        <v>344</v>
      </c>
      <c r="Q9" s="3131"/>
      <c r="R9" s="3131"/>
      <c r="S9" s="3131"/>
      <c r="T9" s="3131"/>
      <c r="U9" s="3132"/>
      <c r="V9" s="3128"/>
      <c r="W9" s="3128"/>
      <c r="X9" s="3056">
        <f>IF(A9="","",IF(LEN(SUBSTITUTE(SUBSTITUTE(SUBSTITUTE(SUBSTITUTE(D9,".",""),"/",""),"-","")," ",""))&lt;&gt;14,"CNPJ INVALIDO","OK"))</f>
      </c>
      <c r="Y9" s="3056">
        <f>IF(A9="","",IF(R9="","REST PENDENTE","REST OK"))</f>
      </c>
      <c r="Z9" s="3056">
        <f>IF(A9="","",IF(AND(R9&lt;&gt;"",COUNTIFS($D$3:$D$164,D9,$R$3:$R$164,"&lt;&gt;")&gt;1),"DUPLICADO","OK"))</f>
      </c>
      <c r="AA9" s="3056">
        <f>IF(A9="","",IF(OR(LEN(Q9)&gt;180,LEN(R9)&gt;180,LEN(S9)&gt;180,LEN(T9)&gt;180),"CAMINHO LONGO","OK"))</f>
      </c>
      <c r="AB9" s="3056">
        <f>IF(A9="","",IF(U9="","",IFERROR(INT(U9-TODAY()),"")))</f>
      </c>
      <c r="AC9" s="3056">
        <f>IF(A9="","",IF(AND(T9="",U9=""),"",IF(T9="","SEM CAMINHO",IF(U9="","SEM DATA",IFERROR(IF(AB9&lt;15,"VERMELHO",IF(AB9&lt;=30,"AMARELO","VERDE")),"DATA INVALIDA")))))</f>
      </c>
      <c r="AD9" s="3056">
        <f>IF(OR(A9="",U9="",NOT(ISNUMBER(AB9))),"",RANK(AB9,$AB$3:$AB$164,1)+COUNTIFS($AB$3:AB9,AB9)-1)</f>
      </c>
      <c r="AE9" s="1736"/>
    </row>
    <row r="10" spans="1:19" ht="22.0" hidden="false" customHeight="true" x14ac:dyDescent="0.25">
      <c r="A10" s="3134" t="s">
        <v>26</v>
      </c>
      <c r="B10" s="3133" t="s">
        <v>9</v>
      </c>
      <c r="C10" s="3133" t="s">
        <v>27</v>
      </c>
      <c r="D10" s="3133" t="s">
        <v>28</v>
      </c>
      <c r="E10" s="3133"/>
      <c r="F10" s="3133" t="s">
        <v>12</v>
      </c>
      <c r="G10" s="3133" t="s">
        <v>13</v>
      </c>
      <c r="H10" s="3133" t="s">
        <v>14</v>
      </c>
      <c r="I10" s="3133" t="s">
        <v>344</v>
      </c>
      <c r="J10" s="3133" t="s">
        <v>344</v>
      </c>
      <c r="K10" s="3133" t="s">
        <v>344</v>
      </c>
      <c r="L10" s="3133" t="s">
        <v>344</v>
      </c>
      <c r="M10" s="3133" t="s">
        <v>344</v>
      </c>
      <c r="N10" s="3133" t="s">
        <v>344</v>
      </c>
      <c r="O10" s="3133" t="s">
        <v>344</v>
      </c>
      <c r="P10" s="3133" t="s">
        <v>344</v>
      </c>
      <c r="Q10" s="3136"/>
      <c r="R10" s="3136"/>
      <c r="S10" s="3136"/>
      <c r="T10" s="3136"/>
      <c r="U10" s="3137"/>
      <c r="V10" s="3133"/>
      <c r="W10" s="3133"/>
      <c r="X10" s="3056">
        <f>IF(A10="","",IF(LEN(SUBSTITUTE(SUBSTITUTE(SUBSTITUTE(SUBSTITUTE(D10,".",""),"/",""),"-","")," ",""))&lt;&gt;14,"CNPJ INVALIDO","OK"))</f>
      </c>
      <c r="Y10" s="3056">
        <f>IF(A10="","",IF(R10="","REST PENDENTE","REST OK"))</f>
      </c>
      <c r="Z10" s="3056">
        <f>IF(A10="","",IF(AND(R10&lt;&gt;"",COUNTIFS($D$3:$D$164,D10,$R$3:$R$164,"&lt;&gt;")&gt;1),"DUPLICADO","OK"))</f>
      </c>
      <c r="AA10" s="3056">
        <f>IF(A10="","",IF(OR(LEN(Q10)&gt;180,LEN(R10)&gt;180,LEN(S10)&gt;180,LEN(T10)&gt;180),"CAMINHO LONGO","OK"))</f>
      </c>
      <c r="AB10" s="3056">
        <f>IF(A10="","",IF(U10="","",IFERROR(INT(U10-TODAY()),"")))</f>
      </c>
      <c r="AC10" s="3056">
        <f>IF(A10="","",IF(AND(T10="",U10=""),"",IF(T10="","SEM CAMINHO",IF(U10="","SEM DATA",IFERROR(IF(AB10&lt;15,"VERMELHO",IF(AB10&lt;=30,"AMARELO","VERDE")),"DATA INVALIDA")))))</f>
      </c>
      <c r="AD10" s="3056">
        <f>IF(OR(A10="",U10="",NOT(ISNUMBER(AB10))),"",RANK(AB10,$AB$3:$AB$164,1)+COUNTIFS($AB$3:AB10,AB10)-1)</f>
      </c>
      <c r="AE10" s="1736"/>
    </row>
    <row r="11" spans="1:19" ht="22.0" hidden="false" customHeight="true" x14ac:dyDescent="0.25">
      <c r="A11" s="3129" t="s">
        <v>29</v>
      </c>
      <c r="B11" s="3128" t="s">
        <v>9</v>
      </c>
      <c r="C11" s="3128" t="s">
        <v>16</v>
      </c>
      <c r="D11" s="3128" t="s">
        <v>30</v>
      </c>
      <c r="E11" s="3128"/>
      <c r="F11" s="3128" t="s">
        <v>12</v>
      </c>
      <c r="G11" s="3128" t="s">
        <v>13</v>
      </c>
      <c r="H11" s="3128" t="s">
        <v>14</v>
      </c>
      <c r="I11" s="3128" t="s">
        <v>344</v>
      </c>
      <c r="J11" s="3128" t="s">
        <v>344</v>
      </c>
      <c r="K11" s="3128" t="s">
        <v>344</v>
      </c>
      <c r="L11" s="3128" t="s">
        <v>344</v>
      </c>
      <c r="M11" s="3128" t="s">
        <v>344</v>
      </c>
      <c r="N11" s="3128" t="s">
        <v>344</v>
      </c>
      <c r="O11" s="3128" t="s">
        <v>344</v>
      </c>
      <c r="P11" s="3128" t="s">
        <v>344</v>
      </c>
      <c r="Q11" s="3131"/>
      <c r="R11" s="3131"/>
      <c r="S11" s="3131"/>
      <c r="T11" s="3131"/>
      <c r="U11" s="3132"/>
      <c r="V11" s="3128"/>
      <c r="W11" s="3128"/>
      <c r="X11" s="3056">
        <f>IF(A11="","",IF(LEN(SUBSTITUTE(SUBSTITUTE(SUBSTITUTE(SUBSTITUTE(D11,".",""),"/",""),"-","")," ",""))&lt;&gt;14,"CNPJ INVALIDO","OK"))</f>
      </c>
      <c r="Y11" s="3056">
        <f>IF(A11="","",IF(R11="","REST PENDENTE","REST OK"))</f>
      </c>
      <c r="Z11" s="3056">
        <f>IF(A11="","",IF(AND(R11&lt;&gt;"",COUNTIFS($D$3:$D$164,D11,$R$3:$R$164,"&lt;&gt;")&gt;1),"DUPLICADO","OK"))</f>
      </c>
      <c r="AA11" s="3056">
        <f>IF(A11="","",IF(OR(LEN(Q11)&gt;180,LEN(R11)&gt;180,LEN(S11)&gt;180,LEN(T11)&gt;180),"CAMINHO LONGO","OK"))</f>
      </c>
      <c r="AB11" s="3056">
        <f>IF(A11="","",IF(U11="","",IFERROR(INT(U11-TODAY()),"")))</f>
      </c>
      <c r="AC11" s="3056">
        <f>IF(A11="","",IF(AND(T11="",U11=""),"",IF(T11="","SEM CAMINHO",IF(U11="","SEM DATA",IFERROR(IF(AB11&lt;15,"VERMELHO",IF(AB11&lt;=30,"AMARELO","VERDE")),"DATA INVALIDA")))))</f>
      </c>
      <c r="AD11" s="3056">
        <f>IF(OR(A11="",U11="",NOT(ISNUMBER(AB11))),"",RANK(AB11,$AB$3:$AB$164,1)+COUNTIFS($AB$3:AB11,AB11)-1)</f>
      </c>
      <c r="AE11" s="1736"/>
    </row>
    <row r="12" spans="1:19" ht="22.0" hidden="false" customHeight="true" x14ac:dyDescent="0.25">
      <c r="A12" s="3134" t="s">
        <v>31</v>
      </c>
      <c r="B12" s="3133" t="s">
        <v>9</v>
      </c>
      <c r="C12" s="3133" t="s">
        <v>24</v>
      </c>
      <c r="D12" s="3133" t="s">
        <v>32</v>
      </c>
      <c r="E12" s="3133"/>
      <c r="F12" s="3133" t="s">
        <v>12</v>
      </c>
      <c r="G12" s="3133" t="s">
        <v>13</v>
      </c>
      <c r="H12" s="3133" t="s">
        <v>14</v>
      </c>
      <c r="I12" s="3133" t="s">
        <v>344</v>
      </c>
      <c r="J12" s="3133" t="s">
        <v>344</v>
      </c>
      <c r="K12" s="3133" t="s">
        <v>344</v>
      </c>
      <c r="L12" s="3133" t="s">
        <v>344</v>
      </c>
      <c r="M12" s="3133" t="s">
        <v>344</v>
      </c>
      <c r="N12" s="3133" t="s">
        <v>344</v>
      </c>
      <c r="O12" s="3133" t="s">
        <v>344</v>
      </c>
      <c r="P12" s="3133" t="s">
        <v>344</v>
      </c>
      <c r="Q12" s="3136"/>
      <c r="R12" s="3136"/>
      <c r="S12" s="3136"/>
      <c r="T12" s="3136"/>
      <c r="U12" s="3137"/>
      <c r="V12" s="3133"/>
      <c r="W12" s="3133"/>
      <c r="X12" s="3056">
        <f>IF(A12="","",IF(LEN(SUBSTITUTE(SUBSTITUTE(SUBSTITUTE(SUBSTITUTE(D12,".",""),"/",""),"-","")," ",""))&lt;&gt;14,"CNPJ INVALIDO","OK"))</f>
      </c>
      <c r="Y12" s="3056">
        <f>IF(A12="","",IF(R12="","REST PENDENTE","REST OK"))</f>
      </c>
      <c r="Z12" s="3056">
        <f>IF(A12="","",IF(AND(R12&lt;&gt;"",COUNTIFS($D$3:$D$164,D12,$R$3:$R$164,"&lt;&gt;")&gt;1),"DUPLICADO","OK"))</f>
      </c>
      <c r="AA12" s="3056">
        <f>IF(A12="","",IF(OR(LEN(Q12)&gt;180,LEN(R12)&gt;180,LEN(S12)&gt;180,LEN(T12)&gt;180),"CAMINHO LONGO","OK"))</f>
      </c>
      <c r="AB12" s="3056">
        <f>IF(A12="","",IF(U12="","",IFERROR(INT(U12-TODAY()),"")))</f>
      </c>
      <c r="AC12" s="3056">
        <f>IF(A12="","",IF(AND(T12="",U12=""),"",IF(T12="","SEM CAMINHO",IF(U12="","SEM DATA",IFERROR(IF(AB12&lt;15,"VERMELHO",IF(AB12&lt;=30,"AMARELO","VERDE")),"DATA INVALIDA")))))</f>
      </c>
      <c r="AD12" s="3056">
        <f>IF(OR(A12="",U12="",NOT(ISNUMBER(AB12))),"",RANK(AB12,$AB$3:$AB$164,1)+COUNTIFS($AB$3:AB12,AB12)-1)</f>
      </c>
      <c r="AE12" s="1736"/>
    </row>
    <row r="13" spans="1:19" ht="22.0" hidden="false" customHeight="true" x14ac:dyDescent="0.25">
      <c r="A13" s="3129" t="s">
        <v>33</v>
      </c>
      <c r="B13" s="3128" t="s">
        <v>9</v>
      </c>
      <c r="C13" s="3128" t="s">
        <v>24</v>
      </c>
      <c r="D13" s="3128" t="s">
        <v>34</v>
      </c>
      <c r="E13" s="3128"/>
      <c r="F13" s="3128" t="s">
        <v>12</v>
      </c>
      <c r="G13" s="3128" t="s">
        <v>13</v>
      </c>
      <c r="H13" s="3128" t="s">
        <v>14</v>
      </c>
      <c r="I13" s="3128" t="s">
        <v>344</v>
      </c>
      <c r="J13" s="3128" t="s">
        <v>344</v>
      </c>
      <c r="K13" s="3128" t="s">
        <v>344</v>
      </c>
      <c r="L13" s="3128" t="s">
        <v>344</v>
      </c>
      <c r="M13" s="3128" t="s">
        <v>344</v>
      </c>
      <c r="N13" s="3128" t="s">
        <v>344</v>
      </c>
      <c r="O13" s="3128" t="s">
        <v>344</v>
      </c>
      <c r="P13" s="3128" t="s">
        <v>344</v>
      </c>
      <c r="Q13" s="3131"/>
      <c r="R13" s="3131"/>
      <c r="S13" s="3131"/>
      <c r="T13" s="3131"/>
      <c r="U13" s="3132"/>
      <c r="V13" s="3128"/>
      <c r="W13" s="3128"/>
      <c r="X13" s="3056">
        <f>IF(A13="","",IF(LEN(SUBSTITUTE(SUBSTITUTE(SUBSTITUTE(SUBSTITUTE(D13,".",""),"/",""),"-","")," ",""))&lt;&gt;14,"CNPJ INVALIDO","OK"))</f>
      </c>
      <c r="Y13" s="3056">
        <f>IF(A13="","",IF(R13="","REST PENDENTE","REST OK"))</f>
      </c>
      <c r="Z13" s="3056">
        <f>IF(A13="","",IF(AND(R13&lt;&gt;"",COUNTIFS($D$3:$D$164,D13,$R$3:$R$164,"&lt;&gt;")&gt;1),"DUPLICADO","OK"))</f>
      </c>
      <c r="AA13" s="3056">
        <f>IF(A13="","",IF(OR(LEN(Q13)&gt;180,LEN(R13)&gt;180,LEN(S13)&gt;180,LEN(T13)&gt;180),"CAMINHO LONGO","OK"))</f>
      </c>
      <c r="AB13" s="3056">
        <f>IF(A13="","",IF(U13="","",IFERROR(INT(U13-TODAY()),"")))</f>
      </c>
      <c r="AC13" s="3056">
        <f>IF(A13="","",IF(AND(T13="",U13=""),"",IF(T13="","SEM CAMINHO",IF(U13="","SEM DATA",IFERROR(IF(AB13&lt;15,"VERMELHO",IF(AB13&lt;=30,"AMARELO","VERDE")),"DATA INVALIDA")))))</f>
      </c>
      <c r="AD13" s="3056">
        <f>IF(OR(A13="",U13="",NOT(ISNUMBER(AB13))),"",RANK(AB13,$AB$3:$AB$164,1)+COUNTIFS($AB$3:AB13,AB13)-1)</f>
      </c>
      <c r="AE13" s="1736"/>
    </row>
    <row r="14" spans="1:19" ht="22.0" hidden="false" customHeight="true" x14ac:dyDescent="0.25">
      <c r="A14" s="3134" t="s">
        <v>35</v>
      </c>
      <c r="B14" s="3133" t="s">
        <v>9</v>
      </c>
      <c r="C14" s="3133" t="s">
        <v>24</v>
      </c>
      <c r="D14" s="3133" t="s">
        <v>36</v>
      </c>
      <c r="E14" s="3133"/>
      <c r="F14" s="3133" t="s">
        <v>37</v>
      </c>
      <c r="G14" s="3133" t="s">
        <v>13</v>
      </c>
      <c r="H14" s="3133" t="s">
        <v>14</v>
      </c>
      <c r="I14" s="3133" t="s">
        <v>344</v>
      </c>
      <c r="J14" s="3133" t="s">
        <v>344</v>
      </c>
      <c r="K14" s="3133" t="s">
        <v>344</v>
      </c>
      <c r="L14" s="3133" t="s">
        <v>344</v>
      </c>
      <c r="M14" s="3133" t="s">
        <v>344</v>
      </c>
      <c r="N14" s="3133" t="s">
        <v>344</v>
      </c>
      <c r="O14" s="3133" t="s">
        <v>344</v>
      </c>
      <c r="P14" s="3133" t="s">
        <v>344</v>
      </c>
      <c r="Q14" s="3136"/>
      <c r="R14" s="3136"/>
      <c r="S14" s="3136"/>
      <c r="T14" s="3136"/>
      <c r="U14" s="3137"/>
      <c r="V14" s="3133"/>
      <c r="W14" s="3133"/>
      <c r="X14" s="3056">
        <f>IF(A14="","",IF(LEN(SUBSTITUTE(SUBSTITUTE(SUBSTITUTE(SUBSTITUTE(D14,".",""),"/",""),"-","")," ",""))&lt;&gt;14,"CNPJ INVALIDO","OK"))</f>
      </c>
      <c r="Y14" s="3056">
        <f>IF(A14="","",IF(R14="","REST PENDENTE","REST OK"))</f>
      </c>
      <c r="Z14" s="3056">
        <f>IF(A14="","",IF(AND(R14&lt;&gt;"",COUNTIFS($D$3:$D$164,D14,$R$3:$R$164,"&lt;&gt;")&gt;1),"DUPLICADO","OK"))</f>
      </c>
      <c r="AA14" s="3056">
        <f>IF(A14="","",IF(OR(LEN(Q14)&gt;180,LEN(R14)&gt;180,LEN(S14)&gt;180,LEN(T14)&gt;180),"CAMINHO LONGO","OK"))</f>
      </c>
      <c r="AB14" s="3056">
        <f>IF(A14="","",IF(U14="","",IFERROR(INT(U14-TODAY()),"")))</f>
      </c>
      <c r="AC14" s="3056">
        <f>IF(A14="","",IF(AND(T14="",U14=""),"",IF(T14="","SEM CAMINHO",IF(U14="","SEM DATA",IFERROR(IF(AB14&lt;15,"VERMELHO",IF(AB14&lt;=30,"AMARELO","VERDE")),"DATA INVALIDA")))))</f>
      </c>
      <c r="AD14" s="3056">
        <f>IF(OR(A14="",U14="",NOT(ISNUMBER(AB14))),"",RANK(AB14,$AB$3:$AB$164,1)+COUNTIFS($AB$3:AB14,AB14)-1)</f>
      </c>
      <c r="AE14" s="1736"/>
    </row>
    <row r="15" spans="1:19" ht="22.0" hidden="false" customHeight="true" x14ac:dyDescent="0.25">
      <c r="A15" s="3129" t="s">
        <v>38</v>
      </c>
      <c r="B15" s="3128" t="s">
        <v>9</v>
      </c>
      <c r="C15" s="3128" t="s">
        <v>16</v>
      </c>
      <c r="D15" s="3128" t="s">
        <v>39</v>
      </c>
      <c r="E15" s="3128"/>
      <c r="F15" s="3128" t="s">
        <v>37</v>
      </c>
      <c r="G15" s="3128" t="s">
        <v>13</v>
      </c>
      <c r="H15" s="3128" t="s">
        <v>14</v>
      </c>
      <c r="I15" s="3128" t="s">
        <v>344</v>
      </c>
      <c r="J15" s="3128" t="s">
        <v>344</v>
      </c>
      <c r="K15" s="3128" t="s">
        <v>344</v>
      </c>
      <c r="L15" s="3128" t="s">
        <v>344</v>
      </c>
      <c r="M15" s="3128" t="s">
        <v>344</v>
      </c>
      <c r="N15" s="3128" t="s">
        <v>344</v>
      </c>
      <c r="O15" s="3128" t="s">
        <v>344</v>
      </c>
      <c r="P15" s="3128" t="s">
        <v>344</v>
      </c>
      <c r="Q15" s="3131"/>
      <c r="R15" s="3131"/>
      <c r="S15" s="3131"/>
      <c r="T15" s="3131"/>
      <c r="U15" s="3132"/>
      <c r="V15" s="3128"/>
      <c r="W15" s="3128"/>
      <c r="X15" s="3056">
        <f>IF(A15="","",IF(LEN(SUBSTITUTE(SUBSTITUTE(SUBSTITUTE(SUBSTITUTE(D15,".",""),"/",""),"-","")," ",""))&lt;&gt;14,"CNPJ INVALIDO","OK"))</f>
      </c>
      <c r="Y15" s="3056">
        <f>IF(A15="","",IF(R15="","REST PENDENTE","REST OK"))</f>
      </c>
      <c r="Z15" s="3056">
        <f>IF(A15="","",IF(AND(R15&lt;&gt;"",COUNTIFS($D$3:$D$164,D15,$R$3:$R$164,"&lt;&gt;")&gt;1),"DUPLICADO","OK"))</f>
      </c>
      <c r="AA15" s="3056">
        <f>IF(A15="","",IF(OR(LEN(Q15)&gt;180,LEN(R15)&gt;180,LEN(S15)&gt;180,LEN(T15)&gt;180),"CAMINHO LONGO","OK"))</f>
      </c>
      <c r="AB15" s="3056">
        <f>IF(A15="","",IF(U15="","",IFERROR(INT(U15-TODAY()),"")))</f>
      </c>
      <c r="AC15" s="3056">
        <f>IF(A15="","",IF(AND(T15="",U15=""),"",IF(T15="","SEM CAMINHO",IF(U15="","SEM DATA",IFERROR(IF(AB15&lt;15,"VERMELHO",IF(AB15&lt;=30,"AMARELO","VERDE")),"DATA INVALIDA")))))</f>
      </c>
      <c r="AD15" s="3056">
        <f>IF(OR(A15="",U15="",NOT(ISNUMBER(AB15))),"",RANK(AB15,$AB$3:$AB$164,1)+COUNTIFS($AB$3:AB15,AB15)-1)</f>
      </c>
      <c r="AE15" s="1736"/>
    </row>
    <row r="16" spans="1:19" ht="22.0" hidden="false" customHeight="true" x14ac:dyDescent="0.25">
      <c r="A16" s="3134" t="s">
        <v>40</v>
      </c>
      <c r="B16" s="3133" t="s">
        <v>9</v>
      </c>
      <c r="C16" s="3133" t="s">
        <v>24</v>
      </c>
      <c r="D16" s="3133">
        <v>17608570000161</v>
      </c>
      <c r="E16" s="3133"/>
      <c r="F16" s="3133" t="s">
        <v>12</v>
      </c>
      <c r="G16" s="3133" t="s">
        <v>41</v>
      </c>
      <c r="H16" s="3133" t="s">
        <v>5</v>
      </c>
      <c r="I16" s="3133" t="s">
        <v>344</v>
      </c>
      <c r="J16" s="3133" t="s">
        <v>344</v>
      </c>
      <c r="K16" s="3133" t="s">
        <v>344</v>
      </c>
      <c r="L16" s="3133" t="s">
        <v>344</v>
      </c>
      <c r="M16" s="3133" t="s">
        <v>344</v>
      </c>
      <c r="N16" s="3133" t="s">
        <v>344</v>
      </c>
      <c r="O16" s="3133" t="s">
        <v>344</v>
      </c>
      <c r="P16" s="3133" t="s">
        <v>344</v>
      </c>
      <c r="Q16" s="3136"/>
      <c r="R16" s="3136"/>
      <c r="S16" s="3136"/>
      <c r="T16" s="3136"/>
      <c r="U16" s="3137"/>
      <c r="V16" s="3133"/>
      <c r="W16" s="3133"/>
      <c r="X16" s="3056">
        <f>IF(A16="","",IF(LEN(SUBSTITUTE(SUBSTITUTE(SUBSTITUTE(SUBSTITUTE(D16,".",""),"/",""),"-","")," ",""))&lt;&gt;14,"CNPJ INVALIDO","OK"))</f>
      </c>
      <c r="Y16" s="3056">
        <f>IF(A16="","",IF(R16="","REST PENDENTE","REST OK"))</f>
      </c>
      <c r="Z16" s="3056">
        <f>IF(A16="","",IF(AND(R16&lt;&gt;"",COUNTIFS($D$3:$D$164,D16,$R$3:$R$164,"&lt;&gt;")&gt;1),"DUPLICADO","OK"))</f>
      </c>
      <c r="AA16" s="3056">
        <f>IF(A16="","",IF(OR(LEN(Q16)&gt;180,LEN(R16)&gt;180,LEN(S16)&gt;180,LEN(T16)&gt;180),"CAMINHO LONGO","OK"))</f>
      </c>
      <c r="AB16" s="3056">
        <f>IF(A16="","",IF(U16="","",IFERROR(INT(U16-TODAY()),"")))</f>
      </c>
      <c r="AC16" s="3056">
        <f>IF(A16="","",IF(AND(T16="",U16=""),"",IF(T16="","SEM CAMINHO",IF(U16="","SEM DATA",IFERROR(IF(AB16&lt;15,"VERMELHO",IF(AB16&lt;=30,"AMARELO","VERDE")),"DATA INVALIDA")))))</f>
      </c>
      <c r="AD16" s="3056">
        <f>IF(OR(A16="",U16="",NOT(ISNUMBER(AB16))),"",RANK(AB16,$AB$3:$AB$164,1)+COUNTIFS($AB$3:AB16,AB16)-1)</f>
      </c>
      <c r="AE16" s="1736"/>
    </row>
    <row r="17" spans="1:19" ht="22.0" hidden="false" customHeight="true" x14ac:dyDescent="0.25">
      <c r="A17" s="3129" t="s">
        <v>42</v>
      </c>
      <c r="B17" s="3128" t="s">
        <v>9</v>
      </c>
      <c r="C17" s="3128" t="s">
        <v>24</v>
      </c>
      <c r="D17" s="3128" t="s">
        <v>43</v>
      </c>
      <c r="E17" s="3128"/>
      <c r="F17" s="3128" t="s">
        <v>12</v>
      </c>
      <c r="G17" s="3128" t="s">
        <v>41</v>
      </c>
      <c r="H17" s="3128" t="s">
        <v>5</v>
      </c>
      <c r="I17" s="3128"/>
      <c r="J17" s="3128"/>
      <c r="K17" s="3128"/>
      <c r="L17" s="3128"/>
      <c r="M17" s="3128" t="s">
        <v>376</v>
      </c>
      <c r="N17" s="3128"/>
      <c r="O17" s="3128" t="s">
        <v>345</v>
      </c>
      <c r="P17" s="3128" t="s">
        <v>346</v>
      </c>
      <c r="Q17" s="3131"/>
      <c r="R17" s="3131"/>
      <c r="S17" s="3131"/>
      <c r="T17" s="3131"/>
      <c r="U17" s="3132"/>
      <c r="V17" s="3128"/>
      <c r="W17" s="3128"/>
      <c r="X17" s="3056">
        <f>IF(A17="","",IF(LEN(SUBSTITUTE(SUBSTITUTE(SUBSTITUTE(SUBSTITUTE(D17,".",""),"/",""),"-","")," ",""))&lt;&gt;14,"CNPJ INVALIDO","OK"))</f>
      </c>
      <c r="Y17" s="3056">
        <f>IF(A17="","",IF(R17="","REST PENDENTE","REST OK"))</f>
      </c>
      <c r="Z17" s="3056">
        <f>IF(A17="","",IF(AND(R17&lt;&gt;"",COUNTIFS($D$3:$D$164,D17,$R$3:$R$164,"&lt;&gt;")&gt;1),"DUPLICADO","OK"))</f>
      </c>
      <c r="AA17" s="3056">
        <f>IF(A17="","",IF(OR(LEN(Q17)&gt;180,LEN(R17)&gt;180,LEN(S17)&gt;180,LEN(T17)&gt;180),"CAMINHO LONGO","OK"))</f>
      </c>
      <c r="AB17" s="3056">
        <f>IF(A17="","",IF(U17="","",IFERROR(INT(U17-TODAY()),"")))</f>
      </c>
      <c r="AC17" s="3056">
        <f>IF(A17="","",IF(AND(T17="",U17=""),"",IF(T17="","SEM CAMINHO",IF(U17="","SEM DATA",IFERROR(IF(AB17&lt;15,"VERMELHO",IF(AB17&lt;=30,"AMARELO","VERDE")),"DATA INVALIDA")))))</f>
      </c>
      <c r="AD17" s="3056">
        <f>IF(OR(A17="",U17="",NOT(ISNUMBER(AB17))),"",RANK(AB17,$AB$3:$AB$164,1)+COUNTIFS($AB$3:AB17,AB17)-1)</f>
      </c>
      <c r="AE17" s="1736"/>
    </row>
    <row r="18" spans="1:19" ht="22.0" hidden="false" customHeight="true" x14ac:dyDescent="0.25">
      <c r="A18" s="3134" t="s">
        <v>44</v>
      </c>
      <c r="B18" s="3133" t="s">
        <v>45</v>
      </c>
      <c r="C18" s="3133" t="s">
        <v>46</v>
      </c>
      <c r="D18" s="3133" t="s">
        <v>47</v>
      </c>
      <c r="E18" s="3133"/>
      <c r="F18" s="3133" t="s">
        <v>48</v>
      </c>
      <c r="G18" s="3133" t="s">
        <v>13</v>
      </c>
      <c r="H18" s="3133" t="s">
        <v>49</v>
      </c>
      <c r="I18" s="3133"/>
      <c r="J18" s="3133"/>
      <c r="K18" s="3133"/>
      <c r="L18" s="3133"/>
      <c r="M18" s="3133" t="s">
        <v>377</v>
      </c>
      <c r="N18" s="3133"/>
      <c r="O18" s="3133" t="s">
        <v>347</v>
      </c>
      <c r="P18" s="3133"/>
      <c r="Q18" s="3136"/>
      <c r="R18" s="3136"/>
      <c r="S18" s="3136"/>
      <c r="T18" s="3136"/>
      <c r="U18" s="3137"/>
      <c r="V18" s="3133"/>
      <c r="W18" s="3133"/>
      <c r="X18" s="3056">
        <f>IF(A18="","",IF(LEN(SUBSTITUTE(SUBSTITUTE(SUBSTITUTE(SUBSTITUTE(D18,".",""),"/",""),"-","")," ",""))&lt;&gt;14,"CNPJ INVALIDO","OK"))</f>
      </c>
      <c r="Y18" s="3056">
        <f>IF(A18="","",IF(R18="","REST PENDENTE","REST OK"))</f>
      </c>
      <c r="Z18" s="3056">
        <f>IF(A18="","",IF(AND(R18&lt;&gt;"",COUNTIFS($D$3:$D$164,D18,$R$3:$R$164,"&lt;&gt;")&gt;1),"DUPLICADO","OK"))</f>
      </c>
      <c r="AA18" s="3056">
        <f>IF(A18="","",IF(OR(LEN(Q18)&gt;180,LEN(R18)&gt;180,LEN(S18)&gt;180,LEN(T18)&gt;180),"CAMINHO LONGO","OK"))</f>
      </c>
      <c r="AB18" s="3056">
        <f>IF(A18="","",IF(U18="","",IFERROR(INT(U18-TODAY()),"")))</f>
      </c>
      <c r="AC18" s="3056">
        <f>IF(A18="","",IF(AND(T18="",U18=""),"",IF(T18="","SEM CAMINHO",IF(U18="","SEM DATA",IFERROR(IF(AB18&lt;15,"VERMELHO",IF(AB18&lt;=30,"AMARELO","VERDE")),"DATA INVALIDA")))))</f>
      </c>
      <c r="AD18" s="3056">
        <f>IF(OR(A18="",U18="",NOT(ISNUMBER(AB18))),"",RANK(AB18,$AB$3:$AB$164,1)+COUNTIFS($AB$3:AB18,AB18)-1)</f>
      </c>
      <c r="AE18" s="1736"/>
    </row>
    <row r="19" spans="1:19" ht="22.0" hidden="false" customHeight="true" x14ac:dyDescent="0.25">
      <c r="A19" s="3129" t="s">
        <v>50</v>
      </c>
      <c r="B19" s="3128" t="s">
        <v>45</v>
      </c>
      <c r="C19" s="3128" t="s">
        <v>46</v>
      </c>
      <c r="D19" s="3128" t="s">
        <v>51</v>
      </c>
      <c r="E19" s="3128"/>
      <c r="F19" s="3128" t="s">
        <v>48</v>
      </c>
      <c r="G19" s="3128" t="s">
        <v>13</v>
      </c>
      <c r="H19" s="3128" t="s">
        <v>49</v>
      </c>
      <c r="I19" s="3128"/>
      <c r="J19" s="3128"/>
      <c r="K19" s="3128"/>
      <c r="L19" s="3128"/>
      <c r="M19" s="3128" t="s">
        <v>377</v>
      </c>
      <c r="N19" s="3128"/>
      <c r="O19" s="3128" t="s">
        <v>347</v>
      </c>
      <c r="P19" s="3128"/>
      <c r="Q19" s="3131"/>
      <c r="R19" s="3131"/>
      <c r="S19" s="3131"/>
      <c r="T19" s="3131"/>
      <c r="U19" s="3132"/>
      <c r="V19" s="3128"/>
      <c r="W19" s="3128"/>
      <c r="X19" s="3056">
        <f>IF(A19="","",IF(LEN(SUBSTITUTE(SUBSTITUTE(SUBSTITUTE(SUBSTITUTE(D19,".",""),"/",""),"-","")," ",""))&lt;&gt;14,"CNPJ INVALIDO","OK"))</f>
      </c>
      <c r="Y19" s="3056">
        <f>IF(A19="","",IF(R19="","REST PENDENTE","REST OK"))</f>
      </c>
      <c r="Z19" s="3056">
        <f>IF(A19="","",IF(AND(R19&lt;&gt;"",COUNTIFS($D$3:$D$164,D19,$R$3:$R$164,"&lt;&gt;")&gt;1),"DUPLICADO","OK"))</f>
      </c>
      <c r="AA19" s="3056">
        <f>IF(A19="","",IF(OR(LEN(Q19)&gt;180,LEN(R19)&gt;180,LEN(S19)&gt;180,LEN(T19)&gt;180),"CAMINHO LONGO","OK"))</f>
      </c>
      <c r="AB19" s="3056">
        <f>IF(A19="","",IF(U19="","",IFERROR(INT(U19-TODAY()),"")))</f>
      </c>
      <c r="AC19" s="3056">
        <f>IF(A19="","",IF(AND(T19="",U19=""),"",IF(T19="","SEM CAMINHO",IF(U19="","SEM DATA",IFERROR(IF(AB19&lt;15,"VERMELHO",IF(AB19&lt;=30,"AMARELO","VERDE")),"DATA INVALIDA")))))</f>
      </c>
      <c r="AD19" s="3056">
        <f>IF(OR(A19="",U19="",NOT(ISNUMBER(AB19))),"",RANK(AB19,$AB$3:$AB$164,1)+COUNTIFS($AB$3:AB19,AB19)-1)</f>
      </c>
      <c r="AE19" s="1736"/>
    </row>
    <row r="20" spans="1:19" ht="22.0" hidden="false" customHeight="true" x14ac:dyDescent="0.25">
      <c r="A20" s="3134" t="s">
        <v>52</v>
      </c>
      <c r="B20" s="3133" t="s">
        <v>45</v>
      </c>
      <c r="C20" s="3133" t="s">
        <v>46</v>
      </c>
      <c r="D20" s="3133" t="s">
        <v>53</v>
      </c>
      <c r="E20" s="3133"/>
      <c r="F20" s="3133" t="s">
        <v>48</v>
      </c>
      <c r="G20" s="3133" t="s">
        <v>13</v>
      </c>
      <c r="H20" s="3133" t="s">
        <v>14</v>
      </c>
      <c r="I20" s="3133"/>
      <c r="J20" s="3133"/>
      <c r="K20" s="3133"/>
      <c r="L20" s="3133"/>
      <c r="M20" s="3133" t="s">
        <v>377</v>
      </c>
      <c r="N20" s="3133"/>
      <c r="O20" s="3133" t="s">
        <v>347</v>
      </c>
      <c r="P20" s="3133"/>
      <c r="Q20" s="3136"/>
      <c r="R20" s="3136"/>
      <c r="S20" s="3136"/>
      <c r="T20" s="3136"/>
      <c r="U20" s="3137"/>
      <c r="V20" s="3133"/>
      <c r="W20" s="3133"/>
      <c r="X20" s="3056">
        <f>IF(A20="","",IF(LEN(SUBSTITUTE(SUBSTITUTE(SUBSTITUTE(SUBSTITUTE(D20,".",""),"/",""),"-","")," ",""))&lt;&gt;14,"CNPJ INVALIDO","OK"))</f>
      </c>
      <c r="Y20" s="3056">
        <f>IF(A20="","",IF(R20="","REST PENDENTE","REST OK"))</f>
      </c>
      <c r="Z20" s="3056">
        <f>IF(A20="","",IF(AND(R20&lt;&gt;"",COUNTIFS($D$3:$D$164,D20,$R$3:$R$164,"&lt;&gt;")&gt;1),"DUPLICADO","OK"))</f>
      </c>
      <c r="AA20" s="3056">
        <f>IF(A20="","",IF(OR(LEN(Q20)&gt;180,LEN(R20)&gt;180,LEN(S20)&gt;180,LEN(T20)&gt;180),"CAMINHO LONGO","OK"))</f>
      </c>
      <c r="AB20" s="3056">
        <f>IF(A20="","",IF(U20="","",IFERROR(INT(U20-TODAY()),"")))</f>
      </c>
      <c r="AC20" s="3056">
        <f>IF(A20="","",IF(AND(T20="",U20=""),"",IF(T20="","SEM CAMINHO",IF(U20="","SEM DATA",IFERROR(IF(AB20&lt;15,"VERMELHO",IF(AB20&lt;=30,"AMARELO","VERDE")),"DATA INVALIDA")))))</f>
      </c>
      <c r="AD20" s="3056">
        <f>IF(OR(A20="",U20="",NOT(ISNUMBER(AB20))),"",RANK(AB20,$AB$3:$AB$164,1)+COUNTIFS($AB$3:AB20,AB20)-1)</f>
      </c>
      <c r="AE20" s="1736"/>
    </row>
    <row r="21" spans="1:19" ht="22.0" hidden="false" customHeight="true" x14ac:dyDescent="0.25">
      <c r="A21" s="3129" t="s">
        <v>54</v>
      </c>
      <c r="B21" s="3128" t="s">
        <v>55</v>
      </c>
      <c r="C21" s="3128" t="s">
        <v>56</v>
      </c>
      <c r="D21" s="3128">
        <v>57123358000129</v>
      </c>
      <c r="E21" s="3128"/>
      <c r="F21" s="3128" t="s">
        <v>57</v>
      </c>
      <c r="G21" s="3128" t="s">
        <v>4</v>
      </c>
      <c r="H21" s="3128" t="s">
        <v>14</v>
      </c>
      <c r="I21" s="3128"/>
      <c r="J21" s="3128"/>
      <c r="K21" s="3128"/>
      <c r="L21" s="3128"/>
      <c r="M21" s="3128" t="s">
        <v>376</v>
      </c>
      <c r="N21" s="3128"/>
      <c r="O21" s="3128" t="s">
        <v>349</v>
      </c>
      <c r="P21" s="3128"/>
      <c r="Q21" s="3131"/>
      <c r="R21" s="3131"/>
      <c r="S21" s="3131"/>
      <c r="T21" s="3131"/>
      <c r="U21" s="3132"/>
      <c r="V21" s="3128"/>
      <c r="W21" s="3128"/>
      <c r="X21" s="3056">
        <f>IF(A21="","",IF(LEN(SUBSTITUTE(SUBSTITUTE(SUBSTITUTE(SUBSTITUTE(D21,".",""),"/",""),"-","")," ",""))&lt;&gt;14,"CNPJ INVALIDO","OK"))</f>
      </c>
      <c r="Y21" s="3056">
        <f>IF(A21="","",IF(R21="","REST PENDENTE","REST OK"))</f>
      </c>
      <c r="Z21" s="3056">
        <f>IF(A21="","",IF(AND(R21&lt;&gt;"",COUNTIFS($D$3:$D$164,D21,$R$3:$R$164,"&lt;&gt;")&gt;1),"DUPLICADO","OK"))</f>
      </c>
      <c r="AA21" s="3056">
        <f>IF(A21="","",IF(OR(LEN(Q21)&gt;180,LEN(R21)&gt;180,LEN(S21)&gt;180,LEN(T21)&gt;180),"CAMINHO LONGO","OK"))</f>
      </c>
      <c r="AB21" s="3056">
        <f>IF(A21="","",IF(U21="","",IFERROR(INT(U21-TODAY()),"")))</f>
      </c>
      <c r="AC21" s="3056">
        <f>IF(A21="","",IF(AND(T21="",U21=""),"",IF(T21="","SEM CAMINHO",IF(U21="","SEM DATA",IFERROR(IF(AB21&lt;15,"VERMELHO",IF(AB21&lt;=30,"AMARELO","VERDE")),"DATA INVALIDA")))))</f>
      </c>
      <c r="AD21" s="3056">
        <f>IF(OR(A21="",U21="",NOT(ISNUMBER(AB21))),"",RANK(AB21,$AB$3:$AB$164,1)+COUNTIFS($AB$3:AB21,AB21)-1)</f>
      </c>
      <c r="AE21" s="1736"/>
    </row>
    <row r="22" spans="1:19" ht="22.0" hidden="false" customHeight="true" x14ac:dyDescent="0.25">
      <c r="A22" s="3134" t="s">
        <v>58</v>
      </c>
      <c r="B22" s="3133" t="s">
        <v>45</v>
      </c>
      <c r="C22" s="3133" t="s">
        <v>59</v>
      </c>
      <c r="D22" s="3133">
        <v>40870380000130</v>
      </c>
      <c r="E22" s="3133"/>
      <c r="F22" s="3133" t="s">
        <v>48</v>
      </c>
      <c r="G22" s="3133" t="s">
        <v>4</v>
      </c>
      <c r="H22" s="3133" t="s">
        <v>14</v>
      </c>
      <c r="I22" s="3133"/>
      <c r="J22" s="3133"/>
      <c r="K22" s="3133"/>
      <c r="L22" s="3133"/>
      <c r="M22" s="3133" t="s">
        <v>378</v>
      </c>
      <c r="N22" s="3133"/>
      <c r="O22" s="3133" t="s">
        <v>348</v>
      </c>
      <c r="P22" s="3133"/>
      <c r="Q22" s="3136"/>
      <c r="R22" s="3136"/>
      <c r="S22" s="3136"/>
      <c r="T22" s="3136"/>
      <c r="U22" s="3137"/>
      <c r="V22" s="3133"/>
      <c r="W22" s="3133"/>
      <c r="X22" s="3056">
        <f>IF(A22="","",IF(LEN(SUBSTITUTE(SUBSTITUTE(SUBSTITUTE(SUBSTITUTE(D22,".",""),"/",""),"-","")," ",""))&lt;&gt;14,"CNPJ INVALIDO","OK"))</f>
      </c>
      <c r="Y22" s="3056">
        <f>IF(A22="","",IF(R22="","REST PENDENTE","REST OK"))</f>
      </c>
      <c r="Z22" s="3056">
        <f>IF(A22="","",IF(AND(R22&lt;&gt;"",COUNTIFS($D$3:$D$164,D22,$R$3:$R$164,"&lt;&gt;")&gt;1),"DUPLICADO","OK"))</f>
      </c>
      <c r="AA22" s="3056">
        <f>IF(A22="","",IF(OR(LEN(Q22)&gt;180,LEN(R22)&gt;180,LEN(S22)&gt;180,LEN(T22)&gt;180),"CAMINHO LONGO","OK"))</f>
      </c>
      <c r="AB22" s="3056">
        <f>IF(A22="","",IF(U22="","",IFERROR(INT(U22-TODAY()),"")))</f>
      </c>
      <c r="AC22" s="3056">
        <f>IF(A22="","",IF(AND(T22="",U22=""),"",IF(T22="","SEM CAMINHO",IF(U22="","SEM DATA",IFERROR(IF(AB22&lt;15,"VERMELHO",IF(AB22&lt;=30,"AMARELO","VERDE")),"DATA INVALIDA")))))</f>
      </c>
      <c r="AD22" s="3056">
        <f>IF(OR(A22="",U22="",NOT(ISNUMBER(AB22))),"",RANK(AB22,$AB$3:$AB$164,1)+COUNTIFS($AB$3:AB22,AB22)-1)</f>
      </c>
      <c r="AE22" s="1736"/>
    </row>
    <row r="23" spans="1:19" ht="22.0" hidden="false" customHeight="true" x14ac:dyDescent="0.25">
      <c r="A23" s="3129" t="s">
        <v>60</v>
      </c>
      <c r="B23" s="3128" t="s">
        <v>61</v>
      </c>
      <c r="C23" s="3128" t="s">
        <v>62</v>
      </c>
      <c r="D23" s="3128">
        <v>26837949000134</v>
      </c>
      <c r="E23" s="3128"/>
      <c r="F23" s="3128" t="s">
        <v>63</v>
      </c>
      <c r="G23" s="3128" t="s">
        <v>41</v>
      </c>
      <c r="H23" s="3128" t="s">
        <v>5</v>
      </c>
      <c r="I23" s="3128"/>
      <c r="J23" s="3128"/>
      <c r="K23" s="3128"/>
      <c r="L23" s="3128"/>
      <c r="M23" s="3128" t="s">
        <v>379</v>
      </c>
      <c r="N23" s="3128"/>
      <c r="O23" s="3128"/>
      <c r="P23" s="3128"/>
      <c r="Q23" s="3131"/>
      <c r="R23" s="3131"/>
      <c r="S23" s="3131"/>
      <c r="T23" s="3131"/>
      <c r="U23" s="3132"/>
      <c r="V23" s="3128"/>
      <c r="W23" s="3128"/>
      <c r="X23" s="3056">
        <f>IF(A23="","",IF(LEN(SUBSTITUTE(SUBSTITUTE(SUBSTITUTE(SUBSTITUTE(D23,".",""),"/",""),"-","")," ",""))&lt;&gt;14,"CNPJ INVALIDO","OK"))</f>
      </c>
      <c r="Y23" s="3056">
        <f>IF(A23="","",IF(R23="","REST PENDENTE","REST OK"))</f>
      </c>
      <c r="Z23" s="3056">
        <f>IF(A23="","",IF(AND(R23&lt;&gt;"",COUNTIFS($D$3:$D$164,D23,$R$3:$R$164,"&lt;&gt;")&gt;1),"DUPLICADO","OK"))</f>
      </c>
      <c r="AA23" s="3056">
        <f>IF(A23="","",IF(OR(LEN(Q23)&gt;180,LEN(R23)&gt;180,LEN(S23)&gt;180,LEN(T23)&gt;180),"CAMINHO LONGO","OK"))</f>
      </c>
      <c r="AB23" s="3056">
        <f>IF(A23="","",IF(U23="","",IFERROR(INT(U23-TODAY()),"")))</f>
      </c>
      <c r="AC23" s="3056">
        <f>IF(A23="","",IF(AND(T23="",U23=""),"",IF(T23="","SEM CAMINHO",IF(U23="","SEM DATA",IFERROR(IF(AB23&lt;15,"VERMELHO",IF(AB23&lt;=30,"AMARELO","VERDE")),"DATA INVALIDA")))))</f>
      </c>
      <c r="AD23" s="3056">
        <f>IF(OR(A23="",U23="",NOT(ISNUMBER(AB23))),"",RANK(AB23,$AB$3:$AB$164,1)+COUNTIFS($AB$3:AB23,AB23)-1)</f>
      </c>
      <c r="AE23" s="1736"/>
    </row>
    <row r="24" spans="1:19" ht="22.0" hidden="false" customHeight="true" x14ac:dyDescent="0.25">
      <c r="A24" s="3134" t="s">
        <v>64</v>
      </c>
      <c r="B24" s="3133" t="s">
        <v>65</v>
      </c>
      <c r="C24" s="3133" t="s">
        <v>62</v>
      </c>
      <c r="D24" s="3133">
        <v>12923820000134</v>
      </c>
      <c r="E24" s="3133"/>
      <c r="F24" s="3133" t="s">
        <v>66</v>
      </c>
      <c r="G24" s="3133" t="s">
        <v>13</v>
      </c>
      <c r="H24" s="3133" t="s">
        <v>49</v>
      </c>
      <c r="I24" s="3133"/>
      <c r="J24" s="3133"/>
      <c r="K24" s="3133"/>
      <c r="L24" s="3133"/>
      <c r="M24" s="3133" t="s">
        <v>377</v>
      </c>
      <c r="N24" s="3133"/>
      <c r="O24" s="3133" t="s">
        <v>347</v>
      </c>
      <c r="P24" s="3133"/>
      <c r="Q24" s="3136"/>
      <c r="R24" s="3136"/>
      <c r="S24" s="3136"/>
      <c r="T24" s="3136"/>
      <c r="U24" s="3137"/>
      <c r="V24" s="3133"/>
      <c r="W24" s="3133"/>
      <c r="X24" s="3056">
        <f>IF(A24="","",IF(LEN(SUBSTITUTE(SUBSTITUTE(SUBSTITUTE(SUBSTITUTE(D24,".",""),"/",""),"-","")," ",""))&lt;&gt;14,"CNPJ INVALIDO","OK"))</f>
      </c>
      <c r="Y24" s="3056">
        <f>IF(A24="","",IF(R24="","REST PENDENTE","REST OK"))</f>
      </c>
      <c r="Z24" s="3056">
        <f>IF(A24="","",IF(AND(R24&lt;&gt;"",COUNTIFS($D$3:$D$164,D24,$R$3:$R$164,"&lt;&gt;")&gt;1),"DUPLICADO","OK"))</f>
      </c>
      <c r="AA24" s="3056">
        <f>IF(A24="","",IF(OR(LEN(Q24)&gt;180,LEN(R24)&gt;180,LEN(S24)&gt;180,LEN(T24)&gt;180),"CAMINHO LONGO","OK"))</f>
      </c>
      <c r="AB24" s="3056">
        <f>IF(A24="","",IF(U24="","",IFERROR(INT(U24-TODAY()),"")))</f>
      </c>
      <c r="AC24" s="3056">
        <f>IF(A24="","",IF(AND(T24="",U24=""),"",IF(T24="","SEM CAMINHO",IF(U24="","SEM DATA",IFERROR(IF(AB24&lt;15,"VERMELHO",IF(AB24&lt;=30,"AMARELO","VERDE")),"DATA INVALIDA")))))</f>
      </c>
      <c r="AD24" s="3056">
        <f>IF(OR(A24="",U24="",NOT(ISNUMBER(AB24))),"",RANK(AB24,$AB$3:$AB$164,1)+COUNTIFS($AB$3:AB24,AB24)-1)</f>
      </c>
      <c r="AE24" s="1736"/>
    </row>
    <row r="25" spans="1:19" ht="22.0" hidden="false" customHeight="true" x14ac:dyDescent="0.25">
      <c r="A25" s="3129" t="s">
        <v>67</v>
      </c>
      <c r="B25" s="3128" t="s">
        <v>68</v>
      </c>
      <c r="C25" s="3128" t="s">
        <v>69</v>
      </c>
      <c r="D25" s="3128" t="s">
        <v>70</v>
      </c>
      <c r="E25" s="3128"/>
      <c r="F25" s="3128" t="s">
        <v>71</v>
      </c>
      <c r="G25" s="3128" t="s">
        <v>4</v>
      </c>
      <c r="H25" s="3128" t="s">
        <v>49</v>
      </c>
      <c r="I25" s="3128"/>
      <c r="J25" s="3128"/>
      <c r="K25" s="3128"/>
      <c r="L25" s="3128"/>
      <c r="M25" s="3128" t="s">
        <v>379</v>
      </c>
      <c r="N25" s="3128"/>
      <c r="O25" s="3128" t="s">
        <v>349</v>
      </c>
      <c r="P25" s="3128"/>
      <c r="Q25" s="3131"/>
      <c r="R25" s="3131"/>
      <c r="S25" s="3131"/>
      <c r="T25" s="3131"/>
      <c r="U25" s="3132"/>
      <c r="V25" s="3128"/>
      <c r="W25" s="3128"/>
      <c r="X25" s="3056">
        <f>IF(A25="","",IF(LEN(SUBSTITUTE(SUBSTITUTE(SUBSTITUTE(SUBSTITUTE(D25,".",""),"/",""),"-","")," ",""))&lt;&gt;14,"CNPJ INVALIDO","OK"))</f>
      </c>
      <c r="Y25" s="3056">
        <f>IF(A25="","",IF(R25="","REST PENDENTE","REST OK"))</f>
      </c>
      <c r="Z25" s="3056">
        <f>IF(A25="","",IF(AND(R25&lt;&gt;"",COUNTIFS($D$3:$D$164,D25,$R$3:$R$164,"&lt;&gt;")&gt;1),"DUPLICADO","OK"))</f>
      </c>
      <c r="AA25" s="3056">
        <f>IF(A25="","",IF(OR(LEN(Q25)&gt;180,LEN(R25)&gt;180,LEN(S25)&gt;180,LEN(T25)&gt;180),"CAMINHO LONGO","OK"))</f>
      </c>
      <c r="AB25" s="3056">
        <f>IF(A25="","",IF(U25="","",IFERROR(INT(U25-TODAY()),"")))</f>
      </c>
      <c r="AC25" s="3056">
        <f>IF(A25="","",IF(AND(T25="",U25=""),"",IF(T25="","SEM CAMINHO",IF(U25="","SEM DATA",IFERROR(IF(AB25&lt;15,"VERMELHO",IF(AB25&lt;=30,"AMARELO","VERDE")),"DATA INVALIDA")))))</f>
      </c>
      <c r="AD25" s="3056">
        <f>IF(OR(A25="",U25="",NOT(ISNUMBER(AB25))),"",RANK(AB25,$AB$3:$AB$164,1)+COUNTIFS($AB$3:AB25,AB25)-1)</f>
      </c>
      <c r="AE25" s="1736"/>
    </row>
    <row r="26" spans="1:19" ht="22.0" hidden="false" customHeight="true" x14ac:dyDescent="0.25">
      <c r="A26" s="3134" t="s">
        <v>72</v>
      </c>
      <c r="B26" s="3133" t="s">
        <v>9</v>
      </c>
      <c r="C26" s="3133" t="s">
        <v>24</v>
      </c>
      <c r="D26" s="3133">
        <v>41597807000130</v>
      </c>
      <c r="E26" s="3133"/>
      <c r="F26" s="3133" t="s">
        <v>73</v>
      </c>
      <c r="G26" s="3133" t="s">
        <v>4</v>
      </c>
      <c r="H26" s="3133" t="s">
        <v>5</v>
      </c>
      <c r="I26" s="3133"/>
      <c r="J26" s="3133"/>
      <c r="K26" s="3133"/>
      <c r="L26" s="3133"/>
      <c r="M26" s="3133" t="s">
        <v>379</v>
      </c>
      <c r="N26" s="3133"/>
      <c r="O26" s="3133" t="s">
        <v>347</v>
      </c>
      <c r="P26" s="3133"/>
      <c r="Q26" s="3136"/>
      <c r="R26" s="3136"/>
      <c r="S26" s="3136"/>
      <c r="T26" s="3136"/>
      <c r="U26" s="3137"/>
      <c r="V26" s="3133"/>
      <c r="W26" s="3133"/>
      <c r="X26" s="3056">
        <f>IF(A26="","",IF(LEN(SUBSTITUTE(SUBSTITUTE(SUBSTITUTE(SUBSTITUTE(D26,".",""),"/",""),"-","")," ",""))&lt;&gt;14,"CNPJ INVALIDO","OK"))</f>
      </c>
      <c r="Y26" s="3056">
        <f>IF(A26="","",IF(R26="","REST PENDENTE","REST OK"))</f>
      </c>
      <c r="Z26" s="3056">
        <f>IF(A26="","",IF(AND(R26&lt;&gt;"",COUNTIFS($D$3:$D$164,D26,$R$3:$R$164,"&lt;&gt;")&gt;1),"DUPLICADO","OK"))</f>
      </c>
      <c r="AA26" s="3056">
        <f>IF(A26="","",IF(OR(LEN(Q26)&gt;180,LEN(R26)&gt;180,LEN(S26)&gt;180,LEN(T26)&gt;180),"CAMINHO LONGO","OK"))</f>
      </c>
      <c r="AB26" s="3056">
        <f>IF(A26="","",IF(U26="","",IFERROR(INT(U26-TODAY()),"")))</f>
      </c>
      <c r="AC26" s="3056">
        <f>IF(A26="","",IF(AND(T26="",U26=""),"",IF(T26="","SEM CAMINHO",IF(U26="","SEM DATA",IFERROR(IF(AB26&lt;15,"VERMELHO",IF(AB26&lt;=30,"AMARELO","VERDE")),"DATA INVALIDA")))))</f>
      </c>
      <c r="AD26" s="3056">
        <f>IF(OR(A26="",U26="",NOT(ISNUMBER(AB26))),"",RANK(AB26,$AB$3:$AB$164,1)+COUNTIFS($AB$3:AB26,AB26)-1)</f>
      </c>
      <c r="AE26" s="1736"/>
    </row>
    <row r="27" spans="1:19" ht="22.0" hidden="false" customHeight="true" x14ac:dyDescent="0.25">
      <c r="A27" s="3129" t="s">
        <v>74</v>
      </c>
      <c r="B27" s="3128" t="s">
        <v>75</v>
      </c>
      <c r="C27" s="3128" t="s">
        <v>62</v>
      </c>
      <c r="D27" s="3128">
        <v>21430001000146</v>
      </c>
      <c r="E27" s="3128"/>
      <c r="F27" s="3128" t="s">
        <v>76</v>
      </c>
      <c r="G27" s="3128" t="s">
        <v>4</v>
      </c>
      <c r="H27" s="3128" t="s">
        <v>5</v>
      </c>
      <c r="I27" s="3128"/>
      <c r="J27" s="3128"/>
      <c r="K27" s="3128"/>
      <c r="L27" s="3128"/>
      <c r="M27" s="3128" t="s">
        <v>377</v>
      </c>
      <c r="N27" s="3128"/>
      <c r="O27" s="3128" t="s">
        <v>347</v>
      </c>
      <c r="P27" s="3128"/>
      <c r="Q27" s="3131"/>
      <c r="R27" s="3131"/>
      <c r="S27" s="3131"/>
      <c r="T27" s="3131"/>
      <c r="U27" s="3132"/>
      <c r="V27" s="3128"/>
      <c r="W27" s="3128"/>
      <c r="X27" s="3056">
        <f>IF(A27="","",IF(LEN(SUBSTITUTE(SUBSTITUTE(SUBSTITUTE(SUBSTITUTE(D27,".",""),"/",""),"-","")," ",""))&lt;&gt;14,"CNPJ INVALIDO","OK"))</f>
      </c>
      <c r="Y27" s="3056">
        <f>IF(A27="","",IF(R27="","REST PENDENTE","REST OK"))</f>
      </c>
      <c r="Z27" s="3056">
        <f>IF(A27="","",IF(AND(R27&lt;&gt;"",COUNTIFS($D$3:$D$164,D27,$R$3:$R$164,"&lt;&gt;")&gt;1),"DUPLICADO","OK"))</f>
      </c>
      <c r="AA27" s="3056">
        <f>IF(A27="","",IF(OR(LEN(Q27)&gt;180,LEN(R27)&gt;180,LEN(S27)&gt;180,LEN(T27)&gt;180),"CAMINHO LONGO","OK"))</f>
      </c>
      <c r="AB27" s="3056">
        <f>IF(A27="","",IF(U27="","",IFERROR(INT(U27-TODAY()),"")))</f>
      </c>
      <c r="AC27" s="3056">
        <f>IF(A27="","",IF(AND(T27="",U27=""),"",IF(T27="","SEM CAMINHO",IF(U27="","SEM DATA",IFERROR(IF(AB27&lt;15,"VERMELHO",IF(AB27&lt;=30,"AMARELO","VERDE")),"DATA INVALIDA")))))</f>
      </c>
      <c r="AD27" s="3056">
        <f>IF(OR(A27="",U27="",NOT(ISNUMBER(AB27))),"",RANK(AB27,$AB$3:$AB$164,1)+COUNTIFS($AB$3:AB27,AB27)-1)</f>
      </c>
      <c r="AE27" s="1736"/>
    </row>
    <row r="28" spans="1:19" ht="22.0" hidden="false" customHeight="true" x14ac:dyDescent="0.25">
      <c r="A28" s="3134" t="s">
        <v>77</v>
      </c>
      <c r="B28" s="3133" t="s">
        <v>78</v>
      </c>
      <c r="C28" s="3133" t="s">
        <v>79</v>
      </c>
      <c r="D28" s="3133" t="s">
        <v>80</v>
      </c>
      <c r="E28" s="3133"/>
      <c r="F28" s="3133" t="s">
        <v>81</v>
      </c>
      <c r="G28" s="3133" t="s">
        <v>13</v>
      </c>
      <c r="H28" s="3133" t="s">
        <v>49</v>
      </c>
      <c r="I28" s="3133"/>
      <c r="J28" s="3133"/>
      <c r="K28" s="3133"/>
      <c r="L28" s="3133"/>
      <c r="M28" s="3133" t="s">
        <v>377</v>
      </c>
      <c r="N28" s="3133"/>
      <c r="O28" s="3133" t="s">
        <v>347</v>
      </c>
      <c r="P28" s="3133"/>
      <c r="Q28" s="3136"/>
      <c r="R28" s="3136"/>
      <c r="S28" s="3136"/>
      <c r="T28" s="3136"/>
      <c r="U28" s="3137"/>
      <c r="V28" s="3133"/>
      <c r="W28" s="3133"/>
      <c r="X28" s="3056">
        <f>IF(A28="","",IF(LEN(SUBSTITUTE(SUBSTITUTE(SUBSTITUTE(SUBSTITUTE(D28,".",""),"/",""),"-","")," ",""))&lt;&gt;14,"CNPJ INVALIDO","OK"))</f>
      </c>
      <c r="Y28" s="3056">
        <f>IF(A28="","",IF(R28="","REST PENDENTE","REST OK"))</f>
      </c>
      <c r="Z28" s="3056">
        <f>IF(A28="","",IF(AND(R28&lt;&gt;"",COUNTIFS($D$3:$D$164,D28,$R$3:$R$164,"&lt;&gt;")&gt;1),"DUPLICADO","OK"))</f>
      </c>
      <c r="AA28" s="3056">
        <f>IF(A28="","",IF(OR(LEN(Q28)&gt;180,LEN(R28)&gt;180,LEN(S28)&gt;180,LEN(T28)&gt;180),"CAMINHO LONGO","OK"))</f>
      </c>
      <c r="AB28" s="3056">
        <f>IF(A28="","",IF(U28="","",IFERROR(INT(U28-TODAY()),"")))</f>
      </c>
      <c r="AC28" s="3056">
        <f>IF(A28="","",IF(AND(T28="",U28=""),"",IF(T28="","SEM CAMINHO",IF(U28="","SEM DATA",IFERROR(IF(AB28&lt;15,"VERMELHO",IF(AB28&lt;=30,"AMARELO","VERDE")),"DATA INVALIDA")))))</f>
      </c>
      <c r="AD28" s="3056">
        <f>IF(OR(A28="",U28="",NOT(ISNUMBER(AB28))),"",RANK(AB28,$AB$3:$AB$164,1)+COUNTIFS($AB$3:AB28,AB28)-1)</f>
      </c>
      <c r="AE28" s="1736"/>
    </row>
    <row r="29" spans="1:19" ht="22.0" hidden="false" customHeight="true" x14ac:dyDescent="0.25">
      <c r="A29" s="3129" t="s">
        <v>82</v>
      </c>
      <c r="B29" s="3128" t="s">
        <v>78</v>
      </c>
      <c r="C29" s="3128" t="s">
        <v>83</v>
      </c>
      <c r="D29" s="3128">
        <v>62220305000166</v>
      </c>
      <c r="E29" s="3128"/>
      <c r="F29" s="3128" t="s">
        <v>81</v>
      </c>
      <c r="G29" s="3128" t="s">
        <v>4</v>
      </c>
      <c r="H29" s="3128" t="s">
        <v>5</v>
      </c>
      <c r="I29" s="3128"/>
      <c r="J29" s="3128"/>
      <c r="K29" s="3128"/>
      <c r="L29" s="3128"/>
      <c r="M29" s="3128" t="s">
        <v>378</v>
      </c>
      <c r="N29" s="3128"/>
      <c r="O29" s="3128" t="s">
        <v>349</v>
      </c>
      <c r="P29" s="3128"/>
      <c r="Q29" s="3131"/>
      <c r="R29" s="3131"/>
      <c r="S29" s="3131"/>
      <c r="T29" s="3131"/>
      <c r="U29" s="3132"/>
      <c r="V29" s="3128"/>
      <c r="W29" s="3128"/>
      <c r="X29" s="3056">
        <f>IF(A29="","",IF(LEN(SUBSTITUTE(SUBSTITUTE(SUBSTITUTE(SUBSTITUTE(D29,".",""),"/",""),"-","")," ",""))&lt;&gt;14,"CNPJ INVALIDO","OK"))</f>
      </c>
      <c r="Y29" s="3056">
        <f>IF(A29="","",IF(R29="","REST PENDENTE","REST OK"))</f>
      </c>
      <c r="Z29" s="3056">
        <f>IF(A29="","",IF(AND(R29&lt;&gt;"",COUNTIFS($D$3:$D$164,D29,$R$3:$R$164,"&lt;&gt;")&gt;1),"DUPLICADO","OK"))</f>
      </c>
      <c r="AA29" s="3056">
        <f>IF(A29="","",IF(OR(LEN(Q29)&gt;180,LEN(R29)&gt;180,LEN(S29)&gt;180,LEN(T29)&gt;180),"CAMINHO LONGO","OK"))</f>
      </c>
      <c r="AB29" s="3056">
        <f>IF(A29="","",IF(U29="","",IFERROR(INT(U29-TODAY()),"")))</f>
      </c>
      <c r="AC29" s="3056">
        <f>IF(A29="","",IF(AND(T29="",U29=""),"",IF(T29="","SEM CAMINHO",IF(U29="","SEM DATA",IFERROR(IF(AB29&lt;15,"VERMELHO",IF(AB29&lt;=30,"AMARELO","VERDE")),"DATA INVALIDA")))))</f>
      </c>
      <c r="AD29" s="3056">
        <f>IF(OR(A29="",U29="",NOT(ISNUMBER(AB29))),"",RANK(AB29,$AB$3:$AB$164,1)+COUNTIFS($AB$3:AB29,AB29)-1)</f>
      </c>
      <c r="AE29" s="1736"/>
    </row>
    <row r="30" spans="1:19" ht="22.0" hidden="false" customHeight="true" x14ac:dyDescent="0.25">
      <c r="A30" s="3134" t="s">
        <v>84</v>
      </c>
      <c r="B30" s="3133" t="s">
        <v>85</v>
      </c>
      <c r="C30" s="3133" t="s">
        <v>46</v>
      </c>
      <c r="D30" s="3133">
        <v>10712858000132</v>
      </c>
      <c r="E30" s="3133"/>
      <c r="F30" s="3133" t="s">
        <v>86</v>
      </c>
      <c r="G30" s="3133" t="s">
        <v>13</v>
      </c>
      <c r="H30" s="3133" t="s">
        <v>5</v>
      </c>
      <c r="I30" s="3133"/>
      <c r="J30" s="3133"/>
      <c r="K30" s="3133"/>
      <c r="L30" s="3133"/>
      <c r="M30" s="3133" t="s">
        <v>377</v>
      </c>
      <c r="N30" s="3133"/>
      <c r="O30" s="3133" t="s">
        <v>349</v>
      </c>
      <c r="P30" s="3133"/>
      <c r="Q30" s="3136"/>
      <c r="R30" s="3136"/>
      <c r="S30" s="3136"/>
      <c r="T30" s="3136"/>
      <c r="U30" s="3137"/>
      <c r="V30" s="3133"/>
      <c r="W30" s="3133"/>
      <c r="X30" s="3056">
        <f>IF(A30="","",IF(LEN(SUBSTITUTE(SUBSTITUTE(SUBSTITUTE(SUBSTITUTE(D30,".",""),"/",""),"-","")," ",""))&lt;&gt;14,"CNPJ INVALIDO","OK"))</f>
      </c>
      <c r="Y30" s="3056">
        <f>IF(A30="","",IF(R30="","REST PENDENTE","REST OK"))</f>
      </c>
      <c r="Z30" s="3056">
        <f>IF(A30="","",IF(AND(R30&lt;&gt;"",COUNTIFS($D$3:$D$164,D30,$R$3:$R$164,"&lt;&gt;")&gt;1),"DUPLICADO","OK"))</f>
      </c>
      <c r="AA30" s="3056">
        <f>IF(A30="","",IF(OR(LEN(Q30)&gt;180,LEN(R30)&gt;180,LEN(S30)&gt;180,LEN(T30)&gt;180),"CAMINHO LONGO","OK"))</f>
      </c>
      <c r="AB30" s="3056">
        <f>IF(A30="","",IF(U30="","",IFERROR(INT(U30-TODAY()),"")))</f>
      </c>
      <c r="AC30" s="3056">
        <f>IF(A30="","",IF(AND(T30="",U30=""),"",IF(T30="","SEM CAMINHO",IF(U30="","SEM DATA",IFERROR(IF(AB30&lt;15,"VERMELHO",IF(AB30&lt;=30,"AMARELO","VERDE")),"DATA INVALIDA")))))</f>
      </c>
      <c r="AD30" s="3056">
        <f>IF(OR(A30="",U30="",NOT(ISNUMBER(AB30))),"",RANK(AB30,$AB$3:$AB$164,1)+COUNTIFS($AB$3:AB30,AB30)-1)</f>
      </c>
      <c r="AE30" s="1736"/>
    </row>
    <row r="31" spans="1:19" ht="22.0" hidden="false" customHeight="true" x14ac:dyDescent="0.25">
      <c r="A31" s="3129" t="s">
        <v>87</v>
      </c>
      <c r="B31" s="3128" t="s">
        <v>61</v>
      </c>
      <c r="C31" s="3128" t="s">
        <v>62</v>
      </c>
      <c r="D31" s="3128">
        <v>53665434000177</v>
      </c>
      <c r="E31" s="3128"/>
      <c r="F31" s="3128" t="s">
        <v>63</v>
      </c>
      <c r="G31" s="3128" t="s">
        <v>4</v>
      </c>
      <c r="H31" s="3128" t="s">
        <v>5</v>
      </c>
      <c r="I31" s="3128"/>
      <c r="J31" s="3128"/>
      <c r="K31" s="3128"/>
      <c r="L31" s="3128"/>
      <c r="M31" s="3128" t="s">
        <v>379</v>
      </c>
      <c r="N31" s="3128"/>
      <c r="O31" s="3128" t="s">
        <v>349</v>
      </c>
      <c r="P31" s="3128"/>
      <c r="Q31" s="3131"/>
      <c r="R31" s="3131"/>
      <c r="S31" s="3131"/>
      <c r="T31" s="3131"/>
      <c r="U31" s="3132"/>
      <c r="V31" s="3128"/>
      <c r="W31" s="3128"/>
      <c r="X31" s="3056">
        <f>IF(A31="","",IF(LEN(SUBSTITUTE(SUBSTITUTE(SUBSTITUTE(SUBSTITUTE(D31,".",""),"/",""),"-","")," ",""))&lt;&gt;14,"CNPJ INVALIDO","OK"))</f>
      </c>
      <c r="Y31" s="3056">
        <f>IF(A31="","",IF(R31="","REST PENDENTE","REST OK"))</f>
      </c>
      <c r="Z31" s="3056">
        <f>IF(A31="","",IF(AND(R31&lt;&gt;"",COUNTIFS($D$3:$D$164,D31,$R$3:$R$164,"&lt;&gt;")&gt;1),"DUPLICADO","OK"))</f>
      </c>
      <c r="AA31" s="3056">
        <f>IF(A31="","",IF(OR(LEN(Q31)&gt;180,LEN(R31)&gt;180,LEN(S31)&gt;180,LEN(T31)&gt;180),"CAMINHO LONGO","OK"))</f>
      </c>
      <c r="AB31" s="3056">
        <f>IF(A31="","",IF(U31="","",IFERROR(INT(U31-TODAY()),"")))</f>
      </c>
      <c r="AC31" s="3056">
        <f>IF(A31="","",IF(AND(T31="",U31=""),"",IF(T31="","SEM CAMINHO",IF(U31="","SEM DATA",IFERROR(IF(AB31&lt;15,"VERMELHO",IF(AB31&lt;=30,"AMARELO","VERDE")),"DATA INVALIDA")))))</f>
      </c>
      <c r="AD31" s="3056">
        <f>IF(OR(A31="",U31="",NOT(ISNUMBER(AB31))),"",RANK(AB31,$AB$3:$AB$164,1)+COUNTIFS($AB$3:AB31,AB31)-1)</f>
      </c>
      <c r="AE31" s="1736"/>
    </row>
    <row r="32" spans="1:19" ht="22.0" hidden="false" customHeight="true" x14ac:dyDescent="0.25">
      <c r="A32" s="3134" t="s">
        <v>88</v>
      </c>
      <c r="B32" s="3133" t="s">
        <v>61</v>
      </c>
      <c r="C32" s="3133" t="s">
        <v>62</v>
      </c>
      <c r="D32" s="3133">
        <v>53665515000177</v>
      </c>
      <c r="E32" s="3133"/>
      <c r="F32" s="3133" t="s">
        <v>63</v>
      </c>
      <c r="G32" s="3133" t="s">
        <v>4</v>
      </c>
      <c r="H32" s="3133" t="s">
        <v>5</v>
      </c>
      <c r="I32" s="3133"/>
      <c r="J32" s="3133"/>
      <c r="K32" s="3133"/>
      <c r="L32" s="3133"/>
      <c r="M32" s="3133" t="s">
        <v>379</v>
      </c>
      <c r="N32" s="3133"/>
      <c r="O32" s="3133" t="s">
        <v>349</v>
      </c>
      <c r="P32" s="3133"/>
      <c r="Q32" s="3136"/>
      <c r="R32" s="3136"/>
      <c r="S32" s="3136"/>
      <c r="T32" s="3136"/>
      <c r="U32" s="3137"/>
      <c r="V32" s="3133"/>
      <c r="W32" s="3133"/>
      <c r="X32" s="3056">
        <f>IF(A32="","",IF(LEN(SUBSTITUTE(SUBSTITUTE(SUBSTITUTE(SUBSTITUTE(D32,".",""),"/",""),"-","")," ",""))&lt;&gt;14,"CNPJ INVALIDO","OK"))</f>
      </c>
      <c r="Y32" s="3056">
        <f>IF(A32="","",IF(R32="","REST PENDENTE","REST OK"))</f>
      </c>
      <c r="Z32" s="3056">
        <f>IF(A32="","",IF(AND(R32&lt;&gt;"",COUNTIFS($D$3:$D$164,D32,$R$3:$R$164,"&lt;&gt;")&gt;1),"DUPLICADO","OK"))</f>
      </c>
      <c r="AA32" s="3056">
        <f>IF(A32="","",IF(OR(LEN(Q32)&gt;180,LEN(R32)&gt;180,LEN(S32)&gt;180,LEN(T32)&gt;180),"CAMINHO LONGO","OK"))</f>
      </c>
      <c r="AB32" s="3056">
        <f>IF(A32="","",IF(U32="","",IFERROR(INT(U32-TODAY()),"")))</f>
      </c>
      <c r="AC32" s="3056">
        <f>IF(A32="","",IF(AND(T32="",U32=""),"",IF(T32="","SEM CAMINHO",IF(U32="","SEM DATA",IFERROR(IF(AB32&lt;15,"VERMELHO",IF(AB32&lt;=30,"AMARELO","VERDE")),"DATA INVALIDA")))))</f>
      </c>
      <c r="AD32" s="3056">
        <f>IF(OR(A32="",U32="",NOT(ISNUMBER(AB32))),"",RANK(AB32,$AB$3:$AB$164,1)+COUNTIFS($AB$3:AB32,AB32)-1)</f>
      </c>
      <c r="AE32" s="1736"/>
    </row>
    <row r="33" spans="1:19" ht="22.0" hidden="false" customHeight="true" x14ac:dyDescent="0.25">
      <c r="A33" s="3129" t="s">
        <v>89</v>
      </c>
      <c r="B33" s="3128" t="s">
        <v>61</v>
      </c>
      <c r="C33" s="3128" t="s">
        <v>62</v>
      </c>
      <c r="D33" s="3128">
        <v>53666225000148</v>
      </c>
      <c r="E33" s="3128"/>
      <c r="F33" s="3128" t="s">
        <v>63</v>
      </c>
      <c r="G33" s="3128" t="s">
        <v>4</v>
      </c>
      <c r="H33" s="3128" t="s">
        <v>5</v>
      </c>
      <c r="I33" s="3128"/>
      <c r="J33" s="3128"/>
      <c r="K33" s="3128"/>
      <c r="L33" s="3128"/>
      <c r="M33" s="3128" t="s">
        <v>379</v>
      </c>
      <c r="N33" s="3128"/>
      <c r="O33" s="3128" t="s">
        <v>349</v>
      </c>
      <c r="P33" s="3128"/>
      <c r="Q33" s="3131"/>
      <c r="R33" s="3131"/>
      <c r="S33" s="3131"/>
      <c r="T33" s="3131"/>
      <c r="U33" s="3132"/>
      <c r="V33" s="3128"/>
      <c r="W33" s="3128"/>
      <c r="X33" s="3056">
        <f>IF(A33="","",IF(LEN(SUBSTITUTE(SUBSTITUTE(SUBSTITUTE(SUBSTITUTE(D33,".",""),"/",""),"-","")," ",""))&lt;&gt;14,"CNPJ INVALIDO","OK"))</f>
      </c>
      <c r="Y33" s="3056">
        <f>IF(A33="","",IF(R33="","REST PENDENTE","REST OK"))</f>
      </c>
      <c r="Z33" s="3056">
        <f>IF(A33="","",IF(AND(R33&lt;&gt;"",COUNTIFS($D$3:$D$164,D33,$R$3:$R$164,"&lt;&gt;")&gt;1),"DUPLICADO","OK"))</f>
      </c>
      <c r="AA33" s="3056">
        <f>IF(A33="","",IF(OR(LEN(Q33)&gt;180,LEN(R33)&gt;180,LEN(S33)&gt;180,LEN(T33)&gt;180),"CAMINHO LONGO","OK"))</f>
      </c>
      <c r="AB33" s="3056">
        <f>IF(A33="","",IF(U33="","",IFERROR(INT(U33-TODAY()),"")))</f>
      </c>
      <c r="AC33" s="3056">
        <f>IF(A33="","",IF(AND(T33="",U33=""),"",IF(T33="","SEM CAMINHO",IF(U33="","SEM DATA",IFERROR(IF(AB33&lt;15,"VERMELHO",IF(AB33&lt;=30,"AMARELO","VERDE")),"DATA INVALIDA")))))</f>
      </c>
      <c r="AD33" s="3056">
        <f>IF(OR(A33="",U33="",NOT(ISNUMBER(AB33))),"",RANK(AB33,$AB$3:$AB$164,1)+COUNTIFS($AB$3:AB33,AB33)-1)</f>
      </c>
      <c r="AE33" s="1736"/>
    </row>
    <row r="34" spans="1:19" ht="22.0" hidden="false" customHeight="true" x14ac:dyDescent="0.25">
      <c r="A34" s="3134" t="s">
        <v>90</v>
      </c>
      <c r="B34" s="3133" t="s">
        <v>61</v>
      </c>
      <c r="C34" s="3133" t="s">
        <v>62</v>
      </c>
      <c r="D34" s="3133">
        <v>17845752000156</v>
      </c>
      <c r="E34" s="3133"/>
      <c r="F34" s="3133" t="s">
        <v>63</v>
      </c>
      <c r="G34" s="3133" t="s">
        <v>41</v>
      </c>
      <c r="H34" s="3133" t="s">
        <v>5</v>
      </c>
      <c r="I34" s="3133"/>
      <c r="J34" s="3133"/>
      <c r="K34" s="3133"/>
      <c r="L34" s="3133"/>
      <c r="M34" s="3133" t="s">
        <v>380</v>
      </c>
      <c r="N34" s="3133"/>
      <c r="O34" s="3133" t="s">
        <v>349</v>
      </c>
      <c r="P34" s="3133"/>
      <c r="Q34" s="3136"/>
      <c r="R34" s="3136"/>
      <c r="S34" s="3136"/>
      <c r="T34" s="3136"/>
      <c r="U34" s="3137"/>
      <c r="V34" s="3133"/>
      <c r="W34" s="3133"/>
      <c r="X34" s="3056">
        <f>IF(A34="","",IF(LEN(SUBSTITUTE(SUBSTITUTE(SUBSTITUTE(SUBSTITUTE(D34,".",""),"/",""),"-","")," ",""))&lt;&gt;14,"CNPJ INVALIDO","OK"))</f>
      </c>
      <c r="Y34" s="3056">
        <f>IF(A34="","",IF(R34="","REST PENDENTE","REST OK"))</f>
      </c>
      <c r="Z34" s="3056">
        <f>IF(A34="","",IF(AND(R34&lt;&gt;"",COUNTIFS($D$3:$D$164,D34,$R$3:$R$164,"&lt;&gt;")&gt;1),"DUPLICADO","OK"))</f>
      </c>
      <c r="AA34" s="3056">
        <f>IF(A34="","",IF(OR(LEN(Q34)&gt;180,LEN(R34)&gt;180,LEN(S34)&gt;180,LEN(T34)&gt;180),"CAMINHO LONGO","OK"))</f>
      </c>
      <c r="AB34" s="3056">
        <f>IF(A34="","",IF(U34="","",IFERROR(INT(U34-TODAY()),"")))</f>
      </c>
      <c r="AC34" s="3056">
        <f>IF(A34="","",IF(AND(T34="",U34=""),"",IF(T34="","SEM CAMINHO",IF(U34="","SEM DATA",IFERROR(IF(AB34&lt;15,"VERMELHO",IF(AB34&lt;=30,"AMARELO","VERDE")),"DATA INVALIDA")))))</f>
      </c>
      <c r="AD34" s="3056">
        <f>IF(OR(A34="",U34="",NOT(ISNUMBER(AB34))),"",RANK(AB34,$AB$3:$AB$164,1)+COUNTIFS($AB$3:AB34,AB34)-1)</f>
      </c>
      <c r="AE34" s="1736"/>
    </row>
    <row r="35" spans="1:19" ht="22.0" hidden="false" customHeight="true" x14ac:dyDescent="0.25">
      <c r="A35" s="3129" t="s">
        <v>91</v>
      </c>
      <c r="B35" s="3128" t="s">
        <v>61</v>
      </c>
      <c r="C35" s="3128" t="s">
        <v>62</v>
      </c>
      <c r="D35" s="3128">
        <v>17813257000165</v>
      </c>
      <c r="E35" s="3128"/>
      <c r="F35" s="3128" t="s">
        <v>63</v>
      </c>
      <c r="G35" s="3128" t="s">
        <v>13</v>
      </c>
      <c r="H35" s="3128" t="s">
        <v>5</v>
      </c>
      <c r="I35" s="3128"/>
      <c r="J35" s="3128"/>
      <c r="K35" s="3128"/>
      <c r="L35" s="3128"/>
      <c r="M35" s="3128" t="s">
        <v>381</v>
      </c>
      <c r="N35" s="3128"/>
      <c r="O35" s="3128" t="s">
        <v>349</v>
      </c>
      <c r="P35" s="3128"/>
      <c r="Q35" s="3131"/>
      <c r="R35" s="3131"/>
      <c r="S35" s="3131"/>
      <c r="T35" s="3131"/>
      <c r="U35" s="3132"/>
      <c r="V35" s="3128"/>
      <c r="W35" s="3128"/>
      <c r="X35" s="3056">
        <f>IF(A35="","",IF(LEN(SUBSTITUTE(SUBSTITUTE(SUBSTITUTE(SUBSTITUTE(D35,".",""),"/",""),"-","")," ",""))&lt;&gt;14,"CNPJ INVALIDO","OK"))</f>
      </c>
      <c r="Y35" s="3056">
        <f>IF(A35="","",IF(R35="","REST PENDENTE","REST OK"))</f>
      </c>
      <c r="Z35" s="3056">
        <f>IF(A35="","",IF(AND(R35&lt;&gt;"",COUNTIFS($D$3:$D$164,D35,$R$3:$R$164,"&lt;&gt;")&gt;1),"DUPLICADO","OK"))</f>
      </c>
      <c r="AA35" s="3056">
        <f>IF(A35="","",IF(OR(LEN(Q35)&gt;180,LEN(R35)&gt;180,LEN(S35)&gt;180,LEN(T35)&gt;180),"CAMINHO LONGO","OK"))</f>
      </c>
      <c r="AB35" s="3056">
        <f>IF(A35="","",IF(U35="","",IFERROR(INT(U35-TODAY()),"")))</f>
      </c>
      <c r="AC35" s="3056">
        <f>IF(A35="","",IF(AND(T35="",U35=""),"",IF(T35="","SEM CAMINHO",IF(U35="","SEM DATA",IFERROR(IF(AB35&lt;15,"VERMELHO",IF(AB35&lt;=30,"AMARELO","VERDE")),"DATA INVALIDA")))))</f>
      </c>
      <c r="AD35" s="3056">
        <f>IF(OR(A35="",U35="",NOT(ISNUMBER(AB35))),"",RANK(AB35,$AB$3:$AB$164,1)+COUNTIFS($AB$3:AB35,AB35)-1)</f>
      </c>
      <c r="AE35" s="1736"/>
    </row>
    <row r="36" spans="1:19" ht="22.0" hidden="false" customHeight="true" x14ac:dyDescent="0.25">
      <c r="A36" s="3134" t="s">
        <v>92</v>
      </c>
      <c r="B36" s="3133" t="s">
        <v>1</v>
      </c>
      <c r="C36" s="3133" t="s">
        <v>93</v>
      </c>
      <c r="D36" s="3133" t="s">
        <v>94</v>
      </c>
      <c r="E36" s="3133"/>
      <c r="F36" s="3133" t="s">
        <v>3</v>
      </c>
      <c r="G36" s="3133" t="s">
        <v>4</v>
      </c>
      <c r="H36" s="3133" t="s">
        <v>5</v>
      </c>
      <c r="I36" s="3133"/>
      <c r="J36" s="3133"/>
      <c r="K36" s="3133"/>
      <c r="L36" s="3133"/>
      <c r="M36" s="3133" t="s">
        <v>377</v>
      </c>
      <c r="N36" s="3133"/>
      <c r="O36" s="3133" t="s">
        <v>349</v>
      </c>
      <c r="P36" s="3133"/>
      <c r="Q36" s="3136"/>
      <c r="R36" s="3136"/>
      <c r="S36" s="3136"/>
      <c r="T36" s="3136"/>
      <c r="U36" s="3137"/>
      <c r="V36" s="3133"/>
      <c r="W36" s="3133"/>
      <c r="X36" s="3056">
        <f>IF(A36="","",IF(LEN(SUBSTITUTE(SUBSTITUTE(SUBSTITUTE(SUBSTITUTE(D36,".",""),"/",""),"-","")," ",""))&lt;&gt;14,"CNPJ INVALIDO","OK"))</f>
      </c>
      <c r="Y36" s="3056">
        <f>IF(A36="","",IF(R36="","REST PENDENTE","REST OK"))</f>
      </c>
      <c r="Z36" s="3056">
        <f>IF(A36="","",IF(AND(R36&lt;&gt;"",COUNTIFS($D$3:$D$164,D36,$R$3:$R$164,"&lt;&gt;")&gt;1),"DUPLICADO","OK"))</f>
      </c>
      <c r="AA36" s="3056">
        <f>IF(A36="","",IF(OR(LEN(Q36)&gt;180,LEN(R36)&gt;180,LEN(S36)&gt;180,LEN(T36)&gt;180),"CAMINHO LONGO","OK"))</f>
      </c>
      <c r="AB36" s="3056">
        <f>IF(A36="","",IF(U36="","",IFERROR(INT(U36-TODAY()),"")))</f>
      </c>
      <c r="AC36" s="3056">
        <f>IF(A36="","",IF(AND(T36="",U36=""),"",IF(T36="","SEM CAMINHO",IF(U36="","SEM DATA",IFERROR(IF(AB36&lt;15,"VERMELHO",IF(AB36&lt;=30,"AMARELO","VERDE")),"DATA INVALIDA")))))</f>
      </c>
      <c r="AD36" s="3056">
        <f>IF(OR(A36="",U36="",NOT(ISNUMBER(AB36))),"",RANK(AB36,$AB$3:$AB$164,1)+COUNTIFS($AB$3:AB36,AB36)-1)</f>
      </c>
      <c r="AE36" s="1736"/>
    </row>
    <row r="37" spans="1:19" ht="22.0" hidden="false" customHeight="true" x14ac:dyDescent="0.25">
      <c r="A37" s="3129" t="s">
        <v>95</v>
      </c>
      <c r="B37" s="3128" t="s">
        <v>96</v>
      </c>
      <c r="C37" s="3128" t="s">
        <v>97</v>
      </c>
      <c r="D37" s="3128" t="s">
        <v>98</v>
      </c>
      <c r="E37" s="3128"/>
      <c r="F37" s="3128" t="s">
        <v>99</v>
      </c>
      <c r="G37" s="3128" t="s">
        <v>41</v>
      </c>
      <c r="H37" s="3128" t="s">
        <v>14</v>
      </c>
      <c r="I37" s="3128"/>
      <c r="J37" s="3128"/>
      <c r="K37" s="3128"/>
      <c r="L37" s="3128"/>
      <c r="M37" s="3128" t="s">
        <v>383</v>
      </c>
      <c r="N37" s="3128" t="s">
        <v>362</v>
      </c>
      <c r="O37" s="3128" t="s">
        <v>349</v>
      </c>
      <c r="P37" s="3128"/>
      <c r="Q37" s="3131"/>
      <c r="R37" s="3131"/>
      <c r="S37" s="3131"/>
      <c r="T37" s="3131"/>
      <c r="U37" s="3132"/>
      <c r="V37" s="3128"/>
      <c r="W37" s="3128"/>
      <c r="X37" s="3056">
        <f>IF(A37="","",IF(LEN(SUBSTITUTE(SUBSTITUTE(SUBSTITUTE(SUBSTITUTE(D37,".",""),"/",""),"-","")," ",""))&lt;&gt;14,"CNPJ INVALIDO","OK"))</f>
      </c>
      <c r="Y37" s="3056">
        <f>IF(A37="","",IF(R37="","REST PENDENTE","REST OK"))</f>
      </c>
      <c r="Z37" s="3056">
        <f>IF(A37="","",IF(AND(R37&lt;&gt;"",COUNTIFS($D$3:$D$164,D37,$R$3:$R$164,"&lt;&gt;")&gt;1),"DUPLICADO","OK"))</f>
      </c>
      <c r="AA37" s="3056">
        <f>IF(A37="","",IF(OR(LEN(Q37)&gt;180,LEN(R37)&gt;180,LEN(S37)&gt;180,LEN(T37)&gt;180),"CAMINHO LONGO","OK"))</f>
      </c>
      <c r="AB37" s="3056">
        <f>IF(A37="","",IF(U37="","",IFERROR(INT(U37-TODAY()),"")))</f>
      </c>
      <c r="AC37" s="3056">
        <f>IF(A37="","",IF(AND(T37="",U37=""),"",IF(T37="","SEM CAMINHO",IF(U37="","SEM DATA",IFERROR(IF(AB37&lt;15,"VERMELHO",IF(AB37&lt;=30,"AMARELO","VERDE")),"DATA INVALIDA")))))</f>
      </c>
      <c r="AD37" s="3056">
        <f>IF(OR(A37="",U37="",NOT(ISNUMBER(AB37))),"",RANK(AB37,$AB$3:$AB$164,1)+COUNTIFS($AB$3:AB37,AB37)-1)</f>
      </c>
      <c r="AE37" s="1736"/>
    </row>
    <row r="38" spans="1:19" ht="22.0" hidden="false" customHeight="true" x14ac:dyDescent="0.25">
      <c r="A38" s="3134" t="s">
        <v>95</v>
      </c>
      <c r="B38" s="3133" t="s">
        <v>96</v>
      </c>
      <c r="C38" s="3133" t="s">
        <v>97</v>
      </c>
      <c r="D38" s="3133" t="s">
        <v>100</v>
      </c>
      <c r="E38" s="3133"/>
      <c r="F38" s="3133" t="s">
        <v>99</v>
      </c>
      <c r="G38" s="3133" t="s">
        <v>13</v>
      </c>
      <c r="H38" s="3133" t="s">
        <v>14</v>
      </c>
      <c r="I38" s="3133"/>
      <c r="J38" s="3133"/>
      <c r="K38" s="3133"/>
      <c r="L38" s="3133"/>
      <c r="M38" s="3133" t="s">
        <v>382</v>
      </c>
      <c r="N38" s="3133" t="s">
        <v>362</v>
      </c>
      <c r="O38" s="3133" t="s">
        <v>349</v>
      </c>
      <c r="P38" s="3133"/>
      <c r="Q38" s="3136"/>
      <c r="R38" s="3136"/>
      <c r="S38" s="3136"/>
      <c r="T38" s="3136"/>
      <c r="U38" s="3137"/>
      <c r="V38" s="3133"/>
      <c r="W38" s="3133"/>
      <c r="X38" s="3056">
        <f>IF(A38="","",IF(LEN(SUBSTITUTE(SUBSTITUTE(SUBSTITUTE(SUBSTITUTE(D38,".",""),"/",""),"-","")," ",""))&lt;&gt;14,"CNPJ INVALIDO","OK"))</f>
      </c>
      <c r="Y38" s="3056">
        <f>IF(A38="","",IF(R38="","REST PENDENTE","REST OK"))</f>
      </c>
      <c r="Z38" s="3056">
        <f>IF(A38="","",IF(AND(R38&lt;&gt;"",COUNTIFS($D$3:$D$164,D38,$R$3:$R$164,"&lt;&gt;")&gt;1),"DUPLICADO","OK"))</f>
      </c>
      <c r="AA38" s="3056">
        <f>IF(A38="","",IF(OR(LEN(Q38)&gt;180,LEN(R38)&gt;180,LEN(S38)&gt;180,LEN(T38)&gt;180),"CAMINHO LONGO","OK"))</f>
      </c>
      <c r="AB38" s="3056">
        <f>IF(A38="","",IF(U38="","",IFERROR(INT(U38-TODAY()),"")))</f>
      </c>
      <c r="AC38" s="3056">
        <f>IF(A38="","",IF(AND(T38="",U38=""),"",IF(T38="","SEM CAMINHO",IF(U38="","SEM DATA",IFERROR(IF(AB38&lt;15,"VERMELHO",IF(AB38&lt;=30,"AMARELO","VERDE")),"DATA INVALIDA")))))</f>
      </c>
      <c r="AD38" s="3056">
        <f>IF(OR(A38="",U38="",NOT(ISNUMBER(AB38))),"",RANK(AB38,$AB$3:$AB$164,1)+COUNTIFS($AB$3:AB38,AB38)-1)</f>
      </c>
      <c r="AE38" s="1736"/>
    </row>
    <row r="39" spans="1:19" ht="22.0" hidden="false" customHeight="true" x14ac:dyDescent="0.25">
      <c r="A39" s="3129" t="s">
        <v>95</v>
      </c>
      <c r="B39" s="3128" t="s">
        <v>96</v>
      </c>
      <c r="C39" s="3128" t="s">
        <v>97</v>
      </c>
      <c r="D39" s="3128" t="s">
        <v>101</v>
      </c>
      <c r="E39" s="3128"/>
      <c r="F39" s="3128" t="s">
        <v>99</v>
      </c>
      <c r="G39" s="3128" t="s">
        <v>13</v>
      </c>
      <c r="H39" s="3128" t="s">
        <v>14</v>
      </c>
      <c r="I39" s="3128"/>
      <c r="J39" s="3128"/>
      <c r="K39" s="3128"/>
      <c r="L39" s="3128"/>
      <c r="M39" s="3128" t="s">
        <v>382</v>
      </c>
      <c r="N39" s="3128" t="s">
        <v>362</v>
      </c>
      <c r="O39" s="3128" t="s">
        <v>349</v>
      </c>
      <c r="P39" s="3128"/>
      <c r="Q39" s="3131"/>
      <c r="R39" s="3131"/>
      <c r="S39" s="3131"/>
      <c r="T39" s="3131"/>
      <c r="U39" s="3132"/>
      <c r="V39" s="3128"/>
      <c r="W39" s="3128"/>
      <c r="X39" s="3056">
        <f>IF(A39="","",IF(LEN(SUBSTITUTE(SUBSTITUTE(SUBSTITUTE(SUBSTITUTE(D39,".",""),"/",""),"-","")," ",""))&lt;&gt;14,"CNPJ INVALIDO","OK"))</f>
      </c>
      <c r="Y39" s="3056">
        <f>IF(A39="","",IF(R39="","REST PENDENTE","REST OK"))</f>
      </c>
      <c r="Z39" s="3056">
        <f>IF(A39="","",IF(AND(R39&lt;&gt;"",COUNTIFS($D$3:$D$164,D39,$R$3:$R$164,"&lt;&gt;")&gt;1),"DUPLICADO","OK"))</f>
      </c>
      <c r="AA39" s="3056">
        <f>IF(A39="","",IF(OR(LEN(Q39)&gt;180,LEN(R39)&gt;180,LEN(S39)&gt;180,LEN(T39)&gt;180),"CAMINHO LONGO","OK"))</f>
      </c>
      <c r="AB39" s="3056">
        <f>IF(A39="","",IF(U39="","",IFERROR(INT(U39-TODAY()),"")))</f>
      </c>
      <c r="AC39" s="3056">
        <f>IF(A39="","",IF(AND(T39="",U39=""),"",IF(T39="","SEM CAMINHO",IF(U39="","SEM DATA",IFERROR(IF(AB39&lt;15,"VERMELHO",IF(AB39&lt;=30,"AMARELO","VERDE")),"DATA INVALIDA")))))</f>
      </c>
      <c r="AD39" s="3056">
        <f>IF(OR(A39="",U39="",NOT(ISNUMBER(AB39))),"",RANK(AB39,$AB$3:$AB$164,1)+COUNTIFS($AB$3:AB39,AB39)-1)</f>
      </c>
      <c r="AE39" s="1736"/>
    </row>
    <row r="40" spans="1:19" ht="22.0" hidden="false" customHeight="true" x14ac:dyDescent="0.25">
      <c r="A40" s="3134" t="s">
        <v>95</v>
      </c>
      <c r="B40" s="3133" t="s">
        <v>96</v>
      </c>
      <c r="C40" s="3133" t="s">
        <v>97</v>
      </c>
      <c r="D40" s="3133" t="s">
        <v>102</v>
      </c>
      <c r="E40" s="3133"/>
      <c r="F40" s="3133" t="s">
        <v>99</v>
      </c>
      <c r="G40" s="3133" t="s">
        <v>13</v>
      </c>
      <c r="H40" s="3133" t="s">
        <v>14</v>
      </c>
      <c r="I40" s="3133"/>
      <c r="J40" s="3133"/>
      <c r="K40" s="3133"/>
      <c r="L40" s="3133"/>
      <c r="M40" s="3133" t="s">
        <v>382</v>
      </c>
      <c r="N40" s="3133" t="s">
        <v>362</v>
      </c>
      <c r="O40" s="3133" t="s">
        <v>349</v>
      </c>
      <c r="P40" s="3133"/>
      <c r="Q40" s="3136"/>
      <c r="R40" s="3136"/>
      <c r="S40" s="3136"/>
      <c r="T40" s="3136"/>
      <c r="U40" s="3137"/>
      <c r="V40" s="3133"/>
      <c r="W40" s="3133"/>
      <c r="X40" s="3056">
        <f>IF(A40="","",IF(LEN(SUBSTITUTE(SUBSTITUTE(SUBSTITUTE(SUBSTITUTE(D40,".",""),"/",""),"-","")," ",""))&lt;&gt;14,"CNPJ INVALIDO","OK"))</f>
      </c>
      <c r="Y40" s="3056">
        <f>IF(A40="","",IF(R40="","REST PENDENTE","REST OK"))</f>
      </c>
      <c r="Z40" s="3056">
        <f>IF(A40="","",IF(AND(R40&lt;&gt;"",COUNTIFS($D$3:$D$164,D40,$R$3:$R$164,"&lt;&gt;")&gt;1),"DUPLICADO","OK"))</f>
      </c>
      <c r="AA40" s="3056">
        <f>IF(A40="","",IF(OR(LEN(Q40)&gt;180,LEN(R40)&gt;180,LEN(S40)&gt;180,LEN(T40)&gt;180),"CAMINHO LONGO","OK"))</f>
      </c>
      <c r="AB40" s="3056">
        <f>IF(A40="","",IF(U40="","",IFERROR(INT(U40-TODAY()),"")))</f>
      </c>
      <c r="AC40" s="3056">
        <f>IF(A40="","",IF(AND(T40="",U40=""),"",IF(T40="","SEM CAMINHO",IF(U40="","SEM DATA",IFERROR(IF(AB40&lt;15,"VERMELHO",IF(AB40&lt;=30,"AMARELO","VERDE")),"DATA INVALIDA")))))</f>
      </c>
      <c r="AD40" s="3056">
        <f>IF(OR(A40="",U40="",NOT(ISNUMBER(AB40))),"",RANK(AB40,$AB$3:$AB$164,1)+COUNTIFS($AB$3:AB40,AB40)-1)</f>
      </c>
      <c r="AE40" s="1736"/>
    </row>
    <row r="41" spans="1:19" ht="22.0" hidden="false" customHeight="true" x14ac:dyDescent="0.25">
      <c r="A41" s="3129" t="s">
        <v>95</v>
      </c>
      <c r="B41" s="3128" t="s">
        <v>96</v>
      </c>
      <c r="C41" s="3128" t="s">
        <v>97</v>
      </c>
      <c r="D41" s="3128" t="s">
        <v>103</v>
      </c>
      <c r="E41" s="3128"/>
      <c r="F41" s="3128" t="s">
        <v>99</v>
      </c>
      <c r="G41" s="3128" t="s">
        <v>13</v>
      </c>
      <c r="H41" s="3128" t="s">
        <v>14</v>
      </c>
      <c r="I41" s="3128"/>
      <c r="J41" s="3128"/>
      <c r="K41" s="3128"/>
      <c r="L41" s="3128"/>
      <c r="M41" s="3128" t="s">
        <v>382</v>
      </c>
      <c r="N41" s="3128" t="s">
        <v>362</v>
      </c>
      <c r="O41" s="3128" t="s">
        <v>349</v>
      </c>
      <c r="P41" s="3128"/>
      <c r="Q41" s="3131"/>
      <c r="R41" s="3131"/>
      <c r="S41" s="3131"/>
      <c r="T41" s="3131"/>
      <c r="U41" s="3132"/>
      <c r="V41" s="3128"/>
      <c r="W41" s="3128"/>
      <c r="X41" s="3056">
        <f>IF(A41="","",IF(LEN(SUBSTITUTE(SUBSTITUTE(SUBSTITUTE(SUBSTITUTE(D41,".",""),"/",""),"-","")," ",""))&lt;&gt;14,"CNPJ INVALIDO","OK"))</f>
      </c>
      <c r="Y41" s="3056">
        <f>IF(A41="","",IF(R41="","REST PENDENTE","REST OK"))</f>
      </c>
      <c r="Z41" s="3056">
        <f>IF(A41="","",IF(AND(R41&lt;&gt;"",COUNTIFS($D$3:$D$164,D41,$R$3:$R$164,"&lt;&gt;")&gt;1),"DUPLICADO","OK"))</f>
      </c>
      <c r="AA41" s="3056">
        <f>IF(A41="","",IF(OR(LEN(Q41)&gt;180,LEN(R41)&gt;180,LEN(S41)&gt;180,LEN(T41)&gt;180),"CAMINHO LONGO","OK"))</f>
      </c>
      <c r="AB41" s="3056">
        <f>IF(A41="","",IF(U41="","",IFERROR(INT(U41-TODAY()),"")))</f>
      </c>
      <c r="AC41" s="3056">
        <f>IF(A41="","",IF(AND(T41="",U41=""),"",IF(T41="","SEM CAMINHO",IF(U41="","SEM DATA",IFERROR(IF(AB41&lt;15,"VERMELHO",IF(AB41&lt;=30,"AMARELO","VERDE")),"DATA INVALIDA")))))</f>
      </c>
      <c r="AD41" s="3056">
        <f>IF(OR(A41="",U41="",NOT(ISNUMBER(AB41))),"",RANK(AB41,$AB$3:$AB$164,1)+COUNTIFS($AB$3:AB41,AB41)-1)</f>
      </c>
      <c r="AE41" s="1736"/>
    </row>
    <row r="42" spans="1:19" ht="22.0" hidden="false" customHeight="true" x14ac:dyDescent="0.25">
      <c r="A42" s="3134" t="s">
        <v>95</v>
      </c>
      <c r="B42" s="3133" t="s">
        <v>96</v>
      </c>
      <c r="C42" s="3133" t="s">
        <v>104</v>
      </c>
      <c r="D42" s="3133" t="s">
        <v>105</v>
      </c>
      <c r="E42" s="3133"/>
      <c r="F42" s="3133" t="s">
        <v>99</v>
      </c>
      <c r="G42" s="3133" t="s">
        <v>13</v>
      </c>
      <c r="H42" s="3133" t="s">
        <v>14</v>
      </c>
      <c r="I42" s="3133"/>
      <c r="J42" s="3133"/>
      <c r="K42" s="3133"/>
      <c r="L42" s="3133"/>
      <c r="M42" s="3133" t="s">
        <v>382</v>
      </c>
      <c r="N42" s="3133" t="s">
        <v>362</v>
      </c>
      <c r="O42" s="3133" t="s">
        <v>349</v>
      </c>
      <c r="P42" s="3133"/>
      <c r="Q42" s="3136"/>
      <c r="R42" s="3136"/>
      <c r="S42" s="3136"/>
      <c r="T42" s="3136"/>
      <c r="U42" s="3137"/>
      <c r="V42" s="3133"/>
      <c r="W42" s="3133"/>
      <c r="X42" s="3056">
        <f>IF(A42="","",IF(LEN(SUBSTITUTE(SUBSTITUTE(SUBSTITUTE(SUBSTITUTE(D42,".",""),"/",""),"-","")," ",""))&lt;&gt;14,"CNPJ INVALIDO","OK"))</f>
      </c>
      <c r="Y42" s="3056">
        <f>IF(A42="","",IF(R42="","REST PENDENTE","REST OK"))</f>
      </c>
      <c r="Z42" s="3056">
        <f>IF(A42="","",IF(AND(R42&lt;&gt;"",COUNTIFS($D$3:$D$164,D42,$R$3:$R$164,"&lt;&gt;")&gt;1),"DUPLICADO","OK"))</f>
      </c>
      <c r="AA42" s="3056">
        <f>IF(A42="","",IF(OR(LEN(Q42)&gt;180,LEN(R42)&gt;180,LEN(S42)&gt;180,LEN(T42)&gt;180),"CAMINHO LONGO","OK"))</f>
      </c>
      <c r="AB42" s="3056">
        <f>IF(A42="","",IF(U42="","",IFERROR(INT(U42-TODAY()),"")))</f>
      </c>
      <c r="AC42" s="3056">
        <f>IF(A42="","",IF(AND(T42="",U42=""),"",IF(T42="","SEM CAMINHO",IF(U42="","SEM DATA",IFERROR(IF(AB42&lt;15,"VERMELHO",IF(AB42&lt;=30,"AMARELO","VERDE")),"DATA INVALIDA")))))</f>
      </c>
      <c r="AD42" s="3056">
        <f>IF(OR(A42="",U42="",NOT(ISNUMBER(AB42))),"",RANK(AB42,$AB$3:$AB$164,1)+COUNTIFS($AB$3:AB42,AB42)-1)</f>
      </c>
      <c r="AE42" s="1736"/>
    </row>
    <row r="43" spans="1:19" ht="22.0" hidden="false" customHeight="true" x14ac:dyDescent="0.25">
      <c r="A43" s="3129" t="s">
        <v>95</v>
      </c>
      <c r="B43" s="3128" t="s">
        <v>96</v>
      </c>
      <c r="C43" s="3128" t="s">
        <v>104</v>
      </c>
      <c r="D43" s="3128" t="s">
        <v>106</v>
      </c>
      <c r="E43" s="3128"/>
      <c r="F43" s="3128" t="s">
        <v>99</v>
      </c>
      <c r="G43" s="3128" t="s">
        <v>13</v>
      </c>
      <c r="H43" s="3128" t="s">
        <v>14</v>
      </c>
      <c r="I43" s="3128"/>
      <c r="J43" s="3128"/>
      <c r="K43" s="3128"/>
      <c r="L43" s="3128"/>
      <c r="M43" s="3128" t="s">
        <v>382</v>
      </c>
      <c r="N43" s="3128" t="s">
        <v>362</v>
      </c>
      <c r="O43" s="3128" t="s">
        <v>349</v>
      </c>
      <c r="P43" s="3128"/>
      <c r="Q43" s="3131"/>
      <c r="R43" s="3131"/>
      <c r="S43" s="3131"/>
      <c r="T43" s="3131"/>
      <c r="U43" s="3132"/>
      <c r="V43" s="3128"/>
      <c r="W43" s="3128"/>
      <c r="X43" s="3056">
        <f>IF(A43="","",IF(LEN(SUBSTITUTE(SUBSTITUTE(SUBSTITUTE(SUBSTITUTE(D43,".",""),"/",""),"-","")," ",""))&lt;&gt;14,"CNPJ INVALIDO","OK"))</f>
      </c>
      <c r="Y43" s="3056">
        <f>IF(A43="","",IF(R43="","REST PENDENTE","REST OK"))</f>
      </c>
      <c r="Z43" s="3056">
        <f>IF(A43="","",IF(AND(R43&lt;&gt;"",COUNTIFS($D$3:$D$164,D43,$R$3:$R$164,"&lt;&gt;")&gt;1),"DUPLICADO","OK"))</f>
      </c>
      <c r="AA43" s="3056">
        <f>IF(A43="","",IF(OR(LEN(Q43)&gt;180,LEN(R43)&gt;180,LEN(S43)&gt;180,LEN(T43)&gt;180),"CAMINHO LONGO","OK"))</f>
      </c>
      <c r="AB43" s="3056">
        <f>IF(A43="","",IF(U43="","",IFERROR(INT(U43-TODAY()),"")))</f>
      </c>
      <c r="AC43" s="3056">
        <f>IF(A43="","",IF(AND(T43="",U43=""),"",IF(T43="","SEM CAMINHO",IF(U43="","SEM DATA",IFERROR(IF(AB43&lt;15,"VERMELHO",IF(AB43&lt;=30,"AMARELO","VERDE")),"DATA INVALIDA")))))</f>
      </c>
      <c r="AD43" s="3056">
        <f>IF(OR(A43="",U43="",NOT(ISNUMBER(AB43))),"",RANK(AB43,$AB$3:$AB$164,1)+COUNTIFS($AB$3:AB43,AB43)-1)</f>
      </c>
      <c r="AE43" s="1736"/>
    </row>
    <row r="44" spans="1:19" ht="22.0" hidden="false" customHeight="true" x14ac:dyDescent="0.25">
      <c r="A44" s="3134" t="s">
        <v>107</v>
      </c>
      <c r="B44" s="3133" t="s">
        <v>108</v>
      </c>
      <c r="C44" s="3133" t="s">
        <v>62</v>
      </c>
      <c r="D44" s="3133">
        <v>50056304000149</v>
      </c>
      <c r="E44" s="3133"/>
      <c r="F44" s="3133" t="s">
        <v>109</v>
      </c>
      <c r="G44" s="3133" t="s">
        <v>4</v>
      </c>
      <c r="H44" s="3133" t="s">
        <v>49</v>
      </c>
      <c r="I44" s="3133"/>
      <c r="J44" s="3133"/>
      <c r="K44" s="3133"/>
      <c r="L44" s="3133"/>
      <c r="M44" s="3133" t="s">
        <v>379</v>
      </c>
      <c r="N44" s="3133"/>
      <c r="O44" s="3133" t="s">
        <v>349</v>
      </c>
      <c r="P44" s="3133"/>
      <c r="Q44" s="3136"/>
      <c r="R44" s="3136"/>
      <c r="S44" s="3136"/>
      <c r="T44" s="3136"/>
      <c r="U44" s="3137"/>
      <c r="V44" s="3133"/>
      <c r="W44" s="3133"/>
      <c r="X44" s="3056">
        <f>IF(A44="","",IF(LEN(SUBSTITUTE(SUBSTITUTE(SUBSTITUTE(SUBSTITUTE(D44,".",""),"/",""),"-","")," ",""))&lt;&gt;14,"CNPJ INVALIDO","OK"))</f>
      </c>
      <c r="Y44" s="3056">
        <f>IF(A44="","",IF(R44="","REST PENDENTE","REST OK"))</f>
      </c>
      <c r="Z44" s="3056">
        <f>IF(A44="","",IF(AND(R44&lt;&gt;"",COUNTIFS($D$3:$D$164,D44,$R$3:$R$164,"&lt;&gt;")&gt;1),"DUPLICADO","OK"))</f>
      </c>
      <c r="AA44" s="3056">
        <f>IF(A44="","",IF(OR(LEN(Q44)&gt;180,LEN(R44)&gt;180,LEN(S44)&gt;180,LEN(T44)&gt;180),"CAMINHO LONGO","OK"))</f>
      </c>
      <c r="AB44" s="3056">
        <f>IF(A44="","",IF(U44="","",IFERROR(INT(U44-TODAY()),"")))</f>
      </c>
      <c r="AC44" s="3056">
        <f>IF(A44="","",IF(AND(T44="",U44=""),"",IF(T44="","SEM CAMINHO",IF(U44="","SEM DATA",IFERROR(IF(AB44&lt;15,"VERMELHO",IF(AB44&lt;=30,"AMARELO","VERDE")),"DATA INVALIDA")))))</f>
      </c>
      <c r="AD44" s="3056">
        <f>IF(OR(A44="",U44="",NOT(ISNUMBER(AB44))),"",RANK(AB44,$AB$3:$AB$164,1)+COUNTIFS($AB$3:AB44,AB44)-1)</f>
      </c>
      <c r="AE44" s="1736"/>
    </row>
    <row r="45" spans="1:19" ht="22.0" hidden="false" customHeight="true" x14ac:dyDescent="0.25">
      <c r="A45" s="3129" t="s">
        <v>110</v>
      </c>
      <c r="B45" s="3128" t="s">
        <v>108</v>
      </c>
      <c r="C45" s="3128" t="s">
        <v>62</v>
      </c>
      <c r="D45" s="3128">
        <v>59971731000127</v>
      </c>
      <c r="E45" s="3128"/>
      <c r="F45" s="3128" t="s">
        <v>109</v>
      </c>
      <c r="G45" s="3128" t="s">
        <v>4</v>
      </c>
      <c r="H45" s="3128" t="s">
        <v>49</v>
      </c>
      <c r="I45" s="3128"/>
      <c r="J45" s="3128"/>
      <c r="K45" s="3128"/>
      <c r="L45" s="3128"/>
      <c r="M45" s="3128" t="s">
        <v>379</v>
      </c>
      <c r="N45" s="3128"/>
      <c r="O45" s="3128" t="s">
        <v>349</v>
      </c>
      <c r="P45" s="3128"/>
      <c r="Q45" s="3131"/>
      <c r="R45" s="3131"/>
      <c r="S45" s="3131"/>
      <c r="T45" s="3131"/>
      <c r="U45" s="3132"/>
      <c r="V45" s="3128"/>
      <c r="W45" s="3128"/>
      <c r="X45" s="3056">
        <f>IF(A45="","",IF(LEN(SUBSTITUTE(SUBSTITUTE(SUBSTITUTE(SUBSTITUTE(D45,".",""),"/",""),"-","")," ",""))&lt;&gt;14,"CNPJ INVALIDO","OK"))</f>
      </c>
      <c r="Y45" s="3056">
        <f>IF(A45="","",IF(R45="","REST PENDENTE","REST OK"))</f>
      </c>
      <c r="Z45" s="3056">
        <f>IF(A45="","",IF(AND(R45&lt;&gt;"",COUNTIFS($D$3:$D$164,D45,$R$3:$R$164,"&lt;&gt;")&gt;1),"DUPLICADO","OK"))</f>
      </c>
      <c r="AA45" s="3056">
        <f>IF(A45="","",IF(OR(LEN(Q45)&gt;180,LEN(R45)&gt;180,LEN(S45)&gt;180,LEN(T45)&gt;180),"CAMINHO LONGO","OK"))</f>
      </c>
      <c r="AB45" s="3056">
        <f>IF(A45="","",IF(U45="","",IFERROR(INT(U45-TODAY()),"")))</f>
      </c>
      <c r="AC45" s="3056">
        <f>IF(A45="","",IF(AND(T45="",U45=""),"",IF(T45="","SEM CAMINHO",IF(U45="","SEM DATA",IFERROR(IF(AB45&lt;15,"VERMELHO",IF(AB45&lt;=30,"AMARELO","VERDE")),"DATA INVALIDA")))))</f>
      </c>
      <c r="AD45" s="3056">
        <f>IF(OR(A45="",U45="",NOT(ISNUMBER(AB45))),"",RANK(AB45,$AB$3:$AB$164,1)+COUNTIFS($AB$3:AB45,AB45)-1)</f>
      </c>
      <c r="AE45" s="1736"/>
    </row>
    <row r="46" spans="1:19" ht="22.0" hidden="false" customHeight="true" x14ac:dyDescent="0.25">
      <c r="A46" s="3134" t="s">
        <v>111</v>
      </c>
      <c r="B46" s="3133" t="s">
        <v>108</v>
      </c>
      <c r="C46" s="3133" t="s">
        <v>69</v>
      </c>
      <c r="D46" s="3133" t="s">
        <v>112</v>
      </c>
      <c r="E46" s="3133"/>
      <c r="F46" s="3133" t="s">
        <v>113</v>
      </c>
      <c r="G46" s="3133" t="s">
        <v>13</v>
      </c>
      <c r="H46" s="3133" t="s">
        <v>49</v>
      </c>
      <c r="I46" s="3133"/>
      <c r="J46" s="3133"/>
      <c r="K46" s="3133"/>
      <c r="L46" s="3133"/>
      <c r="M46" s="3133" t="s">
        <v>377</v>
      </c>
      <c r="N46" s="3133"/>
      <c r="O46" s="3133" t="s">
        <v>347</v>
      </c>
      <c r="P46" s="3133"/>
      <c r="Q46" s="3136"/>
      <c r="R46" s="3136"/>
      <c r="S46" s="3136"/>
      <c r="T46" s="3136"/>
      <c r="U46" s="3137"/>
      <c r="V46" s="3133"/>
      <c r="W46" s="3133"/>
      <c r="X46" s="3056">
        <f>IF(A46="","",IF(LEN(SUBSTITUTE(SUBSTITUTE(SUBSTITUTE(SUBSTITUTE(D46,".",""),"/",""),"-","")," ",""))&lt;&gt;14,"CNPJ INVALIDO","OK"))</f>
      </c>
      <c r="Y46" s="3056">
        <f>IF(A46="","",IF(R46="","REST PENDENTE","REST OK"))</f>
      </c>
      <c r="Z46" s="3056">
        <f>IF(A46="","",IF(AND(R46&lt;&gt;"",COUNTIFS($D$3:$D$164,D46,$R$3:$R$164,"&lt;&gt;")&gt;1),"DUPLICADO","OK"))</f>
      </c>
      <c r="AA46" s="3056">
        <f>IF(A46="","",IF(OR(LEN(Q46)&gt;180,LEN(R46)&gt;180,LEN(S46)&gt;180,LEN(T46)&gt;180),"CAMINHO LONGO","OK"))</f>
      </c>
      <c r="AB46" s="3056">
        <f>IF(A46="","",IF(U46="","",IFERROR(INT(U46-TODAY()),"")))</f>
      </c>
      <c r="AC46" s="3056">
        <f>IF(A46="","",IF(AND(T46="",U46=""),"",IF(T46="","SEM CAMINHO",IF(U46="","SEM DATA",IFERROR(IF(AB46&lt;15,"VERMELHO",IF(AB46&lt;=30,"AMARELO","VERDE")),"DATA INVALIDA")))))</f>
      </c>
      <c r="AD46" s="3056">
        <f>IF(OR(A46="",U46="",NOT(ISNUMBER(AB46))),"",RANK(AB46,$AB$3:$AB$164,1)+COUNTIFS($AB$3:AB46,AB46)-1)</f>
      </c>
      <c r="AE46" s="1736"/>
    </row>
    <row r="47" spans="1:19" ht="22.0" hidden="false" customHeight="true" x14ac:dyDescent="0.25">
      <c r="A47" s="3129" t="s">
        <v>114</v>
      </c>
      <c r="B47" s="3128" t="s">
        <v>115</v>
      </c>
      <c r="C47" s="3128" t="s">
        <v>116</v>
      </c>
      <c r="D47" s="3128" t="s">
        <v>117</v>
      </c>
      <c r="E47" s="3128"/>
      <c r="F47" s="3128" t="s">
        <v>118</v>
      </c>
      <c r="G47" s="3128" t="s">
        <v>13</v>
      </c>
      <c r="H47" s="3128" t="s">
        <v>14</v>
      </c>
      <c r="I47" s="3128"/>
      <c r="J47" s="3128"/>
      <c r="K47" s="3128"/>
      <c r="L47" s="3128"/>
      <c r="M47" s="3128" t="s">
        <v>377</v>
      </c>
      <c r="N47" s="3128"/>
      <c r="O47" s="3128" t="s">
        <v>350</v>
      </c>
      <c r="P47" s="3128"/>
      <c r="Q47" s="3131"/>
      <c r="R47" s="3131"/>
      <c r="S47" s="3131"/>
      <c r="T47" s="3131"/>
      <c r="U47" s="3132"/>
      <c r="V47" s="3128"/>
      <c r="W47" s="3128"/>
      <c r="X47" s="3056">
        <f>IF(A47="","",IF(LEN(SUBSTITUTE(SUBSTITUTE(SUBSTITUTE(SUBSTITUTE(D47,".",""),"/",""),"-","")," ",""))&lt;&gt;14,"CNPJ INVALIDO","OK"))</f>
      </c>
      <c r="Y47" s="3056">
        <f>IF(A47="","",IF(R47="","REST PENDENTE","REST OK"))</f>
      </c>
      <c r="Z47" s="3056">
        <f>IF(A47="","",IF(AND(R47&lt;&gt;"",COUNTIFS($D$3:$D$164,D47,$R$3:$R$164,"&lt;&gt;")&gt;1),"DUPLICADO","OK"))</f>
      </c>
      <c r="AA47" s="3056">
        <f>IF(A47="","",IF(OR(LEN(Q47)&gt;180,LEN(R47)&gt;180,LEN(S47)&gt;180,LEN(T47)&gt;180),"CAMINHO LONGO","OK"))</f>
      </c>
      <c r="AB47" s="3056">
        <f>IF(A47="","",IF(U47="","",IFERROR(INT(U47-TODAY()),"")))</f>
      </c>
      <c r="AC47" s="3056">
        <f>IF(A47="","",IF(AND(T47="",U47=""),"",IF(T47="","SEM CAMINHO",IF(U47="","SEM DATA",IFERROR(IF(AB47&lt;15,"VERMELHO",IF(AB47&lt;=30,"AMARELO","VERDE")),"DATA INVALIDA")))))</f>
      </c>
      <c r="AD47" s="3056">
        <f>IF(OR(A47="",U47="",NOT(ISNUMBER(AB47))),"",RANK(AB47,$AB$3:$AB$164,1)+COUNTIFS($AB$3:AB47,AB47)-1)</f>
      </c>
      <c r="AE47" s="1736"/>
    </row>
    <row r="48" spans="1:19" ht="22.0" hidden="false" customHeight="true" x14ac:dyDescent="0.25">
      <c r="A48" s="3134" t="s">
        <v>119</v>
      </c>
      <c r="B48" s="3133" t="s">
        <v>115</v>
      </c>
      <c r="C48" s="3133" t="s">
        <v>116</v>
      </c>
      <c r="D48" s="3133" t="s">
        <v>120</v>
      </c>
      <c r="E48" s="3133"/>
      <c r="F48" s="3133" t="s">
        <v>118</v>
      </c>
      <c r="G48" s="3133" t="s">
        <v>13</v>
      </c>
      <c r="H48" s="3133" t="s">
        <v>14</v>
      </c>
      <c r="I48" s="3133"/>
      <c r="J48" s="3133"/>
      <c r="K48" s="3133"/>
      <c r="L48" s="3133"/>
      <c r="M48" s="3133" t="s">
        <v>376</v>
      </c>
      <c r="N48" s="3133"/>
      <c r="O48" s="3133" t="s">
        <v>347</v>
      </c>
      <c r="P48" s="3133"/>
      <c r="Q48" s="3136"/>
      <c r="R48" s="3136"/>
      <c r="S48" s="3136"/>
      <c r="T48" s="3136"/>
      <c r="U48" s="3137"/>
      <c r="V48" s="3133"/>
      <c r="W48" s="3133"/>
      <c r="X48" s="3056">
        <f>IF(A48="","",IF(LEN(SUBSTITUTE(SUBSTITUTE(SUBSTITUTE(SUBSTITUTE(D48,".",""),"/",""),"-","")," ",""))&lt;&gt;14,"CNPJ INVALIDO","OK"))</f>
      </c>
      <c r="Y48" s="3056">
        <f>IF(A48="","",IF(R48="","REST PENDENTE","REST OK"))</f>
      </c>
      <c r="Z48" s="3056">
        <f>IF(A48="","",IF(AND(R48&lt;&gt;"",COUNTIFS($D$3:$D$164,D48,$R$3:$R$164,"&lt;&gt;")&gt;1),"DUPLICADO","OK"))</f>
      </c>
      <c r="AA48" s="3056">
        <f>IF(A48="","",IF(OR(LEN(Q48)&gt;180,LEN(R48)&gt;180,LEN(S48)&gt;180,LEN(T48)&gt;180),"CAMINHO LONGO","OK"))</f>
      </c>
      <c r="AB48" s="3056">
        <f>IF(A48="","",IF(U48="","",IFERROR(INT(U48-TODAY()),"")))</f>
      </c>
      <c r="AC48" s="3056">
        <f>IF(A48="","",IF(AND(T48="",U48=""),"",IF(T48="","SEM CAMINHO",IF(U48="","SEM DATA",IFERROR(IF(AB48&lt;15,"VERMELHO",IF(AB48&lt;=30,"AMARELO","VERDE")),"DATA INVALIDA")))))</f>
      </c>
      <c r="AD48" s="3056">
        <f>IF(OR(A48="",U48="",NOT(ISNUMBER(AB48))),"",RANK(AB48,$AB$3:$AB$164,1)+COUNTIFS($AB$3:AB48,AB48)-1)</f>
      </c>
      <c r="AE48" s="1736"/>
    </row>
    <row r="49" spans="1:19" ht="22.0" hidden="false" customHeight="true" x14ac:dyDescent="0.25">
      <c r="A49" s="3129" t="s">
        <v>121</v>
      </c>
      <c r="B49" s="3128" t="s">
        <v>115</v>
      </c>
      <c r="C49" s="3128" t="s">
        <v>122</v>
      </c>
      <c r="D49" s="3128">
        <v>44742752000101</v>
      </c>
      <c r="E49" s="3128"/>
      <c r="F49" s="3128" t="s">
        <v>118</v>
      </c>
      <c r="G49" s="3128" t="s">
        <v>4</v>
      </c>
      <c r="H49" s="3128" t="s">
        <v>5</v>
      </c>
      <c r="I49" s="3128"/>
      <c r="J49" s="3128"/>
      <c r="K49" s="3128"/>
      <c r="L49" s="3128"/>
      <c r="M49" s="3128" t="s">
        <v>376</v>
      </c>
      <c r="N49" s="3128"/>
      <c r="O49" s="3128" t="s">
        <v>349</v>
      </c>
      <c r="P49" s="3128"/>
      <c r="Q49" s="3131"/>
      <c r="R49" s="3131"/>
      <c r="S49" s="3131"/>
      <c r="T49" s="3131"/>
      <c r="U49" s="3132"/>
      <c r="V49" s="3128"/>
      <c r="W49" s="3128"/>
      <c r="X49" s="3056">
        <f>IF(A49="","",IF(LEN(SUBSTITUTE(SUBSTITUTE(SUBSTITUTE(SUBSTITUTE(D49,".",""),"/",""),"-","")," ",""))&lt;&gt;14,"CNPJ INVALIDO","OK"))</f>
      </c>
      <c r="Y49" s="3056">
        <f>IF(A49="","",IF(R49="","REST PENDENTE","REST OK"))</f>
      </c>
      <c r="Z49" s="3056">
        <f>IF(A49="","",IF(AND(R49&lt;&gt;"",COUNTIFS($D$3:$D$164,D49,$R$3:$R$164,"&lt;&gt;")&gt;1),"DUPLICADO","OK"))</f>
      </c>
      <c r="AA49" s="3056">
        <f>IF(A49="","",IF(OR(LEN(Q49)&gt;180,LEN(R49)&gt;180,LEN(S49)&gt;180,LEN(T49)&gt;180),"CAMINHO LONGO","OK"))</f>
      </c>
      <c r="AB49" s="3056">
        <f>IF(A49="","",IF(U49="","",IFERROR(INT(U49-TODAY()),"")))</f>
      </c>
      <c r="AC49" s="3056">
        <f>IF(A49="","",IF(AND(T49="",U49=""),"",IF(T49="","SEM CAMINHO",IF(U49="","SEM DATA",IFERROR(IF(AB49&lt;15,"VERMELHO",IF(AB49&lt;=30,"AMARELO","VERDE")),"DATA INVALIDA")))))</f>
      </c>
      <c r="AD49" s="3056">
        <f>IF(OR(A49="",U49="",NOT(ISNUMBER(AB49))),"",RANK(AB49,$AB$3:$AB$164,1)+COUNTIFS($AB$3:AB49,AB49)-1)</f>
      </c>
      <c r="AE49" s="1736"/>
    </row>
    <row r="50" spans="1:19" ht="22.0" hidden="false" customHeight="true" x14ac:dyDescent="0.25">
      <c r="A50" s="3134" t="s">
        <v>123</v>
      </c>
      <c r="B50" s="3133" t="s">
        <v>115</v>
      </c>
      <c r="C50" s="3133" t="s">
        <v>116</v>
      </c>
      <c r="D50" s="3133" t="s">
        <v>124</v>
      </c>
      <c r="E50" s="3133"/>
      <c r="F50" s="3133" t="s">
        <v>125</v>
      </c>
      <c r="G50" s="3133" t="s">
        <v>13</v>
      </c>
      <c r="H50" s="3133" t="s">
        <v>14</v>
      </c>
      <c r="I50" s="3133"/>
      <c r="J50" s="3133"/>
      <c r="K50" s="3133"/>
      <c r="L50" s="3133"/>
      <c r="M50" s="3133" t="s">
        <v>379</v>
      </c>
      <c r="N50" s="3133"/>
      <c r="O50" s="3133" t="s">
        <v>349</v>
      </c>
      <c r="P50" s="3133"/>
      <c r="Q50" s="3136"/>
      <c r="R50" s="3136"/>
      <c r="S50" s="3136"/>
      <c r="T50" s="3136"/>
      <c r="U50" s="3137"/>
      <c r="V50" s="3133"/>
      <c r="W50" s="3133"/>
      <c r="X50" s="3056">
        <f>IF(A50="","",IF(LEN(SUBSTITUTE(SUBSTITUTE(SUBSTITUTE(SUBSTITUTE(D50,".",""),"/",""),"-","")," ",""))&lt;&gt;14,"CNPJ INVALIDO","OK"))</f>
      </c>
      <c r="Y50" s="3056">
        <f>IF(A50="","",IF(R50="","REST PENDENTE","REST OK"))</f>
      </c>
      <c r="Z50" s="3056">
        <f>IF(A50="","",IF(AND(R50&lt;&gt;"",COUNTIFS($D$3:$D$164,D50,$R$3:$R$164,"&lt;&gt;")&gt;1),"DUPLICADO","OK"))</f>
      </c>
      <c r="AA50" s="3056">
        <f>IF(A50="","",IF(OR(LEN(Q50)&gt;180,LEN(R50)&gt;180,LEN(S50)&gt;180,LEN(T50)&gt;180),"CAMINHO LONGO","OK"))</f>
      </c>
      <c r="AB50" s="3056">
        <f>IF(A50="","",IF(U50="","",IFERROR(INT(U50-TODAY()),"")))</f>
      </c>
      <c r="AC50" s="3056">
        <f>IF(A50="","",IF(AND(T50="",U50=""),"",IF(T50="","SEM CAMINHO",IF(U50="","SEM DATA",IFERROR(IF(AB50&lt;15,"VERMELHO",IF(AB50&lt;=30,"AMARELO","VERDE")),"DATA INVALIDA")))))</f>
      </c>
      <c r="AD50" s="3056">
        <f>IF(OR(A50="",U50="",NOT(ISNUMBER(AB50))),"",RANK(AB50,$AB$3:$AB$164,1)+COUNTIFS($AB$3:AB50,AB50)-1)</f>
      </c>
      <c r="AE50" s="1736"/>
    </row>
    <row r="51" spans="1:19" ht="22.0" hidden="false" customHeight="true" x14ac:dyDescent="0.25">
      <c r="A51" s="3129" t="s">
        <v>126</v>
      </c>
      <c r="B51" s="3128" t="s">
        <v>115</v>
      </c>
      <c r="C51" s="3128" t="s">
        <v>122</v>
      </c>
      <c r="D51" s="3128">
        <v>44777527000100</v>
      </c>
      <c r="E51" s="3128"/>
      <c r="F51" s="3128" t="s">
        <v>125</v>
      </c>
      <c r="G51" s="3128" t="s">
        <v>4</v>
      </c>
      <c r="H51" s="3128" t="s">
        <v>5</v>
      </c>
      <c r="I51" s="3128"/>
      <c r="J51" s="3128"/>
      <c r="K51" s="3128"/>
      <c r="L51" s="3128"/>
      <c r="M51" s="3128" t="s">
        <v>379</v>
      </c>
      <c r="N51" s="3128"/>
      <c r="O51" s="3128" t="s">
        <v>349</v>
      </c>
      <c r="P51" s="3128"/>
      <c r="Q51" s="3131"/>
      <c r="R51" s="3131"/>
      <c r="S51" s="3131"/>
      <c r="T51" s="3131"/>
      <c r="U51" s="3132"/>
      <c r="V51" s="3128"/>
      <c r="W51" s="3128"/>
      <c r="X51" s="3056">
        <f>IF(A51="","",IF(LEN(SUBSTITUTE(SUBSTITUTE(SUBSTITUTE(SUBSTITUTE(D51,".",""),"/",""),"-","")," ",""))&lt;&gt;14,"CNPJ INVALIDO","OK"))</f>
      </c>
      <c r="Y51" s="3056">
        <f>IF(A51="","",IF(R51="","REST PENDENTE","REST OK"))</f>
      </c>
      <c r="Z51" s="3056">
        <f>IF(A51="","",IF(AND(R51&lt;&gt;"",COUNTIFS($D$3:$D$164,D51,$R$3:$R$164,"&lt;&gt;")&gt;1),"DUPLICADO","OK"))</f>
      </c>
      <c r="AA51" s="3056">
        <f>IF(A51="","",IF(OR(LEN(Q51)&gt;180,LEN(R51)&gt;180,LEN(S51)&gt;180,LEN(T51)&gt;180),"CAMINHO LONGO","OK"))</f>
      </c>
      <c r="AB51" s="3056">
        <f>IF(A51="","",IF(U51="","",IFERROR(INT(U51-TODAY()),"")))</f>
      </c>
      <c r="AC51" s="3056">
        <f>IF(A51="","",IF(AND(T51="",U51=""),"",IF(T51="","SEM CAMINHO",IF(U51="","SEM DATA",IFERROR(IF(AB51&lt;15,"VERMELHO",IF(AB51&lt;=30,"AMARELO","VERDE")),"DATA INVALIDA")))))</f>
      </c>
      <c r="AD51" s="3056">
        <f>IF(OR(A51="",U51="",NOT(ISNUMBER(AB51))),"",RANK(AB51,$AB$3:$AB$164,1)+COUNTIFS($AB$3:AB51,AB51)-1)</f>
      </c>
      <c r="AE51" s="1736"/>
    </row>
    <row r="52" spans="1:19" ht="22.0" hidden="false" customHeight="true" x14ac:dyDescent="0.25">
      <c r="A52" s="3134" t="s">
        <v>127</v>
      </c>
      <c r="B52" s="3133" t="s">
        <v>115</v>
      </c>
      <c r="C52" s="3133" t="s">
        <v>122</v>
      </c>
      <c r="D52" s="3133">
        <v>44796284000140</v>
      </c>
      <c r="E52" s="3133"/>
      <c r="F52" s="3133" t="s">
        <v>125</v>
      </c>
      <c r="G52" s="3133" t="s">
        <v>4</v>
      </c>
      <c r="H52" s="3133" t="s">
        <v>5</v>
      </c>
      <c r="I52" s="3133"/>
      <c r="J52" s="3133"/>
      <c r="K52" s="3133"/>
      <c r="L52" s="3133"/>
      <c r="M52" s="3133" t="s">
        <v>379</v>
      </c>
      <c r="N52" s="3133"/>
      <c r="O52" s="3133" t="s">
        <v>349</v>
      </c>
      <c r="P52" s="3133"/>
      <c r="Q52" s="3136"/>
      <c r="R52" s="3136"/>
      <c r="S52" s="3136"/>
      <c r="T52" s="3136"/>
      <c r="U52" s="3137"/>
      <c r="V52" s="3133"/>
      <c r="W52" s="3133"/>
      <c r="X52" s="3056">
        <f>IF(A52="","",IF(LEN(SUBSTITUTE(SUBSTITUTE(SUBSTITUTE(SUBSTITUTE(D52,".",""),"/",""),"-","")," ",""))&lt;&gt;14,"CNPJ INVALIDO","OK"))</f>
      </c>
      <c r="Y52" s="3056">
        <f>IF(A52="","",IF(R52="","REST PENDENTE","REST OK"))</f>
      </c>
      <c r="Z52" s="3056">
        <f>IF(A52="","",IF(AND(R52&lt;&gt;"",COUNTIFS($D$3:$D$164,D52,$R$3:$R$164,"&lt;&gt;")&gt;1),"DUPLICADO","OK"))</f>
      </c>
      <c r="AA52" s="3056">
        <f>IF(A52="","",IF(OR(LEN(Q52)&gt;180,LEN(R52)&gt;180,LEN(S52)&gt;180,LEN(T52)&gt;180),"CAMINHO LONGO","OK"))</f>
      </c>
      <c r="AB52" s="3056">
        <f>IF(A52="","",IF(U52="","",IFERROR(INT(U52-TODAY()),"")))</f>
      </c>
      <c r="AC52" s="3056">
        <f>IF(A52="","",IF(AND(T52="",U52=""),"",IF(T52="","SEM CAMINHO",IF(U52="","SEM DATA",IFERROR(IF(AB52&lt;15,"VERMELHO",IF(AB52&lt;=30,"AMARELO","VERDE")),"DATA INVALIDA")))))</f>
      </c>
      <c r="AD52" s="3056">
        <f>IF(OR(A52="",U52="",NOT(ISNUMBER(AB52))),"",RANK(AB52,$AB$3:$AB$164,1)+COUNTIFS($AB$3:AB52,AB52)-1)</f>
      </c>
      <c r="AE52" s="1736"/>
    </row>
    <row r="53" spans="1:19" ht="22.0" customHeight="true" thickTop="1" x14ac:dyDescent="0.25" hidden="false">
      <c r="A53" s="3129" t="s">
        <v>128</v>
      </c>
      <c r="B53" s="3128" t="s">
        <v>129</v>
      </c>
      <c r="C53" s="3128" t="s">
        <v>16</v>
      </c>
      <c r="D53" s="3128" t="s">
        <v>130</v>
      </c>
      <c r="E53" s="3128"/>
      <c r="F53" s="3128" t="s">
        <v>109</v>
      </c>
      <c r="G53" s="3128" t="s">
        <v>13</v>
      </c>
      <c r="H53" s="3128" t="s">
        <v>14</v>
      </c>
      <c r="I53" s="3128"/>
      <c r="J53" s="3128"/>
      <c r="K53" s="3128"/>
      <c r="L53" s="3128"/>
      <c r="M53" s="3128" t="s">
        <v>384</v>
      </c>
      <c r="N53" s="3128"/>
      <c r="O53" s="3128"/>
      <c r="P53" s="3128"/>
      <c r="Q53" s="3131"/>
      <c r="R53" s="3131"/>
      <c r="S53" s="3131"/>
      <c r="T53" s="3131"/>
      <c r="U53" s="3132"/>
      <c r="V53" s="3128"/>
      <c r="W53" s="3128"/>
      <c r="X53" s="3056">
        <f>IF(A53="","",IF(LEN(SUBSTITUTE(SUBSTITUTE(SUBSTITUTE(SUBSTITUTE(D53,".",""),"/",""),"-","")," ",""))&lt;&gt;14,"CNPJ INVALIDO","OK"))</f>
      </c>
      <c r="Y53" s="3056">
        <f>IF(A53="","",IF(R53="","REST PENDENTE","REST OK"))</f>
      </c>
      <c r="Z53" s="3056">
        <f>IF(A53="","",IF(AND(R53&lt;&gt;"",COUNTIFS($D$3:$D$164,D53,$R$3:$R$164,"&lt;&gt;")&gt;1),"DUPLICADO","OK"))</f>
      </c>
      <c r="AA53" s="3056">
        <f>IF(A53="","",IF(OR(LEN(Q53)&gt;180,LEN(R53)&gt;180,LEN(S53)&gt;180,LEN(T53)&gt;180),"CAMINHO LONGO","OK"))</f>
      </c>
      <c r="AB53" s="3056">
        <f>IF(A53="","",IF(U53="","",IFERROR(INT(U53-TODAY()),"")))</f>
      </c>
      <c r="AC53" s="3056">
        <f>IF(A53="","",IF(AND(T53="",U53=""),"",IF(T53="","SEM CAMINHO",IF(U53="","SEM DATA",IFERROR(IF(AB53&lt;15,"VERMELHO",IF(AB53&lt;=30,"AMARELO","VERDE")),"DATA INVALIDA")))))</f>
      </c>
      <c r="AD53" s="3056">
        <f>IF(OR(A53="",U53="",NOT(ISNUMBER(AB53))),"",RANK(AB53,$AB$3:$AB$164,1)+COUNTIFS($AB$3:AB53,AB53)-1)</f>
      </c>
      <c r="AE53" s="1736"/>
    </row>
    <row r="54" spans="1:19" ht="22.0" hidden="false" customHeight="true" x14ac:dyDescent="0.25">
      <c r="A54" s="3134" t="s">
        <v>131</v>
      </c>
      <c r="B54" s="3133" t="s">
        <v>132</v>
      </c>
      <c r="C54" s="3133" t="s">
        <v>62</v>
      </c>
      <c r="D54" s="3133">
        <v>19318532000108</v>
      </c>
      <c r="E54" s="3133"/>
      <c r="F54" s="3133" t="s">
        <v>66</v>
      </c>
      <c r="G54" s="3133" t="s">
        <v>4</v>
      </c>
      <c r="H54" s="3133" t="s">
        <v>5</v>
      </c>
      <c r="I54" s="3133"/>
      <c r="J54" s="3133"/>
      <c r="K54" s="3133"/>
      <c r="L54" s="3133"/>
      <c r="M54" s="3133" t="s">
        <v>377</v>
      </c>
      <c r="N54" s="3133"/>
      <c r="O54" s="3133" t="s">
        <v>347</v>
      </c>
      <c r="P54" s="3133"/>
      <c r="Q54" s="3136"/>
      <c r="R54" s="3136"/>
      <c r="S54" s="3136"/>
      <c r="T54" s="3136"/>
      <c r="U54" s="3137"/>
      <c r="V54" s="3133"/>
      <c r="W54" s="3133"/>
      <c r="X54" s="3056">
        <f>IF(A54="","",IF(LEN(SUBSTITUTE(SUBSTITUTE(SUBSTITUTE(SUBSTITUTE(D54,".",""),"/",""),"-","")," ",""))&lt;&gt;14,"CNPJ INVALIDO","OK"))</f>
      </c>
      <c r="Y54" s="3056">
        <f>IF(A54="","",IF(R54="","REST PENDENTE","REST OK"))</f>
      </c>
      <c r="Z54" s="3056">
        <f>IF(A54="","",IF(AND(R54&lt;&gt;"",COUNTIFS($D$3:$D$164,D54,$R$3:$R$164,"&lt;&gt;")&gt;1),"DUPLICADO","OK"))</f>
      </c>
      <c r="AA54" s="3056">
        <f>IF(A54="","",IF(OR(LEN(Q54)&gt;180,LEN(R54)&gt;180,LEN(S54)&gt;180,LEN(T54)&gt;180),"CAMINHO LONGO","OK"))</f>
      </c>
      <c r="AB54" s="3056">
        <f>IF(A54="","",IF(U54="","",IFERROR(INT(U54-TODAY()),"")))</f>
      </c>
      <c r="AC54" s="3056">
        <f>IF(A54="","",IF(AND(T54="",U54=""),"",IF(T54="","SEM CAMINHO",IF(U54="","SEM DATA",IFERROR(IF(AB54&lt;15,"VERMELHO",IF(AB54&lt;=30,"AMARELO","VERDE")),"DATA INVALIDA")))))</f>
      </c>
      <c r="AD54" s="3056">
        <f>IF(OR(A54="",U54="",NOT(ISNUMBER(AB54))),"",RANK(AB54,$AB$3:$AB$164,1)+COUNTIFS($AB$3:AB54,AB54)-1)</f>
      </c>
      <c r="AE54" s="1736"/>
    </row>
    <row r="55" spans="1:19" ht="22.0" hidden="false" customHeight="true" x14ac:dyDescent="0.25">
      <c r="A55" s="3129" t="s">
        <v>133</v>
      </c>
      <c r="B55" s="3128" t="s">
        <v>134</v>
      </c>
      <c r="C55" s="3128" t="s">
        <v>116</v>
      </c>
      <c r="D55" s="3128" t="s">
        <v>135</v>
      </c>
      <c r="E55" s="3128"/>
      <c r="F55" s="3128" t="s">
        <v>136</v>
      </c>
      <c r="G55" s="3128" t="s">
        <v>41</v>
      </c>
      <c r="H55" s="3128" t="s">
        <v>5</v>
      </c>
      <c r="I55" s="3128"/>
      <c r="J55" s="3128"/>
      <c r="K55" s="3128"/>
      <c r="L55" s="3128"/>
      <c r="M55" s="3128" t="s">
        <v>379</v>
      </c>
      <c r="N55" s="3128"/>
      <c r="O55" s="3128" t="s">
        <v>351</v>
      </c>
      <c r="P55" s="3128"/>
      <c r="Q55" s="3131"/>
      <c r="R55" s="3131"/>
      <c r="S55" s="3131"/>
      <c r="T55" s="3131"/>
      <c r="U55" s="3132"/>
      <c r="V55" s="3128"/>
      <c r="W55" s="3128"/>
      <c r="X55" s="3056">
        <f>IF(A55="","",IF(LEN(SUBSTITUTE(SUBSTITUTE(SUBSTITUTE(SUBSTITUTE(D55,".",""),"/",""),"-","")," ",""))&lt;&gt;14,"CNPJ INVALIDO","OK"))</f>
      </c>
      <c r="Y55" s="3056">
        <f>IF(A55="","",IF(R55="","REST PENDENTE","REST OK"))</f>
      </c>
      <c r="Z55" s="3056">
        <f>IF(A55="","",IF(AND(R55&lt;&gt;"",COUNTIFS($D$3:$D$164,D55,$R$3:$R$164,"&lt;&gt;")&gt;1),"DUPLICADO","OK"))</f>
      </c>
      <c r="AA55" s="3056">
        <f>IF(A55="","",IF(OR(LEN(Q55)&gt;180,LEN(R55)&gt;180,LEN(S55)&gt;180,LEN(T55)&gt;180),"CAMINHO LONGO","OK"))</f>
      </c>
      <c r="AB55" s="3056">
        <f>IF(A55="","",IF(U55="","",IFERROR(INT(U55-TODAY()),"")))</f>
      </c>
      <c r="AC55" s="3056">
        <f>IF(A55="","",IF(AND(T55="",U55=""),"",IF(T55="","SEM CAMINHO",IF(U55="","SEM DATA",IFERROR(IF(AB55&lt;15,"VERMELHO",IF(AB55&lt;=30,"AMARELO","VERDE")),"DATA INVALIDA")))))</f>
      </c>
      <c r="AD55" s="3056">
        <f>IF(OR(A55="",U55="",NOT(ISNUMBER(AB55))),"",RANK(AB55,$AB$3:$AB$164,1)+COUNTIFS($AB$3:AB55,AB55)-1)</f>
      </c>
      <c r="AE55" s="1736"/>
    </row>
    <row r="56" spans="1:19" ht="22.0" hidden="false" customHeight="true" x14ac:dyDescent="0.25">
      <c r="A56" s="3134" t="s">
        <v>137</v>
      </c>
      <c r="B56" s="3133" t="s">
        <v>134</v>
      </c>
      <c r="C56" s="3133" t="s">
        <v>122</v>
      </c>
      <c r="D56" s="3133">
        <v>34046667000147</v>
      </c>
      <c r="E56" s="3133"/>
      <c r="F56" s="3133" t="s">
        <v>138</v>
      </c>
      <c r="G56" s="3133" t="s">
        <v>4</v>
      </c>
      <c r="H56" s="3133" t="s">
        <v>5</v>
      </c>
      <c r="I56" s="3133"/>
      <c r="J56" s="3133"/>
      <c r="K56" s="3133"/>
      <c r="L56" s="3133"/>
      <c r="M56" s="3133" t="s">
        <v>385</v>
      </c>
      <c r="N56" s="3133"/>
      <c r="O56" s="3133" t="s">
        <v>351</v>
      </c>
      <c r="P56" s="3133"/>
      <c r="Q56" s="3136"/>
      <c r="R56" s="3136"/>
      <c r="S56" s="3136"/>
      <c r="T56" s="3136"/>
      <c r="U56" s="3137"/>
      <c r="V56" s="3133"/>
      <c r="W56" s="3133"/>
      <c r="X56" s="3056">
        <f>IF(A56="","",IF(LEN(SUBSTITUTE(SUBSTITUTE(SUBSTITUTE(SUBSTITUTE(D56,".",""),"/",""),"-","")," ",""))&lt;&gt;14,"CNPJ INVALIDO","OK"))</f>
      </c>
      <c r="Y56" s="3056">
        <f>IF(A56="","",IF(R56="","REST PENDENTE","REST OK"))</f>
      </c>
      <c r="Z56" s="3056">
        <f>IF(A56="","",IF(AND(R56&lt;&gt;"",COUNTIFS($D$3:$D$164,D56,$R$3:$R$164,"&lt;&gt;")&gt;1),"DUPLICADO","OK"))</f>
      </c>
      <c r="AA56" s="3056">
        <f>IF(A56="","",IF(OR(LEN(Q56)&gt;180,LEN(R56)&gt;180,LEN(S56)&gt;180,LEN(T56)&gt;180),"CAMINHO LONGO","OK"))</f>
      </c>
      <c r="AB56" s="3056">
        <f>IF(A56="","",IF(U56="","",IFERROR(INT(U56-TODAY()),"")))</f>
      </c>
      <c r="AC56" s="3056">
        <f>IF(A56="","",IF(AND(T56="",U56=""),"",IF(T56="","SEM CAMINHO",IF(U56="","SEM DATA",IFERROR(IF(AB56&lt;15,"VERMELHO",IF(AB56&lt;=30,"AMARELO","VERDE")),"DATA INVALIDA")))))</f>
      </c>
      <c r="AD56" s="3056">
        <f>IF(OR(A56="",U56="",NOT(ISNUMBER(AB56))),"",RANK(AB56,$AB$3:$AB$164,1)+COUNTIFS($AB$3:AB56,AB56)-1)</f>
      </c>
      <c r="AE56" s="1736"/>
    </row>
    <row r="57" spans="1:19" ht="22.0" hidden="false" customHeight="true" x14ac:dyDescent="0.25">
      <c r="A57" s="3129" t="s">
        <v>139</v>
      </c>
      <c r="B57" s="3128" t="s">
        <v>134</v>
      </c>
      <c r="C57" s="3128" t="s">
        <v>122</v>
      </c>
      <c r="D57" s="3128">
        <v>40932575000167</v>
      </c>
      <c r="E57" s="3128"/>
      <c r="F57" s="3128" t="s">
        <v>140</v>
      </c>
      <c r="G57" s="3128" t="s">
        <v>4</v>
      </c>
      <c r="H57" s="3128" t="s">
        <v>5</v>
      </c>
      <c r="I57" s="3128"/>
      <c r="J57" s="3128"/>
      <c r="K57" s="3128"/>
      <c r="L57" s="3128"/>
      <c r="M57" s="3128" t="s">
        <v>379</v>
      </c>
      <c r="N57" s="3128"/>
      <c r="O57" s="3128" t="s">
        <v>351</v>
      </c>
      <c r="P57" s="3128"/>
      <c r="Q57" s="3131"/>
      <c r="R57" s="3131"/>
      <c r="S57" s="3131"/>
      <c r="T57" s="3131"/>
      <c r="U57" s="3132"/>
      <c r="V57" s="3128"/>
      <c r="W57" s="3128"/>
      <c r="X57" s="3056">
        <f>IF(A57="","",IF(LEN(SUBSTITUTE(SUBSTITUTE(SUBSTITUTE(SUBSTITUTE(D57,".",""),"/",""),"-","")," ",""))&lt;&gt;14,"CNPJ INVALIDO","OK"))</f>
      </c>
      <c r="Y57" s="3056">
        <f>IF(A57="","",IF(R57="","REST PENDENTE","REST OK"))</f>
      </c>
      <c r="Z57" s="3056">
        <f>IF(A57="","",IF(AND(R57&lt;&gt;"",COUNTIFS($D$3:$D$164,D57,$R$3:$R$164,"&lt;&gt;")&gt;1),"DUPLICADO","OK"))</f>
      </c>
      <c r="AA57" s="3056">
        <f>IF(A57="","",IF(OR(LEN(Q57)&gt;180,LEN(R57)&gt;180,LEN(S57)&gt;180,LEN(T57)&gt;180),"CAMINHO LONGO","OK"))</f>
      </c>
      <c r="AB57" s="3056">
        <f>IF(A57="","",IF(U57="","",IFERROR(INT(U57-TODAY()),"")))</f>
      </c>
      <c r="AC57" s="3056">
        <f>IF(A57="","",IF(AND(T57="",U57=""),"",IF(T57="","SEM CAMINHO",IF(U57="","SEM DATA",IFERROR(IF(AB57&lt;15,"VERMELHO",IF(AB57&lt;=30,"AMARELO","VERDE")),"DATA INVALIDA")))))</f>
      </c>
      <c r="AD57" s="3056">
        <f>IF(OR(A57="",U57="",NOT(ISNUMBER(AB57))),"",RANK(AB57,$AB$3:$AB$164,1)+COUNTIFS($AB$3:AB57,AB57)-1)</f>
      </c>
      <c r="AE57" s="1736"/>
    </row>
    <row r="58" spans="1:19" ht="22.0" hidden="false" customHeight="true" x14ac:dyDescent="0.25">
      <c r="A58" s="3134" t="s">
        <v>141</v>
      </c>
      <c r="B58" s="3133" t="s">
        <v>142</v>
      </c>
      <c r="C58" s="3133" t="s">
        <v>62</v>
      </c>
      <c r="D58" s="3133" t="s">
        <v>143</v>
      </c>
      <c r="E58" s="3133"/>
      <c r="F58" s="3133" t="s">
        <v>144</v>
      </c>
      <c r="G58" s="3133" t="s">
        <v>13</v>
      </c>
      <c r="H58" s="3133" t="s">
        <v>49</v>
      </c>
      <c r="I58" s="3133"/>
      <c r="J58" s="3133"/>
      <c r="K58" s="3133"/>
      <c r="L58" s="3133"/>
      <c r="M58" s="3133" t="s">
        <v>385</v>
      </c>
      <c r="N58" s="3133"/>
      <c r="O58" s="3133" t="s">
        <v>347</v>
      </c>
      <c r="P58" s="3133"/>
      <c r="Q58" s="3136"/>
      <c r="R58" s="3136"/>
      <c r="S58" s="3136"/>
      <c r="T58" s="3136"/>
      <c r="U58" s="3137"/>
      <c r="V58" s="3133"/>
      <c r="W58" s="3133"/>
      <c r="X58" s="3056">
        <f>IF(A58="","",IF(LEN(SUBSTITUTE(SUBSTITUTE(SUBSTITUTE(SUBSTITUTE(D58,".",""),"/",""),"-","")," ",""))&lt;&gt;14,"CNPJ INVALIDO","OK"))</f>
      </c>
      <c r="Y58" s="3056">
        <f>IF(A58="","",IF(R58="","REST PENDENTE","REST OK"))</f>
      </c>
      <c r="Z58" s="3056">
        <f>IF(A58="","",IF(AND(R58&lt;&gt;"",COUNTIFS($D$3:$D$164,D58,$R$3:$R$164,"&lt;&gt;")&gt;1),"DUPLICADO","OK"))</f>
      </c>
      <c r="AA58" s="3056">
        <f>IF(A58="","",IF(OR(LEN(Q58)&gt;180,LEN(R58)&gt;180,LEN(S58)&gt;180,LEN(T58)&gt;180),"CAMINHO LONGO","OK"))</f>
      </c>
      <c r="AB58" s="3056">
        <f>IF(A58="","",IF(U58="","",IFERROR(INT(U58-TODAY()),"")))</f>
      </c>
      <c r="AC58" s="3056">
        <f>IF(A58="","",IF(AND(T58="",U58=""),"",IF(T58="","SEM CAMINHO",IF(U58="","SEM DATA",IFERROR(IF(AB58&lt;15,"VERMELHO",IF(AB58&lt;=30,"AMARELO","VERDE")),"DATA INVALIDA")))))</f>
      </c>
      <c r="AD58" s="3056">
        <f>IF(OR(A58="",U58="",NOT(ISNUMBER(AB58))),"",RANK(AB58,$AB$3:$AB$164,1)+COUNTIFS($AB$3:AB58,AB58)-1)</f>
      </c>
      <c r="AE58" s="1736"/>
    </row>
    <row r="59" spans="1:19" ht="22.0" hidden="false" customHeight="true" x14ac:dyDescent="0.25">
      <c r="A59" s="3129" t="s">
        <v>145</v>
      </c>
      <c r="B59" s="3128" t="s">
        <v>142</v>
      </c>
      <c r="C59" s="3128" t="s">
        <v>62</v>
      </c>
      <c r="D59" s="3128">
        <v>60906391000130</v>
      </c>
      <c r="E59" s="3128"/>
      <c r="F59" s="3128" t="s">
        <v>144</v>
      </c>
      <c r="G59" s="3128" t="s">
        <v>4</v>
      </c>
      <c r="H59" s="3128" t="s">
        <v>49</v>
      </c>
      <c r="I59" s="3128"/>
      <c r="J59" s="3128"/>
      <c r="K59" s="3128"/>
      <c r="L59" s="3128"/>
      <c r="M59" s="3128" t="s">
        <v>385</v>
      </c>
      <c r="N59" s="3128"/>
      <c r="O59" s="3128" t="s">
        <v>351</v>
      </c>
      <c r="P59" s="3128"/>
      <c r="Q59" s="3131"/>
      <c r="R59" s="3131"/>
      <c r="S59" s="3131"/>
      <c r="T59" s="3131"/>
      <c r="U59" s="3132"/>
      <c r="V59" s="3128"/>
      <c r="W59" s="3128"/>
      <c r="X59" s="3056">
        <f>IF(A59="","",IF(LEN(SUBSTITUTE(SUBSTITUTE(SUBSTITUTE(SUBSTITUTE(D59,".",""),"/",""),"-","")," ",""))&lt;&gt;14,"CNPJ INVALIDO","OK"))</f>
      </c>
      <c r="Y59" s="3056">
        <f>IF(A59="","",IF(R59="","REST PENDENTE","REST OK"))</f>
      </c>
      <c r="Z59" s="3056">
        <f>IF(A59="","",IF(AND(R59&lt;&gt;"",COUNTIFS($D$3:$D$164,D59,$R$3:$R$164,"&lt;&gt;")&gt;1),"DUPLICADO","OK"))</f>
      </c>
      <c r="AA59" s="3056">
        <f>IF(A59="","",IF(OR(LEN(Q59)&gt;180,LEN(R59)&gt;180,LEN(S59)&gt;180,LEN(T59)&gt;180),"CAMINHO LONGO","OK"))</f>
      </c>
      <c r="AB59" s="3056">
        <f>IF(A59="","",IF(U59="","",IFERROR(INT(U59-TODAY()),"")))</f>
      </c>
      <c r="AC59" s="3056">
        <f>IF(A59="","",IF(AND(T59="",U59=""),"",IF(T59="","SEM CAMINHO",IF(U59="","SEM DATA",IFERROR(IF(AB59&lt;15,"VERMELHO",IF(AB59&lt;=30,"AMARELO","VERDE")),"DATA INVALIDA")))))</f>
      </c>
      <c r="AD59" s="3056">
        <f>IF(OR(A59="",U59="",NOT(ISNUMBER(AB59))),"",RANK(AB59,$AB$3:$AB$164,1)+COUNTIFS($AB$3:AB59,AB59)-1)</f>
      </c>
      <c r="AE59" s="1736"/>
    </row>
    <row r="60" spans="1:19" ht="22.0" hidden="false" customHeight="true" x14ac:dyDescent="0.25">
      <c r="A60" s="3134" t="s">
        <v>146</v>
      </c>
      <c r="B60" s="3133" t="s">
        <v>75</v>
      </c>
      <c r="C60" s="3133" t="s">
        <v>62</v>
      </c>
      <c r="D60" s="3133">
        <v>41762299000107</v>
      </c>
      <c r="E60" s="3133"/>
      <c r="F60" s="3133" t="s">
        <v>147</v>
      </c>
      <c r="G60" s="3133" t="s">
        <v>4</v>
      </c>
      <c r="H60" s="3133" t="s">
        <v>5</v>
      </c>
      <c r="I60" s="3133"/>
      <c r="J60" s="3133"/>
      <c r="K60" s="3133"/>
      <c r="L60" s="3133"/>
      <c r="M60" s="3133" t="s">
        <v>379</v>
      </c>
      <c r="N60" s="3133"/>
      <c r="O60" s="3133" t="s">
        <v>352</v>
      </c>
      <c r="P60" s="3133"/>
      <c r="Q60" s="3136"/>
      <c r="R60" s="3136"/>
      <c r="S60" s="3136"/>
      <c r="T60" s="3136"/>
      <c r="U60" s="3137"/>
      <c r="V60" s="3133"/>
      <c r="W60" s="3133"/>
      <c r="X60" s="3056">
        <f>IF(A60="","",IF(LEN(SUBSTITUTE(SUBSTITUTE(SUBSTITUTE(SUBSTITUTE(D60,".",""),"/",""),"-","")," ",""))&lt;&gt;14,"CNPJ INVALIDO","OK"))</f>
      </c>
      <c r="Y60" s="3056">
        <f>IF(A60="","",IF(R60="","REST PENDENTE","REST OK"))</f>
      </c>
      <c r="Z60" s="3056">
        <f>IF(A60="","",IF(AND(R60&lt;&gt;"",COUNTIFS($D$3:$D$164,D60,$R$3:$R$164,"&lt;&gt;")&gt;1),"DUPLICADO","OK"))</f>
      </c>
      <c r="AA60" s="3056">
        <f>IF(A60="","",IF(OR(LEN(Q60)&gt;180,LEN(R60)&gt;180,LEN(S60)&gt;180,LEN(T60)&gt;180),"CAMINHO LONGO","OK"))</f>
      </c>
      <c r="AB60" s="3056">
        <f>IF(A60="","",IF(U60="","",IFERROR(INT(U60-TODAY()),"")))</f>
      </c>
      <c r="AC60" s="3056">
        <f>IF(A60="","",IF(AND(T60="",U60=""),"",IF(T60="","SEM CAMINHO",IF(U60="","SEM DATA",IFERROR(IF(AB60&lt;15,"VERMELHO",IF(AB60&lt;=30,"AMARELO","VERDE")),"DATA INVALIDA")))))</f>
      </c>
      <c r="AD60" s="3056">
        <f>IF(OR(A60="",U60="",NOT(ISNUMBER(AB60))),"",RANK(AB60,$AB$3:$AB$164,1)+COUNTIFS($AB$3:AB60,AB60)-1)</f>
      </c>
      <c r="AE60" s="1736"/>
    </row>
    <row r="61" spans="1:19" ht="22.0" hidden="false" customHeight="true" x14ac:dyDescent="0.25">
      <c r="A61" s="3129" t="s">
        <v>148</v>
      </c>
      <c r="B61" s="3128" t="s">
        <v>149</v>
      </c>
      <c r="C61" s="3128" t="s">
        <v>59</v>
      </c>
      <c r="D61" s="3128">
        <v>52090662000101</v>
      </c>
      <c r="E61" s="3128"/>
      <c r="F61" s="3128" t="s">
        <v>150</v>
      </c>
      <c r="G61" s="3128" t="s">
        <v>4</v>
      </c>
      <c r="H61" s="3128" t="s">
        <v>5</v>
      </c>
      <c r="I61" s="3128"/>
      <c r="J61" s="3128"/>
      <c r="K61" s="3128"/>
      <c r="L61" s="3128"/>
      <c r="M61" s="3128" t="s">
        <v>379</v>
      </c>
      <c r="N61" s="3128"/>
      <c r="O61" s="3128" t="s">
        <v>351</v>
      </c>
      <c r="P61" s="3128"/>
      <c r="Q61" s="3131"/>
      <c r="R61" s="3131"/>
      <c r="S61" s="3131"/>
      <c r="T61" s="3131"/>
      <c r="U61" s="3132"/>
      <c r="V61" s="3128"/>
      <c r="W61" s="3128"/>
      <c r="X61" s="3056">
        <f>IF(A61="","",IF(LEN(SUBSTITUTE(SUBSTITUTE(SUBSTITUTE(SUBSTITUTE(D61,".",""),"/",""),"-","")," ",""))&lt;&gt;14,"CNPJ INVALIDO","OK"))</f>
      </c>
      <c r="Y61" s="3056">
        <f>IF(A61="","",IF(R61="","REST PENDENTE","REST OK"))</f>
      </c>
      <c r="Z61" s="3056">
        <f>IF(A61="","",IF(AND(R61&lt;&gt;"",COUNTIFS($D$3:$D$164,D61,$R$3:$R$164,"&lt;&gt;")&gt;1),"DUPLICADO","OK"))</f>
      </c>
      <c r="AA61" s="3056">
        <f>IF(A61="","",IF(OR(LEN(Q61)&gt;180,LEN(R61)&gt;180,LEN(S61)&gt;180,LEN(T61)&gt;180),"CAMINHO LONGO","OK"))</f>
      </c>
      <c r="AB61" s="3056">
        <f>IF(A61="","",IF(U61="","",IFERROR(INT(U61-TODAY()),"")))</f>
      </c>
      <c r="AC61" s="3056">
        <f>IF(A61="","",IF(AND(T61="",U61=""),"",IF(T61="","SEM CAMINHO",IF(U61="","SEM DATA",IFERROR(IF(AB61&lt;15,"VERMELHO",IF(AB61&lt;=30,"AMARELO","VERDE")),"DATA INVALIDA")))))</f>
      </c>
      <c r="AD61" s="3056">
        <f>IF(OR(A61="",U61="",NOT(ISNUMBER(AB61))),"",RANK(AB61,$AB$3:$AB$164,1)+COUNTIFS($AB$3:AB61,AB61)-1)</f>
      </c>
      <c r="AE61" s="1736"/>
    </row>
    <row r="62" spans="1:19" ht="22.0" hidden="false" customHeight="true" x14ac:dyDescent="0.25">
      <c r="A62" s="3134" t="s">
        <v>151</v>
      </c>
      <c r="B62" s="3133" t="s">
        <v>149</v>
      </c>
      <c r="C62" s="3133" t="s">
        <v>46</v>
      </c>
      <c r="D62" s="3133" t="s">
        <v>152</v>
      </c>
      <c r="E62" s="3133"/>
      <c r="F62" s="3133" t="s">
        <v>150</v>
      </c>
      <c r="G62" s="3133" t="s">
        <v>13</v>
      </c>
      <c r="H62" s="3133" t="s">
        <v>49</v>
      </c>
      <c r="I62" s="3133"/>
      <c r="J62" s="3133"/>
      <c r="K62" s="3133"/>
      <c r="L62" s="3133"/>
      <c r="M62" s="3133" t="s">
        <v>377</v>
      </c>
      <c r="N62" s="3133"/>
      <c r="O62" s="3133" t="s">
        <v>347</v>
      </c>
      <c r="P62" s="3133"/>
      <c r="Q62" s="3136"/>
      <c r="R62" s="3136"/>
      <c r="S62" s="3136"/>
      <c r="T62" s="3136"/>
      <c r="U62" s="3137"/>
      <c r="V62" s="3133"/>
      <c r="W62" s="3133"/>
      <c r="X62" s="3056">
        <f>IF(A62="","",IF(LEN(SUBSTITUTE(SUBSTITUTE(SUBSTITUTE(SUBSTITUTE(D62,".",""),"/",""),"-","")," ",""))&lt;&gt;14,"CNPJ INVALIDO","OK"))</f>
      </c>
      <c r="Y62" s="3056">
        <f>IF(A62="","",IF(R62="","REST PENDENTE","REST OK"))</f>
      </c>
      <c r="Z62" s="3056">
        <f>IF(A62="","",IF(AND(R62&lt;&gt;"",COUNTIFS($D$3:$D$164,D62,$R$3:$R$164,"&lt;&gt;")&gt;1),"DUPLICADO","OK"))</f>
      </c>
      <c r="AA62" s="3056">
        <f>IF(A62="","",IF(OR(LEN(Q62)&gt;180,LEN(R62)&gt;180,LEN(S62)&gt;180,LEN(T62)&gt;180),"CAMINHO LONGO","OK"))</f>
      </c>
      <c r="AB62" s="3056">
        <f>IF(A62="","",IF(U62="","",IFERROR(INT(U62-TODAY()),"")))</f>
      </c>
      <c r="AC62" s="3056">
        <f>IF(A62="","",IF(AND(T62="",U62=""),"",IF(T62="","SEM CAMINHO",IF(U62="","SEM DATA",IFERROR(IF(AB62&lt;15,"VERMELHO",IF(AB62&lt;=30,"AMARELO","VERDE")),"DATA INVALIDA")))))</f>
      </c>
      <c r="AD62" s="3056">
        <f>IF(OR(A62="",U62="",NOT(ISNUMBER(AB62))),"",RANK(AB62,$AB$3:$AB$164,1)+COUNTIFS($AB$3:AB62,AB62)-1)</f>
      </c>
      <c r="AE62" s="1736"/>
    </row>
    <row r="63" spans="1:19" ht="22.0" hidden="false" customHeight="true" x14ac:dyDescent="0.25">
      <c r="A63" s="3129" t="s">
        <v>153</v>
      </c>
      <c r="B63" s="3128" t="s">
        <v>149</v>
      </c>
      <c r="C63" s="3128" t="s">
        <v>46</v>
      </c>
      <c r="D63" s="3128" t="s">
        <v>154</v>
      </c>
      <c r="E63" s="3128"/>
      <c r="F63" s="3128" t="s">
        <v>150</v>
      </c>
      <c r="G63" s="3128" t="s">
        <v>13</v>
      </c>
      <c r="H63" s="3128" t="s">
        <v>49</v>
      </c>
      <c r="I63" s="3128"/>
      <c r="J63" s="3128"/>
      <c r="K63" s="3128"/>
      <c r="L63" s="3128"/>
      <c r="M63" s="3128" t="s">
        <v>377</v>
      </c>
      <c r="N63" s="3128"/>
      <c r="O63" s="3128" t="s">
        <v>347</v>
      </c>
      <c r="P63" s="3128"/>
      <c r="Q63" s="3131"/>
      <c r="R63" s="3131"/>
      <c r="S63" s="3131"/>
      <c r="T63" s="3131"/>
      <c r="U63" s="3132"/>
      <c r="V63" s="3128"/>
      <c r="W63" s="3128"/>
      <c r="X63" s="3056">
        <f>IF(A63="","",IF(LEN(SUBSTITUTE(SUBSTITUTE(SUBSTITUTE(SUBSTITUTE(D63,".",""),"/",""),"-","")," ",""))&lt;&gt;14,"CNPJ INVALIDO","OK"))</f>
      </c>
      <c r="Y63" s="3056">
        <f>IF(A63="","",IF(R63="","REST PENDENTE","REST OK"))</f>
      </c>
      <c r="Z63" s="3056">
        <f>IF(A63="","",IF(AND(R63&lt;&gt;"",COUNTIFS($D$3:$D$164,D63,$R$3:$R$164,"&lt;&gt;")&gt;1),"DUPLICADO","OK"))</f>
      </c>
      <c r="AA63" s="3056">
        <f>IF(A63="","",IF(OR(LEN(Q63)&gt;180,LEN(R63)&gt;180,LEN(S63)&gt;180,LEN(T63)&gt;180),"CAMINHO LONGO","OK"))</f>
      </c>
      <c r="AB63" s="3056">
        <f>IF(A63="","",IF(U63="","",IFERROR(INT(U63-TODAY()),"")))</f>
      </c>
      <c r="AC63" s="3056">
        <f>IF(A63="","",IF(AND(T63="",U63=""),"",IF(T63="","SEM CAMINHO",IF(U63="","SEM DATA",IFERROR(IF(AB63&lt;15,"VERMELHO",IF(AB63&lt;=30,"AMARELO","VERDE")),"DATA INVALIDA")))))</f>
      </c>
      <c r="AD63" s="3056">
        <f>IF(OR(A63="",U63="",NOT(ISNUMBER(AB63))),"",RANK(AB63,$AB$3:$AB$164,1)+COUNTIFS($AB$3:AB63,AB63)-1)</f>
      </c>
      <c r="AE63" s="1736"/>
    </row>
    <row r="64" spans="1:19" ht="22.0" hidden="false" customHeight="true" x14ac:dyDescent="0.25">
      <c r="A64" s="3134" t="s">
        <v>155</v>
      </c>
      <c r="B64" s="3133" t="s">
        <v>61</v>
      </c>
      <c r="C64" s="3133" t="s">
        <v>62</v>
      </c>
      <c r="D64" s="3133">
        <v>8587897000103</v>
      </c>
      <c r="E64" s="3133"/>
      <c r="F64" s="3133" t="s">
        <v>63</v>
      </c>
      <c r="G64" s="3133" t="s">
        <v>41</v>
      </c>
      <c r="H64" s="3133" t="s">
        <v>5</v>
      </c>
      <c r="I64" s="3133"/>
      <c r="J64" s="3133"/>
      <c r="K64" s="3133"/>
      <c r="L64" s="3133"/>
      <c r="M64" s="3133" t="s">
        <v>379</v>
      </c>
      <c r="N64" s="3133"/>
      <c r="O64" s="3133" t="s">
        <v>351</v>
      </c>
      <c r="P64" s="3133"/>
      <c r="Q64" s="3136"/>
      <c r="R64" s="3136"/>
      <c r="S64" s="3136"/>
      <c r="T64" s="3136"/>
      <c r="U64" s="3137"/>
      <c r="V64" s="3133"/>
      <c r="W64" s="3133"/>
      <c r="X64" s="3056">
        <f>IF(A64="","",IF(LEN(SUBSTITUTE(SUBSTITUTE(SUBSTITUTE(SUBSTITUTE(D64,".",""),"/",""),"-","")," ",""))&lt;&gt;14,"CNPJ INVALIDO","OK"))</f>
      </c>
      <c r="Y64" s="3056">
        <f>IF(A64="","",IF(R64="","REST PENDENTE","REST OK"))</f>
      </c>
      <c r="Z64" s="3056">
        <f>IF(A64="","",IF(AND(R64&lt;&gt;"",COUNTIFS($D$3:$D$164,D64,$R$3:$R$164,"&lt;&gt;")&gt;1),"DUPLICADO","OK"))</f>
      </c>
      <c r="AA64" s="3056">
        <f>IF(A64="","",IF(OR(LEN(Q64)&gt;180,LEN(R64)&gt;180,LEN(S64)&gt;180,LEN(T64)&gt;180),"CAMINHO LONGO","OK"))</f>
      </c>
      <c r="AB64" s="3056">
        <f>IF(A64="","",IF(U64="","",IFERROR(INT(U64-TODAY()),"")))</f>
      </c>
      <c r="AC64" s="3056">
        <f>IF(A64="","",IF(AND(T64="",U64=""),"",IF(T64="","SEM CAMINHO",IF(U64="","SEM DATA",IFERROR(IF(AB64&lt;15,"VERMELHO",IF(AB64&lt;=30,"AMARELO","VERDE")),"DATA INVALIDA")))))</f>
      </c>
      <c r="AD64" s="3056">
        <f>IF(OR(A64="",U64="",NOT(ISNUMBER(AB64))),"",RANK(AB64,$AB$3:$AB$164,1)+COUNTIFS($AB$3:AB64,AB64)-1)</f>
      </c>
      <c r="AE64" s="1736"/>
    </row>
    <row r="65" spans="1:19" ht="22.0" hidden="false" customHeight="true" x14ac:dyDescent="0.25">
      <c r="A65" s="3129" t="s">
        <v>156</v>
      </c>
      <c r="B65" s="3128" t="s">
        <v>61</v>
      </c>
      <c r="C65" s="3128" t="s">
        <v>62</v>
      </c>
      <c r="D65" s="3128">
        <v>17845713000159</v>
      </c>
      <c r="E65" s="3128"/>
      <c r="F65" s="3128" t="s">
        <v>63</v>
      </c>
      <c r="G65" s="3128" t="s">
        <v>41</v>
      </c>
      <c r="H65" s="3128" t="s">
        <v>5</v>
      </c>
      <c r="I65" s="3128"/>
      <c r="J65" s="3128"/>
      <c r="K65" s="3128"/>
      <c r="L65" s="3128"/>
      <c r="M65" s="3128" t="s">
        <v>379</v>
      </c>
      <c r="N65" s="3128"/>
      <c r="O65" s="3128" t="s">
        <v>351</v>
      </c>
      <c r="P65" s="3128"/>
      <c r="Q65" s="3131"/>
      <c r="R65" s="3131"/>
      <c r="S65" s="3131"/>
      <c r="T65" s="3131"/>
      <c r="U65" s="3132"/>
      <c r="V65" s="3128"/>
      <c r="W65" s="3128"/>
      <c r="X65" s="3056">
        <f>IF(A65="","",IF(LEN(SUBSTITUTE(SUBSTITUTE(SUBSTITUTE(SUBSTITUTE(D65,".",""),"/",""),"-","")," ",""))&lt;&gt;14,"CNPJ INVALIDO","OK"))</f>
      </c>
      <c r="Y65" s="3056">
        <f>IF(A65="","",IF(R65="","REST PENDENTE","REST OK"))</f>
      </c>
      <c r="Z65" s="3056">
        <f>IF(A65="","",IF(AND(R65&lt;&gt;"",COUNTIFS($D$3:$D$164,D65,$R$3:$R$164,"&lt;&gt;")&gt;1),"DUPLICADO","OK"))</f>
      </c>
      <c r="AA65" s="3056">
        <f>IF(A65="","",IF(OR(LEN(Q65)&gt;180,LEN(R65)&gt;180,LEN(S65)&gt;180,LEN(T65)&gt;180),"CAMINHO LONGO","OK"))</f>
      </c>
      <c r="AB65" s="3056">
        <f>IF(A65="","",IF(U65="","",IFERROR(INT(U65-TODAY()),"")))</f>
      </c>
      <c r="AC65" s="3056">
        <f>IF(A65="","",IF(AND(T65="",U65=""),"",IF(T65="","SEM CAMINHO",IF(U65="","SEM DATA",IFERROR(IF(AB65&lt;15,"VERMELHO",IF(AB65&lt;=30,"AMARELO","VERDE")),"DATA INVALIDA")))))</f>
      </c>
      <c r="AD65" s="3056">
        <f>IF(OR(A65="",U65="",NOT(ISNUMBER(AB65))),"",RANK(AB65,$AB$3:$AB$164,1)+COUNTIFS($AB$3:AB65,AB65)-1)</f>
      </c>
      <c r="AE65" s="1736"/>
    </row>
    <row r="66" spans="1:19" ht="22.0" hidden="false" customHeight="true" x14ac:dyDescent="0.25">
      <c r="A66" s="3134" t="s">
        <v>157</v>
      </c>
      <c r="B66" s="3133" t="s">
        <v>61</v>
      </c>
      <c r="C66" s="3133" t="s">
        <v>62</v>
      </c>
      <c r="D66" s="3133">
        <v>37646098000169</v>
      </c>
      <c r="E66" s="3133"/>
      <c r="F66" s="3133" t="s">
        <v>63</v>
      </c>
      <c r="G66" s="3133" t="s">
        <v>41</v>
      </c>
      <c r="H66" s="3133" t="s">
        <v>5</v>
      </c>
      <c r="I66" s="3133"/>
      <c r="J66" s="3133"/>
      <c r="K66" s="3133"/>
      <c r="L66" s="3133"/>
      <c r="M66" s="3133" t="s">
        <v>379</v>
      </c>
      <c r="N66" s="3133"/>
      <c r="O66" s="3133" t="s">
        <v>353</v>
      </c>
      <c r="P66" s="3133"/>
      <c r="Q66" s="3136"/>
      <c r="R66" s="3136"/>
      <c r="S66" s="3136"/>
      <c r="T66" s="3136"/>
      <c r="U66" s="3137"/>
      <c r="V66" s="3133"/>
      <c r="W66" s="3133"/>
      <c r="X66" s="3056">
        <f>IF(A66="","",IF(LEN(SUBSTITUTE(SUBSTITUTE(SUBSTITUTE(SUBSTITUTE(D66,".",""),"/",""),"-","")," ",""))&lt;&gt;14,"CNPJ INVALIDO","OK"))</f>
      </c>
      <c r="Y66" s="3056">
        <f>IF(A66="","",IF(R66="","REST PENDENTE","REST OK"))</f>
      </c>
      <c r="Z66" s="3056">
        <f>IF(A66="","",IF(AND(R66&lt;&gt;"",COUNTIFS($D$3:$D$164,D66,$R$3:$R$164,"&lt;&gt;")&gt;1),"DUPLICADO","OK"))</f>
      </c>
      <c r="AA66" s="3056">
        <f>IF(A66="","",IF(OR(LEN(Q66)&gt;180,LEN(R66)&gt;180,LEN(S66)&gt;180,LEN(T66)&gt;180),"CAMINHO LONGO","OK"))</f>
      </c>
      <c r="AB66" s="3056">
        <f>IF(A66="","",IF(U66="","",IFERROR(INT(U66-TODAY()),"")))</f>
      </c>
      <c r="AC66" s="3056">
        <f>IF(A66="","",IF(AND(T66="",U66=""),"",IF(T66="","SEM CAMINHO",IF(U66="","SEM DATA",IFERROR(IF(AB66&lt;15,"VERMELHO",IF(AB66&lt;=30,"AMARELO","VERDE")),"DATA INVALIDA")))))</f>
      </c>
      <c r="AD66" s="3056">
        <f>IF(OR(A66="",U66="",NOT(ISNUMBER(AB66))),"",RANK(AB66,$AB$3:$AB$164,1)+COUNTIFS($AB$3:AB66,AB66)-1)</f>
      </c>
      <c r="AE66" s="1736"/>
    </row>
    <row r="67" spans="1:19" ht="22.0" hidden="false" customHeight="true" x14ac:dyDescent="0.25">
      <c r="A67" s="3129" t="s">
        <v>158</v>
      </c>
      <c r="B67" s="3128" t="s">
        <v>159</v>
      </c>
      <c r="C67" s="3128" t="s">
        <v>62</v>
      </c>
      <c r="D67" s="3128">
        <v>44470328000147</v>
      </c>
      <c r="E67" s="3128"/>
      <c r="F67" s="3128" t="s">
        <v>160</v>
      </c>
      <c r="G67" s="3128" t="s">
        <v>4</v>
      </c>
      <c r="H67" s="3128" t="s">
        <v>5</v>
      </c>
      <c r="I67" s="3128"/>
      <c r="J67" s="3128"/>
      <c r="K67" s="3128"/>
      <c r="L67" s="3128"/>
      <c r="M67" s="3128" t="s">
        <v>377</v>
      </c>
      <c r="N67" s="3128"/>
      <c r="O67" s="3128" t="s">
        <v>347</v>
      </c>
      <c r="P67" s="3128"/>
      <c r="Q67" s="3131"/>
      <c r="R67" s="3131"/>
      <c r="S67" s="3131"/>
      <c r="T67" s="3131"/>
      <c r="U67" s="3132"/>
      <c r="V67" s="3128"/>
      <c r="W67" s="3128"/>
      <c r="X67" s="3056">
        <f>IF(A67="","",IF(LEN(SUBSTITUTE(SUBSTITUTE(SUBSTITUTE(SUBSTITUTE(D67,".",""),"/",""),"-","")," ",""))&lt;&gt;14,"CNPJ INVALIDO","OK"))</f>
      </c>
      <c r="Y67" s="3056">
        <f>IF(A67="","",IF(R67="","REST PENDENTE","REST OK"))</f>
      </c>
      <c r="Z67" s="3056">
        <f>IF(A67="","",IF(AND(R67&lt;&gt;"",COUNTIFS($D$3:$D$164,D67,$R$3:$R$164,"&lt;&gt;")&gt;1),"DUPLICADO","OK"))</f>
      </c>
      <c r="AA67" s="3056">
        <f>IF(A67="","",IF(OR(LEN(Q67)&gt;180,LEN(R67)&gt;180,LEN(S67)&gt;180,LEN(T67)&gt;180),"CAMINHO LONGO","OK"))</f>
      </c>
      <c r="AB67" s="3056">
        <f>IF(A67="","",IF(U67="","",IFERROR(INT(U67-TODAY()),"")))</f>
      </c>
      <c r="AC67" s="3056">
        <f>IF(A67="","",IF(AND(T67="",U67=""),"",IF(T67="","SEM CAMINHO",IF(U67="","SEM DATA",IFERROR(IF(AB67&lt;15,"VERMELHO",IF(AB67&lt;=30,"AMARELO","VERDE")),"DATA INVALIDA")))))</f>
      </c>
      <c r="AD67" s="3056">
        <f>IF(OR(A67="",U67="",NOT(ISNUMBER(AB67))),"",RANK(AB67,$AB$3:$AB$164,1)+COUNTIFS($AB$3:AB67,AB67)-1)</f>
      </c>
      <c r="AE67" s="1736"/>
    </row>
    <row r="68" spans="1:19" ht="22.0" hidden="false" customHeight="true" x14ac:dyDescent="0.25">
      <c r="A68" s="3134" t="s">
        <v>161</v>
      </c>
      <c r="B68" s="3133" t="s">
        <v>162</v>
      </c>
      <c r="C68" s="3133" t="s">
        <v>163</v>
      </c>
      <c r="D68" s="3133" t="s">
        <v>164</v>
      </c>
      <c r="E68" s="3133"/>
      <c r="F68" s="3133"/>
      <c r="G68" s="3133" t="s">
        <v>41</v>
      </c>
      <c r="H68" s="3133" t="s">
        <v>14</v>
      </c>
      <c r="I68" s="3133"/>
      <c r="J68" s="3133"/>
      <c r="K68" s="3133"/>
      <c r="L68" s="3133"/>
      <c r="M68" s="3133" t="s">
        <v>385</v>
      </c>
      <c r="N68" s="3133" t="s">
        <v>362</v>
      </c>
      <c r="O68" s="3133" t="s">
        <v>362</v>
      </c>
      <c r="P68" s="3133"/>
      <c r="Q68" s="3136"/>
      <c r="R68" s="3136"/>
      <c r="S68" s="3136"/>
      <c r="T68" s="3136"/>
      <c r="U68" s="3137"/>
      <c r="V68" s="3133"/>
      <c r="W68" s="3133"/>
      <c r="X68" s="3056">
        <f>IF(A68="","",IF(LEN(SUBSTITUTE(SUBSTITUTE(SUBSTITUTE(SUBSTITUTE(D68,".",""),"/",""),"-","")," ",""))&lt;&gt;14,"CNPJ INVALIDO","OK"))</f>
      </c>
      <c r="Y68" s="3056">
        <f>IF(A68="","",IF(R68="","REST PENDENTE","REST OK"))</f>
      </c>
      <c r="Z68" s="3056">
        <f>IF(A68="","",IF(AND(R68&lt;&gt;"",COUNTIFS($D$3:$D$164,D68,$R$3:$R$164,"&lt;&gt;")&gt;1),"DUPLICADO","OK"))</f>
      </c>
      <c r="AA68" s="3056">
        <f>IF(A68="","",IF(OR(LEN(Q68)&gt;180,LEN(R68)&gt;180,LEN(S68)&gt;180,LEN(T68)&gt;180),"CAMINHO LONGO","OK"))</f>
      </c>
      <c r="AB68" s="3056">
        <f>IF(A68="","",IF(U68="","",IFERROR(INT(U68-TODAY()),"")))</f>
      </c>
      <c r="AC68" s="3056">
        <f>IF(A68="","",IF(AND(T68="",U68=""),"",IF(T68="","SEM CAMINHO",IF(U68="","SEM DATA",IFERROR(IF(AB68&lt;15,"VERMELHO",IF(AB68&lt;=30,"AMARELO","VERDE")),"DATA INVALIDA")))))</f>
      </c>
      <c r="AD68" s="3056">
        <f>IF(OR(A68="",U68="",NOT(ISNUMBER(AB68))),"",RANK(AB68,$AB$3:$AB$164,1)+COUNTIFS($AB$3:AB68,AB68)-1)</f>
      </c>
      <c r="AE68" s="1736"/>
    </row>
    <row r="69" spans="1:19" ht="22.0" hidden="false" customHeight="true" x14ac:dyDescent="0.25">
      <c r="A69" s="3129" t="s">
        <v>165</v>
      </c>
      <c r="B69" s="3128" t="s">
        <v>162</v>
      </c>
      <c r="C69" s="3128" t="s">
        <v>163</v>
      </c>
      <c r="D69" s="3128" t="s">
        <v>166</v>
      </c>
      <c r="E69" s="3128"/>
      <c r="F69" s="3128" t="s">
        <v>167</v>
      </c>
      <c r="G69" s="3128" t="s">
        <v>13</v>
      </c>
      <c r="H69" s="3128" t="s">
        <v>14</v>
      </c>
      <c r="I69" s="3128"/>
      <c r="J69" s="3128"/>
      <c r="K69" s="3128"/>
      <c r="L69" s="3128"/>
      <c r="M69" s="3128" t="s">
        <v>385</v>
      </c>
      <c r="N69" s="3128" t="s">
        <v>362</v>
      </c>
      <c r="O69" s="3128" t="s">
        <v>362</v>
      </c>
      <c r="P69" s="3128"/>
      <c r="Q69" s="3131"/>
      <c r="R69" s="3131"/>
      <c r="S69" s="3131"/>
      <c r="T69" s="3131"/>
      <c r="U69" s="3132"/>
      <c r="V69" s="3128"/>
      <c r="W69" s="3128"/>
      <c r="X69" s="3056">
        <f>IF(A69="","",IF(LEN(SUBSTITUTE(SUBSTITUTE(SUBSTITUTE(SUBSTITUTE(D69,".",""),"/",""),"-","")," ",""))&lt;&gt;14,"CNPJ INVALIDO","OK"))</f>
      </c>
      <c r="Y69" s="3056">
        <f>IF(A69="","",IF(R69="","REST PENDENTE","REST OK"))</f>
      </c>
      <c r="Z69" s="3056">
        <f>IF(A69="","",IF(AND(R69&lt;&gt;"",COUNTIFS($D$3:$D$164,D69,$R$3:$R$164,"&lt;&gt;")&gt;1),"DUPLICADO","OK"))</f>
      </c>
      <c r="AA69" s="3056">
        <f>IF(A69="","",IF(OR(LEN(Q69)&gt;180,LEN(R69)&gt;180,LEN(S69)&gt;180,LEN(T69)&gt;180),"CAMINHO LONGO","OK"))</f>
      </c>
      <c r="AB69" s="3056">
        <f>IF(A69="","",IF(U69="","",IFERROR(INT(U69-TODAY()),"")))</f>
      </c>
      <c r="AC69" s="3056">
        <f>IF(A69="","",IF(AND(T69="",U69=""),"",IF(T69="","SEM CAMINHO",IF(U69="","SEM DATA",IFERROR(IF(AB69&lt;15,"VERMELHO",IF(AB69&lt;=30,"AMARELO","VERDE")),"DATA INVALIDA")))))</f>
      </c>
      <c r="AD69" s="3056">
        <f>IF(OR(A69="",U69="",NOT(ISNUMBER(AB69))),"",RANK(AB69,$AB$3:$AB$164,1)+COUNTIFS($AB$3:AB69,AB69)-1)</f>
      </c>
      <c r="AE69" s="1736"/>
    </row>
    <row r="70" spans="1:19" ht="22.0" hidden="false" customHeight="true" x14ac:dyDescent="0.25">
      <c r="A70" s="3134" t="s">
        <v>168</v>
      </c>
      <c r="B70" s="3133" t="s">
        <v>162</v>
      </c>
      <c r="C70" s="3133" t="s">
        <v>163</v>
      </c>
      <c r="D70" s="3133" t="s">
        <v>169</v>
      </c>
      <c r="E70" s="3133"/>
      <c r="F70" s="3133" t="s">
        <v>167</v>
      </c>
      <c r="G70" s="3133" t="s">
        <v>13</v>
      </c>
      <c r="H70" s="3133" t="s">
        <v>14</v>
      </c>
      <c r="I70" s="3133"/>
      <c r="J70" s="3133"/>
      <c r="K70" s="3133"/>
      <c r="L70" s="3133"/>
      <c r="M70" s="3133" t="s">
        <v>385</v>
      </c>
      <c r="N70" s="3133" t="s">
        <v>362</v>
      </c>
      <c r="O70" s="3133" t="s">
        <v>362</v>
      </c>
      <c r="P70" s="3133"/>
      <c r="Q70" s="3136"/>
      <c r="R70" s="3136"/>
      <c r="S70" s="3136"/>
      <c r="T70" s="3136"/>
      <c r="U70" s="3137"/>
      <c r="V70" s="3133"/>
      <c r="W70" s="3133"/>
      <c r="X70" s="3056">
        <f>IF(A70="","",IF(LEN(SUBSTITUTE(SUBSTITUTE(SUBSTITUTE(SUBSTITUTE(D70,".",""),"/",""),"-","")," ",""))&lt;&gt;14,"CNPJ INVALIDO","OK"))</f>
      </c>
      <c r="Y70" s="3056">
        <f>IF(A70="","",IF(R70="","REST PENDENTE","REST OK"))</f>
      </c>
      <c r="Z70" s="3056">
        <f>IF(A70="","",IF(AND(R70&lt;&gt;"",COUNTIFS($D$3:$D$164,D70,$R$3:$R$164,"&lt;&gt;")&gt;1),"DUPLICADO","OK"))</f>
      </c>
      <c r="AA70" s="3056">
        <f>IF(A70="","",IF(OR(LEN(Q70)&gt;180,LEN(R70)&gt;180,LEN(S70)&gt;180,LEN(T70)&gt;180),"CAMINHO LONGO","OK"))</f>
      </c>
      <c r="AB70" s="3056">
        <f>IF(A70="","",IF(U70="","",IFERROR(INT(U70-TODAY()),"")))</f>
      </c>
      <c r="AC70" s="3056">
        <f>IF(A70="","",IF(AND(T70="",U70=""),"",IF(T70="","SEM CAMINHO",IF(U70="","SEM DATA",IFERROR(IF(AB70&lt;15,"VERMELHO",IF(AB70&lt;=30,"AMARELO","VERDE")),"DATA INVALIDA")))))</f>
      </c>
      <c r="AD70" s="3056">
        <f>IF(OR(A70="",U70="",NOT(ISNUMBER(AB70))),"",RANK(AB70,$AB$3:$AB$164,1)+COUNTIFS($AB$3:AB70,AB70)-1)</f>
      </c>
      <c r="AE70" s="1736"/>
    </row>
    <row r="71" spans="1:19" ht="22.0" hidden="false" customHeight="true" x14ac:dyDescent="0.25">
      <c r="A71" s="3129" t="s">
        <v>170</v>
      </c>
      <c r="B71" s="3128" t="s">
        <v>162</v>
      </c>
      <c r="C71" s="3128" t="s">
        <v>163</v>
      </c>
      <c r="D71" s="3128" t="s">
        <v>171</v>
      </c>
      <c r="E71" s="3128"/>
      <c r="F71" s="3128" t="s">
        <v>167</v>
      </c>
      <c r="G71" s="3128" t="s">
        <v>13</v>
      </c>
      <c r="H71" s="3128" t="s">
        <v>14</v>
      </c>
      <c r="I71" s="3128"/>
      <c r="J71" s="3128"/>
      <c r="K71" s="3128"/>
      <c r="L71" s="3128"/>
      <c r="M71" s="3128" t="s">
        <v>385</v>
      </c>
      <c r="N71" s="3128" t="s">
        <v>362</v>
      </c>
      <c r="O71" s="3128" t="s">
        <v>362</v>
      </c>
      <c r="P71" s="3128"/>
      <c r="Q71" s="3131"/>
      <c r="R71" s="3131"/>
      <c r="S71" s="3131"/>
      <c r="T71" s="3131"/>
      <c r="U71" s="3132"/>
      <c r="V71" s="3128"/>
      <c r="W71" s="3128"/>
      <c r="X71" s="3056">
        <f>IF(A71="","",IF(LEN(SUBSTITUTE(SUBSTITUTE(SUBSTITUTE(SUBSTITUTE(D71,".",""),"/",""),"-","")," ",""))&lt;&gt;14,"CNPJ INVALIDO","OK"))</f>
      </c>
      <c r="Y71" s="3056">
        <f>IF(A71="","",IF(R71="","REST PENDENTE","REST OK"))</f>
      </c>
      <c r="Z71" s="3056">
        <f>IF(A71="","",IF(AND(R71&lt;&gt;"",COUNTIFS($D$3:$D$164,D71,$R$3:$R$164,"&lt;&gt;")&gt;1),"DUPLICADO","OK"))</f>
      </c>
      <c r="AA71" s="3056">
        <f>IF(A71="","",IF(OR(LEN(Q71)&gt;180,LEN(R71)&gt;180,LEN(S71)&gt;180,LEN(T71)&gt;180),"CAMINHO LONGO","OK"))</f>
      </c>
      <c r="AB71" s="3056">
        <f>IF(A71="","",IF(U71="","",IFERROR(INT(U71-TODAY()),"")))</f>
      </c>
      <c r="AC71" s="3056">
        <f>IF(A71="","",IF(AND(T71="",U71=""),"",IF(T71="","SEM CAMINHO",IF(U71="","SEM DATA",IFERROR(IF(AB71&lt;15,"VERMELHO",IF(AB71&lt;=30,"AMARELO","VERDE")),"DATA INVALIDA")))))</f>
      </c>
      <c r="AD71" s="3056">
        <f>IF(OR(A71="",U71="",NOT(ISNUMBER(AB71))),"",RANK(AB71,$AB$3:$AB$164,1)+COUNTIFS($AB$3:AB71,AB71)-1)</f>
      </c>
      <c r="AE71" s="1736"/>
    </row>
    <row r="72" spans="1:19" ht="22.0" hidden="false" customHeight="true" x14ac:dyDescent="0.25">
      <c r="A72" s="3134" t="s">
        <v>172</v>
      </c>
      <c r="B72" s="3133" t="s">
        <v>162</v>
      </c>
      <c r="C72" s="3133" t="s">
        <v>163</v>
      </c>
      <c r="D72" s="3133" t="s">
        <v>173</v>
      </c>
      <c r="E72" s="3133"/>
      <c r="F72" s="3133" t="s">
        <v>167</v>
      </c>
      <c r="G72" s="3133" t="s">
        <v>13</v>
      </c>
      <c r="H72" s="3133" t="s">
        <v>14</v>
      </c>
      <c r="I72" s="3133"/>
      <c r="J72" s="3133"/>
      <c r="K72" s="3133"/>
      <c r="L72" s="3133"/>
      <c r="M72" s="3133" t="s">
        <v>385</v>
      </c>
      <c r="N72" s="3133" t="s">
        <v>362</v>
      </c>
      <c r="O72" s="3133" t="s">
        <v>362</v>
      </c>
      <c r="P72" s="3133"/>
      <c r="Q72" s="3136"/>
      <c r="R72" s="3136"/>
      <c r="S72" s="3136"/>
      <c r="T72" s="3136"/>
      <c r="U72" s="3137"/>
      <c r="V72" s="3133"/>
      <c r="W72" s="3133"/>
      <c r="X72" s="3056">
        <f>IF(A72="","",IF(LEN(SUBSTITUTE(SUBSTITUTE(SUBSTITUTE(SUBSTITUTE(D72,".",""),"/",""),"-","")," ",""))&lt;&gt;14,"CNPJ INVALIDO","OK"))</f>
      </c>
      <c r="Y72" s="3056">
        <f>IF(A72="","",IF(R72="","REST PENDENTE","REST OK"))</f>
      </c>
      <c r="Z72" s="3056">
        <f>IF(A72="","",IF(AND(R72&lt;&gt;"",COUNTIFS($D$3:$D$164,D72,$R$3:$R$164,"&lt;&gt;")&gt;1),"DUPLICADO","OK"))</f>
      </c>
      <c r="AA72" s="3056">
        <f>IF(A72="","",IF(OR(LEN(Q72)&gt;180,LEN(R72)&gt;180,LEN(S72)&gt;180,LEN(T72)&gt;180),"CAMINHO LONGO","OK"))</f>
      </c>
      <c r="AB72" s="3056">
        <f>IF(A72="","",IF(U72="","",IFERROR(INT(U72-TODAY()),"")))</f>
      </c>
      <c r="AC72" s="3056">
        <f>IF(A72="","",IF(AND(T72="",U72=""),"",IF(T72="","SEM CAMINHO",IF(U72="","SEM DATA",IFERROR(IF(AB72&lt;15,"VERMELHO",IF(AB72&lt;=30,"AMARELO","VERDE")),"DATA INVALIDA")))))</f>
      </c>
      <c r="AD72" s="3056">
        <f>IF(OR(A72="",U72="",NOT(ISNUMBER(AB72))),"",RANK(AB72,$AB$3:$AB$164,1)+COUNTIFS($AB$3:AB72,AB72)-1)</f>
      </c>
      <c r="AE72" s="1736"/>
    </row>
    <row r="73" spans="1:19" ht="22.0" hidden="false" customHeight="true" x14ac:dyDescent="0.25">
      <c r="A73" s="3129" t="s">
        <v>174</v>
      </c>
      <c r="B73" s="3128" t="s">
        <v>162</v>
      </c>
      <c r="C73" s="3128" t="s">
        <v>163</v>
      </c>
      <c r="D73" s="3128" t="s">
        <v>175</v>
      </c>
      <c r="E73" s="3128"/>
      <c r="F73" s="3128" t="s">
        <v>167</v>
      </c>
      <c r="G73" s="3128" t="s">
        <v>13</v>
      </c>
      <c r="H73" s="3128" t="s">
        <v>14</v>
      </c>
      <c r="I73" s="3128"/>
      <c r="J73" s="3128"/>
      <c r="K73" s="3128"/>
      <c r="L73" s="3128"/>
      <c r="M73" s="3128" t="s">
        <v>385</v>
      </c>
      <c r="N73" s="3128" t="s">
        <v>362</v>
      </c>
      <c r="O73" s="3128" t="s">
        <v>362</v>
      </c>
      <c r="P73" s="3128"/>
      <c r="Q73" s="3131"/>
      <c r="R73" s="3131"/>
      <c r="S73" s="3131"/>
      <c r="T73" s="3131"/>
      <c r="U73" s="3132"/>
      <c r="V73" s="3128"/>
      <c r="W73" s="3128"/>
      <c r="X73" s="3056">
        <f>IF(A73="","",IF(LEN(SUBSTITUTE(SUBSTITUTE(SUBSTITUTE(SUBSTITUTE(D73,".",""),"/",""),"-","")," ",""))&lt;&gt;14,"CNPJ INVALIDO","OK"))</f>
      </c>
      <c r="Y73" s="3056">
        <f>IF(A73="","",IF(R73="","REST PENDENTE","REST OK"))</f>
      </c>
      <c r="Z73" s="3056">
        <f>IF(A73="","",IF(AND(R73&lt;&gt;"",COUNTIFS($D$3:$D$164,D73,$R$3:$R$164,"&lt;&gt;")&gt;1),"DUPLICADO","OK"))</f>
      </c>
      <c r="AA73" s="3056">
        <f>IF(A73="","",IF(OR(LEN(Q73)&gt;180,LEN(R73)&gt;180,LEN(S73)&gt;180,LEN(T73)&gt;180),"CAMINHO LONGO","OK"))</f>
      </c>
      <c r="AB73" s="3056">
        <f>IF(A73="","",IF(U73="","",IFERROR(INT(U73-TODAY()),"")))</f>
      </c>
      <c r="AC73" s="3056">
        <f>IF(A73="","",IF(AND(T73="",U73=""),"",IF(T73="","SEM CAMINHO",IF(U73="","SEM DATA",IFERROR(IF(AB73&lt;15,"VERMELHO",IF(AB73&lt;=30,"AMARELO","VERDE")),"DATA INVALIDA")))))</f>
      </c>
      <c r="AD73" s="3056">
        <f>IF(OR(A73="",U73="",NOT(ISNUMBER(AB73))),"",RANK(AB73,$AB$3:$AB$164,1)+COUNTIFS($AB$3:AB73,AB73)-1)</f>
      </c>
      <c r="AE73" s="1736"/>
    </row>
    <row r="74" spans="1:19" ht="22.0" hidden="false" customHeight="true" x14ac:dyDescent="0.25">
      <c r="A74" s="3134" t="s">
        <v>176</v>
      </c>
      <c r="B74" s="3133" t="s">
        <v>162</v>
      </c>
      <c r="C74" s="3133" t="s">
        <v>163</v>
      </c>
      <c r="D74" s="3133" t="s">
        <v>177</v>
      </c>
      <c r="E74" s="3133"/>
      <c r="F74" s="3133"/>
      <c r="G74" s="3133" t="s">
        <v>4</v>
      </c>
      <c r="H74" s="3133" t="s">
        <v>14</v>
      </c>
      <c r="I74" s="3133"/>
      <c r="J74" s="3133"/>
      <c r="K74" s="3133"/>
      <c r="L74" s="3133"/>
      <c r="M74" s="3133" t="s">
        <v>385</v>
      </c>
      <c r="N74" s="3133" t="s">
        <v>362</v>
      </c>
      <c r="O74" s="3133" t="s">
        <v>350</v>
      </c>
      <c r="P74" s="3133"/>
      <c r="Q74" s="3136"/>
      <c r="R74" s="3136"/>
      <c r="S74" s="3136"/>
      <c r="T74" s="3136"/>
      <c r="U74" s="3137"/>
      <c r="V74" s="3133"/>
      <c r="W74" s="3133"/>
      <c r="X74" s="3056">
        <f>IF(A74="","",IF(LEN(SUBSTITUTE(SUBSTITUTE(SUBSTITUTE(SUBSTITUTE(D74,".",""),"/",""),"-","")," ",""))&lt;&gt;14,"CNPJ INVALIDO","OK"))</f>
      </c>
      <c r="Y74" s="3056">
        <f>IF(A74="","",IF(R74="","REST PENDENTE","REST OK"))</f>
      </c>
      <c r="Z74" s="3056">
        <f>IF(A74="","",IF(AND(R74&lt;&gt;"",COUNTIFS($D$3:$D$164,D74,$R$3:$R$164,"&lt;&gt;")&gt;1),"DUPLICADO","OK"))</f>
      </c>
      <c r="AA74" s="3056">
        <f>IF(A74="","",IF(OR(LEN(Q74)&gt;180,LEN(R74)&gt;180,LEN(S74)&gt;180,LEN(T74)&gt;180),"CAMINHO LONGO","OK"))</f>
      </c>
      <c r="AB74" s="3056">
        <f>IF(A74="","",IF(U74="","",IFERROR(INT(U74-TODAY()),"")))</f>
      </c>
      <c r="AC74" s="3056">
        <f>IF(A74="","",IF(AND(T74="",U74=""),"",IF(T74="","SEM CAMINHO",IF(U74="","SEM DATA",IFERROR(IF(AB74&lt;15,"VERMELHO",IF(AB74&lt;=30,"AMARELO","VERDE")),"DATA INVALIDA")))))</f>
      </c>
      <c r="AD74" s="3056">
        <f>IF(OR(A74="",U74="",NOT(ISNUMBER(AB74))),"",RANK(AB74,$AB$3:$AB$164,1)+COUNTIFS($AB$3:AB74,AB74)-1)</f>
      </c>
      <c r="AE74" s="1736"/>
    </row>
    <row r="75" spans="1:19" ht="22.0" hidden="false" customHeight="true" x14ac:dyDescent="0.25">
      <c r="A75" s="3129" t="s">
        <v>178</v>
      </c>
      <c r="B75" s="3128" t="s">
        <v>162</v>
      </c>
      <c r="C75" s="3128" t="s">
        <v>163</v>
      </c>
      <c r="D75" s="3128" t="s">
        <v>179</v>
      </c>
      <c r="E75" s="3128"/>
      <c r="F75" s="3128"/>
      <c r="G75" s="3128" t="s">
        <v>4</v>
      </c>
      <c r="H75" s="3128" t="s">
        <v>14</v>
      </c>
      <c r="I75" s="3128"/>
      <c r="J75" s="3128"/>
      <c r="K75" s="3128"/>
      <c r="L75" s="3128"/>
      <c r="M75" s="3128" t="s">
        <v>385</v>
      </c>
      <c r="N75" s="3128" t="s">
        <v>362</v>
      </c>
      <c r="O75" s="3128" t="s">
        <v>350</v>
      </c>
      <c r="P75" s="3128"/>
      <c r="Q75" s="3131"/>
      <c r="R75" s="3131"/>
      <c r="S75" s="3131"/>
      <c r="T75" s="3131"/>
      <c r="U75" s="3132"/>
      <c r="V75" s="3128"/>
      <c r="W75" s="3128"/>
      <c r="X75" s="3056">
        <f>IF(A75="","",IF(LEN(SUBSTITUTE(SUBSTITUTE(SUBSTITUTE(SUBSTITUTE(D75,".",""),"/",""),"-","")," ",""))&lt;&gt;14,"CNPJ INVALIDO","OK"))</f>
      </c>
      <c r="Y75" s="3056">
        <f>IF(A75="","",IF(R75="","REST PENDENTE","REST OK"))</f>
      </c>
      <c r="Z75" s="3056">
        <f>IF(A75="","",IF(AND(R75&lt;&gt;"",COUNTIFS($D$3:$D$164,D75,$R$3:$R$164,"&lt;&gt;")&gt;1),"DUPLICADO","OK"))</f>
      </c>
      <c r="AA75" s="3056">
        <f>IF(A75="","",IF(OR(LEN(Q75)&gt;180,LEN(R75)&gt;180,LEN(S75)&gt;180,LEN(T75)&gt;180),"CAMINHO LONGO","OK"))</f>
      </c>
      <c r="AB75" s="3056">
        <f>IF(A75="","",IF(U75="","",IFERROR(INT(U75-TODAY()),"")))</f>
      </c>
      <c r="AC75" s="3056">
        <f>IF(A75="","",IF(AND(T75="",U75=""),"",IF(T75="","SEM CAMINHO",IF(U75="","SEM DATA",IFERROR(IF(AB75&lt;15,"VERMELHO",IF(AB75&lt;=30,"AMARELO","VERDE")),"DATA INVALIDA")))))</f>
      </c>
      <c r="AD75" s="3056">
        <f>IF(OR(A75="",U75="",NOT(ISNUMBER(AB75))),"",RANK(AB75,$AB$3:$AB$164,1)+COUNTIFS($AB$3:AB75,AB75)-1)</f>
      </c>
      <c r="AE75" s="1736"/>
    </row>
    <row r="76" spans="1:19" ht="22.0" hidden="false" customHeight="true" x14ac:dyDescent="0.25">
      <c r="A76" s="3134" t="s">
        <v>180</v>
      </c>
      <c r="B76" s="3133" t="s">
        <v>9</v>
      </c>
      <c r="C76" s="3133" t="s">
        <v>24</v>
      </c>
      <c r="D76" s="3133">
        <v>10977876000146</v>
      </c>
      <c r="E76" s="3133"/>
      <c r="F76" s="3133" t="s">
        <v>12</v>
      </c>
      <c r="G76" s="3133" t="s">
        <v>4</v>
      </c>
      <c r="H76" s="3133" t="s">
        <v>5</v>
      </c>
      <c r="I76" s="3133"/>
      <c r="J76" s="3133"/>
      <c r="K76" s="3133"/>
      <c r="L76" s="3133"/>
      <c r="M76" s="3133" t="s">
        <v>385</v>
      </c>
      <c r="N76" s="3133"/>
      <c r="O76" s="3133" t="s">
        <v>351</v>
      </c>
      <c r="P76" s="3133"/>
      <c r="Q76" s="3136"/>
      <c r="R76" s="3136"/>
      <c r="S76" s="3136"/>
      <c r="T76" s="3136"/>
      <c r="U76" s="3137"/>
      <c r="V76" s="3133"/>
      <c r="W76" s="3133"/>
      <c r="X76" s="3056">
        <f>IF(A76="","",IF(LEN(SUBSTITUTE(SUBSTITUTE(SUBSTITUTE(SUBSTITUTE(D76,".",""),"/",""),"-","")," ",""))&lt;&gt;14,"CNPJ INVALIDO","OK"))</f>
      </c>
      <c r="Y76" s="3056">
        <f>IF(A76="","",IF(R76="","REST PENDENTE","REST OK"))</f>
      </c>
      <c r="Z76" s="3056">
        <f>IF(A76="","",IF(AND(R76&lt;&gt;"",COUNTIFS($D$3:$D$164,D76,$R$3:$R$164,"&lt;&gt;")&gt;1),"DUPLICADO","OK"))</f>
      </c>
      <c r="AA76" s="3056">
        <f>IF(A76="","",IF(OR(LEN(Q76)&gt;180,LEN(R76)&gt;180,LEN(S76)&gt;180,LEN(T76)&gt;180),"CAMINHO LONGO","OK"))</f>
      </c>
      <c r="AB76" s="3056">
        <f>IF(A76="","",IF(U76="","",IFERROR(INT(U76-TODAY()),"")))</f>
      </c>
      <c r="AC76" s="3056">
        <f>IF(A76="","",IF(AND(T76="",U76=""),"",IF(T76="","SEM CAMINHO",IF(U76="","SEM DATA",IFERROR(IF(AB76&lt;15,"VERMELHO",IF(AB76&lt;=30,"AMARELO","VERDE")),"DATA INVALIDA")))))</f>
      </c>
      <c r="AD76" s="3056">
        <f>IF(OR(A76="",U76="",NOT(ISNUMBER(AB76))),"",RANK(AB76,$AB$3:$AB$164,1)+COUNTIFS($AB$3:AB76,AB76)-1)</f>
      </c>
      <c r="AE76" s="1736"/>
    </row>
    <row r="77" spans="1:19" ht="22.0" hidden="false" customHeight="true" x14ac:dyDescent="0.25">
      <c r="A77" s="3129" t="s">
        <v>181</v>
      </c>
      <c r="B77" s="3128" t="s">
        <v>182</v>
      </c>
      <c r="C77" s="3128" t="s">
        <v>79</v>
      </c>
      <c r="D77" s="3128" t="s">
        <v>183</v>
      </c>
      <c r="E77" s="3128"/>
      <c r="F77" s="3128" t="s">
        <v>184</v>
      </c>
      <c r="G77" s="3128" t="s">
        <v>13</v>
      </c>
      <c r="H77" s="3128" t="s">
        <v>5</v>
      </c>
      <c r="I77" s="3128"/>
      <c r="J77" s="3128"/>
      <c r="K77" s="3128"/>
      <c r="L77" s="3128"/>
      <c r="M77" s="3128" t="s">
        <v>375</v>
      </c>
      <c r="N77" s="3128"/>
      <c r="O77" s="3128" t="s">
        <v>351</v>
      </c>
      <c r="P77" s="3128"/>
      <c r="Q77" s="3131"/>
      <c r="R77" s="3131"/>
      <c r="S77" s="3131"/>
      <c r="T77" s="3131"/>
      <c r="U77" s="3132"/>
      <c r="V77" s="3128"/>
      <c r="W77" s="3128"/>
      <c r="X77" s="3056">
        <f>IF(A77="","",IF(LEN(SUBSTITUTE(SUBSTITUTE(SUBSTITUTE(SUBSTITUTE(D77,".",""),"/",""),"-","")," ",""))&lt;&gt;14,"CNPJ INVALIDO","OK"))</f>
      </c>
      <c r="Y77" s="3056">
        <f>IF(A77="","",IF(R77="","REST PENDENTE","REST OK"))</f>
      </c>
      <c r="Z77" s="3056">
        <f>IF(A77="","",IF(AND(R77&lt;&gt;"",COUNTIFS($D$3:$D$164,D77,$R$3:$R$164,"&lt;&gt;")&gt;1),"DUPLICADO","OK"))</f>
      </c>
      <c r="AA77" s="3056">
        <f>IF(A77="","",IF(OR(LEN(Q77)&gt;180,LEN(R77)&gt;180,LEN(S77)&gt;180,LEN(T77)&gt;180),"CAMINHO LONGO","OK"))</f>
      </c>
      <c r="AB77" s="3056">
        <f>IF(A77="","",IF(U77="","",IFERROR(INT(U77-TODAY()),"")))</f>
      </c>
      <c r="AC77" s="3056">
        <f>IF(A77="","",IF(AND(T77="",U77=""),"",IF(T77="","SEM CAMINHO",IF(U77="","SEM DATA",IFERROR(IF(AB77&lt;15,"VERMELHO",IF(AB77&lt;=30,"AMARELO","VERDE")),"DATA INVALIDA")))))</f>
      </c>
      <c r="AD77" s="3056">
        <f>IF(OR(A77="",U77="",NOT(ISNUMBER(AB77))),"",RANK(AB77,$AB$3:$AB$164,1)+COUNTIFS($AB$3:AB77,AB77)-1)</f>
      </c>
      <c r="AE77" s="1736"/>
    </row>
    <row r="78" spans="1:19" ht="22.0" hidden="false" customHeight="true" x14ac:dyDescent="0.25">
      <c r="A78" s="3134" t="s">
        <v>185</v>
      </c>
      <c r="B78" s="3133" t="s">
        <v>182</v>
      </c>
      <c r="C78" s="3133" t="s">
        <v>79</v>
      </c>
      <c r="D78" s="3133" t="s">
        <v>186</v>
      </c>
      <c r="E78" s="3133"/>
      <c r="F78" s="3133" t="s">
        <v>184</v>
      </c>
      <c r="G78" s="3133" t="s">
        <v>13</v>
      </c>
      <c r="H78" s="3133" t="s">
        <v>14</v>
      </c>
      <c r="I78" s="3133"/>
      <c r="J78" s="3133"/>
      <c r="K78" s="3133"/>
      <c r="L78" s="3133"/>
      <c r="M78" s="3133" t="s">
        <v>355</v>
      </c>
      <c r="N78" s="3133"/>
      <c r="O78" s="3133" t="s">
        <v>354</v>
      </c>
      <c r="P78" s="3133"/>
      <c r="Q78" s="3136"/>
      <c r="R78" s="3136"/>
      <c r="S78" s="3136"/>
      <c r="T78" s="3136"/>
      <c r="U78" s="3137"/>
      <c r="V78" s="3133"/>
      <c r="W78" s="3133"/>
      <c r="X78" s="3056">
        <f>IF(A78="","",IF(LEN(SUBSTITUTE(SUBSTITUTE(SUBSTITUTE(SUBSTITUTE(D78,".",""),"/",""),"-","")," ",""))&lt;&gt;14,"CNPJ INVALIDO","OK"))</f>
      </c>
      <c r="Y78" s="3056">
        <f>IF(A78="","",IF(R78="","REST PENDENTE","REST OK"))</f>
      </c>
      <c r="Z78" s="3056">
        <f>IF(A78="","",IF(AND(R78&lt;&gt;"",COUNTIFS($D$3:$D$164,D78,$R$3:$R$164,"&lt;&gt;")&gt;1),"DUPLICADO","OK"))</f>
      </c>
      <c r="AA78" s="3056">
        <f>IF(A78="","",IF(OR(LEN(Q78)&gt;180,LEN(R78)&gt;180,LEN(S78)&gt;180,LEN(T78)&gt;180),"CAMINHO LONGO","OK"))</f>
      </c>
      <c r="AB78" s="3056">
        <f>IF(A78="","",IF(U78="","",IFERROR(INT(U78-TODAY()),"")))</f>
      </c>
      <c r="AC78" s="3056">
        <f>IF(A78="","",IF(AND(T78="",U78=""),"",IF(T78="","SEM CAMINHO",IF(U78="","SEM DATA",IFERROR(IF(AB78&lt;15,"VERMELHO",IF(AB78&lt;=30,"AMARELO","VERDE")),"DATA INVALIDA")))))</f>
      </c>
      <c r="AD78" s="3056">
        <f>IF(OR(A78="",U78="",NOT(ISNUMBER(AB78))),"",RANK(AB78,$AB$3:$AB$164,1)+COUNTIFS($AB$3:AB78,AB78)-1)</f>
      </c>
      <c r="AE78" s="1736"/>
    </row>
    <row r="79" spans="1:19" ht="22.0" hidden="false" customHeight="true" x14ac:dyDescent="0.25">
      <c r="A79" s="3129" t="s">
        <v>187</v>
      </c>
      <c r="B79" s="3128" t="s">
        <v>188</v>
      </c>
      <c r="C79" s="3128" t="s">
        <v>62</v>
      </c>
      <c r="D79" s="3128">
        <v>40920539000183</v>
      </c>
      <c r="E79" s="3128"/>
      <c r="F79" s="3128" t="s">
        <v>189</v>
      </c>
      <c r="G79" s="3128" t="s">
        <v>4</v>
      </c>
      <c r="H79" s="3128" t="s">
        <v>5</v>
      </c>
      <c r="I79" s="3128"/>
      <c r="J79" s="3128"/>
      <c r="K79" s="3128"/>
      <c r="L79" s="3128"/>
      <c r="M79" s="3128" t="s">
        <v>385</v>
      </c>
      <c r="N79" s="3128"/>
      <c r="O79" s="3128"/>
      <c r="P79" s="3128"/>
      <c r="Q79" s="3131"/>
      <c r="R79" s="3131"/>
      <c r="S79" s="3131"/>
      <c r="T79" s="3131"/>
      <c r="U79" s="3132"/>
      <c r="V79" s="3128"/>
      <c r="W79" s="3128"/>
      <c r="X79" s="3056">
        <f>IF(A79="","",IF(LEN(SUBSTITUTE(SUBSTITUTE(SUBSTITUTE(SUBSTITUTE(D79,".",""),"/",""),"-","")," ",""))&lt;&gt;14,"CNPJ INVALIDO","OK"))</f>
      </c>
      <c r="Y79" s="3056">
        <f>IF(A79="","",IF(R79="","REST PENDENTE","REST OK"))</f>
      </c>
      <c r="Z79" s="3056">
        <f>IF(A79="","",IF(AND(R79&lt;&gt;"",COUNTIFS($D$3:$D$164,D79,$R$3:$R$164,"&lt;&gt;")&gt;1),"DUPLICADO","OK"))</f>
      </c>
      <c r="AA79" s="3056">
        <f>IF(A79="","",IF(OR(LEN(Q79)&gt;180,LEN(R79)&gt;180,LEN(S79)&gt;180,LEN(T79)&gt;180),"CAMINHO LONGO","OK"))</f>
      </c>
      <c r="AB79" s="3056">
        <f>IF(A79="","",IF(U79="","",IFERROR(INT(U79-TODAY()),"")))</f>
      </c>
      <c r="AC79" s="3056">
        <f>IF(A79="","",IF(AND(T79="",U79=""),"",IF(T79="","SEM CAMINHO",IF(U79="","SEM DATA",IFERROR(IF(AB79&lt;15,"VERMELHO",IF(AB79&lt;=30,"AMARELO","VERDE")),"DATA INVALIDA")))))</f>
      </c>
      <c r="AD79" s="3056">
        <f>IF(OR(A79="",U79="",NOT(ISNUMBER(AB79))),"",RANK(AB79,$AB$3:$AB$164,1)+COUNTIFS($AB$3:AB79,AB79)-1)</f>
      </c>
      <c r="AE79" s="1736"/>
    </row>
    <row r="80" spans="1:19" ht="22.0" hidden="false" customHeight="true" x14ac:dyDescent="0.25">
      <c r="A80" s="3134" t="s">
        <v>190</v>
      </c>
      <c r="B80" s="3133" t="s">
        <v>188</v>
      </c>
      <c r="C80" s="3133" t="s">
        <v>69</v>
      </c>
      <c r="D80" s="3133" t="s">
        <v>191</v>
      </c>
      <c r="E80" s="3133"/>
      <c r="F80" s="3133" t="s">
        <v>189</v>
      </c>
      <c r="G80" s="3133" t="s">
        <v>41</v>
      </c>
      <c r="H80" s="3133" t="s">
        <v>5</v>
      </c>
      <c r="I80" s="3133"/>
      <c r="J80" s="3133"/>
      <c r="K80" s="3133"/>
      <c r="L80" s="3133"/>
      <c r="M80" s="3133" t="s">
        <v>379</v>
      </c>
      <c r="N80" s="3133"/>
      <c r="O80" s="3133" t="s">
        <v>350</v>
      </c>
      <c r="P80" s="3133"/>
      <c r="Q80" s="3136"/>
      <c r="R80" s="3136"/>
      <c r="S80" s="3136"/>
      <c r="T80" s="3136"/>
      <c r="U80" s="3137"/>
      <c r="V80" s="3133"/>
      <c r="W80" s="3133"/>
      <c r="X80" s="3056">
        <f>IF(A80="","",IF(LEN(SUBSTITUTE(SUBSTITUTE(SUBSTITUTE(SUBSTITUTE(D80,".",""),"/",""),"-","")," ",""))&lt;&gt;14,"CNPJ INVALIDO","OK"))</f>
      </c>
      <c r="Y80" s="3056">
        <f>IF(A80="","",IF(R80="","REST PENDENTE","REST OK"))</f>
      </c>
      <c r="Z80" s="3056">
        <f>IF(A80="","",IF(AND(R80&lt;&gt;"",COUNTIFS($D$3:$D$164,D80,$R$3:$R$164,"&lt;&gt;")&gt;1),"DUPLICADO","OK"))</f>
      </c>
      <c r="AA80" s="3056">
        <f>IF(A80="","",IF(OR(LEN(Q80)&gt;180,LEN(R80)&gt;180,LEN(S80)&gt;180,LEN(T80)&gt;180),"CAMINHO LONGO","OK"))</f>
      </c>
      <c r="AB80" s="3056">
        <f>IF(A80="","",IF(U80="","",IFERROR(INT(U80-TODAY()),"")))</f>
      </c>
      <c r="AC80" s="3056">
        <f>IF(A80="","",IF(AND(T80="",U80=""),"",IF(T80="","SEM CAMINHO",IF(U80="","SEM DATA",IFERROR(IF(AB80&lt;15,"VERMELHO",IF(AB80&lt;=30,"AMARELO","VERDE")),"DATA INVALIDA")))))</f>
      </c>
      <c r="AD80" s="3056">
        <f>IF(OR(A80="",U80="",NOT(ISNUMBER(AB80))),"",RANK(AB80,$AB$3:$AB$164,1)+COUNTIFS($AB$3:AB80,AB80)-1)</f>
      </c>
      <c r="AE80" s="1736"/>
    </row>
    <row r="81" spans="1:19" ht="22.0" hidden="false" customHeight="true" x14ac:dyDescent="0.25">
      <c r="A81" s="3129" t="s">
        <v>192</v>
      </c>
      <c r="B81" s="3128" t="s">
        <v>188</v>
      </c>
      <c r="C81" s="3128" t="s">
        <v>69</v>
      </c>
      <c r="D81" s="3128" t="s">
        <v>193</v>
      </c>
      <c r="E81" s="3128"/>
      <c r="F81" s="3128" t="s">
        <v>189</v>
      </c>
      <c r="G81" s="3128" t="s">
        <v>13</v>
      </c>
      <c r="H81" s="3128" t="s">
        <v>14</v>
      </c>
      <c r="I81" s="3128"/>
      <c r="J81" s="3128"/>
      <c r="K81" s="3128"/>
      <c r="L81" s="3128"/>
      <c r="M81" s="3128" t="s">
        <v>386</v>
      </c>
      <c r="N81" s="3128"/>
      <c r="O81" s="3128" t="s">
        <v>347</v>
      </c>
      <c r="P81" s="3128"/>
      <c r="Q81" s="3131"/>
      <c r="R81" s="3131"/>
      <c r="S81" s="3131"/>
      <c r="T81" s="3131"/>
      <c r="U81" s="3132"/>
      <c r="V81" s="3128"/>
      <c r="W81" s="3128"/>
      <c r="X81" s="3056">
        <f>IF(A81="","",IF(LEN(SUBSTITUTE(SUBSTITUTE(SUBSTITUTE(SUBSTITUTE(D81,".",""),"/",""),"-","")," ",""))&lt;&gt;14,"CNPJ INVALIDO","OK"))</f>
      </c>
      <c r="Y81" s="3056">
        <f>IF(A81="","",IF(R81="","REST PENDENTE","REST OK"))</f>
      </c>
      <c r="Z81" s="3056">
        <f>IF(A81="","",IF(AND(R81&lt;&gt;"",COUNTIFS($D$3:$D$164,D81,$R$3:$R$164,"&lt;&gt;")&gt;1),"DUPLICADO","OK"))</f>
      </c>
      <c r="AA81" s="3056">
        <f>IF(A81="","",IF(OR(LEN(Q81)&gt;180,LEN(R81)&gt;180,LEN(S81)&gt;180,LEN(T81)&gt;180),"CAMINHO LONGO","OK"))</f>
      </c>
      <c r="AB81" s="3056">
        <f>IF(A81="","",IF(U81="","",IFERROR(INT(U81-TODAY()),"")))</f>
      </c>
      <c r="AC81" s="3056">
        <f>IF(A81="","",IF(AND(T81="",U81=""),"",IF(T81="","SEM CAMINHO",IF(U81="","SEM DATA",IFERROR(IF(AB81&lt;15,"VERMELHO",IF(AB81&lt;=30,"AMARELO","VERDE")),"DATA INVALIDA")))))</f>
      </c>
      <c r="AD81" s="3056">
        <f>IF(OR(A81="",U81="",NOT(ISNUMBER(AB81))),"",RANK(AB81,$AB$3:$AB$164,1)+COUNTIFS($AB$3:AB81,AB81)-1)</f>
      </c>
      <c r="AE81" s="1736"/>
    </row>
    <row r="82" spans="1:19" ht="22.0" hidden="false" customHeight="true" x14ac:dyDescent="0.25">
      <c r="A82" s="3134" t="s">
        <v>194</v>
      </c>
      <c r="B82" s="3133" t="s">
        <v>1</v>
      </c>
      <c r="C82" s="3133" t="s">
        <v>195</v>
      </c>
      <c r="D82" s="3133" t="s">
        <v>196</v>
      </c>
      <c r="E82" s="3133"/>
      <c r="F82" s="3133" t="s">
        <v>3</v>
      </c>
      <c r="G82" s="3133" t="s">
        <v>197</v>
      </c>
      <c r="H82" s="3133" t="s">
        <v>49</v>
      </c>
      <c r="I82" s="3133"/>
      <c r="J82" s="3133"/>
      <c r="K82" s="3133"/>
      <c r="L82" s="3133"/>
      <c r="M82" s="3133" t="s">
        <v>376</v>
      </c>
      <c r="N82" s="3133" t="s">
        <v>361</v>
      </c>
      <c r="O82" s="3133" t="s">
        <v>351</v>
      </c>
      <c r="P82" s="3133"/>
      <c r="Q82" s="3136"/>
      <c r="R82" s="3136"/>
      <c r="S82" s="3136"/>
      <c r="T82" s="3136"/>
      <c r="U82" s="3137"/>
      <c r="V82" s="3133"/>
      <c r="W82" s="3133"/>
      <c r="X82" s="3056">
        <f>IF(A82="","",IF(LEN(SUBSTITUTE(SUBSTITUTE(SUBSTITUTE(SUBSTITUTE(D82,".",""),"/",""),"-","")," ",""))&lt;&gt;14,"CNPJ INVALIDO","OK"))</f>
      </c>
      <c r="Y82" s="3056">
        <f>IF(A82="","",IF(R82="","REST PENDENTE","REST OK"))</f>
      </c>
      <c r="Z82" s="3056">
        <f>IF(A82="","",IF(AND(R82&lt;&gt;"",COUNTIFS($D$3:$D$164,D82,$R$3:$R$164,"&lt;&gt;")&gt;1),"DUPLICADO","OK"))</f>
      </c>
      <c r="AA82" s="3056">
        <f>IF(A82="","",IF(OR(LEN(Q82)&gt;180,LEN(R82)&gt;180,LEN(S82)&gt;180,LEN(T82)&gt;180),"CAMINHO LONGO","OK"))</f>
      </c>
      <c r="AB82" s="3056">
        <f>IF(A82="","",IF(U82="","",IFERROR(INT(U82-TODAY()),"")))</f>
      </c>
      <c r="AC82" s="3056">
        <f>IF(A82="","",IF(AND(T82="",U82=""),"",IF(T82="","SEM CAMINHO",IF(U82="","SEM DATA",IFERROR(IF(AB82&lt;15,"VERMELHO",IF(AB82&lt;=30,"AMARELO","VERDE")),"DATA INVALIDA")))))</f>
      </c>
      <c r="AD82" s="3056">
        <f>IF(OR(A82="",U82="",NOT(ISNUMBER(AB82))),"",RANK(AB82,$AB$3:$AB$164,1)+COUNTIFS($AB$3:AB82,AB82)-1)</f>
      </c>
      <c r="AE82" s="1736"/>
    </row>
    <row r="83" spans="1:19" ht="22.0" hidden="false" customHeight="true" x14ac:dyDescent="0.25">
      <c r="A83" s="3129" t="s">
        <v>198</v>
      </c>
      <c r="B83" s="3128" t="s">
        <v>1</v>
      </c>
      <c r="C83" s="3128" t="s">
        <v>195</v>
      </c>
      <c r="D83" s="3128" t="s">
        <v>199</v>
      </c>
      <c r="E83" s="3128"/>
      <c r="F83" s="3128" t="s">
        <v>3</v>
      </c>
      <c r="G83" s="3128" t="s">
        <v>4</v>
      </c>
      <c r="H83" s="3128" t="s">
        <v>49</v>
      </c>
      <c r="I83" s="3128"/>
      <c r="J83" s="3128"/>
      <c r="K83" s="3128"/>
      <c r="L83" s="3128"/>
      <c r="M83" s="3128" t="s">
        <v>376</v>
      </c>
      <c r="N83" s="3128" t="s">
        <v>361</v>
      </c>
      <c r="O83" s="3128" t="s">
        <v>351</v>
      </c>
      <c r="P83" s="3128"/>
      <c r="Q83" s="3131"/>
      <c r="R83" s="3131"/>
      <c r="S83" s="3131"/>
      <c r="T83" s="3131"/>
      <c r="U83" s="3132"/>
      <c r="V83" s="3128"/>
      <c r="W83" s="3128"/>
      <c r="X83" s="3056">
        <f>IF(A83="","",IF(LEN(SUBSTITUTE(SUBSTITUTE(SUBSTITUTE(SUBSTITUTE(D83,".",""),"/",""),"-","")," ",""))&lt;&gt;14,"CNPJ INVALIDO","OK"))</f>
      </c>
      <c r="Y83" s="3056">
        <f>IF(A83="","",IF(R83="","REST PENDENTE","REST OK"))</f>
      </c>
      <c r="Z83" s="3056">
        <f>IF(A83="","",IF(AND(R83&lt;&gt;"",COUNTIFS($D$3:$D$164,D83,$R$3:$R$164,"&lt;&gt;")&gt;1),"DUPLICADO","OK"))</f>
      </c>
      <c r="AA83" s="3056">
        <f>IF(A83="","",IF(OR(LEN(Q83)&gt;180,LEN(R83)&gt;180,LEN(S83)&gt;180,LEN(T83)&gt;180),"CAMINHO LONGO","OK"))</f>
      </c>
      <c r="AB83" s="3056">
        <f>IF(A83="","",IF(U83="","",IFERROR(INT(U83-TODAY()),"")))</f>
      </c>
      <c r="AC83" s="3056">
        <f>IF(A83="","",IF(AND(T83="",U83=""),"",IF(T83="","SEM CAMINHO",IF(U83="","SEM DATA",IFERROR(IF(AB83&lt;15,"VERMELHO",IF(AB83&lt;=30,"AMARELO","VERDE")),"DATA INVALIDA")))))</f>
      </c>
      <c r="AD83" s="3056">
        <f>IF(OR(A83="",U83="",NOT(ISNUMBER(AB83))),"",RANK(AB83,$AB$3:$AB$164,1)+COUNTIFS($AB$3:AB83,AB83)-1)</f>
      </c>
      <c r="AE83" s="1736"/>
    </row>
    <row r="84" spans="1:19" ht="22.0" hidden="false" customHeight="true" x14ac:dyDescent="0.25">
      <c r="A84" s="3134" t="s">
        <v>200</v>
      </c>
      <c r="B84" s="3133" t="s">
        <v>1</v>
      </c>
      <c r="C84" s="3133" t="s">
        <v>195</v>
      </c>
      <c r="D84" s="3133" t="s">
        <v>201</v>
      </c>
      <c r="E84" s="3133"/>
      <c r="F84" s="3133" t="s">
        <v>3</v>
      </c>
      <c r="G84" s="3133" t="s">
        <v>4</v>
      </c>
      <c r="H84" s="3133" t="s">
        <v>49</v>
      </c>
      <c r="I84" s="3133"/>
      <c r="J84" s="3133"/>
      <c r="K84" s="3133"/>
      <c r="L84" s="3133"/>
      <c r="M84" s="3133" t="s">
        <v>376</v>
      </c>
      <c r="N84" s="3133" t="s">
        <v>361</v>
      </c>
      <c r="O84" s="3133" t="s">
        <v>351</v>
      </c>
      <c r="P84" s="3133"/>
      <c r="Q84" s="3136"/>
      <c r="R84" s="3136"/>
      <c r="S84" s="3136"/>
      <c r="T84" s="3136"/>
      <c r="U84" s="3137"/>
      <c r="V84" s="3133"/>
      <c r="W84" s="3133"/>
      <c r="X84" s="3056">
        <f>IF(A84="","",IF(LEN(SUBSTITUTE(SUBSTITUTE(SUBSTITUTE(SUBSTITUTE(D84,".",""),"/",""),"-","")," ",""))&lt;&gt;14,"CNPJ INVALIDO","OK"))</f>
      </c>
      <c r="Y84" s="3056">
        <f>IF(A84="","",IF(R84="","REST PENDENTE","REST OK"))</f>
      </c>
      <c r="Z84" s="3056">
        <f>IF(A84="","",IF(AND(R84&lt;&gt;"",COUNTIFS($D$3:$D$164,D84,$R$3:$R$164,"&lt;&gt;")&gt;1),"DUPLICADO","OK"))</f>
      </c>
      <c r="AA84" s="3056">
        <f>IF(A84="","",IF(OR(LEN(Q84)&gt;180,LEN(R84)&gt;180,LEN(S84)&gt;180,LEN(T84)&gt;180),"CAMINHO LONGO","OK"))</f>
      </c>
      <c r="AB84" s="3056">
        <f>IF(A84="","",IF(U84="","",IFERROR(INT(U84-TODAY()),"")))</f>
      </c>
      <c r="AC84" s="3056">
        <f>IF(A84="","",IF(AND(T84="",U84=""),"",IF(T84="","SEM CAMINHO",IF(U84="","SEM DATA",IFERROR(IF(AB84&lt;15,"VERMELHO",IF(AB84&lt;=30,"AMARELO","VERDE")),"DATA INVALIDA")))))</f>
      </c>
      <c r="AD84" s="3056">
        <f>IF(OR(A84="",U84="",NOT(ISNUMBER(AB84))),"",RANK(AB84,$AB$3:$AB$164,1)+COUNTIFS($AB$3:AB84,AB84)-1)</f>
      </c>
      <c r="AE84" s="1736"/>
    </row>
    <row r="85" spans="1:19" ht="22.0" hidden="false" customHeight="true" x14ac:dyDescent="0.25">
      <c r="A85" s="3129" t="s">
        <v>202</v>
      </c>
      <c r="B85" s="3128" t="s">
        <v>203</v>
      </c>
      <c r="C85" s="3128" t="s">
        <v>204</v>
      </c>
      <c r="D85" s="3128">
        <v>48579725000102</v>
      </c>
      <c r="E85" s="3128"/>
      <c r="F85" s="3128" t="s">
        <v>205</v>
      </c>
      <c r="G85" s="3128" t="s">
        <v>13</v>
      </c>
      <c r="H85" s="3128" t="s">
        <v>5</v>
      </c>
      <c r="I85" s="3128"/>
      <c r="J85" s="3128"/>
      <c r="K85" s="3128"/>
      <c r="L85" s="3128"/>
      <c r="M85" s="3128" t="s">
        <v>379</v>
      </c>
      <c r="N85" s="3128"/>
      <c r="O85" s="3128" t="s">
        <v>356</v>
      </c>
      <c r="P85" s="3128"/>
      <c r="Q85" s="3131"/>
      <c r="R85" s="3131"/>
      <c r="S85" s="3131"/>
      <c r="T85" s="3131"/>
      <c r="U85" s="3132"/>
      <c r="V85" s="3128"/>
      <c r="W85" s="3128"/>
      <c r="X85" s="3056">
        <f>IF(A85="","",IF(LEN(SUBSTITUTE(SUBSTITUTE(SUBSTITUTE(SUBSTITUTE(D85,".",""),"/",""),"-","")," ",""))&lt;&gt;14,"CNPJ INVALIDO","OK"))</f>
      </c>
      <c r="Y85" s="3056">
        <f>IF(A85="","",IF(R85="","REST PENDENTE","REST OK"))</f>
      </c>
      <c r="Z85" s="3056">
        <f>IF(A85="","",IF(AND(R85&lt;&gt;"",COUNTIFS($D$3:$D$164,D85,$R$3:$R$164,"&lt;&gt;")&gt;1),"DUPLICADO","OK"))</f>
      </c>
      <c r="AA85" s="3056">
        <f>IF(A85="","",IF(OR(LEN(Q85)&gt;180,LEN(R85)&gt;180,LEN(S85)&gt;180,LEN(T85)&gt;180),"CAMINHO LONGO","OK"))</f>
      </c>
      <c r="AB85" s="3056">
        <f>IF(A85="","",IF(U85="","",IFERROR(INT(U85-TODAY()),"")))</f>
      </c>
      <c r="AC85" s="3056">
        <f>IF(A85="","",IF(AND(T85="",U85=""),"",IF(T85="","SEM CAMINHO",IF(U85="","SEM DATA",IFERROR(IF(AB85&lt;15,"VERMELHO",IF(AB85&lt;=30,"AMARELO","VERDE")),"DATA INVALIDA")))))</f>
      </c>
      <c r="AD85" s="3056">
        <f>IF(OR(A85="",U85="",NOT(ISNUMBER(AB85))),"",RANK(AB85,$AB$3:$AB$164,1)+COUNTIFS($AB$3:AB85,AB85)-1)</f>
      </c>
      <c r="AE85" s="1736"/>
    </row>
    <row r="86" spans="1:19" ht="22.0" hidden="false" customHeight="true" x14ac:dyDescent="0.25">
      <c r="A86" s="3134" t="s">
        <v>206</v>
      </c>
      <c r="B86" s="3133" t="s">
        <v>207</v>
      </c>
      <c r="C86" s="3133" t="s">
        <v>62</v>
      </c>
      <c r="D86" s="3133">
        <v>21879417000146</v>
      </c>
      <c r="E86" s="3133"/>
      <c r="F86" s="3133" t="s">
        <v>208</v>
      </c>
      <c r="G86" s="3133" t="s">
        <v>41</v>
      </c>
      <c r="H86" s="3133" t="s">
        <v>5</v>
      </c>
      <c r="I86" s="3133"/>
      <c r="J86" s="3133"/>
      <c r="K86" s="3133"/>
      <c r="L86" s="3133"/>
      <c r="M86" s="3133" t="s">
        <v>379</v>
      </c>
      <c r="N86" s="3133"/>
      <c r="O86" s="3133" t="s">
        <v>349</v>
      </c>
      <c r="P86" s="3133"/>
      <c r="Q86" s="3136"/>
      <c r="R86" s="3136"/>
      <c r="S86" s="3136"/>
      <c r="T86" s="3136"/>
      <c r="U86" s="3137"/>
      <c r="V86" s="3133"/>
      <c r="W86" s="3133"/>
      <c r="X86" s="3056">
        <f>IF(A86="","",IF(LEN(SUBSTITUTE(SUBSTITUTE(SUBSTITUTE(SUBSTITUTE(D86,".",""),"/",""),"-","")," ",""))&lt;&gt;14,"CNPJ INVALIDO","OK"))</f>
      </c>
      <c r="Y86" s="3056">
        <f>IF(A86="","",IF(R86="","REST PENDENTE","REST OK"))</f>
      </c>
      <c r="Z86" s="3056">
        <f>IF(A86="","",IF(AND(R86&lt;&gt;"",COUNTIFS($D$3:$D$164,D86,$R$3:$R$164,"&lt;&gt;")&gt;1),"DUPLICADO","OK"))</f>
      </c>
      <c r="AA86" s="3056">
        <f>IF(A86="","",IF(OR(LEN(Q86)&gt;180,LEN(R86)&gt;180,LEN(S86)&gt;180,LEN(T86)&gt;180),"CAMINHO LONGO","OK"))</f>
      </c>
      <c r="AB86" s="3056">
        <f>IF(A86="","",IF(U86="","",IFERROR(INT(U86-TODAY()),"")))</f>
      </c>
      <c r="AC86" s="3056">
        <f>IF(A86="","",IF(AND(T86="",U86=""),"",IF(T86="","SEM CAMINHO",IF(U86="","SEM DATA",IFERROR(IF(AB86&lt;15,"VERMELHO",IF(AB86&lt;=30,"AMARELO","VERDE")),"DATA INVALIDA")))))</f>
      </c>
      <c r="AD86" s="3056">
        <f>IF(OR(A86="",U86="",NOT(ISNUMBER(AB86))),"",RANK(AB86,$AB$3:$AB$164,1)+COUNTIFS($AB$3:AB86,AB86)-1)</f>
      </c>
      <c r="AE86" s="1736"/>
    </row>
    <row r="87" spans="1:19" ht="22.0" hidden="false" customHeight="true" x14ac:dyDescent="0.25">
      <c r="A87" s="3129" t="s">
        <v>209</v>
      </c>
      <c r="B87" s="3128" t="s">
        <v>207</v>
      </c>
      <c r="C87" s="3128" t="s">
        <v>62</v>
      </c>
      <c r="D87" s="3128" t="s">
        <v>388</v>
      </c>
      <c r="E87" s="3128"/>
      <c r="F87" s="3128" t="s">
        <v>208</v>
      </c>
      <c r="G87" s="3128" t="s">
        <v>4</v>
      </c>
      <c r="H87" s="3128" t="s">
        <v>5</v>
      </c>
      <c r="I87" s="3128"/>
      <c r="J87" s="3128"/>
      <c r="K87" s="3128"/>
      <c r="L87" s="3128"/>
      <c r="M87" s="3128" t="s">
        <v>379</v>
      </c>
      <c r="N87" s="3128"/>
      <c r="O87" s="3128" t="s">
        <v>349</v>
      </c>
      <c r="P87" s="3128"/>
      <c r="Q87" s="3131"/>
      <c r="R87" s="3131"/>
      <c r="S87" s="3131"/>
      <c r="T87" s="3131"/>
      <c r="U87" s="3132"/>
      <c r="V87" s="3128"/>
      <c r="W87" s="3128"/>
      <c r="X87" s="3056">
        <f>IF(A87="","",IF(LEN(SUBSTITUTE(SUBSTITUTE(SUBSTITUTE(SUBSTITUTE(D87,".",""),"/",""),"-","")," ",""))&lt;&gt;14,"CNPJ INVALIDO","OK"))</f>
      </c>
      <c r="Y87" s="3056">
        <f>IF(A87="","",IF(R87="","REST PENDENTE","REST OK"))</f>
      </c>
      <c r="Z87" s="3056">
        <f>IF(A87="","",IF(AND(R87&lt;&gt;"",COUNTIFS($D$3:$D$164,D87,$R$3:$R$164,"&lt;&gt;")&gt;1),"DUPLICADO","OK"))</f>
      </c>
      <c r="AA87" s="3056">
        <f>IF(A87="","",IF(OR(LEN(Q87)&gt;180,LEN(R87)&gt;180,LEN(S87)&gt;180,LEN(T87)&gt;180),"CAMINHO LONGO","OK"))</f>
      </c>
      <c r="AB87" s="3056">
        <f>IF(A87="","",IF(U87="","",IFERROR(INT(U87-TODAY()),"")))</f>
      </c>
      <c r="AC87" s="3056">
        <f>IF(A87="","",IF(AND(T87="",U87=""),"",IF(T87="","SEM CAMINHO",IF(U87="","SEM DATA",IFERROR(IF(AB87&lt;15,"VERMELHO",IF(AB87&lt;=30,"AMARELO","VERDE")),"DATA INVALIDA")))))</f>
      </c>
      <c r="AD87" s="3056">
        <f>IF(OR(A87="",U87="",NOT(ISNUMBER(AB87))),"",RANK(AB87,$AB$3:$AB$164,1)+COUNTIFS($AB$3:AB87,AB87)-1)</f>
      </c>
      <c r="AE87" s="1736"/>
    </row>
    <row r="88" spans="1:19" ht="22.0" hidden="false" customHeight="true" x14ac:dyDescent="0.25">
      <c r="A88" s="3134" t="s">
        <v>210</v>
      </c>
      <c r="B88" s="3133" t="s">
        <v>211</v>
      </c>
      <c r="C88" s="3133" t="s">
        <v>69</v>
      </c>
      <c r="D88" s="3133" t="s">
        <v>387</v>
      </c>
      <c r="E88" s="3133"/>
      <c r="F88" s="3133"/>
      <c r="G88" s="3133" t="s">
        <v>4</v>
      </c>
      <c r="H88" s="3133" t="s">
        <v>49</v>
      </c>
      <c r="I88" s="3133"/>
      <c r="J88" s="3133"/>
      <c r="K88" s="3133"/>
      <c r="L88" s="3133"/>
      <c r="M88" s="3133" t="s">
        <v>379</v>
      </c>
      <c r="N88" s="3133"/>
      <c r="O88" s="3133" t="s">
        <v>349</v>
      </c>
      <c r="P88" s="3133"/>
      <c r="Q88" s="3136"/>
      <c r="R88" s="3136"/>
      <c r="S88" s="3136"/>
      <c r="T88" s="3136"/>
      <c r="U88" s="3137"/>
      <c r="V88" s="3133"/>
      <c r="W88" s="3133"/>
      <c r="X88" s="3056">
        <f>IF(A88="","",IF(LEN(SUBSTITUTE(SUBSTITUTE(SUBSTITUTE(SUBSTITUTE(D88,".",""),"/",""),"-","")," ",""))&lt;&gt;14,"CNPJ INVALIDO","OK"))</f>
      </c>
      <c r="Y88" s="3056">
        <f>IF(A88="","",IF(R88="","REST PENDENTE","REST OK"))</f>
      </c>
      <c r="Z88" s="3056">
        <f>IF(A88="","",IF(AND(R88&lt;&gt;"",COUNTIFS($D$3:$D$164,D88,$R$3:$R$164,"&lt;&gt;")&gt;1),"DUPLICADO","OK"))</f>
      </c>
      <c r="AA88" s="3056">
        <f>IF(A88="","",IF(OR(LEN(Q88)&gt;180,LEN(R88)&gt;180,LEN(S88)&gt;180,LEN(T88)&gt;180),"CAMINHO LONGO","OK"))</f>
      </c>
      <c r="AB88" s="3056">
        <f>IF(A88="","",IF(U88="","",IFERROR(INT(U88-TODAY()),"")))</f>
      </c>
      <c r="AC88" s="3056">
        <f>IF(A88="","",IF(AND(T88="",U88=""),"",IF(T88="","SEM CAMINHO",IF(U88="","SEM DATA",IFERROR(IF(AB88&lt;15,"VERMELHO",IF(AB88&lt;=30,"AMARELO","VERDE")),"DATA INVALIDA")))))</f>
      </c>
      <c r="AD88" s="3056">
        <f>IF(OR(A88="",U88="",NOT(ISNUMBER(AB88))),"",RANK(AB88,$AB$3:$AB$164,1)+COUNTIFS($AB$3:AB88,AB88)-1)</f>
      </c>
      <c r="AE88" s="1736"/>
    </row>
    <row r="89" spans="1:19" ht="22.0" hidden="false" customHeight="true" x14ac:dyDescent="0.25">
      <c r="A89" s="3129" t="s">
        <v>212</v>
      </c>
      <c r="B89" s="3128" t="s">
        <v>211</v>
      </c>
      <c r="C89" s="3128" t="s">
        <v>69</v>
      </c>
      <c r="D89" s="3128"/>
      <c r="E89" s="3128"/>
      <c r="F89" s="3128"/>
      <c r="G89" s="3128" t="s">
        <v>4</v>
      </c>
      <c r="H89" s="3128" t="s">
        <v>49</v>
      </c>
      <c r="I89" s="3128"/>
      <c r="J89" s="3128"/>
      <c r="K89" s="3128"/>
      <c r="L89" s="3128"/>
      <c r="M89" s="3128" t="s">
        <v>379</v>
      </c>
      <c r="N89" s="3128"/>
      <c r="O89" s="3128" t="s">
        <v>349</v>
      </c>
      <c r="P89" s="3128"/>
      <c r="Q89" s="3131"/>
      <c r="R89" s="3131"/>
      <c r="S89" s="3131"/>
      <c r="T89" s="3131"/>
      <c r="U89" s="3132"/>
      <c r="V89" s="3128"/>
      <c r="W89" s="3128"/>
      <c r="X89" s="3056">
        <f>IF(A89="","",IF(LEN(SUBSTITUTE(SUBSTITUTE(SUBSTITUTE(SUBSTITUTE(D89,".",""),"/",""),"-","")," ",""))&lt;&gt;14,"CNPJ INVALIDO","OK"))</f>
      </c>
      <c r="Y89" s="3056">
        <f>IF(A89="","",IF(R89="","REST PENDENTE","REST OK"))</f>
      </c>
      <c r="Z89" s="3056">
        <f>IF(A89="","",IF(AND(R89&lt;&gt;"",COUNTIFS($D$3:$D$164,D89,$R$3:$R$164,"&lt;&gt;")&gt;1),"DUPLICADO","OK"))</f>
      </c>
      <c r="AA89" s="3056">
        <f>IF(A89="","",IF(OR(LEN(Q89)&gt;180,LEN(R89)&gt;180,LEN(S89)&gt;180,LEN(T89)&gt;180),"CAMINHO LONGO","OK"))</f>
      </c>
      <c r="AB89" s="3056">
        <f>IF(A89="","",IF(U89="","",IFERROR(INT(U89-TODAY()),"")))</f>
      </c>
      <c r="AC89" s="3056">
        <f>IF(A89="","",IF(AND(T89="",U89=""),"",IF(T89="","SEM CAMINHO",IF(U89="","SEM DATA",IFERROR(IF(AB89&lt;15,"VERMELHO",IF(AB89&lt;=30,"AMARELO","VERDE")),"DATA INVALIDA")))))</f>
      </c>
      <c r="AD89" s="3056">
        <f>IF(OR(A89="",U89="",NOT(ISNUMBER(AB89))),"",RANK(AB89,$AB$3:$AB$164,1)+COUNTIFS($AB$3:AB89,AB89)-1)</f>
      </c>
      <c r="AE89" s="1736"/>
    </row>
    <row r="90" spans="1:19" ht="22.0" hidden="false" customHeight="true" x14ac:dyDescent="0.25">
      <c r="A90" s="3134" t="s">
        <v>213</v>
      </c>
      <c r="B90" s="3133" t="s">
        <v>214</v>
      </c>
      <c r="C90" s="3133" t="s">
        <v>62</v>
      </c>
      <c r="D90" s="3133">
        <v>44868733000118</v>
      </c>
      <c r="E90" s="3133"/>
      <c r="F90" s="3133" t="s">
        <v>215</v>
      </c>
      <c r="G90" s="3133" t="s">
        <v>4</v>
      </c>
      <c r="H90" s="3133" t="s">
        <v>5</v>
      </c>
      <c r="I90" s="3133"/>
      <c r="J90" s="3133"/>
      <c r="K90" s="3133"/>
      <c r="L90" s="3133"/>
      <c r="M90" s="3133" t="s">
        <v>379</v>
      </c>
      <c r="N90" s="3133"/>
      <c r="O90" s="3133" t="s">
        <v>350</v>
      </c>
      <c r="P90" s="3133"/>
      <c r="Q90" s="3136"/>
      <c r="R90" s="3136"/>
      <c r="S90" s="3136"/>
      <c r="T90" s="3136"/>
      <c r="U90" s="3137"/>
      <c r="V90" s="3133"/>
      <c r="W90" s="3133"/>
      <c r="X90" s="3056">
        <f>IF(A90="","",IF(LEN(SUBSTITUTE(SUBSTITUTE(SUBSTITUTE(SUBSTITUTE(D90,".",""),"/",""),"-","")," ",""))&lt;&gt;14,"CNPJ INVALIDO","OK"))</f>
      </c>
      <c r="Y90" s="3056">
        <f>IF(A90="","",IF(R90="","REST PENDENTE","REST OK"))</f>
      </c>
      <c r="Z90" s="3056">
        <f>IF(A90="","",IF(AND(R90&lt;&gt;"",COUNTIFS($D$3:$D$164,D90,$R$3:$R$164,"&lt;&gt;")&gt;1),"DUPLICADO","OK"))</f>
      </c>
      <c r="AA90" s="3056">
        <f>IF(A90="","",IF(OR(LEN(Q90)&gt;180,LEN(R90)&gt;180,LEN(S90)&gt;180,LEN(T90)&gt;180),"CAMINHO LONGO","OK"))</f>
      </c>
      <c r="AB90" s="3056">
        <f>IF(A90="","",IF(U90="","",IFERROR(INT(U90-TODAY()),"")))</f>
      </c>
      <c r="AC90" s="3056">
        <f>IF(A90="","",IF(AND(T90="",U90=""),"",IF(T90="","SEM CAMINHO",IF(U90="","SEM DATA",IFERROR(IF(AB90&lt;15,"VERMELHO",IF(AB90&lt;=30,"AMARELO","VERDE")),"DATA INVALIDA")))))</f>
      </c>
      <c r="AD90" s="3056">
        <f>IF(OR(A90="",U90="",NOT(ISNUMBER(AB90))),"",RANK(AB90,$AB$3:$AB$164,1)+COUNTIFS($AB$3:AB90,AB90)-1)</f>
      </c>
      <c r="AE90" s="1736"/>
    </row>
    <row r="91" spans="1:19" ht="22.0" hidden="false" customHeight="true" x14ac:dyDescent="0.25">
      <c r="A91" s="3129" t="s">
        <v>216</v>
      </c>
      <c r="B91" s="3128" t="s">
        <v>9</v>
      </c>
      <c r="C91" s="3128" t="s">
        <v>69</v>
      </c>
      <c r="D91" s="3128" t="s">
        <v>217</v>
      </c>
      <c r="E91" s="3128"/>
      <c r="F91" s="3128" t="s">
        <v>12</v>
      </c>
      <c r="G91" s="3128" t="s">
        <v>13</v>
      </c>
      <c r="H91" s="3128" t="s">
        <v>49</v>
      </c>
      <c r="I91" s="3128"/>
      <c r="J91" s="3128"/>
      <c r="K91" s="3128"/>
      <c r="L91" s="3128"/>
      <c r="M91" s="3128" t="s">
        <v>379</v>
      </c>
      <c r="N91" s="3128"/>
      <c r="O91" s="3128" t="s">
        <v>349</v>
      </c>
      <c r="P91" s="3128"/>
      <c r="Q91" s="3131"/>
      <c r="R91" s="3131"/>
      <c r="S91" s="3131"/>
      <c r="T91" s="3131"/>
      <c r="U91" s="3132"/>
      <c r="V91" s="3128"/>
      <c r="W91" s="3128"/>
      <c r="X91" s="3056">
        <f>IF(A91="","",IF(LEN(SUBSTITUTE(SUBSTITUTE(SUBSTITUTE(SUBSTITUTE(D91,".",""),"/",""),"-","")," ",""))&lt;&gt;14,"CNPJ INVALIDO","OK"))</f>
      </c>
      <c r="Y91" s="3056">
        <f>IF(A91="","",IF(R91="","REST PENDENTE","REST OK"))</f>
      </c>
      <c r="Z91" s="3056">
        <f>IF(A91="","",IF(AND(R91&lt;&gt;"",COUNTIFS($D$3:$D$164,D91,$R$3:$R$164,"&lt;&gt;")&gt;1),"DUPLICADO","OK"))</f>
      </c>
      <c r="AA91" s="3056">
        <f>IF(A91="","",IF(OR(LEN(Q91)&gt;180,LEN(R91)&gt;180,LEN(S91)&gt;180,LEN(T91)&gt;180),"CAMINHO LONGO","OK"))</f>
      </c>
      <c r="AB91" s="3056">
        <f>IF(A91="","",IF(U91="","",IFERROR(INT(U91-TODAY()),"")))</f>
      </c>
      <c r="AC91" s="3056">
        <f>IF(A91="","",IF(AND(T91="",U91=""),"",IF(T91="","SEM CAMINHO",IF(U91="","SEM DATA",IFERROR(IF(AB91&lt;15,"VERMELHO",IF(AB91&lt;=30,"AMARELO","VERDE")),"DATA INVALIDA")))))</f>
      </c>
      <c r="AD91" s="3056">
        <f>IF(OR(A91="",U91="",NOT(ISNUMBER(AB91))),"",RANK(AB91,$AB$3:$AB$164,1)+COUNTIFS($AB$3:AB91,AB91)-1)</f>
      </c>
      <c r="AE91" s="1736"/>
    </row>
    <row r="92" spans="1:19" ht="22.0" hidden="false" customHeight="true" x14ac:dyDescent="0.25">
      <c r="A92" s="3134" t="s">
        <v>218</v>
      </c>
      <c r="B92" s="3133" t="s">
        <v>219</v>
      </c>
      <c r="C92" s="3133" t="s">
        <v>62</v>
      </c>
      <c r="D92" s="3133">
        <v>51987426000111</v>
      </c>
      <c r="E92" s="3133"/>
      <c r="F92" s="3133" t="s">
        <v>220</v>
      </c>
      <c r="G92" s="3133" t="s">
        <v>4</v>
      </c>
      <c r="H92" s="3133" t="s">
        <v>5</v>
      </c>
      <c r="I92" s="3133"/>
      <c r="J92" s="3133"/>
      <c r="K92" s="3133"/>
      <c r="L92" s="3133"/>
      <c r="M92" s="3133" t="s">
        <v>389</v>
      </c>
      <c r="N92" s="3133"/>
      <c r="O92" s="3133" t="s">
        <v>350</v>
      </c>
      <c r="P92" s="3133"/>
      <c r="Q92" s="3136"/>
      <c r="R92" s="3136"/>
      <c r="S92" s="3136"/>
      <c r="T92" s="3136"/>
      <c r="U92" s="3137"/>
      <c r="V92" s="3133"/>
      <c r="W92" s="3133"/>
      <c r="X92" s="3056">
        <f>IF(A92="","",IF(LEN(SUBSTITUTE(SUBSTITUTE(SUBSTITUTE(SUBSTITUTE(D92,".",""),"/",""),"-","")," ",""))&lt;&gt;14,"CNPJ INVALIDO","OK"))</f>
      </c>
      <c r="Y92" s="3056">
        <f>IF(A92="","",IF(R92="","REST PENDENTE","REST OK"))</f>
      </c>
      <c r="Z92" s="3056">
        <f>IF(A92="","",IF(AND(R92&lt;&gt;"",COUNTIFS($D$3:$D$164,D92,$R$3:$R$164,"&lt;&gt;")&gt;1),"DUPLICADO","OK"))</f>
      </c>
      <c r="AA92" s="3056">
        <f>IF(A92="","",IF(OR(LEN(Q92)&gt;180,LEN(R92)&gt;180,LEN(S92)&gt;180,LEN(T92)&gt;180),"CAMINHO LONGO","OK"))</f>
      </c>
      <c r="AB92" s="3056">
        <f>IF(A92="","",IF(U92="","",IFERROR(INT(U92-TODAY()),"")))</f>
      </c>
      <c r="AC92" s="3056">
        <f>IF(A92="","",IF(AND(T92="",U92=""),"",IF(T92="","SEM CAMINHO",IF(U92="","SEM DATA",IFERROR(IF(AB92&lt;15,"VERMELHO",IF(AB92&lt;=30,"AMARELO","VERDE")),"DATA INVALIDA")))))</f>
      </c>
      <c r="AD92" s="3056">
        <f>IF(OR(A92="",U92="",NOT(ISNUMBER(AB92))),"",RANK(AB92,$AB$3:$AB$164,1)+COUNTIFS($AB$3:AB92,AB92)-1)</f>
      </c>
      <c r="AE92" s="1736"/>
    </row>
    <row r="93" spans="1:19" ht="22.0" hidden="false" customHeight="true" x14ac:dyDescent="0.25">
      <c r="A93" s="3129" t="s">
        <v>221</v>
      </c>
      <c r="B93" s="3128" t="s">
        <v>222</v>
      </c>
      <c r="C93" s="3128" t="s">
        <v>62</v>
      </c>
      <c r="D93" s="3128" t="s">
        <v>390</v>
      </c>
      <c r="E93" s="3128"/>
      <c r="F93" s="3128" t="s">
        <v>223</v>
      </c>
      <c r="G93" s="3128" t="s">
        <v>13</v>
      </c>
      <c r="H93" s="3128" t="s">
        <v>49</v>
      </c>
      <c r="I93" s="3128"/>
      <c r="J93" s="3128"/>
      <c r="K93" s="3128"/>
      <c r="L93" s="3128"/>
      <c r="M93" s="3128" t="s">
        <v>389</v>
      </c>
      <c r="N93" s="3128"/>
      <c r="O93" s="3128" t="s">
        <v>350</v>
      </c>
      <c r="P93" s="3128"/>
      <c r="Q93" s="3131"/>
      <c r="R93" s="3131"/>
      <c r="S93" s="3131"/>
      <c r="T93" s="3131"/>
      <c r="U93" s="3132"/>
      <c r="V93" s="3128"/>
      <c r="W93" s="3128"/>
      <c r="X93" s="3056">
        <f>IF(A93="","",IF(LEN(SUBSTITUTE(SUBSTITUTE(SUBSTITUTE(SUBSTITUTE(D93,".",""),"/",""),"-","")," ",""))&lt;&gt;14,"CNPJ INVALIDO","OK"))</f>
      </c>
      <c r="Y93" s="3056">
        <f>IF(A93="","",IF(R93="","REST PENDENTE","REST OK"))</f>
      </c>
      <c r="Z93" s="3056">
        <f>IF(A93="","",IF(AND(R93&lt;&gt;"",COUNTIFS($D$3:$D$164,D93,$R$3:$R$164,"&lt;&gt;")&gt;1),"DUPLICADO","OK"))</f>
      </c>
      <c r="AA93" s="3056">
        <f>IF(A93="","",IF(OR(LEN(Q93)&gt;180,LEN(R93)&gt;180,LEN(S93)&gt;180,LEN(T93)&gt;180),"CAMINHO LONGO","OK"))</f>
      </c>
      <c r="AB93" s="3056">
        <f>IF(A93="","",IF(U93="","",IFERROR(INT(U93-TODAY()),"")))</f>
      </c>
      <c r="AC93" s="3056">
        <f>IF(A93="","",IF(AND(T93="",U93=""),"",IF(T93="","SEM CAMINHO",IF(U93="","SEM DATA",IFERROR(IF(AB93&lt;15,"VERMELHO",IF(AB93&lt;=30,"AMARELO","VERDE")),"DATA INVALIDA")))))</f>
      </c>
      <c r="AD93" s="3056">
        <f>IF(OR(A93="",U93="",NOT(ISNUMBER(AB93))),"",RANK(AB93,$AB$3:$AB$164,1)+COUNTIFS($AB$3:AB93,AB93)-1)</f>
      </c>
      <c r="AE93" s="1736"/>
    </row>
    <row r="94" spans="1:19" ht="22.0" hidden="false" customHeight="true" x14ac:dyDescent="0.25">
      <c r="A94" s="3134" t="s">
        <v>224</v>
      </c>
      <c r="B94" s="3133" t="s">
        <v>182</v>
      </c>
      <c r="C94" s="3133" t="s">
        <v>83</v>
      </c>
      <c r="D94" s="3133">
        <v>21371431000134</v>
      </c>
      <c r="E94" s="3133"/>
      <c r="F94" s="3133" t="s">
        <v>225</v>
      </c>
      <c r="G94" s="3133" t="s">
        <v>4</v>
      </c>
      <c r="H94" s="3133" t="s">
        <v>5</v>
      </c>
      <c r="I94" s="3133"/>
      <c r="J94" s="3133"/>
      <c r="K94" s="3133"/>
      <c r="L94" s="3133"/>
      <c r="M94" s="3133" t="s">
        <v>375</v>
      </c>
      <c r="N94" s="3133"/>
      <c r="O94" s="3133" t="s">
        <v>357</v>
      </c>
      <c r="P94" s="3133"/>
      <c r="Q94" s="3136"/>
      <c r="R94" s="3136"/>
      <c r="S94" s="3136"/>
      <c r="T94" s="3136"/>
      <c r="U94" s="3137"/>
      <c r="V94" s="3133"/>
      <c r="W94" s="3133"/>
      <c r="X94" s="3056">
        <f>IF(A94="","",IF(LEN(SUBSTITUTE(SUBSTITUTE(SUBSTITUTE(SUBSTITUTE(D94,".",""),"/",""),"-","")," ",""))&lt;&gt;14,"CNPJ INVALIDO","OK"))</f>
      </c>
      <c r="Y94" s="3056">
        <f>IF(A94="","",IF(R94="","REST PENDENTE","REST OK"))</f>
      </c>
      <c r="Z94" s="3056">
        <f>IF(A94="","",IF(AND(R94&lt;&gt;"",COUNTIFS($D$3:$D$164,D94,$R$3:$R$164,"&lt;&gt;")&gt;1),"DUPLICADO","OK"))</f>
      </c>
      <c r="AA94" s="3056">
        <f>IF(A94="","",IF(OR(LEN(Q94)&gt;180,LEN(R94)&gt;180,LEN(S94)&gt;180,LEN(T94)&gt;180),"CAMINHO LONGO","OK"))</f>
      </c>
      <c r="AB94" s="3056">
        <f>IF(A94="","",IF(U94="","",IFERROR(INT(U94-TODAY()),"")))</f>
      </c>
      <c r="AC94" s="3056">
        <f>IF(A94="","",IF(AND(T94="",U94=""),"",IF(T94="","SEM CAMINHO",IF(U94="","SEM DATA",IFERROR(IF(AB94&lt;15,"VERMELHO",IF(AB94&lt;=30,"AMARELO","VERDE")),"DATA INVALIDA")))))</f>
      </c>
      <c r="AD94" s="3056">
        <f>IF(OR(A94="",U94="",NOT(ISNUMBER(AB94))),"",RANK(AB94,$AB$3:$AB$164,1)+COUNTIFS($AB$3:AB94,AB94)-1)</f>
      </c>
      <c r="AE94" s="1736"/>
    </row>
    <row r="95" spans="1:19" ht="22.0" hidden="false" customHeight="true" x14ac:dyDescent="0.25">
      <c r="A95" s="3129" t="s">
        <v>226</v>
      </c>
      <c r="B95" s="3128" t="s">
        <v>227</v>
      </c>
      <c r="C95" s="3128" t="s">
        <v>122</v>
      </c>
      <c r="D95" s="3128">
        <v>9421791000106</v>
      </c>
      <c r="E95" s="3128"/>
      <c r="F95" s="3128" t="s">
        <v>228</v>
      </c>
      <c r="G95" s="3128" t="s">
        <v>4</v>
      </c>
      <c r="H95" s="3128" t="s">
        <v>5</v>
      </c>
      <c r="I95" s="3128"/>
      <c r="J95" s="3128"/>
      <c r="K95" s="3128"/>
      <c r="L95" s="3128"/>
      <c r="M95" s="3128" t="s">
        <v>379</v>
      </c>
      <c r="N95" s="3128"/>
      <c r="O95" s="3128" t="s">
        <v>349</v>
      </c>
      <c r="P95" s="3128"/>
      <c r="Q95" s="3131"/>
      <c r="R95" s="3131"/>
      <c r="S95" s="3131"/>
      <c r="T95" s="3131"/>
      <c r="U95" s="3132"/>
      <c r="V95" s="3128"/>
      <c r="W95" s="3128"/>
      <c r="X95" s="3056">
        <f>IF(A95="","",IF(LEN(SUBSTITUTE(SUBSTITUTE(SUBSTITUTE(SUBSTITUTE(D95,".",""),"/",""),"-","")," ",""))&lt;&gt;14,"CNPJ INVALIDO","OK"))</f>
      </c>
      <c r="Y95" s="3056">
        <f>IF(A95="","",IF(R95="","REST PENDENTE","REST OK"))</f>
      </c>
      <c r="Z95" s="3056">
        <f>IF(A95="","",IF(AND(R95&lt;&gt;"",COUNTIFS($D$3:$D$164,D95,$R$3:$R$164,"&lt;&gt;")&gt;1),"DUPLICADO","OK"))</f>
      </c>
      <c r="AA95" s="3056">
        <f>IF(A95="","",IF(OR(LEN(Q95)&gt;180,LEN(R95)&gt;180,LEN(S95)&gt;180,LEN(T95)&gt;180),"CAMINHO LONGO","OK"))</f>
      </c>
      <c r="AB95" s="3056">
        <f>IF(A95="","",IF(U95="","",IFERROR(INT(U95-TODAY()),"")))</f>
      </c>
      <c r="AC95" s="3056">
        <f>IF(A95="","",IF(AND(T95="",U95=""),"",IF(T95="","SEM CAMINHO",IF(U95="","SEM DATA",IFERROR(IF(AB95&lt;15,"VERMELHO",IF(AB95&lt;=30,"AMARELO","VERDE")),"DATA INVALIDA")))))</f>
      </c>
      <c r="AD95" s="3056">
        <f>IF(OR(A95="",U95="",NOT(ISNUMBER(AB95))),"",RANK(AB95,$AB$3:$AB$164,1)+COUNTIFS($AB$3:AB95,AB95)-1)</f>
      </c>
      <c r="AE95" s="1736"/>
    </row>
    <row r="96" spans="1:19" ht="22.0" hidden="false" customHeight="true" x14ac:dyDescent="0.25">
      <c r="A96" s="3134" t="s">
        <v>229</v>
      </c>
      <c r="B96" s="3133" t="s">
        <v>96</v>
      </c>
      <c r="C96" s="3133" t="s">
        <v>230</v>
      </c>
      <c r="D96" s="3133" t="s">
        <v>391</v>
      </c>
      <c r="E96" s="3133"/>
      <c r="F96" s="3133" t="s">
        <v>99</v>
      </c>
      <c r="G96" s="3133" t="s">
        <v>4</v>
      </c>
      <c r="H96" s="3133" t="s">
        <v>14</v>
      </c>
      <c r="I96" s="3133"/>
      <c r="J96" s="3133"/>
      <c r="K96" s="3133"/>
      <c r="L96" s="3133"/>
      <c r="M96" s="3133" t="s">
        <v>376</v>
      </c>
      <c r="N96" s="3133"/>
      <c r="O96" s="3133" t="s">
        <v>349</v>
      </c>
      <c r="P96" s="3133"/>
      <c r="Q96" s="3136"/>
      <c r="R96" s="3136"/>
      <c r="S96" s="3136"/>
      <c r="T96" s="3136"/>
      <c r="U96" s="3137"/>
      <c r="V96" s="3133"/>
      <c r="W96" s="3133"/>
      <c r="X96" s="3056">
        <f>IF(A96="","",IF(LEN(SUBSTITUTE(SUBSTITUTE(SUBSTITUTE(SUBSTITUTE(D96,".",""),"/",""),"-","")," ",""))&lt;&gt;14,"CNPJ INVALIDO","OK"))</f>
      </c>
      <c r="Y96" s="3056">
        <f>IF(A96="","",IF(R96="","REST PENDENTE","REST OK"))</f>
      </c>
      <c r="Z96" s="3056">
        <f>IF(A96="","",IF(AND(R96&lt;&gt;"",COUNTIFS($D$3:$D$164,D96,$R$3:$R$164,"&lt;&gt;")&gt;1),"DUPLICADO","OK"))</f>
      </c>
      <c r="AA96" s="3056">
        <f>IF(A96="","",IF(OR(LEN(Q96)&gt;180,LEN(R96)&gt;180,LEN(S96)&gt;180,LEN(T96)&gt;180),"CAMINHO LONGO","OK"))</f>
      </c>
      <c r="AB96" s="3056">
        <f>IF(A96="","",IF(U96="","",IFERROR(INT(U96-TODAY()),"")))</f>
      </c>
      <c r="AC96" s="3056">
        <f>IF(A96="","",IF(AND(T96="",U96=""),"",IF(T96="","SEM CAMINHO",IF(U96="","SEM DATA",IFERROR(IF(AB96&lt;15,"VERMELHO",IF(AB96&lt;=30,"AMARELO","VERDE")),"DATA INVALIDA")))))</f>
      </c>
      <c r="AD96" s="3056">
        <f>IF(OR(A96="",U96="",NOT(ISNUMBER(AB96))),"",RANK(AB96,$AB$3:$AB$164,1)+COUNTIFS($AB$3:AB96,AB96)-1)</f>
      </c>
      <c r="AE96" s="1736"/>
    </row>
    <row r="97" spans="1:19" ht="22.0" hidden="false" customHeight="true" x14ac:dyDescent="0.25">
      <c r="A97" s="3129" t="s">
        <v>231</v>
      </c>
      <c r="B97" s="3128" t="s">
        <v>211</v>
      </c>
      <c r="C97" s="3128" t="s">
        <v>69</v>
      </c>
      <c r="D97" s="3128" t="s">
        <v>232</v>
      </c>
      <c r="E97" s="3128"/>
      <c r="F97" s="3128"/>
      <c r="G97" s="3128" t="s">
        <v>4</v>
      </c>
      <c r="H97" s="3128" t="s">
        <v>49</v>
      </c>
      <c r="I97" s="3128"/>
      <c r="J97" s="3128"/>
      <c r="K97" s="3128"/>
      <c r="L97" s="3128"/>
      <c r="M97" s="3128" t="s">
        <v>379</v>
      </c>
      <c r="N97" s="3128"/>
      <c r="O97" s="3128" t="s">
        <v>349</v>
      </c>
      <c r="P97" s="3128"/>
      <c r="Q97" s="3131"/>
      <c r="R97" s="3131"/>
      <c r="S97" s="3131"/>
      <c r="T97" s="3131"/>
      <c r="U97" s="3132"/>
      <c r="V97" s="3128"/>
      <c r="W97" s="3128"/>
      <c r="X97" s="3056">
        <f>IF(A97="","",IF(LEN(SUBSTITUTE(SUBSTITUTE(SUBSTITUTE(SUBSTITUTE(D97,".",""),"/",""),"-","")," ",""))&lt;&gt;14,"CNPJ INVALIDO","OK"))</f>
      </c>
      <c r="Y97" s="3056">
        <f>IF(A97="","",IF(R97="","REST PENDENTE","REST OK"))</f>
      </c>
      <c r="Z97" s="3056">
        <f>IF(A97="","",IF(AND(R97&lt;&gt;"",COUNTIFS($D$3:$D$164,D97,$R$3:$R$164,"&lt;&gt;")&gt;1),"DUPLICADO","OK"))</f>
      </c>
      <c r="AA97" s="3056">
        <f>IF(A97="","",IF(OR(LEN(Q97)&gt;180,LEN(R97)&gt;180,LEN(S97)&gt;180,LEN(T97)&gt;180),"CAMINHO LONGO","OK"))</f>
      </c>
      <c r="AB97" s="3056">
        <f>IF(A97="","",IF(U97="","",IFERROR(INT(U97-TODAY()),"")))</f>
      </c>
      <c r="AC97" s="3056">
        <f>IF(A97="","",IF(AND(T97="",U97=""),"",IF(T97="","SEM CAMINHO",IF(U97="","SEM DATA",IFERROR(IF(AB97&lt;15,"VERMELHO",IF(AB97&lt;=30,"AMARELO","VERDE")),"DATA INVALIDA")))))</f>
      </c>
      <c r="AD97" s="3056">
        <f>IF(OR(A97="",U97="",NOT(ISNUMBER(AB97))),"",RANK(AB97,$AB$3:$AB$164,1)+COUNTIFS($AB$3:AB97,AB97)-1)</f>
      </c>
      <c r="AE97" s="1736"/>
    </row>
    <row r="98" spans="1:19" ht="22.0" hidden="false" customHeight="true" x14ac:dyDescent="0.25">
      <c r="A98" s="3134" t="s">
        <v>233</v>
      </c>
      <c r="B98" s="3133" t="s">
        <v>134</v>
      </c>
      <c r="C98" s="3133" t="s">
        <v>116</v>
      </c>
      <c r="D98" s="3133" t="s">
        <v>234</v>
      </c>
      <c r="E98" s="3133"/>
      <c r="F98" s="3133" t="s">
        <v>138</v>
      </c>
      <c r="G98" s="3133" t="s">
        <v>13</v>
      </c>
      <c r="H98" s="3133" t="s">
        <v>14</v>
      </c>
      <c r="I98" s="3133"/>
      <c r="J98" s="3133"/>
      <c r="K98" s="3133"/>
      <c r="L98" s="3133"/>
      <c r="M98" s="3133" t="s">
        <v>359</v>
      </c>
      <c r="N98" s="3133"/>
      <c r="O98" s="3133" t="s">
        <v>358</v>
      </c>
      <c r="P98" s="3133"/>
      <c r="Q98" s="3136"/>
      <c r="R98" s="3136"/>
      <c r="S98" s="3136"/>
      <c r="T98" s="3136"/>
      <c r="U98" s="3137"/>
      <c r="V98" s="3133"/>
      <c r="W98" s="3133"/>
      <c r="X98" s="3056">
        <f>IF(A98="","",IF(LEN(SUBSTITUTE(SUBSTITUTE(SUBSTITUTE(SUBSTITUTE(D98,".",""),"/",""),"-","")," ",""))&lt;&gt;14,"CNPJ INVALIDO","OK"))</f>
      </c>
      <c r="Y98" s="3056">
        <f>IF(A98="","",IF(R98="","REST PENDENTE","REST OK"))</f>
      </c>
      <c r="Z98" s="3056">
        <f>IF(A98="","",IF(AND(R98&lt;&gt;"",COUNTIFS($D$3:$D$164,D98,$R$3:$R$164,"&lt;&gt;")&gt;1),"DUPLICADO","OK"))</f>
      </c>
      <c r="AA98" s="3056">
        <f>IF(A98="","",IF(OR(LEN(Q98)&gt;180,LEN(R98)&gt;180,LEN(S98)&gt;180,LEN(T98)&gt;180),"CAMINHO LONGO","OK"))</f>
      </c>
      <c r="AB98" s="3056">
        <f>IF(A98="","",IF(U98="","",IFERROR(INT(U98-TODAY()),"")))</f>
      </c>
      <c r="AC98" s="3056">
        <f>IF(A98="","",IF(AND(T98="",U98=""),"",IF(T98="","SEM CAMINHO",IF(U98="","SEM DATA",IFERROR(IF(AB98&lt;15,"VERMELHO",IF(AB98&lt;=30,"AMARELO","VERDE")),"DATA INVALIDA")))))</f>
      </c>
      <c r="AD98" s="3056">
        <f>IF(OR(A98="",U98="",NOT(ISNUMBER(AB98))),"",RANK(AB98,$AB$3:$AB$164,1)+COUNTIFS($AB$3:AB98,AB98)-1)</f>
      </c>
      <c r="AE98" s="1736"/>
    </row>
    <row r="99" spans="1:19" ht="22.0" hidden="false" customHeight="true" x14ac:dyDescent="0.25">
      <c r="A99" s="3129" t="s">
        <v>235</v>
      </c>
      <c r="B99" s="3128" t="s">
        <v>134</v>
      </c>
      <c r="C99" s="3128" t="s">
        <v>116</v>
      </c>
      <c r="D99" s="3128" t="s">
        <v>236</v>
      </c>
      <c r="E99" s="3128"/>
      <c r="F99" s="3128" t="s">
        <v>138</v>
      </c>
      <c r="G99" s="3128" t="s">
        <v>13</v>
      </c>
      <c r="H99" s="3128" t="s">
        <v>14</v>
      </c>
      <c r="I99" s="3128"/>
      <c r="J99" s="3128"/>
      <c r="K99" s="3128"/>
      <c r="L99" s="3128"/>
      <c r="M99" s="3128" t="s">
        <v>359</v>
      </c>
      <c r="N99" s="3128"/>
      <c r="O99" s="3128" t="s">
        <v>358</v>
      </c>
      <c r="P99" s="3128"/>
      <c r="Q99" s="3131"/>
      <c r="R99" s="3131"/>
      <c r="S99" s="3131"/>
      <c r="T99" s="3131"/>
      <c r="U99" s="3132"/>
      <c r="V99" s="3128"/>
      <c r="W99" s="3128"/>
      <c r="X99" s="3056">
        <f>IF(A99="","",IF(LEN(SUBSTITUTE(SUBSTITUTE(SUBSTITUTE(SUBSTITUTE(D99,".",""),"/",""),"-","")," ",""))&lt;&gt;14,"CNPJ INVALIDO","OK"))</f>
      </c>
      <c r="Y99" s="3056">
        <f>IF(A99="","",IF(R99="","REST PENDENTE","REST OK"))</f>
      </c>
      <c r="Z99" s="3056">
        <f>IF(A99="","",IF(AND(R99&lt;&gt;"",COUNTIFS($D$3:$D$164,D99,$R$3:$R$164,"&lt;&gt;")&gt;1),"DUPLICADO","OK"))</f>
      </c>
      <c r="AA99" s="3056">
        <f>IF(A99="","",IF(OR(LEN(Q99)&gt;180,LEN(R99)&gt;180,LEN(S99)&gt;180,LEN(T99)&gt;180),"CAMINHO LONGO","OK"))</f>
      </c>
      <c r="AB99" s="3056">
        <f>IF(A99="","",IF(U99="","",IFERROR(INT(U99-TODAY()),"")))</f>
      </c>
      <c r="AC99" s="3056">
        <f>IF(A99="","",IF(AND(T99="",U99=""),"",IF(T99="","SEM CAMINHO",IF(U99="","SEM DATA",IFERROR(IF(AB99&lt;15,"VERMELHO",IF(AB99&lt;=30,"AMARELO","VERDE")),"DATA INVALIDA")))))</f>
      </c>
      <c r="AD99" s="3056">
        <f>IF(OR(A99="",U99="",NOT(ISNUMBER(AB99))),"",RANK(AB99,$AB$3:$AB$164,1)+COUNTIFS($AB$3:AB99,AB99)-1)</f>
      </c>
      <c r="AE99" s="1736"/>
    </row>
    <row r="100" spans="1:19" ht="22.0" hidden="false" customHeight="true" x14ac:dyDescent="0.25">
      <c r="A100" s="3134" t="s">
        <v>237</v>
      </c>
      <c r="B100" s="3133" t="s">
        <v>134</v>
      </c>
      <c r="C100" s="3133" t="s">
        <v>116</v>
      </c>
      <c r="D100" s="3133" t="s">
        <v>238</v>
      </c>
      <c r="E100" s="3133"/>
      <c r="F100" s="3133" t="s">
        <v>138</v>
      </c>
      <c r="G100" s="3133" t="s">
        <v>13</v>
      </c>
      <c r="H100" s="3133" t="s">
        <v>14</v>
      </c>
      <c r="I100" s="3133"/>
      <c r="J100" s="3133"/>
      <c r="K100" s="3133"/>
      <c r="L100" s="3133"/>
      <c r="M100" s="3133" t="s">
        <v>359</v>
      </c>
      <c r="N100" s="3133"/>
      <c r="O100" s="3133" t="s">
        <v>358</v>
      </c>
      <c r="P100" s="3133"/>
      <c r="Q100" s="3136"/>
      <c r="R100" s="3136"/>
      <c r="S100" s="3136"/>
      <c r="T100" s="3136"/>
      <c r="U100" s="3137"/>
      <c r="V100" s="3133"/>
      <c r="W100" s="3133"/>
      <c r="X100" s="3056">
        <f>IF(A100="","",IF(LEN(SUBSTITUTE(SUBSTITUTE(SUBSTITUTE(SUBSTITUTE(D100,".",""),"/",""),"-","")," ",""))&lt;&gt;14,"CNPJ INVALIDO","OK"))</f>
      </c>
      <c r="Y100" s="3056">
        <f>IF(A100="","",IF(R100="","REST PENDENTE","REST OK"))</f>
      </c>
      <c r="Z100" s="3056">
        <f>IF(A100="","",IF(AND(R100&lt;&gt;"",COUNTIFS($D$3:$D$164,D100,$R$3:$R$164,"&lt;&gt;")&gt;1),"DUPLICADO","OK"))</f>
      </c>
      <c r="AA100" s="3056">
        <f>IF(A100="","",IF(OR(LEN(Q100)&gt;180,LEN(R100)&gt;180,LEN(S100)&gt;180,LEN(T100)&gt;180),"CAMINHO LONGO","OK"))</f>
      </c>
      <c r="AB100" s="3056">
        <f>IF(A100="","",IF(U100="","",IFERROR(INT(U100-TODAY()),"")))</f>
      </c>
      <c r="AC100" s="3056">
        <f>IF(A100="","",IF(AND(T100="",U100=""),"",IF(T100="","SEM CAMINHO",IF(U100="","SEM DATA",IFERROR(IF(AB100&lt;15,"VERMELHO",IF(AB100&lt;=30,"AMARELO","VERDE")),"DATA INVALIDA")))))</f>
      </c>
      <c r="AD100" s="3056">
        <f>IF(OR(A100="",U100="",NOT(ISNUMBER(AB100))),"",RANK(AB100,$AB$3:$AB$164,1)+COUNTIFS($AB$3:AB100,AB100)-1)</f>
      </c>
      <c r="AE100" s="1736"/>
    </row>
    <row r="101" spans="1:19" ht="22.0" hidden="false" customHeight="true" x14ac:dyDescent="0.25">
      <c r="A101" s="3129" t="s">
        <v>239</v>
      </c>
      <c r="B101" s="3128" t="s">
        <v>55</v>
      </c>
      <c r="C101" s="3128" t="s">
        <v>56</v>
      </c>
      <c r="D101" s="3128" t="s">
        <v>240</v>
      </c>
      <c r="E101" s="3128"/>
      <c r="F101" s="3128" t="s">
        <v>57</v>
      </c>
      <c r="G101" s="3128" t="s">
        <v>13</v>
      </c>
      <c r="H101" s="3128" t="s">
        <v>5</v>
      </c>
      <c r="I101" s="3128"/>
      <c r="J101" s="3128"/>
      <c r="K101" s="3128"/>
      <c r="L101" s="3128"/>
      <c r="M101" s="3128" t="s">
        <v>376</v>
      </c>
      <c r="N101" s="3128" t="s">
        <v>361</v>
      </c>
      <c r="O101" s="3128" t="s">
        <v>349</v>
      </c>
      <c r="P101" s="3128"/>
      <c r="Q101" s="3131"/>
      <c r="R101" s="3131"/>
      <c r="S101" s="3131"/>
      <c r="T101" s="3131"/>
      <c r="U101" s="3132"/>
      <c r="V101" s="3128"/>
      <c r="W101" s="3128"/>
      <c r="X101" s="3056">
        <f>IF(A101="","",IF(LEN(SUBSTITUTE(SUBSTITUTE(SUBSTITUTE(SUBSTITUTE(D101,".",""),"/",""),"-","")," ",""))&lt;&gt;14,"CNPJ INVALIDO","OK"))</f>
      </c>
      <c r="Y101" s="3056">
        <f>IF(A101="","",IF(R101="","REST PENDENTE","REST OK"))</f>
      </c>
      <c r="Z101" s="3056">
        <f>IF(A101="","",IF(AND(R101&lt;&gt;"",COUNTIFS($D$3:$D$164,D101,$R$3:$R$164,"&lt;&gt;")&gt;1),"DUPLICADO","OK"))</f>
      </c>
      <c r="AA101" s="3056">
        <f>IF(A101="","",IF(OR(LEN(Q101)&gt;180,LEN(R101)&gt;180,LEN(S101)&gt;180,LEN(T101)&gt;180),"CAMINHO LONGO","OK"))</f>
      </c>
      <c r="AB101" s="3056">
        <f>IF(A101="","",IF(U101="","",IFERROR(INT(U101-TODAY()),"")))</f>
      </c>
      <c r="AC101" s="3056">
        <f>IF(A101="","",IF(AND(T101="",U101=""),"",IF(T101="","SEM CAMINHO",IF(U101="","SEM DATA",IFERROR(IF(AB101&lt;15,"VERMELHO",IF(AB101&lt;=30,"AMARELO","VERDE")),"DATA INVALIDA")))))</f>
      </c>
      <c r="AD101" s="3056">
        <f>IF(OR(A101="",U101="",NOT(ISNUMBER(AB101))),"",RANK(AB101,$AB$3:$AB$164,1)+COUNTIFS($AB$3:AB101,AB101)-1)</f>
      </c>
      <c r="AE101" s="1736"/>
    </row>
    <row r="102" spans="1:19" ht="22.0" hidden="false" customHeight="true" x14ac:dyDescent="0.25">
      <c r="A102" s="3134" t="s">
        <v>241</v>
      </c>
      <c r="B102" s="3133" t="s">
        <v>55</v>
      </c>
      <c r="C102" s="3133" t="s">
        <v>242</v>
      </c>
      <c r="D102" s="3133" t="s">
        <v>243</v>
      </c>
      <c r="E102" s="3133"/>
      <c r="F102" s="3133" t="s">
        <v>57</v>
      </c>
      <c r="G102" s="3133" t="s">
        <v>13</v>
      </c>
      <c r="H102" s="3133" t="s">
        <v>5</v>
      </c>
      <c r="I102" s="3133"/>
      <c r="J102" s="3133"/>
      <c r="K102" s="3133"/>
      <c r="L102" s="3133"/>
      <c r="M102" s="3133" t="s">
        <v>376</v>
      </c>
      <c r="N102" s="3133" t="s">
        <v>372</v>
      </c>
      <c r="O102" s="3133" t="s">
        <v>349</v>
      </c>
      <c r="P102" s="3133"/>
      <c r="Q102" s="3136"/>
      <c r="R102" s="3136"/>
      <c r="S102" s="3136"/>
      <c r="T102" s="3136"/>
      <c r="U102" s="3137"/>
      <c r="V102" s="3133"/>
      <c r="W102" s="3133"/>
      <c r="X102" s="3056">
        <f>IF(A102="","",IF(LEN(SUBSTITUTE(SUBSTITUTE(SUBSTITUTE(SUBSTITUTE(D102,".",""),"/",""),"-","")," ",""))&lt;&gt;14,"CNPJ INVALIDO","OK"))</f>
      </c>
      <c r="Y102" s="3056">
        <f>IF(A102="","",IF(R102="","REST PENDENTE","REST OK"))</f>
      </c>
      <c r="Z102" s="3056">
        <f>IF(A102="","",IF(AND(R102&lt;&gt;"",COUNTIFS($D$3:$D$164,D102,$R$3:$R$164,"&lt;&gt;")&gt;1),"DUPLICADO","OK"))</f>
      </c>
      <c r="AA102" s="3056">
        <f>IF(A102="","",IF(OR(LEN(Q102)&gt;180,LEN(R102)&gt;180,LEN(S102)&gt;180,LEN(T102)&gt;180),"CAMINHO LONGO","OK"))</f>
      </c>
      <c r="AB102" s="3056">
        <f>IF(A102="","",IF(U102="","",IFERROR(INT(U102-TODAY()),"")))</f>
      </c>
      <c r="AC102" s="3056">
        <f>IF(A102="","",IF(AND(T102="",U102=""),"",IF(T102="","SEM CAMINHO",IF(U102="","SEM DATA",IFERROR(IF(AB102&lt;15,"VERMELHO",IF(AB102&lt;=30,"AMARELO","VERDE")),"DATA INVALIDA")))))</f>
      </c>
      <c r="AD102" s="3056">
        <f>IF(OR(A102="",U102="",NOT(ISNUMBER(AB102))),"",RANK(AB102,$AB$3:$AB$164,1)+COUNTIFS($AB$3:AB102,AB102)-1)</f>
      </c>
      <c r="AE102" s="1736"/>
    </row>
    <row r="103" spans="1:19" ht="22.0" hidden="false" customHeight="true" x14ac:dyDescent="0.25">
      <c r="A103" s="3129" t="s">
        <v>244</v>
      </c>
      <c r="B103" s="3128" t="s">
        <v>55</v>
      </c>
      <c r="C103" s="3128" t="s">
        <v>245</v>
      </c>
      <c r="D103" s="3128" t="s">
        <v>246</v>
      </c>
      <c r="E103" s="3128"/>
      <c r="F103" s="3128" t="s">
        <v>57</v>
      </c>
      <c r="G103" s="3128" t="s">
        <v>13</v>
      </c>
      <c r="H103" s="3128" t="s">
        <v>5</v>
      </c>
      <c r="I103" s="3128"/>
      <c r="J103" s="3128"/>
      <c r="K103" s="3128"/>
      <c r="L103" s="3128"/>
      <c r="M103" s="3128" t="s">
        <v>376</v>
      </c>
      <c r="N103" s="3128" t="s">
        <v>361</v>
      </c>
      <c r="O103" s="3128" t="s">
        <v>349</v>
      </c>
      <c r="P103" s="3128"/>
      <c r="Q103" s="3131"/>
      <c r="R103" s="3131"/>
      <c r="S103" s="3131"/>
      <c r="T103" s="3131"/>
      <c r="U103" s="3132"/>
      <c r="V103" s="3128"/>
      <c r="W103" s="3128"/>
      <c r="X103" s="3056">
        <f>IF(A103="","",IF(LEN(SUBSTITUTE(SUBSTITUTE(SUBSTITUTE(SUBSTITUTE(D103,".",""),"/",""),"-","")," ",""))&lt;&gt;14,"CNPJ INVALIDO","OK"))</f>
      </c>
      <c r="Y103" s="3056">
        <f>IF(A103="","",IF(R103="","REST PENDENTE","REST OK"))</f>
      </c>
      <c r="Z103" s="3056">
        <f>IF(A103="","",IF(AND(R103&lt;&gt;"",COUNTIFS($D$3:$D$164,D103,$R$3:$R$164,"&lt;&gt;")&gt;1),"DUPLICADO","OK"))</f>
      </c>
      <c r="AA103" s="3056">
        <f>IF(A103="","",IF(OR(LEN(Q103)&gt;180,LEN(R103)&gt;180,LEN(S103)&gt;180,LEN(T103)&gt;180),"CAMINHO LONGO","OK"))</f>
      </c>
      <c r="AB103" s="3056">
        <f>IF(A103="","",IF(U103="","",IFERROR(INT(U103-TODAY()),"")))</f>
      </c>
      <c r="AC103" s="3056">
        <f>IF(A103="","",IF(AND(T103="",U103=""),"",IF(T103="","SEM CAMINHO",IF(U103="","SEM DATA",IFERROR(IF(AB103&lt;15,"VERMELHO",IF(AB103&lt;=30,"AMARELO","VERDE")),"DATA INVALIDA")))))</f>
      </c>
      <c r="AD103" s="3056">
        <f>IF(OR(A103="",U103="",NOT(ISNUMBER(AB103))),"",RANK(AB103,$AB$3:$AB$164,1)+COUNTIFS($AB$3:AB103,AB103)-1)</f>
      </c>
      <c r="AE103" s="1736"/>
    </row>
    <row r="104" spans="1:19" ht="22.0" hidden="false" customHeight="true" x14ac:dyDescent="0.25">
      <c r="A104" s="3134" t="s">
        <v>247</v>
      </c>
      <c r="B104" s="3133" t="s">
        <v>55</v>
      </c>
      <c r="C104" s="3133" t="s">
        <v>248</v>
      </c>
      <c r="D104" s="3133" t="s">
        <v>249</v>
      </c>
      <c r="E104" s="3133"/>
      <c r="F104" s="3133" t="s">
        <v>57</v>
      </c>
      <c r="G104" s="3133" t="s">
        <v>13</v>
      </c>
      <c r="H104" s="3133" t="s">
        <v>49</v>
      </c>
      <c r="I104" s="3133"/>
      <c r="J104" s="3133"/>
      <c r="K104" s="3133"/>
      <c r="L104" s="3133"/>
      <c r="M104" s="3133" t="s">
        <v>376</v>
      </c>
      <c r="N104" s="3133" t="s">
        <v>373</v>
      </c>
      <c r="O104" s="3133" t="s">
        <v>349</v>
      </c>
      <c r="P104" s="3133"/>
      <c r="Q104" s="3136"/>
      <c r="R104" s="3136"/>
      <c r="S104" s="3136"/>
      <c r="T104" s="3136"/>
      <c r="U104" s="3137"/>
      <c r="V104" s="3133"/>
      <c r="W104" s="3133"/>
      <c r="X104" s="3056">
        <f>IF(A104="","",IF(LEN(SUBSTITUTE(SUBSTITUTE(SUBSTITUTE(SUBSTITUTE(D104,".",""),"/",""),"-","")," ",""))&lt;&gt;14,"CNPJ INVALIDO","OK"))</f>
      </c>
      <c r="Y104" s="3056">
        <f>IF(A104="","",IF(R104="","REST PENDENTE","REST OK"))</f>
      </c>
      <c r="Z104" s="3056">
        <f>IF(A104="","",IF(AND(R104&lt;&gt;"",COUNTIFS($D$3:$D$164,D104,$R$3:$R$164,"&lt;&gt;")&gt;1),"DUPLICADO","OK"))</f>
      </c>
      <c r="AA104" s="3056">
        <f>IF(A104="","",IF(OR(LEN(Q104)&gt;180,LEN(R104)&gt;180,LEN(S104)&gt;180,LEN(T104)&gt;180),"CAMINHO LONGO","OK"))</f>
      </c>
      <c r="AB104" s="3056">
        <f>IF(A104="","",IF(U104="","",IFERROR(INT(U104-TODAY()),"")))</f>
      </c>
      <c r="AC104" s="3056">
        <f>IF(A104="","",IF(AND(T104="",U104=""),"",IF(T104="","SEM CAMINHO",IF(U104="","SEM DATA",IFERROR(IF(AB104&lt;15,"VERMELHO",IF(AB104&lt;=30,"AMARELO","VERDE")),"DATA INVALIDA")))))</f>
      </c>
      <c r="AD104" s="3056">
        <f>IF(OR(A104="",U104="",NOT(ISNUMBER(AB104))),"",RANK(AB104,$AB$3:$AB$164,1)+COUNTIFS($AB$3:AB104,AB104)-1)</f>
      </c>
      <c r="AE104" s="1736"/>
    </row>
    <row r="105" spans="1:19" ht="22.0" hidden="false" customHeight="true" x14ac:dyDescent="0.25">
      <c r="A105" s="3129" t="s">
        <v>250</v>
      </c>
      <c r="B105" s="3128" t="s">
        <v>1</v>
      </c>
      <c r="C105" s="3128" t="s">
        <v>2</v>
      </c>
      <c r="D105" s="3128" t="s">
        <v>251</v>
      </c>
      <c r="E105" s="3128"/>
      <c r="F105" s="3128" t="s">
        <v>252</v>
      </c>
      <c r="G105" s="3128" t="s">
        <v>4</v>
      </c>
      <c r="H105" s="3128" t="s">
        <v>49</v>
      </c>
      <c r="I105" s="3128"/>
      <c r="J105" s="3128"/>
      <c r="K105" s="3128"/>
      <c r="L105" s="3128"/>
      <c r="M105" s="3128" t="s">
        <v>371</v>
      </c>
      <c r="N105" s="3128" t="s">
        <v>361</v>
      </c>
      <c r="O105" s="3128" t="s">
        <v>349</v>
      </c>
      <c r="P105" s="3128"/>
      <c r="Q105" s="3131"/>
      <c r="R105" s="3131"/>
      <c r="S105" s="3131"/>
      <c r="T105" s="3131"/>
      <c r="U105" s="3132"/>
      <c r="V105" s="3128"/>
      <c r="W105" s="3128"/>
      <c r="X105" s="3056">
        <f>IF(A105="","",IF(LEN(SUBSTITUTE(SUBSTITUTE(SUBSTITUTE(SUBSTITUTE(D105,".",""),"/",""),"-","")," ",""))&lt;&gt;14,"CNPJ INVALIDO","OK"))</f>
      </c>
      <c r="Y105" s="3056">
        <f>IF(A105="","",IF(R105="","REST PENDENTE","REST OK"))</f>
      </c>
      <c r="Z105" s="3056">
        <f>IF(A105="","",IF(AND(R105&lt;&gt;"",COUNTIFS($D$3:$D$164,D105,$R$3:$R$164,"&lt;&gt;")&gt;1),"DUPLICADO","OK"))</f>
      </c>
      <c r="AA105" s="3056">
        <f>IF(A105="","",IF(OR(LEN(Q105)&gt;180,LEN(R105)&gt;180,LEN(S105)&gt;180,LEN(T105)&gt;180),"CAMINHO LONGO","OK"))</f>
      </c>
      <c r="AB105" s="3056">
        <f>IF(A105="","",IF(U105="","",IFERROR(INT(U105-TODAY()),"")))</f>
      </c>
      <c r="AC105" s="3056">
        <f>IF(A105="","",IF(AND(T105="",U105=""),"",IF(T105="","SEM CAMINHO",IF(U105="","SEM DATA",IFERROR(IF(AB105&lt;15,"VERMELHO",IF(AB105&lt;=30,"AMARELO","VERDE")),"DATA INVALIDA")))))</f>
      </c>
      <c r="AD105" s="3056">
        <f>IF(OR(A105="",U105="",NOT(ISNUMBER(AB105))),"",RANK(AB105,$AB$3:$AB$164,1)+COUNTIFS($AB$3:AB105,AB105)-1)</f>
      </c>
      <c r="AE105" s="1736"/>
    </row>
    <row r="106" spans="1:19" ht="22.0" hidden="false" customHeight="true" x14ac:dyDescent="0.25">
      <c r="A106" s="3134" t="s">
        <v>253</v>
      </c>
      <c r="B106" s="3133" t="s">
        <v>214</v>
      </c>
      <c r="C106" s="3133" t="s">
        <v>62</v>
      </c>
      <c r="D106" s="3133" t="s">
        <v>392</v>
      </c>
      <c r="E106" s="3133"/>
      <c r="F106" s="3133" t="s">
        <v>254</v>
      </c>
      <c r="G106" s="3133" t="s">
        <v>13</v>
      </c>
      <c r="H106" s="3133" t="s">
        <v>5</v>
      </c>
      <c r="I106" s="3133"/>
      <c r="J106" s="3133"/>
      <c r="K106" s="3133"/>
      <c r="L106" s="3133"/>
      <c r="M106" s="3133" t="s">
        <v>376</v>
      </c>
      <c r="N106" s="3133"/>
      <c r="O106" s="3133" t="s">
        <v>349</v>
      </c>
      <c r="P106" s="3133"/>
      <c r="Q106" s="3136"/>
      <c r="R106" s="3136"/>
      <c r="S106" s="3136"/>
      <c r="T106" s="3136"/>
      <c r="U106" s="3137"/>
      <c r="V106" s="3133"/>
      <c r="W106" s="3133"/>
      <c r="X106" s="3056">
        <f>IF(A106="","",IF(LEN(SUBSTITUTE(SUBSTITUTE(SUBSTITUTE(SUBSTITUTE(D106,".",""),"/",""),"-","")," ",""))&lt;&gt;14,"CNPJ INVALIDO","OK"))</f>
      </c>
      <c r="Y106" s="3056">
        <f>IF(A106="","",IF(R106="","REST PENDENTE","REST OK"))</f>
      </c>
      <c r="Z106" s="3056">
        <f>IF(A106="","",IF(AND(R106&lt;&gt;"",COUNTIFS($D$3:$D$164,D106,$R$3:$R$164,"&lt;&gt;")&gt;1),"DUPLICADO","OK"))</f>
      </c>
      <c r="AA106" s="3056">
        <f>IF(A106="","",IF(OR(LEN(Q106)&gt;180,LEN(R106)&gt;180,LEN(S106)&gt;180,LEN(T106)&gt;180),"CAMINHO LONGO","OK"))</f>
      </c>
      <c r="AB106" s="3056">
        <f>IF(A106="","",IF(U106="","",IFERROR(INT(U106-TODAY()),"")))</f>
      </c>
      <c r="AC106" s="3056">
        <f>IF(A106="","",IF(AND(T106="",U106=""),"",IF(T106="","SEM CAMINHO",IF(U106="","SEM DATA",IFERROR(IF(AB106&lt;15,"VERMELHO",IF(AB106&lt;=30,"AMARELO","VERDE")),"DATA INVALIDA")))))</f>
      </c>
      <c r="AD106" s="3056">
        <f>IF(OR(A106="",U106="",NOT(ISNUMBER(AB106))),"",RANK(AB106,$AB$3:$AB$164,1)+COUNTIFS($AB$3:AB106,AB106)-1)</f>
      </c>
      <c r="AE106" s="1736"/>
    </row>
    <row r="107" spans="1:19" ht="22.0" hidden="false" customHeight="true" x14ac:dyDescent="0.25">
      <c r="A107" s="3129" t="s">
        <v>255</v>
      </c>
      <c r="B107" s="3128" t="s">
        <v>214</v>
      </c>
      <c r="C107" s="3128" t="s">
        <v>62</v>
      </c>
      <c r="D107" s="3128" t="s">
        <v>393</v>
      </c>
      <c r="E107" s="3128"/>
      <c r="F107" s="3128" t="s">
        <v>254</v>
      </c>
      <c r="G107" s="3128" t="s">
        <v>13</v>
      </c>
      <c r="H107" s="3128" t="s">
        <v>49</v>
      </c>
      <c r="I107" s="3128"/>
      <c r="J107" s="3128"/>
      <c r="K107" s="3128"/>
      <c r="L107" s="3128"/>
      <c r="M107" s="3128" t="s">
        <v>389</v>
      </c>
      <c r="N107" s="3128"/>
      <c r="O107" s="3128" t="s">
        <v>349</v>
      </c>
      <c r="P107" s="3128"/>
      <c r="Q107" s="3131"/>
      <c r="R107" s="3131"/>
      <c r="S107" s="3131"/>
      <c r="T107" s="3131"/>
      <c r="U107" s="3132"/>
      <c r="V107" s="3128"/>
      <c r="W107" s="3128"/>
      <c r="X107" s="3056">
        <f>IF(A107="","",IF(LEN(SUBSTITUTE(SUBSTITUTE(SUBSTITUTE(SUBSTITUTE(D107,".",""),"/",""),"-","")," ",""))&lt;&gt;14,"CNPJ INVALIDO","OK"))</f>
      </c>
      <c r="Y107" s="3056">
        <f>IF(A107="","",IF(R107="","REST PENDENTE","REST OK"))</f>
      </c>
      <c r="Z107" s="3056">
        <f>IF(A107="","",IF(AND(R107&lt;&gt;"",COUNTIFS($D$3:$D$164,D107,$R$3:$R$164,"&lt;&gt;")&gt;1),"DUPLICADO","OK"))</f>
      </c>
      <c r="AA107" s="3056">
        <f>IF(A107="","",IF(OR(LEN(Q107)&gt;180,LEN(R107)&gt;180,LEN(S107)&gt;180,LEN(T107)&gt;180),"CAMINHO LONGO","OK"))</f>
      </c>
      <c r="AB107" s="3056">
        <f>IF(A107="","",IF(U107="","",IFERROR(INT(U107-TODAY()),"")))</f>
      </c>
      <c r="AC107" s="3056">
        <f>IF(A107="","",IF(AND(T107="",U107=""),"",IF(T107="","SEM CAMINHO",IF(U107="","SEM DATA",IFERROR(IF(AB107&lt;15,"VERMELHO",IF(AB107&lt;=30,"AMARELO","VERDE")),"DATA INVALIDA")))))</f>
      </c>
      <c r="AD107" s="3056">
        <f>IF(OR(A107="",U107="",NOT(ISNUMBER(AB107))),"",RANK(AB107,$AB$3:$AB$164,1)+COUNTIFS($AB$3:AB107,AB107)-1)</f>
      </c>
      <c r="AE107" s="1736"/>
    </row>
    <row r="108" spans="1:19" ht="22.0" hidden="false" customHeight="true" x14ac:dyDescent="0.25">
      <c r="A108" s="3134" t="s">
        <v>256</v>
      </c>
      <c r="B108" s="3133" t="s">
        <v>214</v>
      </c>
      <c r="C108" s="3133" t="s">
        <v>62</v>
      </c>
      <c r="D108" s="3133" t="s">
        <v>394</v>
      </c>
      <c r="E108" s="3133"/>
      <c r="F108" s="3133" t="s">
        <v>257</v>
      </c>
      <c r="G108" s="3133" t="s">
        <v>4</v>
      </c>
      <c r="H108" s="3133" t="s">
        <v>5</v>
      </c>
      <c r="I108" s="3133"/>
      <c r="J108" s="3133"/>
      <c r="K108" s="3133"/>
      <c r="L108" s="3133"/>
      <c r="M108" s="3133" t="s">
        <v>379</v>
      </c>
      <c r="N108" s="3133"/>
      <c r="O108" s="3133" t="s">
        <v>349</v>
      </c>
      <c r="P108" s="3133"/>
      <c r="Q108" s="3136"/>
      <c r="R108" s="3136"/>
      <c r="S108" s="3136"/>
      <c r="T108" s="3136"/>
      <c r="U108" s="3137"/>
      <c r="V108" s="3133"/>
      <c r="W108" s="3133"/>
      <c r="X108" s="3056">
        <f>IF(A108="","",IF(LEN(SUBSTITUTE(SUBSTITUTE(SUBSTITUTE(SUBSTITUTE(D108,".",""),"/",""),"-","")," ",""))&lt;&gt;14,"CNPJ INVALIDO","OK"))</f>
      </c>
      <c r="Y108" s="3056">
        <f>IF(A108="","",IF(R108="","REST PENDENTE","REST OK"))</f>
      </c>
      <c r="Z108" s="3056">
        <f>IF(A108="","",IF(AND(R108&lt;&gt;"",COUNTIFS($D$3:$D$164,D108,$R$3:$R$164,"&lt;&gt;")&gt;1),"DUPLICADO","OK"))</f>
      </c>
      <c r="AA108" s="3056">
        <f>IF(A108="","",IF(OR(LEN(Q108)&gt;180,LEN(R108)&gt;180,LEN(S108)&gt;180,LEN(T108)&gt;180),"CAMINHO LONGO","OK"))</f>
      </c>
      <c r="AB108" s="3056">
        <f>IF(A108="","",IF(U108="","",IFERROR(INT(U108-TODAY()),"")))</f>
      </c>
      <c r="AC108" s="3056">
        <f>IF(A108="","",IF(AND(T108="",U108=""),"",IF(T108="","SEM CAMINHO",IF(U108="","SEM DATA",IFERROR(IF(AB108&lt;15,"VERMELHO",IF(AB108&lt;=30,"AMARELO","VERDE")),"DATA INVALIDA")))))</f>
      </c>
      <c r="AD108" s="3056">
        <f>IF(OR(A108="",U108="",NOT(ISNUMBER(AB108))),"",RANK(AB108,$AB$3:$AB$164,1)+COUNTIFS($AB$3:AB108,AB108)-1)</f>
      </c>
      <c r="AE108" s="1736"/>
    </row>
    <row r="109" spans="1:19" ht="22.0" hidden="false" customHeight="true" x14ac:dyDescent="0.25">
      <c r="A109" s="3129" t="s">
        <v>258</v>
      </c>
      <c r="B109" s="3128" t="s">
        <v>259</v>
      </c>
      <c r="C109" s="3128" t="s">
        <v>69</v>
      </c>
      <c r="D109" s="3128" t="s">
        <v>260</v>
      </c>
      <c r="E109" s="3128"/>
      <c r="F109" s="3128" t="s">
        <v>261</v>
      </c>
      <c r="G109" s="3128" t="s">
        <v>4</v>
      </c>
      <c r="H109" s="3128" t="s">
        <v>5</v>
      </c>
      <c r="I109" s="3128"/>
      <c r="J109" s="3128"/>
      <c r="K109" s="3128"/>
      <c r="L109" s="3128"/>
      <c r="M109" s="3128" t="s">
        <v>371</v>
      </c>
      <c r="N109" s="3128"/>
      <c r="O109" s="3128"/>
      <c r="P109" s="3128"/>
      <c r="Q109" s="3131"/>
      <c r="R109" s="3131"/>
      <c r="S109" s="3131"/>
      <c r="T109" s="3131"/>
      <c r="U109" s="3132"/>
      <c r="V109" s="3128"/>
      <c r="W109" s="3128"/>
      <c r="X109" s="3056">
        <f>IF(A109="","",IF(LEN(SUBSTITUTE(SUBSTITUTE(SUBSTITUTE(SUBSTITUTE(D109,".",""),"/",""),"-","")," ",""))&lt;&gt;14,"CNPJ INVALIDO","OK"))</f>
      </c>
      <c r="Y109" s="3056">
        <f>IF(A109="","",IF(R109="","REST PENDENTE","REST OK"))</f>
      </c>
      <c r="Z109" s="3056">
        <f>IF(A109="","",IF(AND(R109&lt;&gt;"",COUNTIFS($D$3:$D$164,D109,$R$3:$R$164,"&lt;&gt;")&gt;1),"DUPLICADO","OK"))</f>
      </c>
      <c r="AA109" s="3056">
        <f>IF(A109="","",IF(OR(LEN(Q109)&gt;180,LEN(R109)&gt;180,LEN(S109)&gt;180,LEN(T109)&gt;180),"CAMINHO LONGO","OK"))</f>
      </c>
      <c r="AB109" s="3056">
        <f>IF(A109="","",IF(U109="","",IFERROR(INT(U109-TODAY()),"")))</f>
      </c>
      <c r="AC109" s="3056">
        <f>IF(A109="","",IF(AND(T109="",U109=""),"",IF(T109="","SEM CAMINHO",IF(U109="","SEM DATA",IFERROR(IF(AB109&lt;15,"VERMELHO",IF(AB109&lt;=30,"AMARELO","VERDE")),"DATA INVALIDA")))))</f>
      </c>
      <c r="AD109" s="3056">
        <f>IF(OR(A109="",U109="",NOT(ISNUMBER(AB109))),"",RANK(AB109,$AB$3:$AB$164,1)+COUNTIFS($AB$3:AB109,AB109)-1)</f>
      </c>
      <c r="AE109" s="1736"/>
    </row>
    <row r="110" spans="1:19" ht="22.0" hidden="false" customHeight="true" x14ac:dyDescent="0.25">
      <c r="A110" s="3134" t="s">
        <v>262</v>
      </c>
      <c r="B110" s="3133" t="s">
        <v>259</v>
      </c>
      <c r="C110" s="3133" t="s">
        <v>69</v>
      </c>
      <c r="D110" s="3133" t="s">
        <v>263</v>
      </c>
      <c r="E110" s="3133"/>
      <c r="F110" s="3133" t="s">
        <v>261</v>
      </c>
      <c r="G110" s="3133" t="s">
        <v>13</v>
      </c>
      <c r="H110" s="3133" t="s">
        <v>5</v>
      </c>
      <c r="I110" s="3133"/>
      <c r="J110" s="3133"/>
      <c r="K110" s="3133"/>
      <c r="L110" s="3133"/>
      <c r="M110" s="3133" t="s">
        <v>371</v>
      </c>
      <c r="N110" s="3133"/>
      <c r="O110" s="3133"/>
      <c r="P110" s="3133"/>
      <c r="Q110" s="3136"/>
      <c r="R110" s="3136"/>
      <c r="S110" s="3136"/>
      <c r="T110" s="3136"/>
      <c r="U110" s="3137"/>
      <c r="V110" s="3133"/>
      <c r="W110" s="3133"/>
      <c r="X110" s="3056">
        <f>IF(A110="","",IF(LEN(SUBSTITUTE(SUBSTITUTE(SUBSTITUTE(SUBSTITUTE(D110,".",""),"/",""),"-","")," ",""))&lt;&gt;14,"CNPJ INVALIDO","OK"))</f>
      </c>
      <c r="Y110" s="3056">
        <f>IF(A110="","",IF(R110="","REST PENDENTE","REST OK"))</f>
      </c>
      <c r="Z110" s="3056">
        <f>IF(A110="","",IF(AND(R110&lt;&gt;"",COUNTIFS($D$3:$D$164,D110,$R$3:$R$164,"&lt;&gt;")&gt;1),"DUPLICADO","OK"))</f>
      </c>
      <c r="AA110" s="3056">
        <f>IF(A110="","",IF(OR(LEN(Q110)&gt;180,LEN(R110)&gt;180,LEN(S110)&gt;180,LEN(T110)&gt;180),"CAMINHO LONGO","OK"))</f>
      </c>
      <c r="AB110" s="3056">
        <f>IF(A110="","",IF(U110="","",IFERROR(INT(U110-TODAY()),"")))</f>
      </c>
      <c r="AC110" s="3056">
        <f>IF(A110="","",IF(AND(T110="",U110=""),"",IF(T110="","SEM CAMINHO",IF(U110="","SEM DATA",IFERROR(IF(AB110&lt;15,"VERMELHO",IF(AB110&lt;=30,"AMARELO","VERDE")),"DATA INVALIDA")))))</f>
      </c>
      <c r="AD110" s="3056">
        <f>IF(OR(A110="",U110="",NOT(ISNUMBER(AB110))),"",RANK(AB110,$AB$3:$AB$164,1)+COUNTIFS($AB$3:AB110,AB110)-1)</f>
      </c>
      <c r="AE110" s="1736"/>
    </row>
    <row r="111" spans="1:19" ht="22.0" hidden="false" customHeight="true" x14ac:dyDescent="0.25">
      <c r="A111" s="3129" t="s">
        <v>264</v>
      </c>
      <c r="B111" s="3128" t="s">
        <v>159</v>
      </c>
      <c r="C111" s="3128" t="s">
        <v>69</v>
      </c>
      <c r="D111" s="3128" t="s">
        <v>265</v>
      </c>
      <c r="E111" s="3128"/>
      <c r="F111" s="3128" t="s">
        <v>266</v>
      </c>
      <c r="G111" s="3128" t="s">
        <v>13</v>
      </c>
      <c r="H111" s="3128" t="s">
        <v>5</v>
      </c>
      <c r="I111" s="3128"/>
      <c r="J111" s="3128"/>
      <c r="K111" s="3128"/>
      <c r="L111" s="3128"/>
      <c r="M111" s="3128" t="s">
        <v>389</v>
      </c>
      <c r="N111" s="3128"/>
      <c r="O111" s="3128" t="s">
        <v>363</v>
      </c>
      <c r="P111" s="3128"/>
      <c r="Q111" s="3131"/>
      <c r="R111" s="3131"/>
      <c r="S111" s="3131"/>
      <c r="T111" s="3131"/>
      <c r="U111" s="3132"/>
      <c r="V111" s="3128"/>
      <c r="W111" s="3128"/>
      <c r="X111" s="3056">
        <f>IF(A111="","",IF(LEN(SUBSTITUTE(SUBSTITUTE(SUBSTITUTE(SUBSTITUTE(D111,".",""),"/",""),"-","")," ",""))&lt;&gt;14,"CNPJ INVALIDO","OK"))</f>
      </c>
      <c r="Y111" s="3056">
        <f>IF(A111="","",IF(R111="","REST PENDENTE","REST OK"))</f>
      </c>
      <c r="Z111" s="3056">
        <f>IF(A111="","",IF(AND(R111&lt;&gt;"",COUNTIFS($D$3:$D$164,D111,$R$3:$R$164,"&lt;&gt;")&gt;1),"DUPLICADO","OK"))</f>
      </c>
      <c r="AA111" s="3056">
        <f>IF(A111="","",IF(OR(LEN(Q111)&gt;180,LEN(R111)&gt;180,LEN(S111)&gt;180,LEN(T111)&gt;180),"CAMINHO LONGO","OK"))</f>
      </c>
      <c r="AB111" s="3056">
        <f>IF(A111="","",IF(U111="","",IFERROR(INT(U111-TODAY()),"")))</f>
      </c>
      <c r="AC111" s="3056">
        <f>IF(A111="","",IF(AND(T111="",U111=""),"",IF(T111="","SEM CAMINHO",IF(U111="","SEM DATA",IFERROR(IF(AB111&lt;15,"VERMELHO",IF(AB111&lt;=30,"AMARELO","VERDE")),"DATA INVALIDA")))))</f>
      </c>
      <c r="AD111" s="3056">
        <f>IF(OR(A111="",U111="",NOT(ISNUMBER(AB111))),"",RANK(AB111,$AB$3:$AB$164,1)+COUNTIFS($AB$3:AB111,AB111)-1)</f>
      </c>
      <c r="AE111" s="1736"/>
    </row>
    <row r="112" spans="1:19" ht="22.0" hidden="false" customHeight="true" x14ac:dyDescent="0.25">
      <c r="A112" s="3134" t="s">
        <v>267</v>
      </c>
      <c r="B112" s="3133" t="s">
        <v>159</v>
      </c>
      <c r="C112" s="3133" t="s">
        <v>268</v>
      </c>
      <c r="D112" s="3133" t="s">
        <v>269</v>
      </c>
      <c r="E112" s="3133"/>
      <c r="F112" s="3133" t="s">
        <v>266</v>
      </c>
      <c r="G112" s="3133" t="s">
        <v>13</v>
      </c>
      <c r="H112" s="3133" t="s">
        <v>14</v>
      </c>
      <c r="I112" s="3133"/>
      <c r="J112" s="3133"/>
      <c r="K112" s="3133"/>
      <c r="L112" s="3133"/>
      <c r="M112" s="3133" t="s">
        <v>376</v>
      </c>
      <c r="N112" s="3133"/>
      <c r="O112" s="3133" t="s">
        <v>349</v>
      </c>
      <c r="P112" s="3133"/>
      <c r="Q112" s="3136"/>
      <c r="R112" s="3136"/>
      <c r="S112" s="3136"/>
      <c r="T112" s="3136"/>
      <c r="U112" s="3137"/>
      <c r="V112" s="3133"/>
      <c r="W112" s="3133"/>
      <c r="X112" s="3056">
        <f>IF(A112="","",IF(LEN(SUBSTITUTE(SUBSTITUTE(SUBSTITUTE(SUBSTITUTE(D112,".",""),"/",""),"-","")," ",""))&lt;&gt;14,"CNPJ INVALIDO","OK"))</f>
      </c>
      <c r="Y112" s="3056">
        <f>IF(A112="","",IF(R112="","REST PENDENTE","REST OK"))</f>
      </c>
      <c r="Z112" s="3056">
        <f>IF(A112="","",IF(AND(R112&lt;&gt;"",COUNTIFS($D$3:$D$164,D112,$R$3:$R$164,"&lt;&gt;")&gt;1),"DUPLICADO","OK"))</f>
      </c>
      <c r="AA112" s="3056">
        <f>IF(A112="","",IF(OR(LEN(Q112)&gt;180,LEN(R112)&gt;180,LEN(S112)&gt;180,LEN(T112)&gt;180),"CAMINHO LONGO","OK"))</f>
      </c>
      <c r="AB112" s="3056">
        <f>IF(A112="","",IF(U112="","",IFERROR(INT(U112-TODAY()),"")))</f>
      </c>
      <c r="AC112" s="3056">
        <f>IF(A112="","",IF(AND(T112="",U112=""),"",IF(T112="","SEM CAMINHO",IF(U112="","SEM DATA",IFERROR(IF(AB112&lt;15,"VERMELHO",IF(AB112&lt;=30,"AMARELO","VERDE")),"DATA INVALIDA")))))</f>
      </c>
      <c r="AD112" s="3056">
        <f>IF(OR(A112="",U112="",NOT(ISNUMBER(AB112))),"",RANK(AB112,$AB$3:$AB$164,1)+COUNTIFS($AB$3:AB112,AB112)-1)</f>
      </c>
      <c r="AE112" s="1736"/>
    </row>
    <row r="113" spans="1:19" ht="22.0" hidden="false" customHeight="true" x14ac:dyDescent="0.25">
      <c r="A113" s="3129" t="s">
        <v>270</v>
      </c>
      <c r="B113" s="3128" t="s">
        <v>271</v>
      </c>
      <c r="C113" s="3128"/>
      <c r="D113" s="3128" t="s">
        <v>272</v>
      </c>
      <c r="E113" s="3128"/>
      <c r="F113" s="3128" t="s">
        <v>273</v>
      </c>
      <c r="G113" s="3128" t="s">
        <v>41</v>
      </c>
      <c r="H113" s="3128" t="s">
        <v>49</v>
      </c>
      <c r="I113" s="3128"/>
      <c r="J113" s="3128"/>
      <c r="K113" s="3128"/>
      <c r="L113" s="3128"/>
      <c r="M113" s="3128" t="s">
        <v>379</v>
      </c>
      <c r="N113" s="3128"/>
      <c r="O113" s="3128" t="s">
        <v>364</v>
      </c>
      <c r="P113" s="3128"/>
      <c r="Q113" s="3131"/>
      <c r="R113" s="3131"/>
      <c r="S113" s="3131"/>
      <c r="T113" s="3131"/>
      <c r="U113" s="3132"/>
      <c r="V113" s="3128"/>
      <c r="W113" s="3128"/>
      <c r="X113" s="3056">
        <f>IF(A113="","",IF(LEN(SUBSTITUTE(SUBSTITUTE(SUBSTITUTE(SUBSTITUTE(D113,".",""),"/",""),"-","")," ",""))&lt;&gt;14,"CNPJ INVALIDO","OK"))</f>
      </c>
      <c r="Y113" s="3056">
        <f>IF(A113="","",IF(R113="","REST PENDENTE","REST OK"))</f>
      </c>
      <c r="Z113" s="3056">
        <f>IF(A113="","",IF(AND(R113&lt;&gt;"",COUNTIFS($D$3:$D$164,D113,$R$3:$R$164,"&lt;&gt;")&gt;1),"DUPLICADO","OK"))</f>
      </c>
      <c r="AA113" s="3056">
        <f>IF(A113="","",IF(OR(LEN(Q113)&gt;180,LEN(R113)&gt;180,LEN(S113)&gt;180,LEN(T113)&gt;180),"CAMINHO LONGO","OK"))</f>
      </c>
      <c r="AB113" s="3056">
        <f>IF(A113="","",IF(U113="","",IFERROR(INT(U113-TODAY()),"")))</f>
      </c>
      <c r="AC113" s="3056">
        <f>IF(A113="","",IF(AND(T113="",U113=""),"",IF(T113="","SEM CAMINHO",IF(U113="","SEM DATA",IFERROR(IF(AB113&lt;15,"VERMELHO",IF(AB113&lt;=30,"AMARELO","VERDE")),"DATA INVALIDA")))))</f>
      </c>
      <c r="AD113" s="3056">
        <f>IF(OR(A113="",U113="",NOT(ISNUMBER(AB113))),"",RANK(AB113,$AB$3:$AB$164,1)+COUNTIFS($AB$3:AB113,AB113)-1)</f>
      </c>
      <c r="AE113" s="1736"/>
    </row>
    <row r="114" spans="1:19" ht="22.0" hidden="false" customHeight="true" x14ac:dyDescent="0.25">
      <c r="A114" s="3134" t="s">
        <v>274</v>
      </c>
      <c r="B114" s="3133" t="s">
        <v>134</v>
      </c>
      <c r="C114" s="3133" t="s">
        <v>122</v>
      </c>
      <c r="D114" s="3133" t="s">
        <v>395</v>
      </c>
      <c r="E114" s="3133"/>
      <c r="F114" s="3133" t="s">
        <v>275</v>
      </c>
      <c r="G114" s="3133" t="s">
        <v>4</v>
      </c>
      <c r="H114" s="3133" t="s">
        <v>5</v>
      </c>
      <c r="I114" s="3133"/>
      <c r="J114" s="3133"/>
      <c r="K114" s="3133"/>
      <c r="L114" s="3133"/>
      <c r="M114" s="3133" t="s">
        <v>379</v>
      </c>
      <c r="N114" s="3133"/>
      <c r="O114" s="3133" t="s">
        <v>365</v>
      </c>
      <c r="P114" s="3133"/>
      <c r="Q114" s="3136"/>
      <c r="R114" s="3136"/>
      <c r="S114" s="3136"/>
      <c r="T114" s="3136"/>
      <c r="U114" s="3137"/>
      <c r="V114" s="3133"/>
      <c r="W114" s="3133"/>
      <c r="X114" s="3056">
        <f>IF(A114="","",IF(LEN(SUBSTITUTE(SUBSTITUTE(SUBSTITUTE(SUBSTITUTE(D114,".",""),"/",""),"-","")," ",""))&lt;&gt;14,"CNPJ INVALIDO","OK"))</f>
      </c>
      <c r="Y114" s="3056">
        <f>IF(A114="","",IF(R114="","REST PENDENTE","REST OK"))</f>
      </c>
      <c r="Z114" s="3056">
        <f>IF(A114="","",IF(AND(R114&lt;&gt;"",COUNTIFS($D$3:$D$164,D114,$R$3:$R$164,"&lt;&gt;")&gt;1),"DUPLICADO","OK"))</f>
      </c>
      <c r="AA114" s="3056">
        <f>IF(A114="","",IF(OR(LEN(Q114)&gt;180,LEN(R114)&gt;180,LEN(S114)&gt;180,LEN(T114)&gt;180),"CAMINHO LONGO","OK"))</f>
      </c>
      <c r="AB114" s="3056">
        <f>IF(A114="","",IF(U114="","",IFERROR(INT(U114-TODAY()),"")))</f>
      </c>
      <c r="AC114" s="3056">
        <f>IF(A114="","",IF(AND(T114="",U114=""),"",IF(T114="","SEM CAMINHO",IF(U114="","SEM DATA",IFERROR(IF(AB114&lt;15,"VERMELHO",IF(AB114&lt;=30,"AMARELO","VERDE")),"DATA INVALIDA")))))</f>
      </c>
      <c r="AD114" s="3056">
        <f>IF(OR(A114="",U114="",NOT(ISNUMBER(AB114))),"",RANK(AB114,$AB$3:$AB$164,1)+COUNTIFS($AB$3:AB114,AB114)-1)</f>
      </c>
      <c r="AE114" s="1736"/>
    </row>
    <row r="115" spans="1:19" ht="22.0" hidden="false" customHeight="true" x14ac:dyDescent="0.25">
      <c r="A115" s="3129" t="s">
        <v>276</v>
      </c>
      <c r="B115" s="3128" t="s">
        <v>182</v>
      </c>
      <c r="C115" s="3128" t="s">
        <v>83</v>
      </c>
      <c r="D115" s="3128" t="s">
        <v>396</v>
      </c>
      <c r="E115" s="3128"/>
      <c r="F115" s="3128" t="s">
        <v>225</v>
      </c>
      <c r="G115" s="3128" t="s">
        <v>4</v>
      </c>
      <c r="H115" s="3128" t="s">
        <v>5</v>
      </c>
      <c r="I115" s="3128"/>
      <c r="J115" s="3128"/>
      <c r="K115" s="3128"/>
      <c r="L115" s="3128"/>
      <c r="M115" s="3128" t="s">
        <v>376</v>
      </c>
      <c r="N115" s="3128"/>
      <c r="O115" s="3128" t="s">
        <v>365</v>
      </c>
      <c r="P115" s="3128"/>
      <c r="Q115" s="3131"/>
      <c r="R115" s="3131"/>
      <c r="S115" s="3131"/>
      <c r="T115" s="3131"/>
      <c r="U115" s="3132"/>
      <c r="V115" s="3128"/>
      <c r="W115" s="3128"/>
      <c r="X115" s="3056">
        <f>IF(A115="","",IF(LEN(SUBSTITUTE(SUBSTITUTE(SUBSTITUTE(SUBSTITUTE(D115,".",""),"/",""),"-","")," ",""))&lt;&gt;14,"CNPJ INVALIDO","OK"))</f>
      </c>
      <c r="Y115" s="3056">
        <f>IF(A115="","",IF(R115="","REST PENDENTE","REST OK"))</f>
      </c>
      <c r="Z115" s="3056">
        <f>IF(A115="","",IF(AND(R115&lt;&gt;"",COUNTIFS($D$3:$D$164,D115,$R$3:$R$164,"&lt;&gt;")&gt;1),"DUPLICADO","OK"))</f>
      </c>
      <c r="AA115" s="3056">
        <f>IF(A115="","",IF(OR(LEN(Q115)&gt;180,LEN(R115)&gt;180,LEN(S115)&gt;180,LEN(T115)&gt;180),"CAMINHO LONGO","OK"))</f>
      </c>
      <c r="AB115" s="3056">
        <f>IF(A115="","",IF(U115="","",IFERROR(INT(U115-TODAY()),"")))</f>
      </c>
      <c r="AC115" s="3056">
        <f>IF(A115="","",IF(AND(T115="",U115=""),"",IF(T115="","SEM CAMINHO",IF(U115="","SEM DATA",IFERROR(IF(AB115&lt;15,"VERMELHO",IF(AB115&lt;=30,"AMARELO","VERDE")),"DATA INVALIDA")))))</f>
      </c>
      <c r="AD115" s="3056">
        <f>IF(OR(A115="",U115="",NOT(ISNUMBER(AB115))),"",RANK(AB115,$AB$3:$AB$164,1)+COUNTIFS($AB$3:AB115,AB115)-1)</f>
      </c>
      <c r="AE115" s="1736"/>
    </row>
    <row r="116" spans="1:19" ht="22.0" hidden="false" customHeight="true" x14ac:dyDescent="0.25">
      <c r="A116" s="3134" t="s">
        <v>277</v>
      </c>
      <c r="B116" s="3133" t="s">
        <v>211</v>
      </c>
      <c r="C116" s="3133" t="s">
        <v>69</v>
      </c>
      <c r="D116" s="3133" t="s">
        <v>278</v>
      </c>
      <c r="E116" s="3133"/>
      <c r="F116" s="3133" t="s">
        <v>279</v>
      </c>
      <c r="G116" s="3133" t="s">
        <v>13</v>
      </c>
      <c r="H116" s="3133" t="s">
        <v>49</v>
      </c>
      <c r="I116" s="3133">
        <v>46147</v>
      </c>
      <c r="J116" s="3133"/>
      <c r="K116" s="3133"/>
      <c r="L116" s="3133"/>
      <c r="M116" s="3133" t="s">
        <v>366</v>
      </c>
      <c r="N116" s="3133"/>
      <c r="O116" s="3133" t="s">
        <v>363</v>
      </c>
      <c r="P116" s="3133"/>
      <c r="Q116" s="3136"/>
      <c r="R116" s="3136"/>
      <c r="S116" s="3136"/>
      <c r="T116" s="3136"/>
      <c r="U116" s="3137"/>
      <c r="V116" s="3133"/>
      <c r="W116" s="3133"/>
      <c r="X116" s="3056">
        <f>IF(A116="","",IF(LEN(SUBSTITUTE(SUBSTITUTE(SUBSTITUTE(SUBSTITUTE(D116,".",""),"/",""),"-","")," ",""))&lt;&gt;14,"CNPJ INVALIDO","OK"))</f>
      </c>
      <c r="Y116" s="3056">
        <f>IF(A116="","",IF(R116="","REST PENDENTE","REST OK"))</f>
      </c>
      <c r="Z116" s="3056">
        <f>IF(A116="","",IF(AND(R116&lt;&gt;"",COUNTIFS($D$3:$D$164,D116,$R$3:$R$164,"&lt;&gt;")&gt;1),"DUPLICADO","OK"))</f>
      </c>
      <c r="AA116" s="3056">
        <f>IF(A116="","",IF(OR(LEN(Q116)&gt;180,LEN(R116)&gt;180,LEN(S116)&gt;180,LEN(T116)&gt;180),"CAMINHO LONGO","OK"))</f>
      </c>
      <c r="AB116" s="3056">
        <f>IF(A116="","",IF(U116="","",IFERROR(INT(U116-TODAY()),"")))</f>
      </c>
      <c r="AC116" s="3056">
        <f>IF(A116="","",IF(AND(T116="",U116=""),"",IF(T116="","SEM CAMINHO",IF(U116="","SEM DATA",IFERROR(IF(AB116&lt;15,"VERMELHO",IF(AB116&lt;=30,"AMARELO","VERDE")),"DATA INVALIDA")))))</f>
      </c>
      <c r="AD116" s="3056">
        <f>IF(OR(A116="",U116="",NOT(ISNUMBER(AB116))),"",RANK(AB116,$AB$3:$AB$164,1)+COUNTIFS($AB$3:AB116,AB116)-1)</f>
      </c>
      <c r="AE116" s="1736"/>
    </row>
    <row r="117" spans="1:19" ht="22.0" hidden="false" customHeight="true" x14ac:dyDescent="0.25">
      <c r="A117" s="3129" t="s">
        <v>280</v>
      </c>
      <c r="B117" s="3128" t="s">
        <v>162</v>
      </c>
      <c r="C117" s="3128" t="s">
        <v>281</v>
      </c>
      <c r="D117" s="3128" t="s">
        <v>282</v>
      </c>
      <c r="E117" s="3128"/>
      <c r="F117" s="3128"/>
      <c r="G117" s="3128" t="s">
        <v>4</v>
      </c>
      <c r="H117" s="3128" t="s">
        <v>49</v>
      </c>
      <c r="I117" s="3128"/>
      <c r="J117" s="3128"/>
      <c r="K117" s="3128"/>
      <c r="L117" s="3128"/>
      <c r="M117" s="3128" t="s">
        <v>376</v>
      </c>
      <c r="N117" s="3128" t="s">
        <v>362</v>
      </c>
      <c r="O117" s="3128" t="s">
        <v>365</v>
      </c>
      <c r="P117" s="3128"/>
      <c r="Q117" s="3131"/>
      <c r="R117" s="3131"/>
      <c r="S117" s="3131"/>
      <c r="T117" s="3131"/>
      <c r="U117" s="3132"/>
      <c r="V117" s="3128"/>
      <c r="W117" s="3128"/>
      <c r="X117" s="3056">
        <f>IF(A117="","",IF(LEN(SUBSTITUTE(SUBSTITUTE(SUBSTITUTE(SUBSTITUTE(D117,".",""),"/",""),"-","")," ",""))&lt;&gt;14,"CNPJ INVALIDO","OK"))</f>
      </c>
      <c r="Y117" s="3056">
        <f>IF(A117="","",IF(R117="","REST PENDENTE","REST OK"))</f>
      </c>
      <c r="Z117" s="3056">
        <f>IF(A117="","",IF(AND(R117&lt;&gt;"",COUNTIFS($D$3:$D$164,D117,$R$3:$R$164,"&lt;&gt;")&gt;1),"DUPLICADO","OK"))</f>
      </c>
      <c r="AA117" s="3056">
        <f>IF(A117="","",IF(OR(LEN(Q117)&gt;180,LEN(R117)&gt;180,LEN(S117)&gt;180,LEN(T117)&gt;180),"CAMINHO LONGO","OK"))</f>
      </c>
      <c r="AB117" s="3056">
        <f>IF(A117="","",IF(U117="","",IFERROR(INT(U117-TODAY()),"")))</f>
      </c>
      <c r="AC117" s="3056">
        <f>IF(A117="","",IF(AND(T117="",U117=""),"",IF(T117="","SEM CAMINHO",IF(U117="","SEM DATA",IFERROR(IF(AB117&lt;15,"VERMELHO",IF(AB117&lt;=30,"AMARELO","VERDE")),"DATA INVALIDA")))))</f>
      </c>
      <c r="AD117" s="3056">
        <f>IF(OR(A117="",U117="",NOT(ISNUMBER(AB117))),"",RANK(AB117,$AB$3:$AB$164,1)+COUNTIFS($AB$3:AB117,AB117)-1)</f>
      </c>
      <c r="AE117" s="1736"/>
    </row>
    <row r="118" spans="1:19" ht="22.0" hidden="false" customHeight="true" x14ac:dyDescent="0.25">
      <c r="A118" s="3134" t="s">
        <v>283</v>
      </c>
      <c r="B118" s="3133" t="s">
        <v>75</v>
      </c>
      <c r="C118" s="3133" t="s">
        <v>62</v>
      </c>
      <c r="D118" s="3133" t="s">
        <v>397</v>
      </c>
      <c r="E118" s="3133"/>
      <c r="F118" s="3133" t="s">
        <v>284</v>
      </c>
      <c r="G118" s="3133" t="s">
        <v>4</v>
      </c>
      <c r="H118" s="3133" t="s">
        <v>14</v>
      </c>
      <c r="I118" s="3133"/>
      <c r="J118" s="3133"/>
      <c r="K118" s="3133"/>
      <c r="L118" s="3133"/>
      <c r="M118" s="3133" t="s">
        <v>389</v>
      </c>
      <c r="N118" s="3133"/>
      <c r="O118" s="3133" t="s">
        <v>365</v>
      </c>
      <c r="P118" s="3133"/>
      <c r="Q118" s="3136"/>
      <c r="R118" s="3136"/>
      <c r="S118" s="3136"/>
      <c r="T118" s="3136"/>
      <c r="U118" s="3137"/>
      <c r="V118" s="3133"/>
      <c r="W118" s="3133"/>
      <c r="X118" s="3056">
        <f>IF(A118="","",IF(LEN(SUBSTITUTE(SUBSTITUTE(SUBSTITUTE(SUBSTITUTE(D118,".",""),"/",""),"-","")," ",""))&lt;&gt;14,"CNPJ INVALIDO","OK"))</f>
      </c>
      <c r="Y118" s="3056">
        <f>IF(A118="","",IF(R118="","REST PENDENTE","REST OK"))</f>
      </c>
      <c r="Z118" s="3056">
        <f>IF(A118="","",IF(AND(R118&lt;&gt;"",COUNTIFS($D$3:$D$164,D118,$R$3:$R$164,"&lt;&gt;")&gt;1),"DUPLICADO","OK"))</f>
      </c>
      <c r="AA118" s="3056">
        <f>IF(A118="","",IF(OR(LEN(Q118)&gt;180,LEN(R118)&gt;180,LEN(S118)&gt;180,LEN(T118)&gt;180),"CAMINHO LONGO","OK"))</f>
      </c>
      <c r="AB118" s="3056">
        <f>IF(A118="","",IF(U118="","",IFERROR(INT(U118-TODAY()),"")))</f>
      </c>
      <c r="AC118" s="3056">
        <f>IF(A118="","",IF(AND(T118="",U118=""),"",IF(T118="","SEM CAMINHO",IF(U118="","SEM DATA",IFERROR(IF(AB118&lt;15,"VERMELHO",IF(AB118&lt;=30,"AMARELO","VERDE")),"DATA INVALIDA")))))</f>
      </c>
      <c r="AD118" s="3056">
        <f>IF(OR(A118="",U118="",NOT(ISNUMBER(AB118))),"",RANK(AB118,$AB$3:$AB$164,1)+COUNTIFS($AB$3:AB118,AB118)-1)</f>
      </c>
      <c r="AE118" s="1736"/>
    </row>
    <row r="119" spans="1:19" ht="22.0" hidden="false" customHeight="true" x14ac:dyDescent="0.25">
      <c r="A119" s="3129" t="s">
        <v>285</v>
      </c>
      <c r="B119" s="3128" t="s">
        <v>286</v>
      </c>
      <c r="C119" s="3128"/>
      <c r="D119" s="3128" t="s">
        <v>398</v>
      </c>
      <c r="E119" s="3128"/>
      <c r="F119" s="3128" t="s">
        <v>287</v>
      </c>
      <c r="G119" s="3128" t="s">
        <v>4</v>
      </c>
      <c r="H119" s="3128" t="s">
        <v>49</v>
      </c>
      <c r="I119" s="3128"/>
      <c r="J119" s="3128"/>
      <c r="K119" s="3128"/>
      <c r="L119" s="3128"/>
      <c r="M119" s="3128" t="s">
        <v>379</v>
      </c>
      <c r="N119" s="3128"/>
      <c r="O119" s="3128" t="s">
        <v>365</v>
      </c>
      <c r="P119" s="3128"/>
      <c r="Q119" s="3131"/>
      <c r="R119" s="3131"/>
      <c r="S119" s="3131"/>
      <c r="T119" s="3131"/>
      <c r="U119" s="3132"/>
      <c r="V119" s="3128"/>
      <c r="W119" s="3128"/>
      <c r="X119" s="3056">
        <f>IF(A119="","",IF(LEN(SUBSTITUTE(SUBSTITUTE(SUBSTITUTE(SUBSTITUTE(D119,".",""),"/",""),"-","")," ",""))&lt;&gt;14,"CNPJ INVALIDO","OK"))</f>
      </c>
      <c r="Y119" s="3056">
        <f>IF(A119="","",IF(R119="","REST PENDENTE","REST OK"))</f>
      </c>
      <c r="Z119" s="3056">
        <f>IF(A119="","",IF(AND(R119&lt;&gt;"",COUNTIFS($D$3:$D$164,D119,$R$3:$R$164,"&lt;&gt;")&gt;1),"DUPLICADO","OK"))</f>
      </c>
      <c r="AA119" s="3056">
        <f>IF(A119="","",IF(OR(LEN(Q119)&gt;180,LEN(R119)&gt;180,LEN(S119)&gt;180,LEN(T119)&gt;180),"CAMINHO LONGO","OK"))</f>
      </c>
      <c r="AB119" s="3056">
        <f>IF(A119="","",IF(U119="","",IFERROR(INT(U119-TODAY()),"")))</f>
      </c>
      <c r="AC119" s="3056">
        <f>IF(A119="","",IF(AND(T119="",U119=""),"",IF(T119="","SEM CAMINHO",IF(U119="","SEM DATA",IFERROR(IF(AB119&lt;15,"VERMELHO",IF(AB119&lt;=30,"AMARELO","VERDE")),"DATA INVALIDA")))))</f>
      </c>
      <c r="AD119" s="3056">
        <f>IF(OR(A119="",U119="",NOT(ISNUMBER(AB119))),"",RANK(AB119,$AB$3:$AB$164,1)+COUNTIFS($AB$3:AB119,AB119)-1)</f>
      </c>
      <c r="AE119" s="1736"/>
    </row>
    <row r="120" spans="1:19" ht="22.0" hidden="false" customHeight="true" x14ac:dyDescent="0.25">
      <c r="A120" s="3134" t="s">
        <v>288</v>
      </c>
      <c r="B120" s="3133" t="s">
        <v>286</v>
      </c>
      <c r="C120" s="3133" t="s">
        <v>69</v>
      </c>
      <c r="D120" s="3133" t="s">
        <v>289</v>
      </c>
      <c r="E120" s="3133"/>
      <c r="F120" s="3133" t="s">
        <v>290</v>
      </c>
      <c r="G120" s="3133" t="s">
        <v>13</v>
      </c>
      <c r="H120" s="3133" t="s">
        <v>49</v>
      </c>
      <c r="I120" s="3133"/>
      <c r="J120" s="3133"/>
      <c r="K120" s="3133"/>
      <c r="L120" s="3133"/>
      <c r="M120" s="3133" t="s">
        <v>376</v>
      </c>
      <c r="N120" s="3133"/>
      <c r="O120" s="3133" t="s">
        <v>365</v>
      </c>
      <c r="P120" s="3133"/>
      <c r="Q120" s="3136"/>
      <c r="R120" s="3136"/>
      <c r="S120" s="3136"/>
      <c r="T120" s="3136"/>
      <c r="U120" s="3137"/>
      <c r="V120" s="3133"/>
      <c r="W120" s="3133"/>
      <c r="X120" s="3056">
        <f>IF(A120="","",IF(LEN(SUBSTITUTE(SUBSTITUTE(SUBSTITUTE(SUBSTITUTE(D120,".",""),"/",""),"-","")," ",""))&lt;&gt;14,"CNPJ INVALIDO","OK"))</f>
      </c>
      <c r="Y120" s="3056">
        <f>IF(A120="","",IF(R120="","REST PENDENTE","REST OK"))</f>
      </c>
      <c r="Z120" s="3056">
        <f>IF(A120="","",IF(AND(R120&lt;&gt;"",COUNTIFS($D$3:$D$164,D120,$R$3:$R$164,"&lt;&gt;")&gt;1),"DUPLICADO","OK"))</f>
      </c>
      <c r="AA120" s="3056">
        <f>IF(A120="","",IF(OR(LEN(Q120)&gt;180,LEN(R120)&gt;180,LEN(S120)&gt;180,LEN(T120)&gt;180),"CAMINHO LONGO","OK"))</f>
      </c>
      <c r="AB120" s="3056">
        <f>IF(A120="","",IF(U120="","",IFERROR(INT(U120-TODAY()),"")))</f>
      </c>
      <c r="AC120" s="3056">
        <f>IF(A120="","",IF(AND(T120="",U120=""),"",IF(T120="","SEM CAMINHO",IF(U120="","SEM DATA",IFERROR(IF(AB120&lt;15,"VERMELHO",IF(AB120&lt;=30,"AMARELO","VERDE")),"DATA INVALIDA")))))</f>
      </c>
      <c r="AD120" s="3056">
        <f>IF(OR(A120="",U120="",NOT(ISNUMBER(AB120))),"",RANK(AB120,$AB$3:$AB$164,1)+COUNTIFS($AB$3:AB120,AB120)-1)</f>
      </c>
      <c r="AE120" s="1736"/>
    </row>
    <row r="121" spans="1:19" ht="22.0" hidden="false" customHeight="true" x14ac:dyDescent="0.25">
      <c r="A121" s="3129" t="s">
        <v>291</v>
      </c>
      <c r="B121" s="3128" t="s">
        <v>75</v>
      </c>
      <c r="C121" s="3128" t="s">
        <v>69</v>
      </c>
      <c r="D121" s="3128" t="s">
        <v>292</v>
      </c>
      <c r="E121" s="3128"/>
      <c r="F121" s="3128"/>
      <c r="G121" s="3128"/>
      <c r="H121" s="3128"/>
      <c r="I121" s="3128"/>
      <c r="J121" s="3128"/>
      <c r="K121" s="3128"/>
      <c r="L121" s="3128"/>
      <c r="M121" s="3128" t="s">
        <v>371</v>
      </c>
      <c r="N121" s="3128"/>
      <c r="O121" s="3128"/>
      <c r="P121" s="3128"/>
      <c r="Q121" s="3131"/>
      <c r="R121" s="3131"/>
      <c r="S121" s="3131"/>
      <c r="T121" s="3131"/>
      <c r="U121" s="3132"/>
      <c r="V121" s="3128"/>
      <c r="W121" s="3128"/>
      <c r="X121" s="3056">
        <f>IF(A121="","",IF(LEN(SUBSTITUTE(SUBSTITUTE(SUBSTITUTE(SUBSTITUTE(D121,".",""),"/",""),"-","")," ",""))&lt;&gt;14,"CNPJ INVALIDO","OK"))</f>
      </c>
      <c r="Y121" s="3056">
        <f>IF(A121="","",IF(R121="","REST PENDENTE","REST OK"))</f>
      </c>
      <c r="Z121" s="3056">
        <f>IF(A121="","",IF(AND(R121&lt;&gt;"",COUNTIFS($D$3:$D$164,D121,$R$3:$R$164,"&lt;&gt;")&gt;1),"DUPLICADO","OK"))</f>
      </c>
      <c r="AA121" s="3056">
        <f>IF(A121="","",IF(OR(LEN(Q121)&gt;180,LEN(R121)&gt;180,LEN(S121)&gt;180,LEN(T121)&gt;180),"CAMINHO LONGO","OK"))</f>
      </c>
      <c r="AB121" s="3056">
        <f>IF(A121="","",IF(U121="","",IFERROR(INT(U121-TODAY()),"")))</f>
      </c>
      <c r="AC121" s="3056">
        <f>IF(A121="","",IF(AND(T121="",U121=""),"",IF(T121="","SEM CAMINHO",IF(U121="","SEM DATA",IFERROR(IF(AB121&lt;15,"VERMELHO",IF(AB121&lt;=30,"AMARELO","VERDE")),"DATA INVALIDA")))))</f>
      </c>
      <c r="AD121" s="3056">
        <f>IF(OR(A121="",U121="",NOT(ISNUMBER(AB121))),"",RANK(AB121,$AB$3:$AB$164,1)+COUNTIFS($AB$3:AB121,AB121)-1)</f>
      </c>
      <c r="AE121" s="1736"/>
    </row>
    <row r="122" spans="1:19" ht="22.0" hidden="false" customHeight="true" x14ac:dyDescent="0.25">
      <c r="A122" s="3134" t="s">
        <v>293</v>
      </c>
      <c r="B122" s="3133" t="s">
        <v>227</v>
      </c>
      <c r="C122" s="3133" t="s">
        <v>116</v>
      </c>
      <c r="D122" s="3133" t="s">
        <v>294</v>
      </c>
      <c r="E122" s="3133"/>
      <c r="F122" s="3133" t="s">
        <v>228</v>
      </c>
      <c r="G122" s="3133" t="s">
        <v>13</v>
      </c>
      <c r="H122" s="3133" t="s">
        <v>14</v>
      </c>
      <c r="I122" s="3133"/>
      <c r="J122" s="3133"/>
      <c r="K122" s="3133"/>
      <c r="L122" s="3133"/>
      <c r="M122" s="3133" t="s">
        <v>368</v>
      </c>
      <c r="N122" s="3133"/>
      <c r="O122" s="3133" t="s">
        <v>369</v>
      </c>
      <c r="P122" s="3133"/>
      <c r="Q122" s="3136"/>
      <c r="R122" s="3136"/>
      <c r="S122" s="3136"/>
      <c r="T122" s="3136"/>
      <c r="U122" s="3137"/>
      <c r="V122" s="3133"/>
      <c r="W122" s="3133"/>
      <c r="X122" s="3056">
        <f>IF(A122="","",IF(LEN(SUBSTITUTE(SUBSTITUTE(SUBSTITUTE(SUBSTITUTE(D122,".",""),"/",""),"-","")," ",""))&lt;&gt;14,"CNPJ INVALIDO","OK"))</f>
      </c>
      <c r="Y122" s="3056">
        <f>IF(A122="","",IF(R122="","REST PENDENTE","REST OK"))</f>
      </c>
      <c r="Z122" s="3056">
        <f>IF(A122="","",IF(AND(R122&lt;&gt;"",COUNTIFS($D$3:$D$164,D122,$R$3:$R$164,"&lt;&gt;")&gt;1),"DUPLICADO","OK"))</f>
      </c>
      <c r="AA122" s="3056">
        <f>IF(A122="","",IF(OR(LEN(Q122)&gt;180,LEN(R122)&gt;180,LEN(S122)&gt;180,LEN(T122)&gt;180),"CAMINHO LONGO","OK"))</f>
      </c>
      <c r="AB122" s="3056">
        <f>IF(A122="","",IF(U122="","",IFERROR(INT(U122-TODAY()),"")))</f>
      </c>
      <c r="AC122" s="3056">
        <f>IF(A122="","",IF(AND(T122="",U122=""),"",IF(T122="","SEM CAMINHO",IF(U122="","SEM DATA",IFERROR(IF(AB122&lt;15,"VERMELHO",IF(AB122&lt;=30,"AMARELO","VERDE")),"DATA INVALIDA")))))</f>
      </c>
      <c r="AD122" s="3056">
        <f>IF(OR(A122="",U122="",NOT(ISNUMBER(AB122))),"",RANK(AB122,$AB$3:$AB$164,1)+COUNTIFS($AB$3:AB122,AB122)-1)</f>
      </c>
      <c r="AE122" s="1736"/>
    </row>
    <row r="123" spans="1:19" ht="22.0" hidden="false" customHeight="true" x14ac:dyDescent="0.25">
      <c r="A123" s="3129" t="s">
        <v>295</v>
      </c>
      <c r="B123" s="3128" t="s">
        <v>45</v>
      </c>
      <c r="C123" s="3128" t="s">
        <v>296</v>
      </c>
      <c r="D123" s="3128" t="s">
        <v>297</v>
      </c>
      <c r="E123" s="3128"/>
      <c r="F123" s="3128" t="s">
        <v>48</v>
      </c>
      <c r="G123" s="3128" t="s">
        <v>13</v>
      </c>
      <c r="H123" s="3128" t="s">
        <v>14</v>
      </c>
      <c r="I123" s="3128"/>
      <c r="J123" s="3128"/>
      <c r="K123" s="3128"/>
      <c r="L123" s="3128"/>
      <c r="M123" s="3128" t="s">
        <v>371</v>
      </c>
      <c r="N123" s="3128"/>
      <c r="O123" s="3128" t="s">
        <v>367</v>
      </c>
      <c r="P123" s="3128"/>
      <c r="Q123" s="3131"/>
      <c r="R123" s="3131"/>
      <c r="S123" s="3131"/>
      <c r="T123" s="3131"/>
      <c r="U123" s="3132"/>
      <c r="V123" s="3128"/>
      <c r="W123" s="3128"/>
      <c r="X123" s="3056">
        <f>IF(A123="","",IF(LEN(SUBSTITUTE(SUBSTITUTE(SUBSTITUTE(SUBSTITUTE(D123,".",""),"/",""),"-","")," ",""))&lt;&gt;14,"CNPJ INVALIDO","OK"))</f>
      </c>
      <c r="Y123" s="3056">
        <f>IF(A123="","",IF(R123="","REST PENDENTE","REST OK"))</f>
      </c>
      <c r="Z123" s="3056">
        <f>IF(A123="","",IF(AND(R123&lt;&gt;"",COUNTIFS($D$3:$D$164,D123,$R$3:$R$164,"&lt;&gt;")&gt;1),"DUPLICADO","OK"))</f>
      </c>
      <c r="AA123" s="3056">
        <f>IF(A123="","",IF(OR(LEN(Q123)&gt;180,LEN(R123)&gt;180,LEN(S123)&gt;180,LEN(T123)&gt;180),"CAMINHO LONGO","OK"))</f>
      </c>
      <c r="AB123" s="3056">
        <f>IF(A123="","",IF(U123="","",IFERROR(INT(U123-TODAY()),"")))</f>
      </c>
      <c r="AC123" s="3056">
        <f>IF(A123="","",IF(AND(T123="",U123=""),"",IF(T123="","SEM CAMINHO",IF(U123="","SEM DATA",IFERROR(IF(AB123&lt;15,"VERMELHO",IF(AB123&lt;=30,"AMARELO","VERDE")),"DATA INVALIDA")))))</f>
      </c>
      <c r="AD123" s="3056">
        <f>IF(OR(A123="",U123="",NOT(ISNUMBER(AB123))),"",RANK(AB123,$AB$3:$AB$164,1)+COUNTIFS($AB$3:AB123,AB123)-1)</f>
      </c>
      <c r="AE123" s="1736"/>
    </row>
    <row r="124" spans="1:19" ht="22.0" hidden="false" customHeight="true" x14ac:dyDescent="0.25">
      <c r="A124" s="3134" t="s">
        <v>298</v>
      </c>
      <c r="B124" s="3133" t="s">
        <v>299</v>
      </c>
      <c r="C124" s="3133" t="s">
        <v>16</v>
      </c>
      <c r="D124" s="3133" t="s">
        <v>300</v>
      </c>
      <c r="E124" s="3133"/>
      <c r="F124" s="3133" t="s">
        <v>109</v>
      </c>
      <c r="G124" s="3133" t="s">
        <v>4</v>
      </c>
      <c r="H124" s="3133" t="s">
        <v>49</v>
      </c>
      <c r="I124" s="3133"/>
      <c r="J124" s="3133"/>
      <c r="K124" s="3133"/>
      <c r="L124" s="3133"/>
      <c r="M124" s="3133" t="s">
        <v>379</v>
      </c>
      <c r="N124" s="3133"/>
      <c r="O124" s="3133" t="s">
        <v>365</v>
      </c>
      <c r="P124" s="3133"/>
      <c r="Q124" s="3136"/>
      <c r="R124" s="3136"/>
      <c r="S124" s="3136"/>
      <c r="T124" s="3136"/>
      <c r="U124" s="3137"/>
      <c r="V124" s="3133"/>
      <c r="W124" s="3133"/>
      <c r="X124" s="3056">
        <f>IF(A124="","",IF(LEN(SUBSTITUTE(SUBSTITUTE(SUBSTITUTE(SUBSTITUTE(D124,".",""),"/",""),"-","")," ",""))&lt;&gt;14,"CNPJ INVALIDO","OK"))</f>
      </c>
      <c r="Y124" s="3056">
        <f>IF(A124="","",IF(R124="","REST PENDENTE","REST OK"))</f>
      </c>
      <c r="Z124" s="3056">
        <f>IF(A124="","",IF(AND(R124&lt;&gt;"",COUNTIFS($D$3:$D$164,D124,$R$3:$R$164,"&lt;&gt;")&gt;1),"DUPLICADO","OK"))</f>
      </c>
      <c r="AA124" s="3056">
        <f>IF(A124="","",IF(OR(LEN(Q124)&gt;180,LEN(R124)&gt;180,LEN(S124)&gt;180,LEN(T124)&gt;180),"CAMINHO LONGO","OK"))</f>
      </c>
      <c r="AB124" s="3056">
        <f>IF(A124="","",IF(U124="","",IFERROR(INT(U124-TODAY()),"")))</f>
      </c>
      <c r="AC124" s="3056">
        <f>IF(A124="","",IF(AND(T124="",U124=""),"",IF(T124="","SEM CAMINHO",IF(U124="","SEM DATA",IFERROR(IF(AB124&lt;15,"VERMELHO",IF(AB124&lt;=30,"AMARELO","VERDE")),"DATA INVALIDA")))))</f>
      </c>
      <c r="AD124" s="3056">
        <f>IF(OR(A124="",U124="",NOT(ISNUMBER(AB124))),"",RANK(AB124,$AB$3:$AB$164,1)+COUNTIFS($AB$3:AB124,AB124)-1)</f>
      </c>
      <c r="AE124" s="1736"/>
    </row>
    <row r="125" spans="1:19" ht="22.0" hidden="false" customHeight="true" x14ac:dyDescent="0.25">
      <c r="A125" s="3129" t="s">
        <v>301</v>
      </c>
      <c r="B125" s="3128" t="s">
        <v>302</v>
      </c>
      <c r="C125" s="3128" t="s">
        <v>69</v>
      </c>
      <c r="D125" s="3128" t="s">
        <v>303</v>
      </c>
      <c r="E125" s="3128"/>
      <c r="F125" s="3128"/>
      <c r="G125" s="3128" t="s">
        <v>4</v>
      </c>
      <c r="H125" s="3128" t="s">
        <v>49</v>
      </c>
      <c r="I125" s="3128"/>
      <c r="J125" s="3128"/>
      <c r="K125" s="3128"/>
      <c r="L125" s="3128"/>
      <c r="M125" s="3128" t="s">
        <v>379</v>
      </c>
      <c r="N125" s="3128"/>
      <c r="O125" s="3128" t="s">
        <v>365</v>
      </c>
      <c r="P125" s="3128"/>
      <c r="Q125" s="3131"/>
      <c r="R125" s="3131"/>
      <c r="S125" s="3131"/>
      <c r="T125" s="3131"/>
      <c r="U125" s="3132"/>
      <c r="V125" s="3128"/>
      <c r="W125" s="3128"/>
      <c r="X125" s="3056">
        <f>IF(A125="","",IF(LEN(SUBSTITUTE(SUBSTITUTE(SUBSTITUTE(SUBSTITUTE(D125,".",""),"/",""),"-","")," ",""))&lt;&gt;14,"CNPJ INVALIDO","OK"))</f>
      </c>
      <c r="Y125" s="3056">
        <f>IF(A125="","",IF(R125="","REST PENDENTE","REST OK"))</f>
      </c>
      <c r="Z125" s="3056">
        <f>IF(A125="","",IF(AND(R125&lt;&gt;"",COUNTIFS($D$3:$D$164,D125,$R$3:$R$164,"&lt;&gt;")&gt;1),"DUPLICADO","OK"))</f>
      </c>
      <c r="AA125" s="3056">
        <f>IF(A125="","",IF(OR(LEN(Q125)&gt;180,LEN(R125)&gt;180,LEN(S125)&gt;180,LEN(T125)&gt;180),"CAMINHO LONGO","OK"))</f>
      </c>
      <c r="AB125" s="3056">
        <f>IF(A125="","",IF(U125="","",IFERROR(INT(U125-TODAY()),"")))</f>
      </c>
      <c r="AC125" s="3056">
        <f>IF(A125="","",IF(AND(T125="",U125=""),"",IF(T125="","SEM CAMINHO",IF(U125="","SEM DATA",IFERROR(IF(AB125&lt;15,"VERMELHO",IF(AB125&lt;=30,"AMARELO","VERDE")),"DATA INVALIDA")))))</f>
      </c>
      <c r="AD125" s="3056">
        <f>IF(OR(A125="",U125="",NOT(ISNUMBER(AB125))),"",RANK(AB125,$AB$3:$AB$164,1)+COUNTIFS($AB$3:AB125,AB125)-1)</f>
      </c>
      <c r="AE125" s="1736"/>
    </row>
    <row r="126" spans="1:19" ht="22.0" hidden="false" customHeight="true" x14ac:dyDescent="0.25">
      <c r="A126" s="3134" t="s">
        <v>304</v>
      </c>
      <c r="B126" s="3133" t="s">
        <v>305</v>
      </c>
      <c r="C126" s="3133"/>
      <c r="D126" s="3133"/>
      <c r="E126" s="3133"/>
      <c r="F126" s="3133" t="s">
        <v>306</v>
      </c>
      <c r="G126" s="3133" t="s">
        <v>13</v>
      </c>
      <c r="H126" s="3133"/>
      <c r="I126" s="3133"/>
      <c r="J126" s="3133"/>
      <c r="K126" s="3133"/>
      <c r="L126" s="3133"/>
      <c r="M126" s="3133" t="s">
        <v>371</v>
      </c>
      <c r="N126" s="3133"/>
      <c r="O126" s="3133" t="s">
        <v>363</v>
      </c>
      <c r="P126" s="3133"/>
      <c r="Q126" s="3136"/>
      <c r="R126" s="3136"/>
      <c r="S126" s="3136"/>
      <c r="T126" s="3136"/>
      <c r="U126" s="3137"/>
      <c r="V126" s="3133"/>
      <c r="W126" s="3133"/>
      <c r="X126" s="3056">
        <f>IF(A126="","",IF(LEN(SUBSTITUTE(SUBSTITUTE(SUBSTITUTE(SUBSTITUTE(D126,".",""),"/",""),"-","")," ",""))&lt;&gt;14,"CNPJ INVALIDO","OK"))</f>
      </c>
      <c r="Y126" s="3056">
        <f>IF(A126="","",IF(R126="","REST PENDENTE","REST OK"))</f>
      </c>
      <c r="Z126" s="3056">
        <f>IF(A126="","",IF(AND(R126&lt;&gt;"",COUNTIFS($D$3:$D$164,D126,$R$3:$R$164,"&lt;&gt;")&gt;1),"DUPLICADO","OK"))</f>
      </c>
      <c r="AA126" s="3056">
        <f>IF(A126="","",IF(OR(LEN(Q126)&gt;180,LEN(R126)&gt;180,LEN(S126)&gt;180,LEN(T126)&gt;180),"CAMINHO LONGO","OK"))</f>
      </c>
      <c r="AB126" s="3056">
        <f>IF(A126="","",IF(U126="","",IFERROR(INT(U126-TODAY()),"")))</f>
      </c>
      <c r="AC126" s="3056">
        <f>IF(A126="","",IF(AND(T126="",U126=""),"",IF(T126="","SEM CAMINHO",IF(U126="","SEM DATA",IFERROR(IF(AB126&lt;15,"VERMELHO",IF(AB126&lt;=30,"AMARELO","VERDE")),"DATA INVALIDA")))))</f>
      </c>
      <c r="AD126" s="3056">
        <f>IF(OR(A126="",U126="",NOT(ISNUMBER(AB126))),"",RANK(AB126,$AB$3:$AB$164,1)+COUNTIFS($AB$3:AB126,AB126)-1)</f>
      </c>
      <c r="AE126" s="1736"/>
    </row>
    <row r="127" spans="1:19" ht="22.0" hidden="false" customHeight="true" x14ac:dyDescent="0.25">
      <c r="A127" s="3129" t="s">
        <v>307</v>
      </c>
      <c r="B127" s="3128" t="s">
        <v>305</v>
      </c>
      <c r="C127" s="3128"/>
      <c r="D127" s="3128"/>
      <c r="E127" s="3128"/>
      <c r="F127" s="3128" t="s">
        <v>306</v>
      </c>
      <c r="G127" s="3128" t="s">
        <v>308</v>
      </c>
      <c r="H127" s="3128"/>
      <c r="I127" s="3128"/>
      <c r="J127" s="3128"/>
      <c r="K127" s="3128"/>
      <c r="L127" s="3128"/>
      <c r="M127" s="3128" t="s">
        <v>371</v>
      </c>
      <c r="N127" s="3128"/>
      <c r="O127" s="3128" t="s">
        <v>363</v>
      </c>
      <c r="P127" s="3128"/>
      <c r="Q127" s="3131"/>
      <c r="R127" s="3131"/>
      <c r="S127" s="3131"/>
      <c r="T127" s="3131"/>
      <c r="U127" s="3132"/>
      <c r="V127" s="3128"/>
      <c r="W127" s="3128"/>
      <c r="X127" s="3056">
        <f>IF(A127="","",IF(LEN(SUBSTITUTE(SUBSTITUTE(SUBSTITUTE(SUBSTITUTE(D127,".",""),"/",""),"-","")," ",""))&lt;&gt;14,"CNPJ INVALIDO","OK"))</f>
      </c>
      <c r="Y127" s="3056">
        <f>IF(A127="","",IF(R127="","REST PENDENTE","REST OK"))</f>
      </c>
      <c r="Z127" s="3056">
        <f>IF(A127="","",IF(AND(R127&lt;&gt;"",COUNTIFS($D$3:$D$164,D127,$R$3:$R$164,"&lt;&gt;")&gt;1),"DUPLICADO","OK"))</f>
      </c>
      <c r="AA127" s="3056">
        <f>IF(A127="","",IF(OR(LEN(Q127)&gt;180,LEN(R127)&gt;180,LEN(S127)&gt;180,LEN(T127)&gt;180),"CAMINHO LONGO","OK"))</f>
      </c>
      <c r="AB127" s="3056">
        <f>IF(A127="","",IF(U127="","",IFERROR(INT(U127-TODAY()),"")))</f>
      </c>
      <c r="AC127" s="3056">
        <f>IF(A127="","",IF(AND(T127="",U127=""),"",IF(T127="","SEM CAMINHO",IF(U127="","SEM DATA",IFERROR(IF(AB127&lt;15,"VERMELHO",IF(AB127&lt;=30,"AMARELO","VERDE")),"DATA INVALIDA")))))</f>
      </c>
      <c r="AD127" s="3056">
        <f>IF(OR(A127="",U127="",NOT(ISNUMBER(AB127))),"",RANK(AB127,$AB$3:$AB$164,1)+COUNTIFS($AB$3:AB127,AB127)-1)</f>
      </c>
      <c r="AE127" s="1736"/>
    </row>
    <row r="128" spans="1:19" ht="22.0" hidden="false" customHeight="true" x14ac:dyDescent="0.25">
      <c r="A128" s="3134" t="s">
        <v>309</v>
      </c>
      <c r="B128" s="3133" t="s">
        <v>9</v>
      </c>
      <c r="C128" s="3133" t="s">
        <v>69</v>
      </c>
      <c r="D128" s="3133" t="s">
        <v>310</v>
      </c>
      <c r="E128" s="3133"/>
      <c r="F128" s="3133" t="s">
        <v>311</v>
      </c>
      <c r="G128" s="3133" t="s">
        <v>13</v>
      </c>
      <c r="H128" s="3133" t="s">
        <v>49</v>
      </c>
      <c r="I128" s="3133"/>
      <c r="J128" s="3133"/>
      <c r="K128" s="3133"/>
      <c r="L128" s="3133"/>
      <c r="M128" s="3133" t="s">
        <v>376</v>
      </c>
      <c r="N128" s="3133"/>
      <c r="O128" s="3133" t="s">
        <v>365</v>
      </c>
      <c r="P128" s="3133"/>
      <c r="Q128" s="3136"/>
      <c r="R128" s="3136"/>
      <c r="S128" s="3136"/>
      <c r="T128" s="3136"/>
      <c r="U128" s="3137"/>
      <c r="V128" s="3133"/>
      <c r="W128" s="3133"/>
      <c r="X128" s="3056">
        <f>IF(A128="","",IF(LEN(SUBSTITUTE(SUBSTITUTE(SUBSTITUTE(SUBSTITUTE(D128,".",""),"/",""),"-","")," ",""))&lt;&gt;14,"CNPJ INVALIDO","OK"))</f>
      </c>
      <c r="Y128" s="3056">
        <f>IF(A128="","",IF(R128="","REST PENDENTE","REST OK"))</f>
      </c>
      <c r="Z128" s="3056">
        <f>IF(A128="","",IF(AND(R128&lt;&gt;"",COUNTIFS($D$3:$D$164,D128,$R$3:$R$164,"&lt;&gt;")&gt;1),"DUPLICADO","OK"))</f>
      </c>
      <c r="AA128" s="3056">
        <f>IF(A128="","",IF(OR(LEN(Q128)&gt;180,LEN(R128)&gt;180,LEN(S128)&gt;180,LEN(T128)&gt;180),"CAMINHO LONGO","OK"))</f>
      </c>
      <c r="AB128" s="3056">
        <f>IF(A128="","",IF(U128="","",IFERROR(INT(U128-TODAY()),"")))</f>
      </c>
      <c r="AC128" s="3056">
        <f>IF(A128="","",IF(AND(T128="",U128=""),"",IF(T128="","SEM CAMINHO",IF(U128="","SEM DATA",IFERROR(IF(AB128&lt;15,"VERMELHO",IF(AB128&lt;=30,"AMARELO","VERDE")),"DATA INVALIDA")))))</f>
      </c>
      <c r="AD128" s="3056">
        <f>IF(OR(A128="",U128="",NOT(ISNUMBER(AB128))),"",RANK(AB128,$AB$3:$AB$164,1)+COUNTIFS($AB$3:AB128,AB128)-1)</f>
      </c>
      <c r="AE128" s="1736"/>
    </row>
    <row r="129" spans="1:19" ht="22.0" hidden="false" customHeight="true" x14ac:dyDescent="0.25">
      <c r="A129" s="3129" t="s">
        <v>312</v>
      </c>
      <c r="B129" s="3128" t="s">
        <v>75</v>
      </c>
      <c r="C129" s="3128" t="s">
        <v>69</v>
      </c>
      <c r="D129" s="3128" t="s">
        <v>313</v>
      </c>
      <c r="E129" s="3128"/>
      <c r="F129" s="3128" t="s">
        <v>314</v>
      </c>
      <c r="G129" s="3128" t="s">
        <v>4</v>
      </c>
      <c r="H129" s="3128" t="s">
        <v>49</v>
      </c>
      <c r="I129" s="3128"/>
      <c r="J129" s="3128"/>
      <c r="K129" s="3128"/>
      <c r="L129" s="3128"/>
      <c r="M129" s="3128" t="s">
        <v>379</v>
      </c>
      <c r="N129" s="3128"/>
      <c r="O129" s="3128" t="s">
        <v>370</v>
      </c>
      <c r="P129" s="3128"/>
      <c r="Q129" s="3131"/>
      <c r="R129" s="3131"/>
      <c r="S129" s="3131"/>
      <c r="T129" s="3131"/>
      <c r="U129" s="3132"/>
      <c r="V129" s="3128"/>
      <c r="W129" s="3128"/>
      <c r="X129" s="3056">
        <f>IF(A129="","",IF(LEN(SUBSTITUTE(SUBSTITUTE(SUBSTITUTE(SUBSTITUTE(D129,".",""),"/",""),"-","")," ",""))&lt;&gt;14,"CNPJ INVALIDO","OK"))</f>
      </c>
      <c r="Y129" s="3056">
        <f>IF(A129="","",IF(R129="","REST PENDENTE","REST OK"))</f>
      </c>
      <c r="Z129" s="3056">
        <f>IF(A129="","",IF(AND(R129&lt;&gt;"",COUNTIFS($D$3:$D$164,D129,$R$3:$R$164,"&lt;&gt;")&gt;1),"DUPLICADO","OK"))</f>
      </c>
      <c r="AA129" s="3056">
        <f>IF(A129="","",IF(OR(LEN(Q129)&gt;180,LEN(R129)&gt;180,LEN(S129)&gt;180,LEN(T129)&gt;180),"CAMINHO LONGO","OK"))</f>
      </c>
      <c r="AB129" s="3056">
        <f>IF(A129="","",IF(U129="","",IFERROR(INT(U129-TODAY()),"")))</f>
      </c>
      <c r="AC129" s="3056">
        <f>IF(A129="","",IF(AND(T129="",U129=""),"",IF(T129="","SEM CAMINHO",IF(U129="","SEM DATA",IFERROR(IF(AB129&lt;15,"VERMELHO",IF(AB129&lt;=30,"AMARELO","VERDE")),"DATA INVALIDA")))))</f>
      </c>
      <c r="AD129" s="3056">
        <f>IF(OR(A129="",U129="",NOT(ISNUMBER(AB129))),"",RANK(AB129,$AB$3:$AB$164,1)+COUNTIFS($AB$3:AB129,AB129)-1)</f>
      </c>
      <c r="AE129" s="1736"/>
    </row>
    <row r="130" spans="1:19" ht="22.0" hidden="false" customHeight="true" x14ac:dyDescent="0.25">
      <c r="A130" s="3134" t="s">
        <v>315</v>
      </c>
      <c r="B130" s="3133" t="s">
        <v>45</v>
      </c>
      <c r="C130" s="3133" t="s">
        <v>316</v>
      </c>
      <c r="D130" s="3133" t="s">
        <v>317</v>
      </c>
      <c r="E130" s="3133"/>
      <c r="F130" s="3133"/>
      <c r="G130" s="3133" t="s">
        <v>13</v>
      </c>
      <c r="H130" s="3133"/>
      <c r="I130" s="3133"/>
      <c r="J130" s="3133"/>
      <c r="K130" s="3133"/>
      <c r="L130" s="3133"/>
      <c r="M130" s="3133" t="s">
        <v>399</v>
      </c>
      <c r="N130" s="3133" t="s">
        <v>374</v>
      </c>
      <c r="O130" s="3133" t="s">
        <v>367</v>
      </c>
      <c r="P130" s="3133"/>
      <c r="Q130" s="3136"/>
      <c r="R130" s="3136"/>
      <c r="S130" s="3136"/>
      <c r="T130" s="3136"/>
      <c r="U130" s="3137"/>
      <c r="V130" s="3133"/>
      <c r="W130" s="3133"/>
      <c r="X130" s="3056">
        <f>IF(A130="","",IF(LEN(SUBSTITUTE(SUBSTITUTE(SUBSTITUTE(SUBSTITUTE(D130,".",""),"/",""),"-","")," ",""))&lt;&gt;14,"CNPJ INVALIDO","OK"))</f>
      </c>
      <c r="Y130" s="3056">
        <f>IF(A130="","",IF(R130="","REST PENDENTE","REST OK"))</f>
      </c>
      <c r="Z130" s="3056">
        <f>IF(A130="","",IF(AND(R130&lt;&gt;"",COUNTIFS($D$3:$D$164,D130,$R$3:$R$164,"&lt;&gt;")&gt;1),"DUPLICADO","OK"))</f>
      </c>
      <c r="AA130" s="3056">
        <f>IF(A130="","",IF(OR(LEN(Q130)&gt;180,LEN(R130)&gt;180,LEN(S130)&gt;180,LEN(T130)&gt;180),"CAMINHO LONGO","OK"))</f>
      </c>
      <c r="AB130" s="3056">
        <f>IF(A130="","",IF(U130="","",IFERROR(INT(U130-TODAY()),"")))</f>
      </c>
      <c r="AC130" s="3056">
        <f>IF(A130="","",IF(AND(T130="",U130=""),"",IF(T130="","SEM CAMINHO",IF(U130="","SEM DATA",IFERROR(IF(AB130&lt;15,"VERMELHO",IF(AB130&lt;=30,"AMARELO","VERDE")),"DATA INVALIDA")))))</f>
      </c>
      <c r="AD130" s="3056">
        <f>IF(OR(A130="",U130="",NOT(ISNUMBER(AB130))),"",RANK(AB130,$AB$3:$AB$164,1)+COUNTIFS($AB$3:AB130,AB130)-1)</f>
      </c>
      <c r="AE130" s="1736"/>
    </row>
    <row r="131" spans="1:19" ht="22.0" hidden="false" customHeight="true" x14ac:dyDescent="0.25">
      <c r="A131" s="3129" t="s">
        <v>318</v>
      </c>
      <c r="B131" s="3128" t="s">
        <v>45</v>
      </c>
      <c r="C131" s="3128" t="s">
        <v>316</v>
      </c>
      <c r="D131" s="3128" t="s">
        <v>319</v>
      </c>
      <c r="E131" s="3128"/>
      <c r="F131" s="3128" t="s">
        <v>48</v>
      </c>
      <c r="G131" s="3128" t="s">
        <v>320</v>
      </c>
      <c r="H131" s="3128"/>
      <c r="I131" s="3128"/>
      <c r="J131" s="3128"/>
      <c r="K131" s="3128"/>
      <c r="L131" s="3128"/>
      <c r="M131" s="3128" t="s">
        <v>399</v>
      </c>
      <c r="N131" s="3128" t="s">
        <v>374</v>
      </c>
      <c r="O131" s="3128" t="s">
        <v>371</v>
      </c>
      <c r="P131" s="3128"/>
      <c r="Q131" s="3131"/>
      <c r="R131" s="3131"/>
      <c r="S131" s="3131"/>
      <c r="T131" s="3131"/>
      <c r="U131" s="3132"/>
      <c r="V131" s="3128"/>
      <c r="W131" s="3128"/>
      <c r="X131" s="3056">
        <f>IF(A131="","",IF(LEN(SUBSTITUTE(SUBSTITUTE(SUBSTITUTE(SUBSTITUTE(D131,".",""),"/",""),"-","")," ",""))&lt;&gt;14,"CNPJ INVALIDO","OK"))</f>
      </c>
      <c r="Y131" s="3056">
        <f>IF(A131="","",IF(R131="","REST PENDENTE","REST OK"))</f>
      </c>
      <c r="Z131" s="3056">
        <f>IF(A131="","",IF(AND(R131&lt;&gt;"",COUNTIFS($D$3:$D$164,D131,$R$3:$R$164,"&lt;&gt;")&gt;1),"DUPLICADO","OK"))</f>
      </c>
      <c r="AA131" s="3056">
        <f>IF(A131="","",IF(OR(LEN(Q131)&gt;180,LEN(R131)&gt;180,LEN(S131)&gt;180,LEN(T131)&gt;180),"CAMINHO LONGO","OK"))</f>
      </c>
      <c r="AB131" s="3056">
        <f>IF(A131="","",IF(U131="","",IFERROR(INT(U131-TODAY()),"")))</f>
      </c>
      <c r="AC131" s="3056">
        <f>IF(A131="","",IF(AND(T131="",U131=""),"",IF(T131="","SEM CAMINHO",IF(U131="","SEM DATA",IFERROR(IF(AB131&lt;15,"VERMELHO",IF(AB131&lt;=30,"AMARELO","VERDE")),"DATA INVALIDA")))))</f>
      </c>
      <c r="AD131" s="3056">
        <f>IF(OR(A131="",U131="",NOT(ISNUMBER(AB131))),"",RANK(AB131,$AB$3:$AB$164,1)+COUNTIFS($AB$3:AB131,AB131)-1)</f>
      </c>
      <c r="AE131" s="1736"/>
    </row>
    <row r="132" spans="1:19" ht="22.0" hidden="false" customHeight="true" x14ac:dyDescent="0.25">
      <c r="A132" s="3134" t="s">
        <v>321</v>
      </c>
      <c r="B132" s="3133" t="s">
        <v>45</v>
      </c>
      <c r="C132" s="3133" t="s">
        <v>316</v>
      </c>
      <c r="D132" s="3133" t="s">
        <v>322</v>
      </c>
      <c r="E132" s="3133"/>
      <c r="F132" s="3133" t="s">
        <v>48</v>
      </c>
      <c r="G132" s="3133" t="s">
        <v>320</v>
      </c>
      <c r="H132" s="3133"/>
      <c r="I132" s="3133"/>
      <c r="J132" s="3133"/>
      <c r="K132" s="3133"/>
      <c r="L132" s="3133"/>
      <c r="M132" s="3133" t="s">
        <v>379</v>
      </c>
      <c r="N132" s="3133" t="s">
        <v>374</v>
      </c>
      <c r="O132" s="3133" t="s">
        <v>370</v>
      </c>
      <c r="P132" s="3133"/>
      <c r="Q132" s="3136"/>
      <c r="R132" s="3136"/>
      <c r="S132" s="3136"/>
      <c r="T132" s="3136"/>
      <c r="U132" s="3137"/>
      <c r="V132" s="3133"/>
      <c r="W132" s="3133"/>
      <c r="X132" s="3056">
        <f>IF(A132="","",IF(LEN(SUBSTITUTE(SUBSTITUTE(SUBSTITUTE(SUBSTITUTE(D132,".",""),"/",""),"-","")," ",""))&lt;&gt;14,"CNPJ INVALIDO","OK"))</f>
      </c>
      <c r="Y132" s="3056">
        <f>IF(A132="","",IF(R132="","REST PENDENTE","REST OK"))</f>
      </c>
      <c r="Z132" s="3056">
        <f>IF(A132="","",IF(AND(R132&lt;&gt;"",COUNTIFS($D$3:$D$164,D132,$R$3:$R$164,"&lt;&gt;")&gt;1),"DUPLICADO","OK"))</f>
      </c>
      <c r="AA132" s="3056">
        <f>IF(A132="","",IF(OR(LEN(Q132)&gt;180,LEN(R132)&gt;180,LEN(S132)&gt;180,LEN(T132)&gt;180),"CAMINHO LONGO","OK"))</f>
      </c>
      <c r="AB132" s="3056">
        <f>IF(A132="","",IF(U132="","",IFERROR(INT(U132-TODAY()),"")))</f>
      </c>
      <c r="AC132" s="3056">
        <f>IF(A132="","",IF(AND(T132="",U132=""),"",IF(T132="","SEM CAMINHO",IF(U132="","SEM DATA",IFERROR(IF(AB132&lt;15,"VERMELHO",IF(AB132&lt;=30,"AMARELO","VERDE")),"DATA INVALIDA")))))</f>
      </c>
      <c r="AD132" s="3056">
        <f>IF(OR(A132="",U132="",NOT(ISNUMBER(AB132))),"",RANK(AB132,$AB$3:$AB$164,1)+COUNTIFS($AB$3:AB132,AB132)-1)</f>
      </c>
      <c r="AE132" s="1736"/>
    </row>
    <row r="133" spans="1:19" ht="22.0" hidden="false" customHeight="true" x14ac:dyDescent="0.25">
      <c r="A133" s="3129" t="s">
        <v>323</v>
      </c>
      <c r="B133" s="3128" t="s">
        <v>305</v>
      </c>
      <c r="C133" s="3128"/>
      <c r="D133" s="3128"/>
      <c r="E133" s="3128"/>
      <c r="F133" s="3128" t="s">
        <v>306</v>
      </c>
      <c r="G133" s="3128" t="s">
        <v>4</v>
      </c>
      <c r="H133" s="3128"/>
      <c r="I133" s="3128"/>
      <c r="J133" s="3128"/>
      <c r="K133" s="3128"/>
      <c r="L133" s="3128"/>
      <c r="M133" s="3128" t="s">
        <v>371</v>
      </c>
      <c r="N133" s="3128"/>
      <c r="O133" s="3128" t="s">
        <v>365</v>
      </c>
      <c r="P133" s="3128"/>
      <c r="Q133" s="3131"/>
      <c r="R133" s="3131"/>
      <c r="S133" s="3131"/>
      <c r="T133" s="3131"/>
      <c r="U133" s="3132"/>
      <c r="V133" s="3128"/>
      <c r="W133" s="3128"/>
      <c r="X133" s="3056">
        <f>IF(A133="","",IF(LEN(SUBSTITUTE(SUBSTITUTE(SUBSTITUTE(SUBSTITUTE(D133,".",""),"/",""),"-","")," ",""))&lt;&gt;14,"CNPJ INVALIDO","OK"))</f>
      </c>
      <c r="Y133" s="3056">
        <f>IF(A133="","",IF(R133="","REST PENDENTE","REST OK"))</f>
      </c>
      <c r="Z133" s="3056">
        <f>IF(A133="","",IF(AND(R133&lt;&gt;"",COUNTIFS($D$3:$D$164,D133,$R$3:$R$164,"&lt;&gt;")&gt;1),"DUPLICADO","OK"))</f>
      </c>
      <c r="AA133" s="3056">
        <f>IF(A133="","",IF(OR(LEN(Q133)&gt;180,LEN(R133)&gt;180,LEN(S133)&gt;180,LEN(T133)&gt;180),"CAMINHO LONGO","OK"))</f>
      </c>
      <c r="AB133" s="3056">
        <f>IF(A133="","",IF(U133="","",IFERROR(INT(U133-TODAY()),"")))</f>
      </c>
      <c r="AC133" s="3056">
        <f>IF(A133="","",IF(AND(T133="",U133=""),"",IF(T133="","SEM CAMINHO",IF(U133="","SEM DATA",IFERROR(IF(AB133&lt;15,"VERMELHO",IF(AB133&lt;=30,"AMARELO","VERDE")),"DATA INVALIDA")))))</f>
      </c>
      <c r="AD133" s="3056">
        <f>IF(OR(A133="",U133="",NOT(ISNUMBER(AB133))),"",RANK(AB133,$AB$3:$AB$164,1)+COUNTIFS($AB$3:AB133,AB133)-1)</f>
      </c>
      <c r="AE133" s="1736"/>
    </row>
    <row r="134" spans="1:19" ht="22.0" hidden="false" customHeight="true" x14ac:dyDescent="0.25">
      <c r="A134" s="3134" t="s">
        <v>324</v>
      </c>
      <c r="B134" s="3133" t="s">
        <v>75</v>
      </c>
      <c r="C134" s="3133"/>
      <c r="D134" s="3133"/>
      <c r="E134" s="3133"/>
      <c r="F134" s="3133"/>
      <c r="G134" s="3133"/>
      <c r="H134" s="3133"/>
      <c r="I134" s="3133"/>
      <c r="J134" s="3133"/>
      <c r="K134" s="3133"/>
      <c r="L134" s="3133"/>
      <c r="M134" s="3133" t="s">
        <v>371</v>
      </c>
      <c r="N134" s="3133"/>
      <c r="O134" s="3133" t="s">
        <v>371</v>
      </c>
      <c r="P134" s="3133"/>
      <c r="Q134" s="3136"/>
      <c r="R134" s="3136"/>
      <c r="S134" s="3136"/>
      <c r="T134" s="3136"/>
      <c r="U134" s="3137"/>
      <c r="V134" s="3133"/>
      <c r="W134" s="3133"/>
      <c r="X134" s="3056">
        <f>IF(A134="","",IF(LEN(SUBSTITUTE(SUBSTITUTE(SUBSTITUTE(SUBSTITUTE(D134,".",""),"/",""),"-","")," ",""))&lt;&gt;14,"CNPJ INVALIDO","OK"))</f>
      </c>
      <c r="Y134" s="3056">
        <f>IF(A134="","",IF(R134="","REST PENDENTE","REST OK"))</f>
      </c>
      <c r="Z134" s="3056">
        <f>IF(A134="","",IF(AND(R134&lt;&gt;"",COUNTIFS($D$3:$D$164,D134,$R$3:$R$164,"&lt;&gt;")&gt;1),"DUPLICADO","OK"))</f>
      </c>
      <c r="AA134" s="3056">
        <f>IF(A134="","",IF(OR(LEN(Q134)&gt;180,LEN(R134)&gt;180,LEN(S134)&gt;180,LEN(T134)&gt;180),"CAMINHO LONGO","OK"))</f>
      </c>
      <c r="AB134" s="3056">
        <f>IF(A134="","",IF(U134="","",IFERROR(INT(U134-TODAY()),"")))</f>
      </c>
      <c r="AC134" s="3056">
        <f>IF(A134="","",IF(AND(T134="",U134=""),"",IF(T134="","SEM CAMINHO",IF(U134="","SEM DATA",IFERROR(IF(AB134&lt;15,"VERMELHO",IF(AB134&lt;=30,"AMARELO","VERDE")),"DATA INVALIDA")))))</f>
      </c>
      <c r="AD134" s="3056">
        <f>IF(OR(A134="",U134="",NOT(ISNUMBER(AB134))),"",RANK(AB134,$AB$3:$AB$164,1)+COUNTIFS($AB$3:AB134,AB134)-1)</f>
      </c>
      <c r="AE134" s="1736"/>
    </row>
    <row r="135" ht="22.0" customHeight="true" hidden="false">
      <c r="A135" s="3129"/>
      <c r="B135" s="3128"/>
      <c r="C135" s="3128"/>
      <c r="D135" s="3128"/>
      <c r="E135" s="3128"/>
      <c r="F135" s="3128"/>
      <c r="G135" s="3128"/>
      <c r="H135" s="3128"/>
      <c r="I135" s="3128"/>
      <c r="J135" s="3128"/>
      <c r="K135" s="3128"/>
      <c r="L135" s="3128"/>
      <c r="M135" s="3128"/>
      <c r="N135" s="3128"/>
      <c r="O135" s="3128"/>
      <c r="P135" s="3128"/>
      <c r="Q135" s="3131"/>
      <c r="R135" s="3131"/>
      <c r="S135" s="3131"/>
      <c r="T135" s="3131"/>
      <c r="U135" s="3132"/>
      <c r="V135" s="3128"/>
      <c r="W135" s="3128"/>
      <c r="X135" s="3056">
        <f>IF(A135="","",IF(LEN(SUBSTITUTE(SUBSTITUTE(SUBSTITUTE(SUBSTITUTE(D135,".",""),"/",""),"-","")," ",""))&lt;&gt;14,"CNPJ INVALIDO","OK"))</f>
      </c>
      <c r="Y135" s="3056">
        <f>IF(A135="","",IF(R135="","REST PENDENTE","REST OK"))</f>
      </c>
      <c r="Z135" s="3056">
        <f>IF(A135="","",IF(AND(R135&lt;&gt;"",COUNTIFS($D$3:$D$164,D135,$R$3:$R$164,"&lt;&gt;")&gt;1),"DUPLICADO","OK"))</f>
      </c>
      <c r="AA135" s="3056">
        <f>IF(A135="","",IF(OR(LEN(Q135)&gt;180,LEN(R135)&gt;180,LEN(S135)&gt;180,LEN(T135)&gt;180),"CAMINHO LONGO","OK"))</f>
      </c>
      <c r="AB135" s="3056">
        <f>IF(A135="","",IF(U135="","",IFERROR(INT(U135-TODAY()),"")))</f>
      </c>
      <c r="AC135" s="3056">
        <f>IF(A135="","",IF(AND(T135="",U135=""),"",IF(T135="","SEM CAMINHO",IF(U135="","SEM DATA",IFERROR(IF(AB135&lt;15,"VERMELHO",IF(AB135&lt;=30,"AMARELO","VERDE")),"DATA INVALIDA")))))</f>
      </c>
      <c r="AD135" s="3056">
        <f>IF(OR(A135="",U135="",NOT(ISNUMBER(AB135))),"",RANK(AB135,$AB$3:$AB$164,1)+COUNTIFS($AB$3:AB135,AB135)-1)</f>
      </c>
      <c r="AE135" s="1736"/>
    </row>
    <row r="136" ht="22.0" customHeight="true" hidden="false">
      <c r="A136" s="3134"/>
      <c r="B136" s="3133"/>
      <c r="C136" s="3133"/>
      <c r="D136" s="3133"/>
      <c r="E136" s="3133"/>
      <c r="F136" s="3133"/>
      <c r="G136" s="3133"/>
      <c r="H136" s="3133"/>
      <c r="I136" s="3133"/>
      <c r="J136" s="3133"/>
      <c r="K136" s="3133"/>
      <c r="L136" s="3133"/>
      <c r="M136" s="3133"/>
      <c r="N136" s="3133"/>
      <c r="O136" s="3133"/>
      <c r="P136" s="3133"/>
      <c r="Q136" s="3136"/>
      <c r="R136" s="3136"/>
      <c r="S136" s="3136"/>
      <c r="T136" s="3136"/>
      <c r="U136" s="3137"/>
      <c r="V136" s="3133"/>
      <c r="W136" s="3133"/>
      <c r="X136" s="3056">
        <f>IF(A136="","",IF(LEN(SUBSTITUTE(SUBSTITUTE(SUBSTITUTE(SUBSTITUTE(D136,".",""),"/",""),"-","")," ",""))&lt;&gt;14,"CNPJ INVALIDO","OK"))</f>
      </c>
      <c r="Y136" s="3056">
        <f>IF(A136="","",IF(R136="","REST PENDENTE","REST OK"))</f>
      </c>
      <c r="Z136" s="3056">
        <f>IF(A136="","",IF(AND(R136&lt;&gt;"",COUNTIFS($D$3:$D$164,D136,$R$3:$R$164,"&lt;&gt;")&gt;1),"DUPLICADO","OK"))</f>
      </c>
      <c r="AA136" s="3056">
        <f>IF(A136="","",IF(OR(LEN(Q136)&gt;180,LEN(R136)&gt;180,LEN(S136)&gt;180,LEN(T136)&gt;180),"CAMINHO LONGO","OK"))</f>
      </c>
      <c r="AB136" s="3056">
        <f>IF(A136="","",IF(U136="","",IFERROR(INT(U136-TODAY()),"")))</f>
      </c>
      <c r="AC136" s="3056">
        <f>IF(A136="","",IF(AND(T136="",U136=""),"",IF(T136="","SEM CAMINHO",IF(U136="","SEM DATA",IFERROR(IF(AB136&lt;15,"VERMELHO",IF(AB136&lt;=30,"AMARELO","VERDE")),"DATA INVALIDA")))))</f>
      </c>
      <c r="AD136" s="3056">
        <f>IF(OR(A136="",U136="",NOT(ISNUMBER(AB136))),"",RANK(AB136,$AB$3:$AB$164,1)+COUNTIFS($AB$3:AB136,AB136)-1)</f>
      </c>
      <c r="AE136" s="1736"/>
    </row>
    <row r="137" ht="22.0" customHeight="true" hidden="false">
      <c r="A137" s="3129"/>
      <c r="B137" s="3128"/>
      <c r="C137" s="3128"/>
      <c r="D137" s="3128"/>
      <c r="E137" s="3128"/>
      <c r="F137" s="3128"/>
      <c r="G137" s="3128"/>
      <c r="H137" s="3128"/>
      <c r="I137" s="3128"/>
      <c r="J137" s="3128"/>
      <c r="K137" s="3128"/>
      <c r="L137" s="3128"/>
      <c r="M137" s="3128"/>
      <c r="N137" s="3128"/>
      <c r="O137" s="3128"/>
      <c r="P137" s="3128"/>
      <c r="Q137" s="3131"/>
      <c r="R137" s="3131"/>
      <c r="S137" s="3131"/>
      <c r="T137" s="3131"/>
      <c r="U137" s="3132"/>
      <c r="V137" s="3128"/>
      <c r="W137" s="3128"/>
      <c r="X137" s="3056">
        <f>IF(A137="","",IF(LEN(SUBSTITUTE(SUBSTITUTE(SUBSTITUTE(SUBSTITUTE(D137,".",""),"/",""),"-","")," ",""))&lt;&gt;14,"CNPJ INVALIDO","OK"))</f>
      </c>
      <c r="Y137" s="3056">
        <f>IF(A137="","",IF(R137="","REST PENDENTE","REST OK"))</f>
      </c>
      <c r="Z137" s="3056">
        <f>IF(A137="","",IF(AND(R137&lt;&gt;"",COUNTIFS($D$3:$D$164,D137,$R$3:$R$164,"&lt;&gt;")&gt;1),"DUPLICADO","OK"))</f>
      </c>
      <c r="AA137" s="3056">
        <f>IF(A137="","",IF(OR(LEN(Q137)&gt;180,LEN(R137)&gt;180,LEN(S137)&gt;180,LEN(T137)&gt;180),"CAMINHO LONGO","OK"))</f>
      </c>
      <c r="AB137" s="3056">
        <f>IF(A137="","",IF(U137="","",IFERROR(INT(U137-TODAY()),"")))</f>
      </c>
      <c r="AC137" s="3056">
        <f>IF(A137="","",IF(AND(T137="",U137=""),"",IF(T137="","SEM CAMINHO",IF(U137="","SEM DATA",IFERROR(IF(AB137&lt;15,"VERMELHO",IF(AB137&lt;=30,"AMARELO","VERDE")),"DATA INVALIDA")))))</f>
      </c>
      <c r="AD137" s="3056">
        <f>IF(OR(A137="",U137="",NOT(ISNUMBER(AB137))),"",RANK(AB137,$AB$3:$AB$164,1)+COUNTIFS($AB$3:AB137,AB137)-1)</f>
      </c>
      <c r="AE137" s="1736"/>
    </row>
    <row r="138" ht="22.0" customHeight="true" hidden="false">
      <c r="A138" s="3134"/>
      <c r="B138" s="3133"/>
      <c r="C138" s="3133"/>
      <c r="D138" s="3133"/>
      <c r="E138" s="3133"/>
      <c r="F138" s="3133"/>
      <c r="G138" s="3133"/>
      <c r="H138" s="3133"/>
      <c r="I138" s="3133"/>
      <c r="J138" s="3133"/>
      <c r="K138" s="3133"/>
      <c r="L138" s="3133"/>
      <c r="M138" s="3133"/>
      <c r="N138" s="3133"/>
      <c r="O138" s="3133"/>
      <c r="P138" s="3133"/>
      <c r="Q138" s="3136"/>
      <c r="R138" s="3136"/>
      <c r="S138" s="3136"/>
      <c r="T138" s="3136"/>
      <c r="U138" s="3137"/>
      <c r="V138" s="3133"/>
      <c r="W138" s="3133"/>
      <c r="X138" s="3056">
        <f>IF(A138="","",IF(LEN(SUBSTITUTE(SUBSTITUTE(SUBSTITUTE(SUBSTITUTE(D138,".",""),"/",""),"-","")," ",""))&lt;&gt;14,"CNPJ INVALIDO","OK"))</f>
      </c>
      <c r="Y138" s="3056">
        <f>IF(A138="","",IF(R138="","REST PENDENTE","REST OK"))</f>
      </c>
      <c r="Z138" s="3056">
        <f>IF(A138="","",IF(AND(R138&lt;&gt;"",COUNTIFS($D$3:$D$164,D138,$R$3:$R$164,"&lt;&gt;")&gt;1),"DUPLICADO","OK"))</f>
      </c>
      <c r="AA138" s="3056">
        <f>IF(A138="","",IF(OR(LEN(Q138)&gt;180,LEN(R138)&gt;180,LEN(S138)&gt;180,LEN(T138)&gt;180),"CAMINHO LONGO","OK"))</f>
      </c>
      <c r="AB138" s="3056">
        <f>IF(A138="","",IF(U138="","",IFERROR(INT(U138-TODAY()),"")))</f>
      </c>
      <c r="AC138" s="3056">
        <f>IF(A138="","",IF(AND(T138="",U138=""),"",IF(T138="","SEM CAMINHO",IF(U138="","SEM DATA",IFERROR(IF(AB138&lt;15,"VERMELHO",IF(AB138&lt;=30,"AMARELO","VERDE")),"DATA INVALIDA")))))</f>
      </c>
      <c r="AD138" s="3056">
        <f>IF(OR(A138="",U138="",NOT(ISNUMBER(AB138))),"",RANK(AB138,$AB$3:$AB$164,1)+COUNTIFS($AB$3:AB138,AB138)-1)</f>
      </c>
      <c r="AE138" s="1736"/>
    </row>
    <row r="139" ht="22.0" customHeight="true" hidden="false">
      <c r="A139" s="3129"/>
      <c r="B139" s="3128"/>
      <c r="C139" s="3128"/>
      <c r="D139" s="3128"/>
      <c r="E139" s="3128"/>
      <c r="F139" s="3128"/>
      <c r="G139" s="3128"/>
      <c r="H139" s="3128"/>
      <c r="I139" s="3128"/>
      <c r="J139" s="3128"/>
      <c r="K139" s="3128"/>
      <c r="L139" s="3128"/>
      <c r="M139" s="3128"/>
      <c r="N139" s="3128"/>
      <c r="O139" s="3128"/>
      <c r="P139" s="3128"/>
      <c r="Q139" s="3131"/>
      <c r="R139" s="3131"/>
      <c r="S139" s="3131"/>
      <c r="T139" s="3131"/>
      <c r="U139" s="3132"/>
      <c r="V139" s="3128"/>
      <c r="W139" s="3128"/>
      <c r="X139" s="3056">
        <f>IF(A139="","",IF(LEN(SUBSTITUTE(SUBSTITUTE(SUBSTITUTE(SUBSTITUTE(D139,".",""),"/",""),"-","")," ",""))&lt;&gt;14,"CNPJ INVALIDO","OK"))</f>
      </c>
      <c r="Y139" s="3056">
        <f>IF(A139="","",IF(R139="","REST PENDENTE","REST OK"))</f>
      </c>
      <c r="Z139" s="3056">
        <f>IF(A139="","",IF(AND(R139&lt;&gt;"",COUNTIFS($D$3:$D$164,D139,$R$3:$R$164,"&lt;&gt;")&gt;1),"DUPLICADO","OK"))</f>
      </c>
      <c r="AA139" s="3056">
        <f>IF(A139="","",IF(OR(LEN(Q139)&gt;180,LEN(R139)&gt;180,LEN(S139)&gt;180,LEN(T139)&gt;180),"CAMINHO LONGO","OK"))</f>
      </c>
      <c r="AB139" s="3056">
        <f>IF(A139="","",IF(U139="","",IFERROR(INT(U139-TODAY()),"")))</f>
      </c>
      <c r="AC139" s="3056">
        <f>IF(A139="","",IF(AND(T139="",U139=""),"",IF(T139="","SEM CAMINHO",IF(U139="","SEM DATA",IFERROR(IF(AB139&lt;15,"VERMELHO",IF(AB139&lt;=30,"AMARELO","VERDE")),"DATA INVALIDA")))))</f>
      </c>
      <c r="AD139" s="3056">
        <f>IF(OR(A139="",U139="",NOT(ISNUMBER(AB139))),"",RANK(AB139,$AB$3:$AB$164,1)+COUNTIFS($AB$3:AB139,AB139)-1)</f>
      </c>
      <c r="AE139" s="1736"/>
    </row>
    <row r="140" ht="22.0" customHeight="true" hidden="false">
      <c r="A140" s="3134"/>
      <c r="B140" s="3133"/>
      <c r="C140" s="3133"/>
      <c r="D140" s="3133"/>
      <c r="E140" s="3133"/>
      <c r="F140" s="3133"/>
      <c r="G140" s="3133"/>
      <c r="H140" s="3133"/>
      <c r="I140" s="3133"/>
      <c r="J140" s="3133"/>
      <c r="K140" s="3133"/>
      <c r="L140" s="3133"/>
      <c r="M140" s="3133"/>
      <c r="N140" s="3133"/>
      <c r="O140" s="3133"/>
      <c r="P140" s="3133"/>
      <c r="Q140" s="3136"/>
      <c r="R140" s="3136"/>
      <c r="S140" s="3136"/>
      <c r="T140" s="3136"/>
      <c r="U140" s="3137"/>
      <c r="V140" s="3133"/>
      <c r="W140" s="3133"/>
      <c r="X140" s="3056">
        <f>IF(A140="","",IF(LEN(SUBSTITUTE(SUBSTITUTE(SUBSTITUTE(SUBSTITUTE(D140,".",""),"/",""),"-","")," ",""))&lt;&gt;14,"CNPJ INVALIDO","OK"))</f>
      </c>
      <c r="Y140" s="3056">
        <f>IF(A140="","",IF(R140="","REST PENDENTE","REST OK"))</f>
      </c>
      <c r="Z140" s="3056">
        <f>IF(A140="","",IF(AND(R140&lt;&gt;"",COUNTIFS($D$3:$D$164,D140,$R$3:$R$164,"&lt;&gt;")&gt;1),"DUPLICADO","OK"))</f>
      </c>
      <c r="AA140" s="3056">
        <f>IF(A140="","",IF(OR(LEN(Q140)&gt;180,LEN(R140)&gt;180,LEN(S140)&gt;180,LEN(T140)&gt;180),"CAMINHO LONGO","OK"))</f>
      </c>
      <c r="AB140" s="3056">
        <f>IF(A140="","",IF(U140="","",IFERROR(INT(U140-TODAY()),"")))</f>
      </c>
      <c r="AC140" s="3056">
        <f>IF(A140="","",IF(AND(T140="",U140=""),"",IF(T140="","SEM CAMINHO",IF(U140="","SEM DATA",IFERROR(IF(AB140&lt;15,"VERMELHO",IF(AB140&lt;=30,"AMARELO","VERDE")),"DATA INVALIDA")))))</f>
      </c>
      <c r="AD140" s="3056">
        <f>IF(OR(A140="",U140="",NOT(ISNUMBER(AB140))),"",RANK(AB140,$AB$3:$AB$164,1)+COUNTIFS($AB$3:AB140,AB140)-1)</f>
      </c>
      <c r="AE140" s="1736"/>
    </row>
    <row r="141" ht="22.0" customHeight="true" hidden="false">
      <c r="A141" s="3129"/>
      <c r="B141" s="3128"/>
      <c r="C141" s="3128"/>
      <c r="D141" s="3128"/>
      <c r="E141" s="3128"/>
      <c r="F141" s="3128"/>
      <c r="G141" s="3128"/>
      <c r="H141" s="3128"/>
      <c r="I141" s="3128"/>
      <c r="J141" s="3128"/>
      <c r="K141" s="3128"/>
      <c r="L141" s="3128"/>
      <c r="M141" s="3128"/>
      <c r="N141" s="3128"/>
      <c r="O141" s="3128"/>
      <c r="P141" s="3128"/>
      <c r="Q141" s="3131"/>
      <c r="R141" s="3131"/>
      <c r="S141" s="3131"/>
      <c r="T141" s="3131"/>
      <c r="U141" s="3132"/>
      <c r="V141" s="3128"/>
      <c r="W141" s="3128"/>
      <c r="X141" s="3056">
        <f>IF(A141="","",IF(LEN(SUBSTITUTE(SUBSTITUTE(SUBSTITUTE(SUBSTITUTE(D141,".",""),"/",""),"-","")," ",""))&lt;&gt;14,"CNPJ INVALIDO","OK"))</f>
      </c>
      <c r="Y141" s="3056">
        <f>IF(A141="","",IF(R141="","REST PENDENTE","REST OK"))</f>
      </c>
      <c r="Z141" s="3056">
        <f>IF(A141="","",IF(AND(R141&lt;&gt;"",COUNTIFS($D$3:$D$164,D141,$R$3:$R$164,"&lt;&gt;")&gt;1),"DUPLICADO","OK"))</f>
      </c>
      <c r="AA141" s="3056">
        <f>IF(A141="","",IF(OR(LEN(Q141)&gt;180,LEN(R141)&gt;180,LEN(S141)&gt;180,LEN(T141)&gt;180),"CAMINHO LONGO","OK"))</f>
      </c>
      <c r="AB141" s="3056">
        <f>IF(A141="","",IF(U141="","",IFERROR(INT(U141-TODAY()),"")))</f>
      </c>
      <c r="AC141" s="3056">
        <f>IF(A141="","",IF(AND(T141="",U141=""),"",IF(T141="","SEM CAMINHO",IF(U141="","SEM DATA",IFERROR(IF(AB141&lt;15,"VERMELHO",IF(AB141&lt;=30,"AMARELO","VERDE")),"DATA INVALIDA")))))</f>
      </c>
      <c r="AD141" s="3056">
        <f>IF(OR(A141="",U141="",NOT(ISNUMBER(AB141))),"",RANK(AB141,$AB$3:$AB$164,1)+COUNTIFS($AB$3:AB141,AB141)-1)</f>
      </c>
      <c r="AE141" s="1736"/>
    </row>
    <row r="142" ht="22.0" customHeight="true" hidden="false">
      <c r="A142" s="3134"/>
      <c r="B142" s="3133"/>
      <c r="C142" s="3133"/>
      <c r="D142" s="3133"/>
      <c r="E142" s="3133"/>
      <c r="F142" s="3133"/>
      <c r="G142" s="3133"/>
      <c r="H142" s="3133"/>
      <c r="I142" s="3133"/>
      <c r="J142" s="3133"/>
      <c r="K142" s="3133"/>
      <c r="L142" s="3133"/>
      <c r="M142" s="3133"/>
      <c r="N142" s="3133"/>
      <c r="O142" s="3133"/>
      <c r="P142" s="3133"/>
      <c r="Q142" s="3136"/>
      <c r="R142" s="3136"/>
      <c r="S142" s="3136"/>
      <c r="T142" s="3136"/>
      <c r="U142" s="3137"/>
      <c r="V142" s="3133"/>
      <c r="W142" s="3133"/>
      <c r="X142" s="3056">
        <f>IF(A142="","",IF(LEN(SUBSTITUTE(SUBSTITUTE(SUBSTITUTE(SUBSTITUTE(D142,".",""),"/",""),"-","")," ",""))&lt;&gt;14,"CNPJ INVALIDO","OK"))</f>
      </c>
      <c r="Y142" s="3056">
        <f>IF(A142="","",IF(R142="","REST PENDENTE","REST OK"))</f>
      </c>
      <c r="Z142" s="3056">
        <f>IF(A142="","",IF(AND(R142&lt;&gt;"",COUNTIFS($D$3:$D$164,D142,$R$3:$R$164,"&lt;&gt;")&gt;1),"DUPLICADO","OK"))</f>
      </c>
      <c r="AA142" s="3056">
        <f>IF(A142="","",IF(OR(LEN(Q142)&gt;180,LEN(R142)&gt;180,LEN(S142)&gt;180,LEN(T142)&gt;180),"CAMINHO LONGO","OK"))</f>
      </c>
      <c r="AB142" s="3056">
        <f>IF(A142="","",IF(U142="","",IFERROR(INT(U142-TODAY()),"")))</f>
      </c>
      <c r="AC142" s="3056">
        <f>IF(A142="","",IF(AND(T142="",U142=""),"",IF(T142="","SEM CAMINHO",IF(U142="","SEM DATA",IFERROR(IF(AB142&lt;15,"VERMELHO",IF(AB142&lt;=30,"AMARELO","VERDE")),"DATA INVALIDA")))))</f>
      </c>
      <c r="AD142" s="3056">
        <f>IF(OR(A142="",U142="",NOT(ISNUMBER(AB142))),"",RANK(AB142,$AB$3:$AB$164,1)+COUNTIFS($AB$3:AB142,AB142)-1)</f>
      </c>
      <c r="AE142" s="1736"/>
    </row>
    <row r="143" ht="22.0" customHeight="true" hidden="false">
      <c r="A143" s="3129"/>
      <c r="B143" s="3128"/>
      <c r="C143" s="3128"/>
      <c r="D143" s="3128"/>
      <c r="E143" s="3128"/>
      <c r="F143" s="3128"/>
      <c r="G143" s="3128"/>
      <c r="H143" s="3128"/>
      <c r="I143" s="3128"/>
      <c r="J143" s="3128"/>
      <c r="K143" s="3128"/>
      <c r="L143" s="3128"/>
      <c r="M143" s="3128"/>
      <c r="N143" s="3128"/>
      <c r="O143" s="3128"/>
      <c r="P143" s="3128"/>
      <c r="Q143" s="3131"/>
      <c r="R143" s="3131"/>
      <c r="S143" s="3131"/>
      <c r="T143" s="3131"/>
      <c r="U143" s="3132"/>
      <c r="V143" s="3128"/>
      <c r="W143" s="3128"/>
      <c r="X143" s="3056">
        <f>IF(A143="","",IF(LEN(SUBSTITUTE(SUBSTITUTE(SUBSTITUTE(SUBSTITUTE(D143,".",""),"/",""),"-","")," ",""))&lt;&gt;14,"CNPJ INVALIDO","OK"))</f>
      </c>
      <c r="Y143" s="3056">
        <f>IF(A143="","",IF(R143="","REST PENDENTE","REST OK"))</f>
      </c>
      <c r="Z143" s="3056">
        <f>IF(A143="","",IF(AND(R143&lt;&gt;"",COUNTIFS($D$3:$D$164,D143,$R$3:$R$164,"&lt;&gt;")&gt;1),"DUPLICADO","OK"))</f>
      </c>
      <c r="AA143" s="3056">
        <f>IF(A143="","",IF(OR(LEN(Q143)&gt;180,LEN(R143)&gt;180,LEN(S143)&gt;180,LEN(T143)&gt;180),"CAMINHO LONGO","OK"))</f>
      </c>
      <c r="AB143" s="3056">
        <f>IF(A143="","",IF(U143="","",IFERROR(INT(U143-TODAY()),"")))</f>
      </c>
      <c r="AC143" s="3056">
        <f>IF(A143="","",IF(AND(T143="",U143=""),"",IF(T143="","SEM CAMINHO",IF(U143="","SEM DATA",IFERROR(IF(AB143&lt;15,"VERMELHO",IF(AB143&lt;=30,"AMARELO","VERDE")),"DATA INVALIDA")))))</f>
      </c>
      <c r="AD143" s="3056">
        <f>IF(OR(A143="",U143="",NOT(ISNUMBER(AB143))),"",RANK(AB143,$AB$3:$AB$164,1)+COUNTIFS($AB$3:AB143,AB143)-1)</f>
      </c>
      <c r="AE143" s="1736"/>
    </row>
    <row r="144" ht="22.0" customHeight="true" hidden="false">
      <c r="A144" s="3134"/>
      <c r="B144" s="3133"/>
      <c r="C144" s="3133"/>
      <c r="D144" s="3133"/>
      <c r="E144" s="3133"/>
      <c r="F144" s="3133"/>
      <c r="G144" s="3133"/>
      <c r="H144" s="3133"/>
      <c r="I144" s="3133"/>
      <c r="J144" s="3133"/>
      <c r="K144" s="3133"/>
      <c r="L144" s="3133"/>
      <c r="M144" s="3133"/>
      <c r="N144" s="3133"/>
      <c r="O144" s="3133"/>
      <c r="P144" s="3133"/>
      <c r="Q144" s="3136"/>
      <c r="R144" s="3136"/>
      <c r="S144" s="3136"/>
      <c r="T144" s="3136"/>
      <c r="U144" s="3137"/>
      <c r="V144" s="3133"/>
      <c r="W144" s="3133"/>
      <c r="X144" s="3056">
        <f>IF(A144="","",IF(LEN(SUBSTITUTE(SUBSTITUTE(SUBSTITUTE(SUBSTITUTE(D144,".",""),"/",""),"-","")," ",""))&lt;&gt;14,"CNPJ INVALIDO","OK"))</f>
      </c>
      <c r="Y144" s="3056">
        <f>IF(A144="","",IF(R144="","REST PENDENTE","REST OK"))</f>
      </c>
      <c r="Z144" s="3056">
        <f>IF(A144="","",IF(AND(R144&lt;&gt;"",COUNTIFS($D$3:$D$164,D144,$R$3:$R$164,"&lt;&gt;")&gt;1),"DUPLICADO","OK"))</f>
      </c>
      <c r="AA144" s="3056">
        <f>IF(A144="","",IF(OR(LEN(Q144)&gt;180,LEN(R144)&gt;180,LEN(S144)&gt;180,LEN(T144)&gt;180),"CAMINHO LONGO","OK"))</f>
      </c>
      <c r="AB144" s="3056">
        <f>IF(A144="","",IF(U144="","",IFERROR(INT(U144-TODAY()),"")))</f>
      </c>
      <c r="AC144" s="3056">
        <f>IF(A144="","",IF(AND(T144="",U144=""),"",IF(T144="","SEM CAMINHO",IF(U144="","SEM DATA",IFERROR(IF(AB144&lt;15,"VERMELHO",IF(AB144&lt;=30,"AMARELO","VERDE")),"DATA INVALIDA")))))</f>
      </c>
      <c r="AD144" s="3056">
        <f>IF(OR(A144="",U144="",NOT(ISNUMBER(AB144))),"",RANK(AB144,$AB$3:$AB$164,1)+COUNTIFS($AB$3:AB144,AB144)-1)</f>
      </c>
      <c r="AE144" s="1736"/>
    </row>
    <row r="145" ht="22.0" customHeight="true" hidden="false">
      <c r="A145" s="3129"/>
      <c r="B145" s="3128"/>
      <c r="C145" s="3128"/>
      <c r="D145" s="3128"/>
      <c r="E145" s="3128"/>
      <c r="F145" s="3128"/>
      <c r="G145" s="3128"/>
      <c r="H145" s="3128"/>
      <c r="I145" s="3128"/>
      <c r="J145" s="3128"/>
      <c r="K145" s="3128"/>
      <c r="L145" s="3128"/>
      <c r="M145" s="3128"/>
      <c r="N145" s="3128"/>
      <c r="O145" s="3128"/>
      <c r="P145" s="3128"/>
      <c r="Q145" s="3131"/>
      <c r="R145" s="3131"/>
      <c r="S145" s="3131"/>
      <c r="T145" s="3131"/>
      <c r="U145" s="3132"/>
      <c r="V145" s="3128"/>
      <c r="W145" s="3128"/>
      <c r="X145" s="3056">
        <f>IF(A145="","",IF(LEN(SUBSTITUTE(SUBSTITUTE(SUBSTITUTE(SUBSTITUTE(D145,".",""),"/",""),"-","")," ",""))&lt;&gt;14,"CNPJ INVALIDO","OK"))</f>
      </c>
      <c r="Y145" s="3056">
        <f>IF(A145="","",IF(R145="","REST PENDENTE","REST OK"))</f>
      </c>
      <c r="Z145" s="3056">
        <f>IF(A145="","",IF(AND(R145&lt;&gt;"",COUNTIFS($D$3:$D$164,D145,$R$3:$R$164,"&lt;&gt;")&gt;1),"DUPLICADO","OK"))</f>
      </c>
      <c r="AA145" s="3056">
        <f>IF(A145="","",IF(OR(LEN(Q145)&gt;180,LEN(R145)&gt;180,LEN(S145)&gt;180,LEN(T145)&gt;180),"CAMINHO LONGO","OK"))</f>
      </c>
      <c r="AB145" s="3056">
        <f>IF(A145="","",IF(U145="","",IFERROR(INT(U145-TODAY()),"")))</f>
      </c>
      <c r="AC145" s="3056">
        <f>IF(A145="","",IF(AND(T145="",U145=""),"",IF(T145="","SEM CAMINHO",IF(U145="","SEM DATA",IFERROR(IF(AB145&lt;15,"VERMELHO",IF(AB145&lt;=30,"AMARELO","VERDE")),"DATA INVALIDA")))))</f>
      </c>
      <c r="AD145" s="3056">
        <f>IF(OR(A145="",U145="",NOT(ISNUMBER(AB145))),"",RANK(AB145,$AB$3:$AB$164,1)+COUNTIFS($AB$3:AB145,AB145)-1)</f>
      </c>
      <c r="AE145" s="1736"/>
    </row>
    <row r="146" ht="22.0" customHeight="true" hidden="false">
      <c r="A146" s="3134"/>
      <c r="B146" s="3133"/>
      <c r="C146" s="3133"/>
      <c r="D146" s="3133"/>
      <c r="E146" s="3133"/>
      <c r="F146" s="3133"/>
      <c r="G146" s="3133"/>
      <c r="H146" s="3133"/>
      <c r="I146" s="3133"/>
      <c r="J146" s="3133"/>
      <c r="K146" s="3133"/>
      <c r="L146" s="3133"/>
      <c r="M146" s="3133"/>
      <c r="N146" s="3133"/>
      <c r="O146" s="3133"/>
      <c r="P146" s="3133"/>
      <c r="Q146" s="3136"/>
      <c r="R146" s="3136"/>
      <c r="S146" s="3136"/>
      <c r="T146" s="3136"/>
      <c r="U146" s="3137"/>
      <c r="V146" s="3133"/>
      <c r="W146" s="3133"/>
      <c r="X146" s="3056">
        <f>IF(A146="","",IF(LEN(SUBSTITUTE(SUBSTITUTE(SUBSTITUTE(SUBSTITUTE(D146,".",""),"/",""),"-","")," ",""))&lt;&gt;14,"CNPJ INVALIDO","OK"))</f>
      </c>
      <c r="Y146" s="3056">
        <f>IF(A146="","",IF(R146="","REST PENDENTE","REST OK"))</f>
      </c>
      <c r="Z146" s="3056">
        <f>IF(A146="","",IF(AND(R146&lt;&gt;"",COUNTIFS($D$3:$D$164,D146,$R$3:$R$164,"&lt;&gt;")&gt;1),"DUPLICADO","OK"))</f>
      </c>
      <c r="AA146" s="3056">
        <f>IF(A146="","",IF(OR(LEN(Q146)&gt;180,LEN(R146)&gt;180,LEN(S146)&gt;180,LEN(T146)&gt;180),"CAMINHO LONGO","OK"))</f>
      </c>
      <c r="AB146" s="3056">
        <f>IF(A146="","",IF(U146="","",IFERROR(INT(U146-TODAY()),"")))</f>
      </c>
      <c r="AC146" s="3056">
        <f>IF(A146="","",IF(AND(T146="",U146=""),"",IF(T146="","SEM CAMINHO",IF(U146="","SEM DATA",IFERROR(IF(AB146&lt;15,"VERMELHO",IF(AB146&lt;=30,"AMARELO","VERDE")),"DATA INVALIDA")))))</f>
      </c>
      <c r="AD146" s="3056">
        <f>IF(OR(A146="",U146="",NOT(ISNUMBER(AB146))),"",RANK(AB146,$AB$3:$AB$164,1)+COUNTIFS($AB$3:AB146,AB146)-1)</f>
      </c>
      <c r="AE146" s="1736"/>
    </row>
    <row r="147" ht="22.0" customHeight="true" hidden="false">
      <c r="A147" s="3129"/>
      <c r="B147" s="3128"/>
      <c r="C147" s="3128"/>
      <c r="D147" s="3128"/>
      <c r="E147" s="3128"/>
      <c r="F147" s="3128"/>
      <c r="G147" s="3128"/>
      <c r="H147" s="3128"/>
      <c r="I147" s="3128"/>
      <c r="J147" s="3128"/>
      <c r="K147" s="3128"/>
      <c r="L147" s="3128"/>
      <c r="M147" s="3128"/>
      <c r="N147" s="3128"/>
      <c r="O147" s="3128"/>
      <c r="P147" s="3128"/>
      <c r="Q147" s="3131"/>
      <c r="R147" s="3131"/>
      <c r="S147" s="3131"/>
      <c r="T147" s="3131"/>
      <c r="U147" s="3132"/>
      <c r="V147" s="3128"/>
      <c r="W147" s="3128"/>
      <c r="X147" s="3056">
        <f>IF(A147="","",IF(LEN(SUBSTITUTE(SUBSTITUTE(SUBSTITUTE(SUBSTITUTE(D147,".",""),"/",""),"-","")," ",""))&lt;&gt;14,"CNPJ INVALIDO","OK"))</f>
      </c>
      <c r="Y147" s="3056">
        <f>IF(A147="","",IF(R147="","REST PENDENTE","REST OK"))</f>
      </c>
      <c r="Z147" s="3056">
        <f>IF(A147="","",IF(AND(R147&lt;&gt;"",COUNTIFS($D$3:$D$164,D147,$R$3:$R$164,"&lt;&gt;")&gt;1),"DUPLICADO","OK"))</f>
      </c>
      <c r="AA147" s="3056">
        <f>IF(A147="","",IF(OR(LEN(Q147)&gt;180,LEN(R147)&gt;180,LEN(S147)&gt;180,LEN(T147)&gt;180),"CAMINHO LONGO","OK"))</f>
      </c>
      <c r="AB147" s="3056">
        <f>IF(A147="","",IF(U147="","",IFERROR(INT(U147-TODAY()),"")))</f>
      </c>
      <c r="AC147" s="3056">
        <f>IF(A147="","",IF(AND(T147="",U147=""),"",IF(T147="","SEM CAMINHO",IF(U147="","SEM DATA",IFERROR(IF(AB147&lt;15,"VERMELHO",IF(AB147&lt;=30,"AMARELO","VERDE")),"DATA INVALIDA")))))</f>
      </c>
      <c r="AD147" s="3056">
        <f>IF(OR(A147="",U147="",NOT(ISNUMBER(AB147))),"",RANK(AB147,$AB$3:$AB$164,1)+COUNTIFS($AB$3:AB147,AB147)-1)</f>
      </c>
      <c r="AE147" s="1736"/>
    </row>
    <row r="148" ht="22.0" customHeight="true" hidden="false">
      <c r="A148" s="3134"/>
      <c r="B148" s="3133"/>
      <c r="C148" s="3133"/>
      <c r="D148" s="3133"/>
      <c r="E148" s="3133"/>
      <c r="F148" s="3133"/>
      <c r="G148" s="3133"/>
      <c r="H148" s="3133"/>
      <c r="I148" s="3133"/>
      <c r="J148" s="3133"/>
      <c r="K148" s="3133"/>
      <c r="L148" s="3133"/>
      <c r="M148" s="3133"/>
      <c r="N148" s="3133"/>
      <c r="O148" s="3133"/>
      <c r="P148" s="3133"/>
      <c r="Q148" s="3136"/>
      <c r="R148" s="3136"/>
      <c r="S148" s="3136"/>
      <c r="T148" s="3136"/>
      <c r="U148" s="3137"/>
      <c r="V148" s="3133"/>
      <c r="W148" s="3133"/>
      <c r="X148" s="3056">
        <f>IF(A148="","",IF(LEN(SUBSTITUTE(SUBSTITUTE(SUBSTITUTE(SUBSTITUTE(D148,".",""),"/",""),"-","")," ",""))&lt;&gt;14,"CNPJ INVALIDO","OK"))</f>
      </c>
      <c r="Y148" s="3056">
        <f>IF(A148="","",IF(R148="","REST PENDENTE","REST OK"))</f>
      </c>
      <c r="Z148" s="3056">
        <f>IF(A148="","",IF(AND(R148&lt;&gt;"",COUNTIFS($D$3:$D$164,D148,$R$3:$R$164,"&lt;&gt;")&gt;1),"DUPLICADO","OK"))</f>
      </c>
      <c r="AA148" s="3056">
        <f>IF(A148="","",IF(OR(LEN(Q148)&gt;180,LEN(R148)&gt;180,LEN(S148)&gt;180,LEN(T148)&gt;180),"CAMINHO LONGO","OK"))</f>
      </c>
      <c r="AB148" s="3056">
        <f>IF(A148="","",IF(U148="","",IFERROR(INT(U148-TODAY()),"")))</f>
      </c>
      <c r="AC148" s="3056">
        <f>IF(A148="","",IF(AND(T148="",U148=""),"",IF(T148="","SEM CAMINHO",IF(U148="","SEM DATA",IFERROR(IF(AB148&lt;15,"VERMELHO",IF(AB148&lt;=30,"AMARELO","VERDE")),"DATA INVALIDA")))))</f>
      </c>
      <c r="AD148" s="3056">
        <f>IF(OR(A148="",U148="",NOT(ISNUMBER(AB148))),"",RANK(AB148,$AB$3:$AB$164,1)+COUNTIFS($AB$3:AB148,AB148)-1)</f>
      </c>
      <c r="AE148" s="1736"/>
    </row>
    <row r="149" ht="22.0" customHeight="true" hidden="false">
      <c r="A149" s="3129"/>
      <c r="B149" s="3128"/>
      <c r="C149" s="3128"/>
      <c r="D149" s="3128"/>
      <c r="E149" s="3128"/>
      <c r="F149" s="3128"/>
      <c r="G149" s="3128"/>
      <c r="H149" s="3128"/>
      <c r="I149" s="3128"/>
      <c r="J149" s="3128"/>
      <c r="K149" s="3128"/>
      <c r="L149" s="3128"/>
      <c r="M149" s="3128"/>
      <c r="N149" s="3128"/>
      <c r="O149" s="3128"/>
      <c r="P149" s="3128"/>
      <c r="Q149" s="3131"/>
      <c r="R149" s="3131"/>
      <c r="S149" s="3131"/>
      <c r="T149" s="3131"/>
      <c r="U149" s="3132"/>
      <c r="V149" s="3128"/>
      <c r="W149" s="3128"/>
      <c r="X149" s="3056">
        <f>IF(A149="","",IF(LEN(SUBSTITUTE(SUBSTITUTE(SUBSTITUTE(SUBSTITUTE(D149,".",""),"/",""),"-","")," ",""))&lt;&gt;14,"CNPJ INVALIDO","OK"))</f>
      </c>
      <c r="Y149" s="3056">
        <f>IF(A149="","",IF(R149="","REST PENDENTE","REST OK"))</f>
      </c>
      <c r="Z149" s="3056">
        <f>IF(A149="","",IF(AND(R149&lt;&gt;"",COUNTIFS($D$3:$D$164,D149,$R$3:$R$164,"&lt;&gt;")&gt;1),"DUPLICADO","OK"))</f>
      </c>
      <c r="AA149" s="3056">
        <f>IF(A149="","",IF(OR(LEN(Q149)&gt;180,LEN(R149)&gt;180,LEN(S149)&gt;180,LEN(T149)&gt;180),"CAMINHO LONGO","OK"))</f>
      </c>
      <c r="AB149" s="3056">
        <f>IF(A149="","",IF(U149="","",IFERROR(INT(U149-TODAY()),"")))</f>
      </c>
      <c r="AC149" s="3056">
        <f>IF(A149="","",IF(AND(T149="",U149=""),"",IF(T149="","SEM CAMINHO",IF(U149="","SEM DATA",IFERROR(IF(AB149&lt;15,"VERMELHO",IF(AB149&lt;=30,"AMARELO","VERDE")),"DATA INVALIDA")))))</f>
      </c>
      <c r="AD149" s="3056">
        <f>IF(OR(A149="",U149="",NOT(ISNUMBER(AB149))),"",RANK(AB149,$AB$3:$AB$164,1)+COUNTIFS($AB$3:AB149,AB149)-1)</f>
      </c>
      <c r="AE149" s="1736"/>
    </row>
    <row r="150" ht="22.0" customHeight="true" hidden="false">
      <c r="A150" s="3134"/>
      <c r="B150" s="3133"/>
      <c r="C150" s="3133"/>
      <c r="D150" s="3133"/>
      <c r="E150" s="3133"/>
      <c r="F150" s="3133"/>
      <c r="G150" s="3133"/>
      <c r="H150" s="3133"/>
      <c r="I150" s="3133"/>
      <c r="J150" s="3133"/>
      <c r="K150" s="3133"/>
      <c r="L150" s="3133"/>
      <c r="M150" s="3133"/>
      <c r="N150" s="3133"/>
      <c r="O150" s="3133"/>
      <c r="P150" s="3133"/>
      <c r="Q150" s="3136"/>
      <c r="R150" s="3136"/>
      <c r="S150" s="3136"/>
      <c r="T150" s="3136"/>
      <c r="U150" s="3137"/>
      <c r="V150" s="3133"/>
      <c r="W150" s="3133"/>
      <c r="X150" s="3056">
        <f>IF(A150="","",IF(LEN(SUBSTITUTE(SUBSTITUTE(SUBSTITUTE(SUBSTITUTE(D150,".",""),"/",""),"-","")," ",""))&lt;&gt;14,"CNPJ INVALIDO","OK"))</f>
      </c>
      <c r="Y150" s="3056">
        <f>IF(A150="","",IF(R150="","REST PENDENTE","REST OK"))</f>
      </c>
      <c r="Z150" s="3056">
        <f>IF(A150="","",IF(AND(R150&lt;&gt;"",COUNTIFS($D$3:$D$164,D150,$R$3:$R$164,"&lt;&gt;")&gt;1),"DUPLICADO","OK"))</f>
      </c>
      <c r="AA150" s="3056">
        <f>IF(A150="","",IF(OR(LEN(Q150)&gt;180,LEN(R150)&gt;180,LEN(S150)&gt;180,LEN(T150)&gt;180),"CAMINHO LONGO","OK"))</f>
      </c>
      <c r="AB150" s="3056">
        <f>IF(A150="","",IF(U150="","",IFERROR(INT(U150-TODAY()),"")))</f>
      </c>
      <c r="AC150" s="3056">
        <f>IF(A150="","",IF(AND(T150="",U150=""),"",IF(T150="","SEM CAMINHO",IF(U150="","SEM DATA",IFERROR(IF(AB150&lt;15,"VERMELHO",IF(AB150&lt;=30,"AMARELO","VERDE")),"DATA INVALIDA")))))</f>
      </c>
      <c r="AD150" s="3056">
        <f>IF(OR(A150="",U150="",NOT(ISNUMBER(AB150))),"",RANK(AB150,$AB$3:$AB$164,1)+COUNTIFS($AB$3:AB150,AB150)-1)</f>
      </c>
      <c r="AE150" s="1736"/>
    </row>
    <row r="151" ht="22.0" customHeight="true" hidden="false">
      <c r="A151" s="3129"/>
      <c r="B151" s="3128"/>
      <c r="C151" s="3128"/>
      <c r="D151" s="3128"/>
      <c r="E151" s="3128"/>
      <c r="F151" s="3128"/>
      <c r="G151" s="3128"/>
      <c r="H151" s="3128"/>
      <c r="I151" s="3128"/>
      <c r="J151" s="3128"/>
      <c r="K151" s="3128"/>
      <c r="L151" s="3128"/>
      <c r="M151" s="3128"/>
      <c r="N151" s="3128"/>
      <c r="O151" s="3128"/>
      <c r="P151" s="3128"/>
      <c r="Q151" s="3131"/>
      <c r="R151" s="3131"/>
      <c r="S151" s="3131"/>
      <c r="T151" s="3131"/>
      <c r="U151" s="3132"/>
      <c r="V151" s="3128"/>
      <c r="W151" s="3128"/>
      <c r="X151" s="3056">
        <f>IF(A151="","",IF(LEN(SUBSTITUTE(SUBSTITUTE(SUBSTITUTE(SUBSTITUTE(D151,".",""),"/",""),"-","")," ",""))&lt;&gt;14,"CNPJ INVALIDO","OK"))</f>
      </c>
      <c r="Y151" s="3056">
        <f>IF(A151="","",IF(R151="","REST PENDENTE","REST OK"))</f>
      </c>
      <c r="Z151" s="3056">
        <f>IF(A151="","",IF(AND(R151&lt;&gt;"",COUNTIFS($D$3:$D$164,D151,$R$3:$R$164,"&lt;&gt;")&gt;1),"DUPLICADO","OK"))</f>
      </c>
      <c r="AA151" s="3056">
        <f>IF(A151="","",IF(OR(LEN(Q151)&gt;180,LEN(R151)&gt;180,LEN(S151)&gt;180,LEN(T151)&gt;180),"CAMINHO LONGO","OK"))</f>
      </c>
      <c r="AB151" s="3056">
        <f>IF(A151="","",IF(U151="","",IFERROR(INT(U151-TODAY()),"")))</f>
      </c>
      <c r="AC151" s="3056">
        <f>IF(A151="","",IF(AND(T151="",U151=""),"",IF(T151="","SEM CAMINHO",IF(U151="","SEM DATA",IFERROR(IF(AB151&lt;15,"VERMELHO",IF(AB151&lt;=30,"AMARELO","VERDE")),"DATA INVALIDA")))))</f>
      </c>
      <c r="AD151" s="3056">
        <f>IF(OR(A151="",U151="",NOT(ISNUMBER(AB151))),"",RANK(AB151,$AB$3:$AB$164,1)+COUNTIFS($AB$3:AB151,AB151)-1)</f>
      </c>
      <c r="AE151" s="1736"/>
    </row>
    <row r="152" ht="22.0" customHeight="true" hidden="false">
      <c r="A152" s="3134"/>
      <c r="B152" s="3133"/>
      <c r="C152" s="3133"/>
      <c r="D152" s="3133"/>
      <c r="E152" s="3133"/>
      <c r="F152" s="3133"/>
      <c r="G152" s="3133"/>
      <c r="H152" s="3133"/>
      <c r="I152" s="3133"/>
      <c r="J152" s="3133"/>
      <c r="K152" s="3133"/>
      <c r="L152" s="3133"/>
      <c r="M152" s="3133"/>
      <c r="N152" s="3133"/>
      <c r="O152" s="3133"/>
      <c r="P152" s="3133"/>
      <c r="Q152" s="3136"/>
      <c r="R152" s="3136"/>
      <c r="S152" s="3136"/>
      <c r="T152" s="3136"/>
      <c r="U152" s="3137"/>
      <c r="V152" s="3133"/>
      <c r="W152" s="3133"/>
      <c r="X152" s="3056">
        <f>IF(A152="","",IF(LEN(SUBSTITUTE(SUBSTITUTE(SUBSTITUTE(SUBSTITUTE(D152,".",""),"/",""),"-","")," ",""))&lt;&gt;14,"CNPJ INVALIDO","OK"))</f>
      </c>
      <c r="Y152" s="3056">
        <f>IF(A152="","",IF(R152="","REST PENDENTE","REST OK"))</f>
      </c>
      <c r="Z152" s="3056">
        <f>IF(A152="","",IF(AND(R152&lt;&gt;"",COUNTIFS($D$3:$D$164,D152,$R$3:$R$164,"&lt;&gt;")&gt;1),"DUPLICADO","OK"))</f>
      </c>
      <c r="AA152" s="3056">
        <f>IF(A152="","",IF(OR(LEN(Q152)&gt;180,LEN(R152)&gt;180,LEN(S152)&gt;180,LEN(T152)&gt;180),"CAMINHO LONGO","OK"))</f>
      </c>
      <c r="AB152" s="3056">
        <f>IF(A152="","",IF(U152="","",IFERROR(INT(U152-TODAY()),"")))</f>
      </c>
      <c r="AC152" s="3056">
        <f>IF(A152="","",IF(AND(T152="",U152=""),"",IF(T152="","SEM CAMINHO",IF(U152="","SEM DATA",IFERROR(IF(AB152&lt;15,"VERMELHO",IF(AB152&lt;=30,"AMARELO","VERDE")),"DATA INVALIDA")))))</f>
      </c>
      <c r="AD152" s="3056">
        <f>IF(OR(A152="",U152="",NOT(ISNUMBER(AB152))),"",RANK(AB152,$AB$3:$AB$164,1)+COUNTIFS($AB$3:AB152,AB152)-1)</f>
      </c>
      <c r="AE152" s="1736"/>
    </row>
    <row r="153" ht="22.0" customHeight="true" hidden="false">
      <c r="A153" s="3129"/>
      <c r="B153" s="3128"/>
      <c r="C153" s="3128"/>
      <c r="D153" s="3128"/>
      <c r="E153" s="3128"/>
      <c r="F153" s="3128"/>
      <c r="G153" s="3128"/>
      <c r="H153" s="3128"/>
      <c r="I153" s="3128"/>
      <c r="J153" s="3128"/>
      <c r="K153" s="3128"/>
      <c r="L153" s="3128"/>
      <c r="M153" s="3128"/>
      <c r="N153" s="3128"/>
      <c r="O153" s="3128"/>
      <c r="P153" s="3128"/>
      <c r="Q153" s="3131"/>
      <c r="R153" s="3131"/>
      <c r="S153" s="3131"/>
      <c r="T153" s="3131"/>
      <c r="U153" s="3132"/>
      <c r="V153" s="3128"/>
      <c r="W153" s="3128"/>
      <c r="X153" s="3056">
        <f>IF(A153="","",IF(LEN(SUBSTITUTE(SUBSTITUTE(SUBSTITUTE(SUBSTITUTE(D153,".",""),"/",""),"-","")," ",""))&lt;&gt;14,"CNPJ INVALIDO","OK"))</f>
      </c>
      <c r="Y153" s="3056">
        <f>IF(A153="","",IF(R153="","REST PENDENTE","REST OK"))</f>
      </c>
      <c r="Z153" s="3056">
        <f>IF(A153="","",IF(AND(R153&lt;&gt;"",COUNTIFS($D$3:$D$164,D153,$R$3:$R$164,"&lt;&gt;")&gt;1),"DUPLICADO","OK"))</f>
      </c>
      <c r="AA153" s="3056">
        <f>IF(A153="","",IF(OR(LEN(Q153)&gt;180,LEN(R153)&gt;180,LEN(S153)&gt;180,LEN(T153)&gt;180),"CAMINHO LONGO","OK"))</f>
      </c>
      <c r="AB153" s="3056">
        <f>IF(A153="","",IF(U153="","",IFERROR(INT(U153-TODAY()),"")))</f>
      </c>
      <c r="AC153" s="3056">
        <f>IF(A153="","",IF(AND(T153="",U153=""),"",IF(T153="","SEM CAMINHO",IF(U153="","SEM DATA",IFERROR(IF(AB153&lt;15,"VERMELHO",IF(AB153&lt;=30,"AMARELO","VERDE")),"DATA INVALIDA")))))</f>
      </c>
      <c r="AD153" s="3056">
        <f>IF(OR(A153="",U153="",NOT(ISNUMBER(AB153))),"",RANK(AB153,$AB$3:$AB$164,1)+COUNTIFS($AB$3:AB153,AB153)-1)</f>
      </c>
      <c r="AE153" s="1736"/>
    </row>
    <row r="154" ht="22.0" customHeight="true" hidden="false">
      <c r="A154" s="3134"/>
      <c r="B154" s="3133"/>
      <c r="C154" s="3133"/>
      <c r="D154" s="3133"/>
      <c r="E154" s="3133"/>
      <c r="F154" s="3133"/>
      <c r="G154" s="3133"/>
      <c r="H154" s="3133"/>
      <c r="I154" s="3133"/>
      <c r="J154" s="3133"/>
      <c r="K154" s="3133"/>
      <c r="L154" s="3133"/>
      <c r="M154" s="3133"/>
      <c r="N154" s="3133"/>
      <c r="O154" s="3133"/>
      <c r="P154" s="3133"/>
      <c r="Q154" s="3136"/>
      <c r="R154" s="3136"/>
      <c r="S154" s="3136"/>
      <c r="T154" s="3136"/>
      <c r="U154" s="3137"/>
      <c r="V154" s="3133"/>
      <c r="W154" s="3133"/>
      <c r="X154" s="3056">
        <f>IF(A154="","",IF(LEN(SUBSTITUTE(SUBSTITUTE(SUBSTITUTE(SUBSTITUTE(D154,".",""),"/",""),"-","")," ",""))&lt;&gt;14,"CNPJ INVALIDO","OK"))</f>
      </c>
      <c r="Y154" s="3056">
        <f>IF(A154="","",IF(R154="","REST PENDENTE","REST OK"))</f>
      </c>
      <c r="Z154" s="3056">
        <f>IF(A154="","",IF(AND(R154&lt;&gt;"",COUNTIFS($D$3:$D$164,D154,$R$3:$R$164,"&lt;&gt;")&gt;1),"DUPLICADO","OK"))</f>
      </c>
      <c r="AA154" s="3056">
        <f>IF(A154="","",IF(OR(LEN(Q154)&gt;180,LEN(R154)&gt;180,LEN(S154)&gt;180,LEN(T154)&gt;180),"CAMINHO LONGO","OK"))</f>
      </c>
      <c r="AB154" s="3056">
        <f>IF(A154="","",IF(U154="","",IFERROR(INT(U154-TODAY()),"")))</f>
      </c>
      <c r="AC154" s="3056">
        <f>IF(A154="","",IF(AND(T154="",U154=""),"",IF(T154="","SEM CAMINHO",IF(U154="","SEM DATA",IFERROR(IF(AB154&lt;15,"VERMELHO",IF(AB154&lt;=30,"AMARELO","VERDE")),"DATA INVALIDA")))))</f>
      </c>
      <c r="AD154" s="3056">
        <f>IF(OR(A154="",U154="",NOT(ISNUMBER(AB154))),"",RANK(AB154,$AB$3:$AB$164,1)+COUNTIFS($AB$3:AB154,AB154)-1)</f>
      </c>
      <c r="AE154" s="1736"/>
    </row>
    <row r="155" ht="22.0" customHeight="true" hidden="false">
      <c r="A155" s="3129"/>
      <c r="B155" s="3128"/>
      <c r="C155" s="3128"/>
      <c r="D155" s="3128"/>
      <c r="E155" s="3128"/>
      <c r="F155" s="3128"/>
      <c r="G155" s="3128"/>
      <c r="H155" s="3128"/>
      <c r="I155" s="3128"/>
      <c r="J155" s="3128"/>
      <c r="K155" s="3128"/>
      <c r="L155" s="3128"/>
      <c r="M155" s="3128"/>
      <c r="N155" s="3128"/>
      <c r="O155" s="3128"/>
      <c r="P155" s="3128"/>
      <c r="Q155" s="3131"/>
      <c r="R155" s="3131"/>
      <c r="S155" s="3131"/>
      <c r="T155" s="3131"/>
      <c r="U155" s="3132"/>
      <c r="V155" s="3128"/>
      <c r="W155" s="3128"/>
      <c r="X155" s="3056">
        <f>IF(A155="","",IF(LEN(SUBSTITUTE(SUBSTITUTE(SUBSTITUTE(SUBSTITUTE(D155,".",""),"/",""),"-","")," ",""))&lt;&gt;14,"CNPJ INVALIDO","OK"))</f>
      </c>
      <c r="Y155" s="3056">
        <f>IF(A155="","",IF(R155="","REST PENDENTE","REST OK"))</f>
      </c>
      <c r="Z155" s="3056">
        <f>IF(A155="","",IF(AND(R155&lt;&gt;"",COUNTIFS($D$3:$D$164,D155,$R$3:$R$164,"&lt;&gt;")&gt;1),"DUPLICADO","OK"))</f>
      </c>
      <c r="AA155" s="3056">
        <f>IF(A155="","",IF(OR(LEN(Q155)&gt;180,LEN(R155)&gt;180,LEN(S155)&gt;180,LEN(T155)&gt;180),"CAMINHO LONGO","OK"))</f>
      </c>
      <c r="AB155" s="3056">
        <f>IF(A155="","",IF(U155="","",IFERROR(INT(U155-TODAY()),"")))</f>
      </c>
      <c r="AC155" s="3056">
        <f>IF(A155="","",IF(AND(T155="",U155=""),"",IF(T155="","SEM CAMINHO",IF(U155="","SEM DATA",IFERROR(IF(AB155&lt;15,"VERMELHO",IF(AB155&lt;=30,"AMARELO","VERDE")),"DATA INVALIDA")))))</f>
      </c>
      <c r="AD155" s="3056">
        <f>IF(OR(A155="",U155="",NOT(ISNUMBER(AB155))),"",RANK(AB155,$AB$3:$AB$164,1)+COUNTIFS($AB$3:AB155,AB155)-1)</f>
      </c>
      <c r="AE155" s="1736"/>
    </row>
    <row r="156" ht="22.0" customHeight="true" hidden="false">
      <c r="A156" s="3134"/>
      <c r="B156" s="3133"/>
      <c r="C156" s="3133"/>
      <c r="D156" s="3133"/>
      <c r="E156" s="3133"/>
      <c r="F156" s="3133"/>
      <c r="G156" s="3133"/>
      <c r="H156" s="3133"/>
      <c r="I156" s="3133"/>
      <c r="J156" s="3133"/>
      <c r="K156" s="3133"/>
      <c r="L156" s="3133"/>
      <c r="M156" s="3133"/>
      <c r="N156" s="3133"/>
      <c r="O156" s="3133"/>
      <c r="P156" s="3133"/>
      <c r="Q156" s="3136"/>
      <c r="R156" s="3136"/>
      <c r="S156" s="3136"/>
      <c r="T156" s="3136"/>
      <c r="U156" s="3137"/>
      <c r="V156" s="3133"/>
      <c r="W156" s="3133"/>
      <c r="X156" s="3056">
        <f>IF(A156="","",IF(LEN(SUBSTITUTE(SUBSTITUTE(SUBSTITUTE(SUBSTITUTE(D156,".",""),"/",""),"-","")," ",""))&lt;&gt;14,"CNPJ INVALIDO","OK"))</f>
      </c>
      <c r="Y156" s="3056">
        <f>IF(A156="","",IF(R156="","REST PENDENTE","REST OK"))</f>
      </c>
      <c r="Z156" s="3056">
        <f>IF(A156="","",IF(AND(R156&lt;&gt;"",COUNTIFS($D$3:$D$164,D156,$R$3:$R$164,"&lt;&gt;")&gt;1),"DUPLICADO","OK"))</f>
      </c>
      <c r="AA156" s="3056">
        <f>IF(A156="","",IF(OR(LEN(Q156)&gt;180,LEN(R156)&gt;180,LEN(S156)&gt;180,LEN(T156)&gt;180),"CAMINHO LONGO","OK"))</f>
      </c>
      <c r="AB156" s="3056">
        <f>IF(A156="","",IF(U156="","",IFERROR(INT(U156-TODAY()),"")))</f>
      </c>
      <c r="AC156" s="3056">
        <f>IF(A156="","",IF(AND(T156="",U156=""),"",IF(T156="","SEM CAMINHO",IF(U156="","SEM DATA",IFERROR(IF(AB156&lt;15,"VERMELHO",IF(AB156&lt;=30,"AMARELO","VERDE")),"DATA INVALIDA")))))</f>
      </c>
      <c r="AD156" s="3056">
        <f>IF(OR(A156="",U156="",NOT(ISNUMBER(AB156))),"",RANK(AB156,$AB$3:$AB$164,1)+COUNTIFS($AB$3:AB156,AB156)-1)</f>
      </c>
      <c r="AE156" s="1736"/>
    </row>
    <row r="157" ht="22.0" customHeight="true" hidden="false">
      <c r="A157" s="3129"/>
      <c r="B157" s="3128"/>
      <c r="C157" s="3128"/>
      <c r="D157" s="3128"/>
      <c r="E157" s="3128"/>
      <c r="F157" s="3128"/>
      <c r="G157" s="3128"/>
      <c r="H157" s="3128"/>
      <c r="I157" s="3128"/>
      <c r="J157" s="3128"/>
      <c r="K157" s="3128"/>
      <c r="L157" s="3128"/>
      <c r="M157" s="3128"/>
      <c r="N157" s="3128"/>
      <c r="O157" s="3128"/>
      <c r="P157" s="3128"/>
      <c r="Q157" s="3131"/>
      <c r="R157" s="3131"/>
      <c r="S157" s="3131"/>
      <c r="T157" s="3131"/>
      <c r="U157" s="3132"/>
      <c r="V157" s="3128"/>
      <c r="W157" s="3128"/>
      <c r="X157" s="3056">
        <f>IF(A157="","",IF(LEN(SUBSTITUTE(SUBSTITUTE(SUBSTITUTE(SUBSTITUTE(D157,".",""),"/",""),"-","")," ",""))&lt;&gt;14,"CNPJ INVALIDO","OK"))</f>
      </c>
      <c r="Y157" s="3056">
        <f>IF(A157="","",IF(R157="","REST PENDENTE","REST OK"))</f>
      </c>
      <c r="Z157" s="3056">
        <f>IF(A157="","",IF(AND(R157&lt;&gt;"",COUNTIFS($D$3:$D$164,D157,$R$3:$R$164,"&lt;&gt;")&gt;1),"DUPLICADO","OK"))</f>
      </c>
      <c r="AA157" s="3056">
        <f>IF(A157="","",IF(OR(LEN(Q157)&gt;180,LEN(R157)&gt;180,LEN(S157)&gt;180,LEN(T157)&gt;180),"CAMINHO LONGO","OK"))</f>
      </c>
      <c r="AB157" s="3056">
        <f>IF(A157="","",IF(U157="","",IFERROR(INT(U157-TODAY()),"")))</f>
      </c>
      <c r="AC157" s="3056">
        <f>IF(A157="","",IF(AND(T157="",U157=""),"",IF(T157="","SEM CAMINHO",IF(U157="","SEM DATA",IFERROR(IF(AB157&lt;15,"VERMELHO",IF(AB157&lt;=30,"AMARELO","VERDE")),"DATA INVALIDA")))))</f>
      </c>
      <c r="AD157" s="3056">
        <f>IF(OR(A157="",U157="",NOT(ISNUMBER(AB157))),"",RANK(AB157,$AB$3:$AB$164,1)+COUNTIFS($AB$3:AB157,AB157)-1)</f>
      </c>
      <c r="AE157" s="1736"/>
    </row>
    <row r="158" ht="22.0" customHeight="true" hidden="false">
      <c r="A158" s="3134"/>
      <c r="B158" s="3133"/>
      <c r="C158" s="3133"/>
      <c r="D158" s="3133"/>
      <c r="E158" s="3133"/>
      <c r="F158" s="3133"/>
      <c r="G158" s="3133"/>
      <c r="H158" s="3133"/>
      <c r="I158" s="3133"/>
      <c r="J158" s="3133"/>
      <c r="K158" s="3133"/>
      <c r="L158" s="3133"/>
      <c r="M158" s="3133"/>
      <c r="N158" s="3133"/>
      <c r="O158" s="3133"/>
      <c r="P158" s="3133"/>
      <c r="Q158" s="3136"/>
      <c r="R158" s="3136"/>
      <c r="S158" s="3136"/>
      <c r="T158" s="3136"/>
      <c r="U158" s="3137"/>
      <c r="V158" s="3133"/>
      <c r="W158" s="3133"/>
      <c r="X158" s="3056">
        <f>IF(A158="","",IF(LEN(SUBSTITUTE(SUBSTITUTE(SUBSTITUTE(SUBSTITUTE(D158,".",""),"/",""),"-","")," ",""))&lt;&gt;14,"CNPJ INVALIDO","OK"))</f>
      </c>
      <c r="Y158" s="3056">
        <f>IF(A158="","",IF(R158="","REST PENDENTE","REST OK"))</f>
      </c>
      <c r="Z158" s="3056">
        <f>IF(A158="","",IF(AND(R158&lt;&gt;"",COUNTIFS($D$3:$D$164,D158,$R$3:$R$164,"&lt;&gt;")&gt;1),"DUPLICADO","OK"))</f>
      </c>
      <c r="AA158" s="3056">
        <f>IF(A158="","",IF(OR(LEN(Q158)&gt;180,LEN(R158)&gt;180,LEN(S158)&gt;180,LEN(T158)&gt;180),"CAMINHO LONGO","OK"))</f>
      </c>
      <c r="AB158" s="3056">
        <f>IF(A158="","",IF(U158="","",IFERROR(INT(U158-TODAY()),"")))</f>
      </c>
      <c r="AC158" s="3056">
        <f>IF(A158="","",IF(AND(T158="",U158=""),"",IF(T158="","SEM CAMINHO",IF(U158="","SEM DATA",IFERROR(IF(AB158&lt;15,"VERMELHO",IF(AB158&lt;=30,"AMARELO","VERDE")),"DATA INVALIDA")))))</f>
      </c>
      <c r="AD158" s="3056">
        <f>IF(OR(A158="",U158="",NOT(ISNUMBER(AB158))),"",RANK(AB158,$AB$3:$AB$164,1)+COUNTIFS($AB$3:AB158,AB158)-1)</f>
      </c>
      <c r="AE158" s="1736"/>
    </row>
    <row r="159" ht="22.0" customHeight="true" hidden="false">
      <c r="A159" s="3129"/>
      <c r="B159" s="3128"/>
      <c r="C159" s="3128"/>
      <c r="D159" s="3128"/>
      <c r="E159" s="3128"/>
      <c r="F159" s="3128"/>
      <c r="G159" s="3128"/>
      <c r="H159" s="3128"/>
      <c r="I159" s="3128"/>
      <c r="J159" s="3128"/>
      <c r="K159" s="3128"/>
      <c r="L159" s="3128"/>
      <c r="M159" s="3128"/>
      <c r="N159" s="3128"/>
      <c r="O159" s="3128"/>
      <c r="P159" s="3128"/>
      <c r="Q159" s="3131"/>
      <c r="R159" s="3131"/>
      <c r="S159" s="3131"/>
      <c r="T159" s="3131"/>
      <c r="U159" s="3132"/>
      <c r="V159" s="3128"/>
      <c r="W159" s="3128"/>
      <c r="X159" s="3056">
        <f>IF(A159="","",IF(LEN(SUBSTITUTE(SUBSTITUTE(SUBSTITUTE(SUBSTITUTE(D159,".",""),"/",""),"-","")," ",""))&lt;&gt;14,"CNPJ INVALIDO","OK"))</f>
      </c>
      <c r="Y159" s="3056">
        <f>IF(A159="","",IF(R159="","REST PENDENTE","REST OK"))</f>
      </c>
      <c r="Z159" s="3056">
        <f>IF(A159="","",IF(AND(R159&lt;&gt;"",COUNTIFS($D$3:$D$164,D159,$R$3:$R$164,"&lt;&gt;")&gt;1),"DUPLICADO","OK"))</f>
      </c>
      <c r="AA159" s="3056">
        <f>IF(A159="","",IF(OR(LEN(Q159)&gt;180,LEN(R159)&gt;180,LEN(S159)&gt;180,LEN(T159)&gt;180),"CAMINHO LONGO","OK"))</f>
      </c>
      <c r="AB159" s="3056">
        <f>IF(A159="","",IF(U159="","",IFERROR(INT(U159-TODAY()),"")))</f>
      </c>
      <c r="AC159" s="3056">
        <f>IF(A159="","",IF(AND(T159="",U159=""),"",IF(T159="","SEM CAMINHO",IF(U159="","SEM DATA",IFERROR(IF(AB159&lt;15,"VERMELHO",IF(AB159&lt;=30,"AMARELO","VERDE")),"DATA INVALIDA")))))</f>
      </c>
      <c r="AD159" s="3056">
        <f>IF(OR(A159="",U159="",NOT(ISNUMBER(AB159))),"",RANK(AB159,$AB$3:$AB$164,1)+COUNTIFS($AB$3:AB159,AB159)-1)</f>
      </c>
      <c r="AE159" s="1736"/>
    </row>
    <row r="160" ht="22.0" customHeight="true" hidden="false">
      <c r="A160" s="3134"/>
      <c r="B160" s="3133"/>
      <c r="C160" s="3133"/>
      <c r="D160" s="3133"/>
      <c r="E160" s="3133"/>
      <c r="F160" s="3133"/>
      <c r="G160" s="3133"/>
      <c r="H160" s="3133"/>
      <c r="I160" s="3133"/>
      <c r="J160" s="3133"/>
      <c r="K160" s="3133"/>
      <c r="L160" s="3133"/>
      <c r="M160" s="3133"/>
      <c r="N160" s="3133"/>
      <c r="O160" s="3133"/>
      <c r="P160" s="3133"/>
      <c r="Q160" s="3136"/>
      <c r="R160" s="3136"/>
      <c r="S160" s="3136"/>
      <c r="T160" s="3136"/>
      <c r="U160" s="3137"/>
      <c r="V160" s="3133"/>
      <c r="W160" s="3133"/>
      <c r="X160" s="3056">
        <f>IF(A160="","",IF(LEN(SUBSTITUTE(SUBSTITUTE(SUBSTITUTE(SUBSTITUTE(D160,".",""),"/",""),"-","")," ",""))&lt;&gt;14,"CNPJ INVALIDO","OK"))</f>
      </c>
      <c r="Y160" s="3056">
        <f>IF(A160="","",IF(R160="","REST PENDENTE","REST OK"))</f>
      </c>
      <c r="Z160" s="3056">
        <f>IF(A160="","",IF(AND(R160&lt;&gt;"",COUNTIFS($D$3:$D$164,D160,$R$3:$R$164,"&lt;&gt;")&gt;1),"DUPLICADO","OK"))</f>
      </c>
      <c r="AA160" s="3056">
        <f>IF(A160="","",IF(OR(LEN(Q160)&gt;180,LEN(R160)&gt;180,LEN(S160)&gt;180,LEN(T160)&gt;180),"CAMINHO LONGO","OK"))</f>
      </c>
      <c r="AB160" s="3056">
        <f>IF(A160="","",IF(U160="","",IFERROR(INT(U160-TODAY()),"")))</f>
      </c>
      <c r="AC160" s="3056">
        <f>IF(A160="","",IF(AND(T160="",U160=""),"",IF(T160="","SEM CAMINHO",IF(U160="","SEM DATA",IFERROR(IF(AB160&lt;15,"VERMELHO",IF(AB160&lt;=30,"AMARELO","VERDE")),"DATA INVALIDA")))))</f>
      </c>
      <c r="AD160" s="3056">
        <f>IF(OR(A160="",U160="",NOT(ISNUMBER(AB160))),"",RANK(AB160,$AB$3:$AB$164,1)+COUNTIFS($AB$3:AB160,AB160)-1)</f>
      </c>
      <c r="AE160" s="1736"/>
    </row>
    <row r="161" ht="22.0" customHeight="true" hidden="false">
      <c r="A161" s="3129"/>
      <c r="B161" s="3128"/>
      <c r="C161" s="3128"/>
      <c r="D161" s="3128"/>
      <c r="E161" s="3128"/>
      <c r="F161" s="3128"/>
      <c r="G161" s="3128"/>
      <c r="H161" s="3128"/>
      <c r="I161" s="3128"/>
      <c r="J161" s="3128"/>
      <c r="K161" s="3128"/>
      <c r="L161" s="3128"/>
      <c r="M161" s="3128"/>
      <c r="N161" s="3128"/>
      <c r="O161" s="3128"/>
      <c r="P161" s="3128"/>
      <c r="Q161" s="3131"/>
      <c r="R161" s="3131"/>
      <c r="S161" s="3131"/>
      <c r="T161" s="3131"/>
      <c r="U161" s="3132"/>
      <c r="V161" s="3128"/>
      <c r="W161" s="3128"/>
      <c r="X161" s="3056">
        <f>IF(A161="","",IF(LEN(SUBSTITUTE(SUBSTITUTE(SUBSTITUTE(SUBSTITUTE(D161,".",""),"/",""),"-","")," ",""))&lt;&gt;14,"CNPJ INVALIDO","OK"))</f>
      </c>
      <c r="Y161" s="3056">
        <f>IF(A161="","",IF(R161="","REST PENDENTE","REST OK"))</f>
      </c>
      <c r="Z161" s="3056">
        <f>IF(A161="","",IF(AND(R161&lt;&gt;"",COUNTIFS($D$3:$D$164,D161,$R$3:$R$164,"&lt;&gt;")&gt;1),"DUPLICADO","OK"))</f>
      </c>
      <c r="AA161" s="3056">
        <f>IF(A161="","",IF(OR(LEN(Q161)&gt;180,LEN(R161)&gt;180,LEN(S161)&gt;180,LEN(T161)&gt;180),"CAMINHO LONGO","OK"))</f>
      </c>
      <c r="AB161" s="3056">
        <f>IF(A161="","",IF(U161="","",IFERROR(INT(U161-TODAY()),"")))</f>
      </c>
      <c r="AC161" s="3056">
        <f>IF(A161="","",IF(AND(T161="",U161=""),"",IF(T161="","SEM CAMINHO",IF(U161="","SEM DATA",IFERROR(IF(AB161&lt;15,"VERMELHO",IF(AB161&lt;=30,"AMARELO","VERDE")),"DATA INVALIDA")))))</f>
      </c>
      <c r="AD161" s="3056">
        <f>IF(OR(A161="",U161="",NOT(ISNUMBER(AB161))),"",RANK(AB161,$AB$3:$AB$164,1)+COUNTIFS($AB$3:AB161,AB161)-1)</f>
      </c>
      <c r="AE161" s="1736"/>
    </row>
    <row r="162" ht="22.0" customHeight="true" hidden="false">
      <c r="A162" s="3134"/>
      <c r="B162" s="3133"/>
      <c r="C162" s="3133"/>
      <c r="D162" s="3133"/>
      <c r="E162" s="3133"/>
      <c r="F162" s="3133"/>
      <c r="G162" s="3133"/>
      <c r="H162" s="3133"/>
      <c r="I162" s="3133"/>
      <c r="J162" s="3133"/>
      <c r="K162" s="3133"/>
      <c r="L162" s="3133"/>
      <c r="M162" s="3133"/>
      <c r="N162" s="3133"/>
      <c r="O162" s="3133"/>
      <c r="P162" s="3133"/>
      <c r="Q162" s="3136"/>
      <c r="R162" s="3136"/>
      <c r="S162" s="3136"/>
      <c r="T162" s="3136"/>
      <c r="U162" s="3137"/>
      <c r="V162" s="3133"/>
      <c r="W162" s="3133"/>
      <c r="X162" s="3056">
        <f>IF(A162="","",IF(LEN(SUBSTITUTE(SUBSTITUTE(SUBSTITUTE(SUBSTITUTE(D162,".",""),"/",""),"-","")," ",""))&lt;&gt;14,"CNPJ INVALIDO","OK"))</f>
      </c>
      <c r="Y162" s="3056">
        <f>IF(A162="","",IF(R162="","REST PENDENTE","REST OK"))</f>
      </c>
      <c r="Z162" s="3056">
        <f>IF(A162="","",IF(AND(R162&lt;&gt;"",COUNTIFS($D$3:$D$164,D162,$R$3:$R$164,"&lt;&gt;")&gt;1),"DUPLICADO","OK"))</f>
      </c>
      <c r="AA162" s="3056">
        <f>IF(A162="","",IF(OR(LEN(Q162)&gt;180,LEN(R162)&gt;180,LEN(S162)&gt;180,LEN(T162)&gt;180),"CAMINHO LONGO","OK"))</f>
      </c>
      <c r="AB162" s="3056">
        <f>IF(A162="","",IF(U162="","",IFERROR(INT(U162-TODAY()),"")))</f>
      </c>
      <c r="AC162" s="3056">
        <f>IF(A162="","",IF(AND(T162="",U162=""),"",IF(T162="","SEM CAMINHO",IF(U162="","SEM DATA",IFERROR(IF(AB162&lt;15,"VERMELHO",IF(AB162&lt;=30,"AMARELO","VERDE")),"DATA INVALIDA")))))</f>
      </c>
      <c r="AD162" s="3056">
        <f>IF(OR(A162="",U162="",NOT(ISNUMBER(AB162))),"",RANK(AB162,$AB$3:$AB$164,1)+COUNTIFS($AB$3:AB162,AB162)-1)</f>
      </c>
      <c r="AE162" s="1736"/>
    </row>
    <row r="163" ht="22.0" customHeight="true" hidden="false">
      <c r="A163" s="3129"/>
      <c r="B163" s="3128"/>
      <c r="C163" s="3128"/>
      <c r="D163" s="3128"/>
      <c r="E163" s="3128"/>
      <c r="F163" s="3128"/>
      <c r="G163" s="3128"/>
      <c r="H163" s="3128"/>
      <c r="I163" s="3128"/>
      <c r="J163" s="3128"/>
      <c r="K163" s="3128"/>
      <c r="L163" s="3128"/>
      <c r="M163" s="3128"/>
      <c r="N163" s="3128"/>
      <c r="O163" s="3128"/>
      <c r="P163" s="3128"/>
      <c r="Q163" s="3131"/>
      <c r="R163" s="3131"/>
      <c r="S163" s="3131"/>
      <c r="T163" s="3131"/>
      <c r="U163" s="3132"/>
      <c r="V163" s="3128"/>
      <c r="W163" s="3128"/>
      <c r="X163" s="3056">
        <f>IF(A163="","",IF(LEN(SUBSTITUTE(SUBSTITUTE(SUBSTITUTE(SUBSTITUTE(D163,".",""),"/",""),"-","")," ",""))&lt;&gt;14,"CNPJ INVALIDO","OK"))</f>
      </c>
      <c r="Y163" s="3056">
        <f>IF(A163="","",IF(R163="","REST PENDENTE","REST OK"))</f>
      </c>
      <c r="Z163" s="3056">
        <f>IF(A163="","",IF(AND(R163&lt;&gt;"",COUNTIFS($D$3:$D$164,D163,$R$3:$R$164,"&lt;&gt;")&gt;1),"DUPLICADO","OK"))</f>
      </c>
      <c r="AA163" s="3056">
        <f>IF(A163="","",IF(OR(LEN(Q163)&gt;180,LEN(R163)&gt;180,LEN(S163)&gt;180,LEN(T163)&gt;180),"CAMINHO LONGO","OK"))</f>
      </c>
      <c r="AB163" s="3056">
        <f>IF(A163="","",IF(U163="","",IFERROR(INT(U163-TODAY()),"")))</f>
      </c>
      <c r="AC163" s="3056">
        <f>IF(A163="","",IF(AND(T163="",U163=""),"",IF(T163="","SEM CAMINHO",IF(U163="","SEM DATA",IFERROR(IF(AB163&lt;15,"VERMELHO",IF(AB163&lt;=30,"AMARELO","VERDE")),"DATA INVALIDA")))))</f>
      </c>
      <c r="AD163" s="3056">
        <f>IF(OR(A163="",U163="",NOT(ISNUMBER(AB163))),"",RANK(AB163,$AB$3:$AB$164,1)+COUNTIFS($AB$3:AB163,AB163)-1)</f>
      </c>
      <c r="AE163" s="1736"/>
    </row>
    <row r="164" ht="22.0" customHeight="true" hidden="false">
      <c r="A164" s="3134"/>
      <c r="B164" s="3133"/>
      <c r="C164" s="3133"/>
      <c r="D164" s="3133"/>
      <c r="E164" s="3133"/>
      <c r="F164" s="3133"/>
      <c r="G164" s="3133"/>
      <c r="H164" s="3133"/>
      <c r="I164" s="3133"/>
      <c r="J164" s="3133"/>
      <c r="K164" s="3133"/>
      <c r="L164" s="3133"/>
      <c r="M164" s="3133"/>
      <c r="N164" s="3133"/>
      <c r="O164" s="3133"/>
      <c r="P164" s="3133"/>
      <c r="Q164" s="3136"/>
      <c r="R164" s="3136"/>
      <c r="S164" s="3136"/>
      <c r="T164" s="3136"/>
      <c r="U164" s="3137"/>
      <c r="V164" s="3133"/>
      <c r="W164" s="3133"/>
      <c r="X164" s="3056">
        <f>IF(A164="","",IF(LEN(SUBSTITUTE(SUBSTITUTE(SUBSTITUTE(SUBSTITUTE(D164,".",""),"/",""),"-","")," ",""))&lt;&gt;14,"CNPJ INVALIDO","OK"))</f>
      </c>
      <c r="Y164" s="3056">
        <f>IF(A164="","",IF(R164="","REST PENDENTE","REST OK"))</f>
      </c>
      <c r="Z164" s="3056">
        <f>IF(A164="","",IF(AND(R164&lt;&gt;"",COUNTIFS($D$3:$D$164,D164,$R$3:$R$164,"&lt;&gt;")&gt;1),"DUPLICADO","OK"))</f>
      </c>
      <c r="AA164" s="3056">
        <f>IF(A164="","",IF(OR(LEN(Q164)&gt;180,LEN(R164)&gt;180,LEN(S164)&gt;180,LEN(T164)&gt;180),"CAMINHO LONGO","OK"))</f>
      </c>
      <c r="AB164" s="3056">
        <f>IF(A164="","",IF(U164="","",IFERROR(INT(U164-TODAY()),"")))</f>
      </c>
      <c r="AC164" s="3056">
        <f>IF(A164="","",IF(AND(T164="",U164=""),"",IF(T164="","SEM CAMINHO",IF(U164="","SEM DATA",IFERROR(IF(AB164&lt;15,"VERMELHO",IF(AB164&lt;=30,"AMARELO","VERDE")),"DATA INVALIDA")))))</f>
      </c>
      <c r="AD164" s="3056">
        <f>IF(OR(A164="",U164="",NOT(ISNUMBER(AB164))),"",RANK(AB164,$AB$3:$AB$164,1)+COUNTIFS($AB$3:AB164,AB164)-1)</f>
      </c>
      <c r="AE164" s="1736"/>
    </row>
  </sheetData>
  <autoFilter ref="A2:W164"/>
  <mergeCells count="1">
    <mergeCell ref="A1:W1"/>
  </mergeCells>
  <phoneticPr fontId="6" type="noConversion"/>
  <printOptions gridLines="false"/>
  <pageMargins left="0.511811024" right="0.511811024" top="0.78740157499999996" bottom="0.78740157499999996" header="0.31496062000000002" footer="0.31496062000000002"/>
  <drawing r:id="rId6"/>
</worksheet>
</file>

<file path=xl/worksheets/sheet10.xml><?xml version="1.0" encoding="utf-8"?>
<worksheet xmlns="http://schemas.openxmlformats.org/spreadsheetml/2006/main">
  <dimension ref="A1:AH60"/>
  <sheetViews>
    <sheetView workbookViewId="0" showGridLines="false" zoomScale="90" tabSelected="true"/>
  </sheetViews>
  <sheetFormatPr defaultRowHeight="15.0"/>
  <cols>
    <col min="1" max="1" width="13.0" customWidth="true"/>
    <col min="2" max="2" width="13.0" customWidth="true"/>
    <col min="3" max="3" width="13.0" customWidth="true"/>
    <col min="4" max="4" width="13.0" customWidth="true"/>
    <col min="5" max="5" width="2.0" customWidth="true"/>
    <col min="6" max="6" width="13.0" customWidth="true"/>
    <col min="7" max="7" width="13.0" customWidth="true"/>
    <col min="8" max="8" width="13.0" customWidth="true"/>
    <col min="9" max="9" width="13.0" customWidth="true"/>
    <col min="10" max="10" width="2.0" customWidth="true"/>
    <col min="11" max="11" width="13.0" customWidth="true"/>
    <col min="12" max="12" width="13.0" customWidth="true"/>
    <col min="13" max="13" width="13.0" customWidth="true"/>
    <col min="14" max="14" width="13.0" customWidth="true"/>
    <col min="15" max="15" width="2.0" customWidth="true"/>
    <col min="16" max="16" width="13.0" customWidth="true"/>
    <col min="17" max="17" width="13.0" customWidth="true"/>
    <col min="18" max="18" width="13.0" customWidth="true"/>
    <col min="19" max="19" width="13.0" customWidth="true"/>
    <col min="20" max="20" width="13.0" customWidth="true"/>
    <col min="21" max="21" width="13.0" customWidth="true"/>
    <col min="22" max="22" width="13.0" customWidth="true"/>
    <col min="23" max="23" width="13.0" customWidth="true"/>
    <col min="24" max="24" width="13.0" customWidth="true"/>
    <col min="25" max="25" width="13.0" customWidth="true"/>
    <col min="26" max="26" width="13.0" customWidth="true"/>
    <col min="27" max="27" width="13.0" customWidth="true"/>
    <col min="28" max="28" width="13.0" customWidth="true"/>
    <col min="29" max="29" width="13.0" customWidth="true"/>
    <col min="30" max="30" width="13.0" customWidth="true"/>
    <col min="31" max="31" width="13.0" customWidth="true"/>
    <col min="32" max="32" width="13.0" customWidth="true"/>
    <col min="33" max="33" width="13.0" customWidth="true"/>
    <col min="34" max="34" width="13.0" customWidth="true"/>
  </cols>
  <sheetData>
    <row r="1" ht="30.0" customHeight="true">
      <c r="A1" s="3141" t="s">
        <v>511</v>
      </c>
      <c r="B1" s="3142"/>
      <c r="C1" s="3149" t="s">
        <v>502</v>
      </c>
      <c r="D1" s="3149"/>
      <c r="E1" s="3149"/>
      <c r="F1" s="3149"/>
      <c r="G1" s="3149"/>
      <c r="H1" s="3149"/>
      <c r="I1" s="3149"/>
      <c r="J1" s="3149"/>
      <c r="K1" s="3149"/>
      <c r="L1" s="3149"/>
      <c r="M1" s="3149"/>
      <c r="N1" s="3149"/>
      <c r="O1" s="3149"/>
      <c r="P1" s="3149"/>
      <c r="Q1" s="3149"/>
      <c r="R1" s="3152" t="s">
        <v>512</v>
      </c>
      <c r="S1" s="3153"/>
      <c r="T1" s="3138"/>
      <c r="U1" s="3138"/>
      <c r="V1" s="3138"/>
      <c r="W1" s="3138"/>
      <c r="X1" s="3138"/>
      <c r="Y1" s="3138"/>
      <c r="Z1" s="3138"/>
      <c r="AA1" s="3138"/>
      <c r="AB1" s="3138"/>
      <c r="AC1" s="3138"/>
      <c r="AD1" s="3138"/>
      <c r="AE1" s="3138"/>
      <c r="AF1" s="3138"/>
      <c r="AG1" s="3138"/>
      <c r="AH1" s="3138"/>
    </row>
    <row r="2" ht="30.0" customHeight="true">
      <c r="A2" s="3143"/>
      <c r="B2" s="3144"/>
      <c r="C2" s="3149"/>
      <c r="D2" s="3149"/>
      <c r="E2" s="3149"/>
      <c r="F2" s="3149"/>
      <c r="G2" s="3149"/>
      <c r="H2" s="3149"/>
      <c r="I2" s="3149"/>
      <c r="J2" s="3149"/>
      <c r="K2" s="3149"/>
      <c r="L2" s="3149"/>
      <c r="M2" s="3149"/>
      <c r="N2" s="3149"/>
      <c r="O2" s="3149"/>
      <c r="P2" s="3149"/>
      <c r="Q2" s="3149"/>
      <c r="R2" s="3154"/>
      <c r="S2" s="3155"/>
      <c r="T2" s="3138"/>
      <c r="U2" s="3138"/>
      <c r="V2" s="3138"/>
      <c r="W2" s="3138"/>
      <c r="X2" s="3138"/>
      <c r="Y2" s="3138"/>
      <c r="Z2" s="3138"/>
      <c r="AA2" s="3138"/>
      <c r="AB2" s="3138"/>
      <c r="AC2" s="3138"/>
      <c r="AD2" s="3138"/>
      <c r="AE2" s="3138"/>
      <c r="AF2" s="3138"/>
      <c r="AG2" s="3138"/>
      <c r="AH2" s="3138"/>
    </row>
    <row r="3" ht="22.0" customHeight="true">
      <c r="A3" s="3145"/>
      <c r="B3" s="3146"/>
      <c r="C3" s="3150" t="s">
        <v>503</v>
      </c>
      <c r="D3" s="3150"/>
      <c r="E3" s="3150"/>
      <c r="F3" s="3150"/>
      <c r="G3" s="3150"/>
      <c r="H3" s="3150"/>
      <c r="I3" s="3150"/>
      <c r="J3" s="3150"/>
      <c r="K3" s="3150"/>
      <c r="L3" s="3150"/>
      <c r="M3" s="3150"/>
      <c r="N3" s="3150"/>
      <c r="O3" s="3150"/>
      <c r="P3" s="3150"/>
      <c r="Q3" s="3150"/>
      <c r="R3" s="3156"/>
      <c r="S3" s="3157"/>
      <c r="T3" s="3138"/>
      <c r="U3" s="3138"/>
      <c r="V3" s="3138"/>
      <c r="W3" s="3138"/>
      <c r="X3" s="3138"/>
      <c r="Y3" s="3138"/>
      <c r="Z3" s="3138"/>
      <c r="AA3" s="3138"/>
      <c r="AB3" s="3138"/>
      <c r="AC3" s="3138"/>
      <c r="AD3" s="3138"/>
      <c r="AE3" s="3138"/>
      <c r="AF3" s="3138"/>
      <c r="AG3" s="3138"/>
      <c r="AH3" s="3138"/>
    </row>
    <row r="4" ht="9.0" customHeight="true">
      <c r="A4" s="3147"/>
      <c r="B4" s="3148"/>
      <c r="C4" s="3139"/>
      <c r="D4" s="3139"/>
      <c r="E4" s="3139"/>
      <c r="F4" s="3139"/>
      <c r="G4" s="3139"/>
      <c r="H4" s="3139"/>
      <c r="I4" s="3139"/>
      <c r="J4" s="3139"/>
      <c r="K4" s="3139"/>
      <c r="L4" s="3139"/>
      <c r="M4" s="3139"/>
      <c r="N4" s="3139"/>
      <c r="O4" s="3139"/>
      <c r="P4" s="3139"/>
      <c r="Q4" s="3139"/>
      <c r="R4" s="3158"/>
      <c r="S4" s="3159"/>
      <c r="T4" s="3138"/>
      <c r="U4" s="3138"/>
      <c r="V4" s="3138"/>
      <c r="W4" s="3138"/>
      <c r="X4" s="3138"/>
      <c r="Y4" s="3138"/>
      <c r="Z4" s="3138"/>
      <c r="AA4" s="3138"/>
      <c r="AB4" s="3138"/>
      <c r="AC4" s="3138"/>
      <c r="AD4" s="3138"/>
      <c r="AE4" s="3138"/>
      <c r="AF4" s="3138"/>
      <c r="AG4" s="3138"/>
      <c r="AH4" s="3138"/>
    </row>
    <row r="5" ht="9.0" customHeight="true">
      <c r="A5" s="3160"/>
      <c r="B5" s="3160"/>
      <c r="C5" s="3160"/>
      <c r="D5" s="3160"/>
      <c r="E5" s="3160"/>
      <c r="F5" s="3160"/>
      <c r="G5" s="3160"/>
      <c r="H5" s="3160"/>
      <c r="I5" s="3160"/>
      <c r="J5" s="3160"/>
      <c r="K5" s="3160"/>
      <c r="L5" s="3160"/>
      <c r="M5" s="3160"/>
      <c r="N5" s="3160"/>
      <c r="O5" s="3160"/>
      <c r="P5" s="3160"/>
      <c r="Q5" s="3160"/>
      <c r="R5" s="3160"/>
      <c r="S5" s="3160"/>
      <c r="T5" s="3138"/>
      <c r="U5" s="3138"/>
      <c r="V5" s="3138"/>
      <c r="W5" s="3138"/>
      <c r="X5" s="3138"/>
      <c r="Y5" s="3138"/>
      <c r="Z5" s="3138"/>
      <c r="AA5" s="3138"/>
      <c r="AB5" s="3138"/>
      <c r="AC5" s="3138"/>
      <c r="AD5" s="3138"/>
      <c r="AE5" s="3138"/>
      <c r="AF5" s="3138"/>
      <c r="AG5" s="3138"/>
      <c r="AH5" s="3138"/>
    </row>
    <row r="6" ht="29.0" customHeight="true">
      <c r="A6" s="3166"/>
      <c r="B6" s="3167" t="s">
        <v>420</v>
      </c>
      <c r="C6" s="3168"/>
      <c r="D6" s="3169"/>
      <c r="E6" s="3139"/>
      <c r="F6" s="3191"/>
      <c r="G6" s="3192" t="s">
        <v>478</v>
      </c>
      <c r="H6" s="3193"/>
      <c r="I6" s="3194"/>
      <c r="J6" s="3139"/>
      <c r="K6" s="3216"/>
      <c r="L6" s="3217" t="s">
        <v>480</v>
      </c>
      <c r="M6" s="3218"/>
      <c r="N6" s="3219"/>
      <c r="O6" s="3139"/>
      <c r="P6" s="3241"/>
      <c r="Q6" s="3242" t="s">
        <v>482</v>
      </c>
      <c r="R6" s="3243"/>
      <c r="S6" s="3244"/>
      <c r="T6" s="3138"/>
      <c r="U6" s="3138"/>
      <c r="V6" s="3138"/>
      <c r="W6" s="3138"/>
      <c r="X6" s="3138"/>
      <c r="Y6" s="3138"/>
      <c r="Z6" s="3138"/>
      <c r="AA6" s="3138"/>
      <c r="AB6" s="3138"/>
      <c r="AC6" s="3138"/>
      <c r="AD6" s="3138"/>
      <c r="AE6" s="3138"/>
      <c r="AF6" s="3138"/>
      <c r="AG6" s="3138"/>
      <c r="AH6" s="3138"/>
    </row>
    <row r="7" ht="29.0" customHeight="true">
      <c r="A7" s="3170" t="s">
        <v>513</v>
      </c>
      <c r="B7" s="3171">
        <f>COUNTA('CADASTRO MAIO'!$A$3:$A$164)</f>
      </c>
      <c r="C7" s="3172"/>
      <c r="D7" s="3173"/>
      <c r="E7" s="3139"/>
      <c r="F7" s="3195" t="s">
        <v>514</v>
      </c>
      <c r="G7" s="3196">
        <f>CONFIG!$B$10</f>
      </c>
      <c r="H7" s="3197"/>
      <c r="I7" s="3198"/>
      <c r="J7" s="3139"/>
      <c r="K7" s="3220" t="s">
        <v>515</v>
      </c>
      <c r="L7" s="3221">
        <f>CONFIG!$B$11</f>
      </c>
      <c r="M7" s="3222"/>
      <c r="N7" s="3223"/>
      <c r="O7" s="3139"/>
      <c r="P7" s="3245" t="s">
        <v>516</v>
      </c>
      <c r="Q7" s="3246">
        <f><![CDATA[IF(COUNTIFS('CADASTRO MAIO'!$A$3:$A$164,"<>",'CADASTRO MAIO'!$U$3:$U$164,"<>",'CADASTRO MAIO'!$AB$3:$AB$164,"<15")>0,COUNTIFS('CADASTRO MAIO'!$A$3:$A$164,"<>",'CADASTRO MAIO'!$U$3:$U$164,"<>",'CADASTRO MAIO'!$AB$3:$AB$164,"<15"),COUNTIFS('CADASTRO MAIO'!$A$3:$A$164,"<>",'CADASTRO MAIO'!$U$3:$U$164,"<>",'CADASTRO MAIO'!$AB$3:$AB$164,"<=30"))]]></f>
      </c>
      <c r="R7" s="3247"/>
      <c r="S7" s="3248"/>
      <c r="T7" s="3138"/>
      <c r="U7" s="3138"/>
      <c r="V7" s="3138"/>
      <c r="W7" s="3138"/>
      <c r="X7" s="3138"/>
      <c r="Y7" s="3138"/>
      <c r="Z7" s="3138"/>
      <c r="AA7" s="3138"/>
      <c r="AB7" s="3138"/>
      <c r="AC7" s="3138"/>
      <c r="AD7" s="3138"/>
      <c r="AE7" s="3138"/>
      <c r="AF7" s="3138"/>
      <c r="AG7" s="3138"/>
      <c r="AH7" s="3138"/>
    </row>
    <row r="8" ht="29.0" customHeight="true">
      <c r="A8" s="3174"/>
      <c r="B8" s="3175"/>
      <c r="C8" s="3176"/>
      <c r="D8" s="3177"/>
      <c r="E8" s="3139"/>
      <c r="F8" s="3199"/>
      <c r="G8" s="3200"/>
      <c r="H8" s="3201"/>
      <c r="I8" s="3202"/>
      <c r="J8" s="3139"/>
      <c r="K8" s="3224"/>
      <c r="L8" s="3225"/>
      <c r="M8" s="3226"/>
      <c r="N8" s="3227"/>
      <c r="O8" s="3139"/>
      <c r="P8" s="3249"/>
      <c r="Q8" s="3250"/>
      <c r="R8" s="3251"/>
      <c r="S8" s="3252"/>
      <c r="T8" s="3138"/>
      <c r="U8" s="3138"/>
      <c r="V8" s="3138"/>
      <c r="W8" s="3138"/>
      <c r="X8" s="3138"/>
      <c r="Y8" s="3138"/>
      <c r="Z8" s="3138"/>
      <c r="AA8" s="3138"/>
      <c r="AB8" s="3138"/>
      <c r="AC8" s="3138"/>
      <c r="AD8" s="3138"/>
      <c r="AE8" s="3138"/>
      <c r="AF8" s="3138"/>
      <c r="AG8" s="3138"/>
      <c r="AH8" s="3138"/>
    </row>
    <row r="9" ht="29.0" customHeight="true">
      <c r="A9" s="3178"/>
      <c r="B9" s="3179" t="s">
        <v>421</v>
      </c>
      <c r="C9" s="3180"/>
      <c r="D9" s="3181"/>
      <c r="E9" s="3139"/>
      <c r="F9" s="3203"/>
      <c r="G9" s="3204" t="s">
        <v>479</v>
      </c>
      <c r="H9" s="3205"/>
      <c r="I9" s="3206"/>
      <c r="J9" s="3139"/>
      <c r="K9" s="3228"/>
      <c r="L9" s="3229" t="s">
        <v>481</v>
      </c>
      <c r="M9" s="3230"/>
      <c r="N9" s="3231"/>
      <c r="O9" s="3139"/>
      <c r="P9" s="3253"/>
      <c r="Q9" s="3254" t="s">
        <f><![CDATA[IF(COUNTIFS('CADASTRO MAIO'!$A$3:$A$164,"<>",'CADASTRO MAIO'!$U$3:$U$164,"<>",'CADASTRO MAIO'!$AB$3:$AB$164,"<15")>0,"VENCEM EM MENOS DE 15 DIAS",IF(COUNTIFS('CADASTRO MAIO'!$A$3:$A$164,"<>",'CADASTRO MAIO'!$U$3:$U$164,"<>",'CADASTRO MAIO'!$AB$3:$AB$164,"<=30")>0,"VENCEM EM ATE 30 DIAS","SEM CERTIFICADO PERTO"))]]></f>
        <v>522</v>
      </c>
      <c r="R9" s="3255"/>
      <c r="S9" s="3256"/>
      <c r="T9" s="3138"/>
      <c r="U9" s="3138"/>
      <c r="V9" s="3138"/>
      <c r="W9" s="3138"/>
      <c r="X9" s="3138"/>
      <c r="Y9" s="3138"/>
      <c r="Z9" s="3138"/>
      <c r="AA9" s="3138"/>
      <c r="AB9" s="3138"/>
      <c r="AC9" s="3138"/>
      <c r="AD9" s="3138"/>
      <c r="AE9" s="3138"/>
      <c r="AF9" s="3138"/>
      <c r="AG9" s="3138"/>
      <c r="AH9" s="3138"/>
    </row>
    <row r="10" ht="29.0" customHeight="true">
      <c r="A10" s="3182"/>
      <c r="B10" s="3183"/>
      <c r="C10" s="3184"/>
      <c r="D10" s="3185"/>
      <c r="E10" s="3139"/>
      <c r="F10" s="3207"/>
      <c r="G10" s="3208"/>
      <c r="H10" s="3209"/>
      <c r="I10" s="3210"/>
      <c r="J10" s="3139"/>
      <c r="K10" s="3232"/>
      <c r="L10" s="3233"/>
      <c r="M10" s="3234"/>
      <c r="N10" s="3235"/>
      <c r="O10" s="3139"/>
      <c r="P10" s="3257"/>
      <c r="Q10" s="3258"/>
      <c r="R10" s="3259"/>
      <c r="S10" s="3260"/>
      <c r="T10" s="3138"/>
      <c r="U10" s="3138"/>
      <c r="V10" s="3138"/>
      <c r="W10" s="3138"/>
      <c r="X10" s="3138"/>
      <c r="Y10" s="3138"/>
      <c r="Z10" s="3138"/>
      <c r="AA10" s="3138"/>
      <c r="AB10" s="3138"/>
      <c r="AC10" s="3138"/>
      <c r="AD10" s="3138"/>
      <c r="AE10" s="3138"/>
      <c r="AF10" s="3138"/>
      <c r="AG10" s="3138"/>
      <c r="AH10" s="3138"/>
    </row>
    <row r="11" ht="9.0" customHeight="true">
      <c r="A11" s="3139"/>
      <c r="B11" s="3139"/>
      <c r="C11" s="3139"/>
      <c r="D11" s="3139"/>
      <c r="E11" s="3139"/>
      <c r="F11" s="3139"/>
      <c r="G11" s="3139"/>
      <c r="H11" s="3139"/>
      <c r="I11" s="3139"/>
      <c r="J11" s="3139"/>
      <c r="K11" s="3139"/>
      <c r="L11" s="3139"/>
      <c r="M11" s="3139"/>
      <c r="N11" s="3139"/>
      <c r="O11" s="3139"/>
      <c r="P11" s="3139"/>
      <c r="Q11" s="3139"/>
      <c r="R11" s="3139"/>
      <c r="S11" s="3139"/>
      <c r="T11" s="3138"/>
      <c r="U11" s="3138"/>
      <c r="V11" s="3138"/>
      <c r="W11" s="3138"/>
      <c r="X11" s="3138"/>
      <c r="Y11" s="3138"/>
      <c r="Z11" s="3138"/>
      <c r="AA11" s="3138"/>
      <c r="AB11" s="3138"/>
      <c r="AC11" s="3138"/>
      <c r="AD11" s="3138"/>
      <c r="AE11" s="3138"/>
      <c r="AF11" s="3138"/>
      <c r="AG11" s="3138"/>
      <c r="AH11" s="3138"/>
    </row>
    <row r="12" ht="28.0" customHeight="true">
      <c r="A12" s="3414" t="s">
        <v>505</v>
      </c>
      <c r="B12" s="3414"/>
      <c r="C12" s="3414"/>
      <c r="D12" s="3414"/>
      <c r="E12" s="3414"/>
      <c r="F12" s="3414"/>
      <c r="G12" s="3414"/>
      <c r="H12" s="3414"/>
      <c r="I12" s="3414"/>
      <c r="J12" s="3414"/>
      <c r="K12" s="3414"/>
      <c r="L12" s="3414"/>
      <c r="M12" s="3414"/>
      <c r="N12" s="3414"/>
      <c r="O12" s="3414"/>
      <c r="P12" s="3414"/>
      <c r="Q12" s="3414"/>
      <c r="R12" s="3414"/>
      <c r="S12" s="3414"/>
      <c r="T12" s="3138"/>
      <c r="U12" s="3138"/>
      <c r="V12" s="3138"/>
      <c r="W12" s="3138"/>
      <c r="X12" s="3138"/>
      <c r="Y12" s="3138"/>
      <c r="Z12" s="3138"/>
      <c r="AA12" s="3138"/>
      <c r="AB12" s="3138"/>
      <c r="AC12" s="3138"/>
      <c r="AD12" s="3138"/>
      <c r="AE12" s="3138"/>
      <c r="AF12" s="3138"/>
      <c r="AG12" s="3138"/>
      <c r="AH12" s="3138"/>
    </row>
    <row r="13" ht="20.0" customHeight="true">
      <c r="A13" s="3415" t="s">
        <v>517</v>
      </c>
      <c r="B13" s="3415"/>
      <c r="C13" s="3415"/>
      <c r="D13" s="3415"/>
      <c r="E13" s="3415"/>
      <c r="F13" s="3415"/>
      <c r="G13" s="3415"/>
      <c r="H13" s="3415"/>
      <c r="I13" s="3415"/>
      <c r="J13" s="3415"/>
      <c r="K13" s="3415"/>
      <c r="L13" s="3415"/>
      <c r="M13" s="3415"/>
      <c r="N13" s="3415"/>
      <c r="O13" s="3415"/>
      <c r="P13" s="3415"/>
      <c r="Q13" s="3415"/>
      <c r="R13" s="3415"/>
      <c r="S13" s="3415"/>
      <c r="T13" s="3138"/>
      <c r="U13" s="3138"/>
      <c r="V13" s="3138"/>
      <c r="W13" s="3138"/>
      <c r="X13" s="3138"/>
      <c r="Y13" s="3138"/>
      <c r="Z13" s="3138"/>
      <c r="AA13" s="3138"/>
      <c r="AB13" s="3138"/>
      <c r="AC13" s="3138"/>
      <c r="AD13" s="3138"/>
      <c r="AE13" s="3138"/>
      <c r="AF13" s="3138"/>
      <c r="AG13" s="3138"/>
      <c r="AH13" s="3138"/>
    </row>
    <row r="14" ht="24.0" customHeight="true">
      <c r="A14" s="3416" t="s">
        <v>327</v>
      </c>
      <c r="B14" s="3416"/>
      <c r="C14" s="3416"/>
      <c r="D14" s="3416"/>
      <c r="E14" s="3416"/>
      <c r="F14" s="3416"/>
      <c r="G14" s="3416"/>
      <c r="H14" s="3417" t="s">
        <v>328</v>
      </c>
      <c r="I14" s="3417"/>
      <c r="J14" s="3417"/>
      <c r="K14" s="3418" t="s">
        <v>487</v>
      </c>
      <c r="L14" s="3418"/>
      <c r="M14" s="3418"/>
      <c r="N14" s="3419" t="s">
        <v>506</v>
      </c>
      <c r="O14" s="3419"/>
      <c r="P14" s="3419"/>
      <c r="Q14" s="3419"/>
      <c r="R14" s="3420" t="s">
        <v>489</v>
      </c>
      <c r="S14" s="3420"/>
      <c r="T14" s="3138"/>
      <c r="U14" s="3138"/>
      <c r="V14" s="3138"/>
      <c r="W14" s="3138"/>
      <c r="X14" s="3138"/>
      <c r="Y14" s="3138"/>
      <c r="Z14" s="3138"/>
      <c r="AA14" s="3138"/>
      <c r="AB14" s="3138"/>
      <c r="AC14" s="3138"/>
      <c r="AD14" s="3138"/>
      <c r="AE14" s="3138"/>
      <c r="AF14" s="3138"/>
      <c r="AG14" s="3138"/>
      <c r="AH14" s="3138"/>
    </row>
    <row r="15" ht="26.0" customHeight="true">
      <c r="A15" s="3421">
        <f>IFERROR(INDEX('CADASTRO MAIO'!$A$3:$A$164,MATCH(1,'CADASTRO MAIO'!$AD$3:$AD$164,0)),"")</f>
      </c>
      <c r="B15" s="3421"/>
      <c r="C15" s="3421"/>
      <c r="D15" s="3421"/>
      <c r="E15" s="3421"/>
      <c r="F15" s="3421"/>
      <c r="G15" s="3421"/>
      <c r="H15" s="3421">
        <f>IFERROR(INDEX('CADASTRO MAIO'!$D$3:$D$164,MATCH(1,'CADASTRO MAIO'!$AD$3:$AD$164,0)),"")</f>
      </c>
      <c r="I15" s="3421"/>
      <c r="J15" s="3421"/>
      <c r="K15" s="3422">
        <f>IFERROR(INDEX('CADASTRO MAIO'!$U$3:$U$164,MATCH(1,'CADASTRO MAIO'!$AD$3:$AD$164,0)),"")</f>
      </c>
      <c r="L15" s="3422"/>
      <c r="M15" s="3422"/>
      <c r="N15" s="3421">
        <f>IFERROR(IF(INDEX('CADASTRO MAIO'!$AB$3:$AB$164,MATCH(1,'CADASTRO MAIO'!$AD$3:$AD$164,0))&lt;0,"VENCIDO HA "&amp;ABS(INDEX('CADASTRO MAIO'!$AB$3:$AB$164,MATCH(1,'CADASTRO MAIO'!$AD$3:$AD$164,0)))&amp;" DIAS","FALTAM "&amp;INDEX('CADASTRO MAIO'!$AB$3:$AB$164,MATCH(1,'CADASTRO MAIO'!$AD$3:$AD$164,0))&amp;" DIAS"),"")</f>
      </c>
      <c r="O15" s="3421"/>
      <c r="P15" s="3421"/>
      <c r="Q15" s="3421"/>
      <c r="R15" s="3421">
        <f>IFERROR(INDEX('CADASTRO MAIO'!$AC$3:$AC$164,MATCH(1,'CADASTRO MAIO'!$AD$3:$AD$164,0)),"")</f>
      </c>
      <c r="S15" s="3421"/>
      <c r="T15" s="3138"/>
      <c r="U15" s="3138"/>
      <c r="V15" s="3138"/>
      <c r="W15" s="3138"/>
      <c r="X15" s="3138"/>
      <c r="Y15" s="3138"/>
      <c r="Z15" s="3138"/>
      <c r="AA15" s="3138"/>
      <c r="AB15" s="3138"/>
      <c r="AC15" s="3138"/>
      <c r="AD15" s="3138"/>
      <c r="AE15" s="3138"/>
      <c r="AF15" s="3138"/>
      <c r="AG15" s="3138"/>
      <c r="AH15" s="3138"/>
    </row>
    <row r="16" ht="26.0" customHeight="true">
      <c r="A16" s="3421">
        <f>IFERROR(INDEX('CADASTRO MAIO'!$A$3:$A$164,MATCH(2,'CADASTRO MAIO'!$AD$3:$AD$164,0)),"")</f>
      </c>
      <c r="B16" s="3421"/>
      <c r="C16" s="3421"/>
      <c r="D16" s="3421"/>
      <c r="E16" s="3421"/>
      <c r="F16" s="3421"/>
      <c r="G16" s="3421"/>
      <c r="H16" s="3421">
        <f>IFERROR(INDEX('CADASTRO MAIO'!$D$3:$D$164,MATCH(2,'CADASTRO MAIO'!$AD$3:$AD$164,0)),"")</f>
      </c>
      <c r="I16" s="3421"/>
      <c r="J16" s="3421"/>
      <c r="K16" s="3422">
        <f>IFERROR(INDEX('CADASTRO MAIO'!$U$3:$U$164,MATCH(2,'CADASTRO MAIO'!$AD$3:$AD$164,0)),"")</f>
      </c>
      <c r="L16" s="3422"/>
      <c r="M16" s="3422"/>
      <c r="N16" s="3421">
        <f>IFERROR(IF(INDEX('CADASTRO MAIO'!$AB$3:$AB$164,MATCH(2,'CADASTRO MAIO'!$AD$3:$AD$164,0))&lt;0,"VENCIDO HA "&amp;ABS(INDEX('CADASTRO MAIO'!$AB$3:$AB$164,MATCH(2,'CADASTRO MAIO'!$AD$3:$AD$164,0)))&amp;" DIAS","FALTAM "&amp;INDEX('CADASTRO MAIO'!$AB$3:$AB$164,MATCH(2,'CADASTRO MAIO'!$AD$3:$AD$164,0))&amp;" DIAS"),"")</f>
      </c>
      <c r="O16" s="3421"/>
      <c r="P16" s="3421"/>
      <c r="Q16" s="3421"/>
      <c r="R16" s="3421">
        <f>IFERROR(INDEX('CADASTRO MAIO'!$AC$3:$AC$164,MATCH(2,'CADASTRO MAIO'!$AD$3:$AD$164,0)),"")</f>
      </c>
      <c r="S16" s="3421"/>
      <c r="T16" s="3138"/>
      <c r="U16" s="3138"/>
      <c r="V16" s="3138"/>
      <c r="W16" s="3138"/>
      <c r="X16" s="3138"/>
      <c r="Y16" s="3138"/>
      <c r="Z16" s="3138"/>
      <c r="AA16" s="3138"/>
      <c r="AB16" s="3138"/>
      <c r="AC16" s="3138"/>
      <c r="AD16" s="3138"/>
      <c r="AE16" s="3138"/>
      <c r="AF16" s="3138"/>
      <c r="AG16" s="3138"/>
      <c r="AH16" s="3138"/>
    </row>
    <row r="17" ht="26.0" customHeight="true">
      <c r="A17" s="3421">
        <f>IFERROR(INDEX('CADASTRO MAIO'!$A$3:$A$164,MATCH(3,'CADASTRO MAIO'!$AD$3:$AD$164,0)),"")</f>
      </c>
      <c r="B17" s="3421"/>
      <c r="C17" s="3421"/>
      <c r="D17" s="3421"/>
      <c r="E17" s="3421"/>
      <c r="F17" s="3421"/>
      <c r="G17" s="3421"/>
      <c r="H17" s="3421">
        <f>IFERROR(INDEX('CADASTRO MAIO'!$D$3:$D$164,MATCH(3,'CADASTRO MAIO'!$AD$3:$AD$164,0)),"")</f>
      </c>
      <c r="I17" s="3421"/>
      <c r="J17" s="3421"/>
      <c r="K17" s="3422">
        <f>IFERROR(INDEX('CADASTRO MAIO'!$U$3:$U$164,MATCH(3,'CADASTRO MAIO'!$AD$3:$AD$164,0)),"")</f>
      </c>
      <c r="L17" s="3422"/>
      <c r="M17" s="3422"/>
      <c r="N17" s="3421">
        <f>IFERROR(IF(INDEX('CADASTRO MAIO'!$AB$3:$AB$164,MATCH(3,'CADASTRO MAIO'!$AD$3:$AD$164,0))&lt;0,"VENCIDO HA "&amp;ABS(INDEX('CADASTRO MAIO'!$AB$3:$AB$164,MATCH(3,'CADASTRO MAIO'!$AD$3:$AD$164,0)))&amp;" DIAS","FALTAM "&amp;INDEX('CADASTRO MAIO'!$AB$3:$AB$164,MATCH(3,'CADASTRO MAIO'!$AD$3:$AD$164,0))&amp;" DIAS"),"")</f>
      </c>
      <c r="O17" s="3421"/>
      <c r="P17" s="3421"/>
      <c r="Q17" s="3421"/>
      <c r="R17" s="3421">
        <f>IFERROR(INDEX('CADASTRO MAIO'!$AC$3:$AC$164,MATCH(3,'CADASTRO MAIO'!$AD$3:$AD$164,0)),"")</f>
      </c>
      <c r="S17" s="3421"/>
      <c r="T17" s="3138"/>
      <c r="U17" s="3138"/>
      <c r="V17" s="3138"/>
      <c r="W17" s="3138"/>
      <c r="X17" s="3138"/>
      <c r="Y17" s="3138"/>
      <c r="Z17" s="3138"/>
      <c r="AA17" s="3138"/>
      <c r="AB17" s="3138"/>
      <c r="AC17" s="3138"/>
      <c r="AD17" s="3138"/>
      <c r="AE17" s="3138"/>
      <c r="AF17" s="3138"/>
      <c r="AG17" s="3138"/>
      <c r="AH17" s="3138"/>
    </row>
    <row r="18" ht="26.0" customHeight="true">
      <c r="A18" s="3376"/>
      <c r="B18" s="3377"/>
      <c r="C18" s="3378"/>
      <c r="D18" s="3379"/>
      <c r="E18" s="3380"/>
      <c r="F18" s="3381"/>
      <c r="G18" s="3382"/>
      <c r="H18" s="3383"/>
      <c r="I18" s="3384"/>
      <c r="J18" s="3385"/>
      <c r="K18" s="3386"/>
      <c r="L18" s="3387"/>
      <c r="M18" s="3388"/>
      <c r="N18" s="3389"/>
      <c r="O18" s="3390"/>
      <c r="P18" s="3391"/>
      <c r="Q18" s="3392"/>
      <c r="R18" s="3393"/>
      <c r="S18" s="3394"/>
      <c r="T18" s="3138"/>
      <c r="U18" s="3138"/>
      <c r="V18" s="3138"/>
      <c r="W18" s="3138"/>
      <c r="X18" s="3138"/>
      <c r="Y18" s="3138"/>
      <c r="Z18" s="3138"/>
      <c r="AA18" s="3138"/>
      <c r="AB18" s="3138"/>
      <c r="AC18" s="3138"/>
      <c r="AD18" s="3138"/>
      <c r="AE18" s="3138"/>
      <c r="AF18" s="3138"/>
      <c r="AG18" s="3138"/>
      <c r="AH18" s="3138"/>
    </row>
    <row r="19" ht="20.0" customHeight="true">
      <c r="A19" s="3395"/>
      <c r="B19" s="3396"/>
      <c r="C19" s="3397"/>
      <c r="D19" s="3398"/>
      <c r="E19" s="3399"/>
      <c r="F19" s="3400"/>
      <c r="G19" s="3401"/>
      <c r="H19" s="3402"/>
      <c r="I19" s="3403"/>
      <c r="J19" s="3404"/>
      <c r="K19" s="3405"/>
      <c r="L19" s="3406"/>
      <c r="M19" s="3407"/>
      <c r="N19" s="3408"/>
      <c r="O19" s="3409"/>
      <c r="P19" s="3410"/>
      <c r="Q19" s="3411"/>
      <c r="R19" s="3412"/>
      <c r="S19" s="3413"/>
      <c r="T19" s="3138"/>
      <c r="U19" s="3138"/>
      <c r="V19" s="3138"/>
      <c r="W19" s="3138"/>
      <c r="X19" s="3138"/>
      <c r="Y19" s="3138"/>
      <c r="Z19" s="3138"/>
      <c r="AA19" s="3138"/>
      <c r="AB19" s="3138"/>
      <c r="AC19" s="3138"/>
      <c r="AD19" s="3138"/>
      <c r="AE19" s="3138"/>
      <c r="AF19" s="3138"/>
      <c r="AG19" s="3138"/>
      <c r="AH19" s="3138"/>
    </row>
    <row r="20" ht="9.0" customHeight="true">
      <c r="A20" s="3139"/>
      <c r="B20" s="3139"/>
      <c r="C20" s="3139"/>
      <c r="D20" s="3139"/>
      <c r="E20" s="3139"/>
      <c r="F20" s="3139"/>
      <c r="G20" s="3139"/>
      <c r="H20" s="3139"/>
      <c r="I20" s="3139"/>
      <c r="J20" s="3139"/>
      <c r="K20" s="3139"/>
      <c r="L20" s="3139"/>
      <c r="M20" s="3139"/>
      <c r="N20" s="3139"/>
      <c r="O20" s="3139"/>
      <c r="P20" s="3139"/>
      <c r="Q20" s="3139"/>
      <c r="R20" s="3139"/>
      <c r="S20" s="3139"/>
      <c r="T20" s="3138"/>
      <c r="U20" s="3138"/>
      <c r="V20" s="3138"/>
      <c r="W20" s="3138"/>
      <c r="X20" s="3138"/>
      <c r="Y20" s="3138"/>
      <c r="Z20" s="3138"/>
      <c r="AA20" s="3138"/>
      <c r="AB20" s="3138"/>
      <c r="AC20" s="3138"/>
      <c r="AD20" s="3138"/>
      <c r="AE20" s="3138"/>
      <c r="AF20" s="3138"/>
      <c r="AG20" s="3138"/>
      <c r="AH20" s="3138"/>
    </row>
    <row r="21" ht="28.0" customHeight="true">
      <c r="A21" s="3595" t="s">
        <v>518</v>
      </c>
      <c r="B21" s="3595"/>
      <c r="C21" s="3595"/>
      <c r="D21" s="3595"/>
      <c r="E21" s="3595"/>
      <c r="F21" s="3595"/>
      <c r="G21" s="3595"/>
      <c r="H21" s="3595"/>
      <c r="I21" s="3595"/>
      <c r="J21" s="3595"/>
      <c r="K21" s="3595"/>
      <c r="L21" s="3595"/>
      <c r="M21" s="3595"/>
      <c r="N21" s="3595"/>
      <c r="O21" s="3595"/>
      <c r="P21" s="3595"/>
      <c r="Q21" s="3595"/>
      <c r="R21" s="3595"/>
      <c r="S21" s="3595"/>
      <c r="T21" s="3138"/>
      <c r="U21" s="3138"/>
      <c r="V21" s="3138"/>
      <c r="W21" s="3138"/>
      <c r="X21" s="3138"/>
      <c r="Y21" s="3138"/>
      <c r="Z21" s="3138"/>
      <c r="AA21" s="3138"/>
      <c r="AB21" s="3138"/>
      <c r="AC21" s="3138"/>
      <c r="AD21" s="3138"/>
      <c r="AE21" s="3138"/>
      <c r="AF21" s="3138"/>
      <c r="AG21" s="3138"/>
      <c r="AH21" s="3138"/>
    </row>
    <row r="22" ht="20.0" customHeight="true">
      <c r="A22" s="3596" t="s">
        <v>519</v>
      </c>
      <c r="B22" s="3596"/>
      <c r="C22" s="3596"/>
      <c r="D22" s="3596"/>
      <c r="E22" s="3596"/>
      <c r="F22" s="3596"/>
      <c r="G22" s="3596"/>
      <c r="H22" s="3596"/>
      <c r="I22" s="3596"/>
      <c r="J22" s="3596"/>
      <c r="K22" s="3596"/>
      <c r="L22" s="3596"/>
      <c r="M22" s="3596"/>
      <c r="N22" s="3596"/>
      <c r="O22" s="3596"/>
      <c r="P22" s="3596"/>
      <c r="Q22" s="3596"/>
      <c r="R22" s="3596"/>
      <c r="S22" s="3596"/>
      <c r="T22" s="3138"/>
      <c r="U22" s="3138"/>
      <c r="V22" s="3138"/>
      <c r="W22" s="3138"/>
      <c r="X22" s="3138"/>
      <c r="Y22" s="3138"/>
      <c r="Z22" s="3138"/>
      <c r="AA22" s="3138"/>
      <c r="AB22" s="3138"/>
      <c r="AC22" s="3138"/>
      <c r="AD22" s="3138"/>
      <c r="AE22" s="3138"/>
      <c r="AF22" s="3138"/>
      <c r="AG22" s="3138"/>
      <c r="AH22" s="3138"/>
    </row>
    <row r="23" ht="24.0" customHeight="true">
      <c r="A23" s="3602" t="s">
        <v>424</v>
      </c>
      <c r="B23" s="3603"/>
      <c r="C23" s="3604"/>
      <c r="D23" s="3605"/>
      <c r="E23" s="3466"/>
      <c r="F23" s="3631" t="s">
        <v>508</v>
      </c>
      <c r="G23" s="3632"/>
      <c r="H23" s="3633"/>
      <c r="I23" s="3634"/>
      <c r="J23" s="3471"/>
      <c r="K23" s="3660" t="s">
        <v>509</v>
      </c>
      <c r="L23" s="3661"/>
      <c r="M23" s="3662"/>
      <c r="N23" s="3663"/>
      <c r="O23" s="3476"/>
      <c r="P23" s="3689" t="s">
        <v>510</v>
      </c>
      <c r="Q23" s="3690"/>
      <c r="R23" s="3691"/>
      <c r="S23" s="3692"/>
      <c r="T23" s="3138"/>
      <c r="U23" s="3138"/>
      <c r="V23" s="3138"/>
      <c r="W23" s="3138"/>
      <c r="X23" s="3138"/>
      <c r="Y23" s="3138"/>
      <c r="Z23" s="3138"/>
      <c r="AA23" s="3138"/>
      <c r="AB23" s="3138"/>
      <c r="AC23" s="3138"/>
      <c r="AD23" s="3138"/>
      <c r="AE23" s="3138"/>
      <c r="AF23" s="3138"/>
      <c r="AG23" s="3138"/>
      <c r="AH23" s="3138"/>
    </row>
    <row r="24" ht="26.0" customHeight="true">
      <c r="A24" s="3606">
        <f>COUNTIFS('CADASTRO MAIO'!$A$3:$A$164,"&lt;&gt;",'CADASTRO MAIO'!$R$3:$R$164,"")</f>
      </c>
      <c r="B24" s="3607"/>
      <c r="C24" s="3608"/>
      <c r="D24" s="3609"/>
      <c r="E24" s="3485"/>
      <c r="F24" s="3635">
        <f>COUNTIF('CADASTRO MAIO'!$X$3:$X$164,"CNPJ INVALIDO")</f>
      </c>
      <c r="G24" s="3636"/>
      <c r="H24" s="3637"/>
      <c r="I24" s="3638"/>
      <c r="J24" s="3490"/>
      <c r="K24" s="3664">
        <f>COUNTIF('CADASTRO MAIO'!$AC$3:$AC$164,"SEM DATA")</f>
      </c>
      <c r="L24" s="3665"/>
      <c r="M24" s="3666"/>
      <c r="N24" s="3667"/>
      <c r="O24" s="3495"/>
      <c r="P24" s="3693">
        <f>COUNTIF('CADASTRO MAIO'!$AC$3:$AC$164,"SEM CAMINHO")</f>
      </c>
      <c r="Q24" s="3694"/>
      <c r="R24" s="3695"/>
      <c r="S24" s="3696"/>
      <c r="T24" s="3138"/>
      <c r="U24" s="3138"/>
      <c r="V24" s="3138"/>
      <c r="W24" s="3138"/>
      <c r="X24" s="3138"/>
      <c r="Y24" s="3138"/>
      <c r="Z24" s="3138"/>
      <c r="AA24" s="3138"/>
      <c r="AB24" s="3138"/>
      <c r="AC24" s="3138"/>
      <c r="AD24" s="3138"/>
      <c r="AE24" s="3138"/>
      <c r="AF24" s="3138"/>
      <c r="AG24" s="3138"/>
      <c r="AH24" s="3138"/>
    </row>
    <row r="25" ht="26.0" customHeight="true">
      <c r="A25" s="3610"/>
      <c r="B25" s="3611"/>
      <c r="C25" s="3612"/>
      <c r="D25" s="3613"/>
      <c r="E25" s="3504"/>
      <c r="F25" s="3639"/>
      <c r="G25" s="3640"/>
      <c r="H25" s="3641"/>
      <c r="I25" s="3642"/>
      <c r="J25" s="3509"/>
      <c r="K25" s="3668"/>
      <c r="L25" s="3669"/>
      <c r="M25" s="3670"/>
      <c r="N25" s="3671"/>
      <c r="O25" s="3514"/>
      <c r="P25" s="3697"/>
      <c r="Q25" s="3698"/>
      <c r="R25" s="3699"/>
      <c r="S25" s="3700"/>
      <c r="T25" s="3138"/>
      <c r="U25" s="3138"/>
      <c r="V25" s="3138"/>
      <c r="W25" s="3138"/>
      <c r="X25" s="3138"/>
      <c r="Y25" s="3138"/>
      <c r="Z25" s="3138"/>
      <c r="AA25" s="3138"/>
      <c r="AB25" s="3138"/>
      <c r="AC25" s="3138"/>
      <c r="AD25" s="3138"/>
      <c r="AE25" s="3138"/>
      <c r="AF25" s="3138"/>
      <c r="AG25" s="3138"/>
      <c r="AH25" s="3138"/>
    </row>
    <row r="26" ht="26.0" customHeight="true">
      <c r="A26" s="3614" t="s">
        <v>520</v>
      </c>
      <c r="B26" s="3615"/>
      <c r="C26" s="3616"/>
      <c r="D26" s="3617"/>
      <c r="E26" s="3523"/>
      <c r="F26" s="3643" t="s">
        <v>520</v>
      </c>
      <c r="G26" s="3644"/>
      <c r="H26" s="3645"/>
      <c r="I26" s="3646"/>
      <c r="J26" s="3528"/>
      <c r="K26" s="3672" t="s">
        <v>520</v>
      </c>
      <c r="L26" s="3673"/>
      <c r="M26" s="3674"/>
      <c r="N26" s="3675"/>
      <c r="O26" s="3533"/>
      <c r="P26" s="3701" t="s">
        <v>520</v>
      </c>
      <c r="Q26" s="3702"/>
      <c r="R26" s="3703"/>
      <c r="S26" s="3704"/>
      <c r="T26" s="3138"/>
      <c r="U26" s="3138"/>
      <c r="V26" s="3138"/>
      <c r="W26" s="3138"/>
      <c r="X26" s="3138"/>
      <c r="Y26" s="3138"/>
      <c r="Z26" s="3138"/>
      <c r="AA26" s="3138"/>
      <c r="AB26" s="3138"/>
      <c r="AC26" s="3138"/>
      <c r="AD26" s="3138"/>
      <c r="AE26" s="3138"/>
      <c r="AF26" s="3138"/>
      <c r="AG26" s="3138"/>
      <c r="AH26" s="3138"/>
    </row>
    <row r="27" ht="26.0" customHeight="true">
      <c r="A27" s="3618">
        <f>IF(A24=0,"OK","REVISAR")</f>
      </c>
      <c r="B27" s="3619"/>
      <c r="C27" s="3620"/>
      <c r="D27" s="3621"/>
      <c r="E27" s="3542"/>
      <c r="F27" s="3647">
        <f>IF(F24=0,"OK","REVISAR")</f>
      </c>
      <c r="G27" s="3648"/>
      <c r="H27" s="3649"/>
      <c r="I27" s="3650"/>
      <c r="J27" s="3547"/>
      <c r="K27" s="3676">
        <f>IF(K24=0,"OK","REVISAR")</f>
      </c>
      <c r="L27" s="3677"/>
      <c r="M27" s="3678"/>
      <c r="N27" s="3679"/>
      <c r="O27" s="3552"/>
      <c r="P27" s="3705">
        <f>IF(P24=0,"OK","REVISAR")</f>
      </c>
      <c r="Q27" s="3706"/>
      <c r="R27" s="3707"/>
      <c r="S27" s="3708"/>
      <c r="T27" s="3138"/>
      <c r="U27" s="3138"/>
      <c r="V27" s="3138"/>
      <c r="W27" s="3138"/>
      <c r="X27" s="3138"/>
      <c r="Y27" s="3138"/>
      <c r="Z27" s="3138"/>
      <c r="AA27" s="3138"/>
      <c r="AB27" s="3138"/>
      <c r="AC27" s="3138"/>
      <c r="AD27" s="3138"/>
      <c r="AE27" s="3138"/>
      <c r="AF27" s="3138"/>
      <c r="AG27" s="3138"/>
      <c r="AH27" s="3138"/>
    </row>
    <row r="28" ht="26.0" customHeight="true">
      <c r="A28" s="3622"/>
      <c r="B28" s="3623"/>
      <c r="C28" s="3624"/>
      <c r="D28" s="3625"/>
      <c r="E28" s="3561"/>
      <c r="F28" s="3651"/>
      <c r="G28" s="3652"/>
      <c r="H28" s="3653"/>
      <c r="I28" s="3654"/>
      <c r="J28" s="3566"/>
      <c r="K28" s="3680"/>
      <c r="L28" s="3681"/>
      <c r="M28" s="3682"/>
      <c r="N28" s="3683"/>
      <c r="O28" s="3571"/>
      <c r="P28" s="3709"/>
      <c r="Q28" s="3710"/>
      <c r="R28" s="3711"/>
      <c r="S28" s="3712"/>
      <c r="T28" s="3138"/>
      <c r="U28" s="3138"/>
      <c r="V28" s="3138"/>
      <c r="W28" s="3138"/>
      <c r="X28" s="3138"/>
      <c r="Y28" s="3138"/>
      <c r="Z28" s="3138"/>
      <c r="AA28" s="3138"/>
      <c r="AB28" s="3138"/>
      <c r="AC28" s="3138"/>
      <c r="AD28" s="3138"/>
      <c r="AE28" s="3138"/>
      <c r="AF28" s="3138"/>
      <c r="AG28" s="3138"/>
      <c r="AH28" s="3138"/>
    </row>
    <row r="29" ht="20.0" customHeight="true">
      <c r="A29" s="3576"/>
      <c r="B29" s="3577"/>
      <c r="C29" s="3578"/>
      <c r="D29" s="3579"/>
      <c r="E29" s="3580"/>
      <c r="F29" s="3581"/>
      <c r="G29" s="3582"/>
      <c r="H29" s="3583"/>
      <c r="I29" s="3584"/>
      <c r="J29" s="3585"/>
      <c r="K29" s="3586"/>
      <c r="L29" s="3587"/>
      <c r="M29" s="3588"/>
      <c r="N29" s="3589"/>
      <c r="O29" s="3590"/>
      <c r="P29" s="3591"/>
      <c r="Q29" s="3592"/>
      <c r="R29" s="3593"/>
      <c r="S29" s="3594"/>
      <c r="T29" s="3138"/>
      <c r="U29" s="3138"/>
      <c r="V29" s="3138"/>
      <c r="W29" s="3138"/>
      <c r="X29" s="3138"/>
      <c r="Y29" s="3138"/>
      <c r="Z29" s="3138"/>
      <c r="AA29" s="3138"/>
      <c r="AB29" s="3138"/>
      <c r="AC29" s="3138"/>
      <c r="AD29" s="3138"/>
      <c r="AE29" s="3138"/>
      <c r="AF29" s="3138"/>
      <c r="AG29" s="3138"/>
      <c r="AH29" s="3138"/>
    </row>
    <row r="30" ht="9.0" customHeight="true">
      <c r="A30" s="3139"/>
      <c r="B30" s="3139"/>
      <c r="C30" s="3139"/>
      <c r="D30" s="3139"/>
      <c r="E30" s="3139"/>
      <c r="F30" s="3139"/>
      <c r="G30" s="3139"/>
      <c r="H30" s="3139"/>
      <c r="I30" s="3139"/>
      <c r="J30" s="3139"/>
      <c r="K30" s="3139"/>
      <c r="L30" s="3139"/>
      <c r="M30" s="3139"/>
      <c r="N30" s="3139"/>
      <c r="O30" s="3139"/>
      <c r="P30" s="3139"/>
      <c r="Q30" s="3139"/>
      <c r="R30" s="3139"/>
      <c r="S30" s="3139"/>
      <c r="T30" s="3138"/>
      <c r="U30" s="3138"/>
      <c r="V30" s="3138"/>
      <c r="W30" s="3138"/>
      <c r="X30" s="3138"/>
      <c r="Y30" s="3138"/>
      <c r="Z30" s="3138"/>
      <c r="AA30" s="3138"/>
      <c r="AB30" s="3138"/>
      <c r="AC30" s="3138"/>
      <c r="AD30" s="3138"/>
      <c r="AE30" s="3138"/>
      <c r="AF30" s="3138"/>
      <c r="AG30" s="3138"/>
      <c r="AH30" s="3138"/>
    </row>
    <row r="31" ht="20.0" customHeight="true">
      <c r="A31" s="3713"/>
      <c r="B31" s="3713"/>
      <c r="C31" s="3713"/>
      <c r="D31" s="3713"/>
      <c r="E31" s="3713"/>
      <c r="F31" s="3713"/>
      <c r="G31" s="3713"/>
      <c r="H31" s="3713"/>
      <c r="I31" s="3713"/>
      <c r="J31" s="3713"/>
      <c r="K31" s="3713"/>
      <c r="L31" s="3713"/>
      <c r="M31" s="3713"/>
      <c r="N31" s="3713"/>
      <c r="O31" s="3713"/>
      <c r="P31" s="3713"/>
      <c r="Q31" s="3713"/>
      <c r="R31" s="3713"/>
      <c r="S31" s="3713"/>
      <c r="T31" s="3138"/>
      <c r="U31" s="3138"/>
      <c r="V31" s="3138"/>
      <c r="W31" s="3138"/>
      <c r="X31" s="3138"/>
      <c r="Y31" s="3138"/>
      <c r="Z31" s="3138"/>
      <c r="AA31" s="3138"/>
      <c r="AB31" s="3138"/>
      <c r="AC31" s="3138"/>
      <c r="AD31" s="3138"/>
      <c r="AE31" s="3138"/>
      <c r="AF31" s="3138"/>
      <c r="AG31" s="3138"/>
      <c r="AH31" s="3138"/>
    </row>
    <row r="32" ht="9.0" customHeight="true">
      <c r="A32" s="3139"/>
      <c r="B32" s="3139"/>
      <c r="C32" s="3139"/>
      <c r="D32" s="3714" t="s">
        <v>521</v>
      </c>
      <c r="E32" s="3714"/>
      <c r="F32" s="3714"/>
      <c r="G32" s="3714"/>
      <c r="H32" s="3714"/>
      <c r="I32" s="3714"/>
      <c r="J32" s="3714"/>
      <c r="K32" s="3714"/>
      <c r="L32" s="3714"/>
      <c r="M32" s="3714"/>
      <c r="N32" s="3714"/>
      <c r="O32" s="3714"/>
      <c r="P32" s="3714"/>
      <c r="Q32" s="3139"/>
      <c r="R32" s="3139"/>
      <c r="S32" s="3139"/>
      <c r="T32" s="3138"/>
      <c r="U32" s="3138"/>
      <c r="V32" s="3138"/>
      <c r="W32" s="3138"/>
      <c r="X32" s="3138"/>
      <c r="Y32" s="3138"/>
      <c r="Z32" s="3138"/>
      <c r="AA32" s="3138"/>
      <c r="AB32" s="3138"/>
      <c r="AC32" s="3138"/>
      <c r="AD32" s="3138"/>
      <c r="AE32" s="3138"/>
      <c r="AF32" s="3138"/>
      <c r="AG32" s="3138"/>
      <c r="AH32" s="3138"/>
    </row>
    <row r="33" ht="9.0" customHeight="true">
      <c r="A33" s="3139"/>
      <c r="B33" s="3139"/>
      <c r="C33" s="3139"/>
      <c r="D33" s="3139"/>
      <c r="E33" s="3139"/>
      <c r="F33" s="3139"/>
      <c r="G33" s="3139"/>
      <c r="H33" s="3139"/>
      <c r="I33" s="3139"/>
      <c r="J33" s="3139"/>
      <c r="K33" s="3139"/>
      <c r="L33" s="3139"/>
      <c r="M33" s="3139"/>
      <c r="N33" s="3139"/>
      <c r="O33" s="3139"/>
      <c r="P33" s="3139"/>
      <c r="Q33" s="3139"/>
      <c r="R33" s="3139"/>
      <c r="S33" s="3139"/>
      <c r="T33" s="3138"/>
      <c r="U33" s="3138"/>
      <c r="V33" s="3138"/>
      <c r="W33" s="3138"/>
      <c r="X33" s="3138"/>
      <c r="Y33" s="3138"/>
      <c r="Z33" s="3138"/>
      <c r="AA33" s="3138"/>
      <c r="AB33" s="3138"/>
      <c r="AC33" s="3138"/>
      <c r="AD33" s="3138"/>
      <c r="AE33" s="3138"/>
      <c r="AF33" s="3138"/>
      <c r="AG33" s="3138"/>
      <c r="AH33" s="3138"/>
    </row>
    <row r="34" ht="9.0" customHeight="true">
      <c r="A34" s="3139"/>
      <c r="B34" s="3139"/>
      <c r="C34" s="3139"/>
      <c r="D34" s="3139"/>
      <c r="E34" s="3139"/>
      <c r="F34" s="3139"/>
      <c r="G34" s="3139"/>
      <c r="H34" s="3139"/>
      <c r="I34" s="3139"/>
      <c r="J34" s="3139"/>
      <c r="K34" s="3139"/>
      <c r="L34" s="3139"/>
      <c r="M34" s="3139"/>
      <c r="N34" s="3139"/>
      <c r="O34" s="3139"/>
      <c r="P34" s="3139"/>
      <c r="Q34" s="3139"/>
      <c r="R34" s="3139"/>
      <c r="S34" s="3139"/>
      <c r="T34" s="3138"/>
      <c r="U34" s="3138"/>
      <c r="V34" s="3138"/>
      <c r="W34" s="3138"/>
      <c r="X34" s="3138"/>
      <c r="Y34" s="3138"/>
      <c r="Z34" s="3138"/>
      <c r="AA34" s="3138"/>
      <c r="AB34" s="3138"/>
      <c r="AC34" s="3138"/>
      <c r="AD34" s="3138"/>
      <c r="AE34" s="3138"/>
      <c r="AF34" s="3138"/>
      <c r="AG34" s="3138"/>
      <c r="AH34" s="3138"/>
    </row>
    <row r="35" ht="18.0" customHeight="true">
      <c r="A35" s="3138"/>
      <c r="B35" s="3138"/>
      <c r="C35" s="3138"/>
      <c r="D35" s="3138"/>
      <c r="E35" s="3138"/>
      <c r="F35" s="3138"/>
      <c r="G35" s="3138"/>
      <c r="H35" s="3138"/>
      <c r="I35" s="3138"/>
      <c r="J35" s="3138"/>
      <c r="K35" s="3138"/>
      <c r="L35" s="3138"/>
      <c r="M35" s="3138"/>
      <c r="N35" s="3138"/>
      <c r="O35" s="3138"/>
      <c r="P35" s="3138"/>
      <c r="Q35" s="3138"/>
      <c r="R35" s="3138"/>
      <c r="S35" s="3138"/>
      <c r="T35" s="3138"/>
      <c r="U35" s="3138"/>
      <c r="V35" s="3138"/>
      <c r="W35" s="3138"/>
      <c r="X35" s="3138"/>
      <c r="Y35" s="3138"/>
      <c r="Z35" s="3138"/>
      <c r="AA35" s="3138"/>
      <c r="AB35" s="3138"/>
      <c r="AC35" s="3138"/>
      <c r="AD35" s="3138"/>
      <c r="AE35" s="3138"/>
      <c r="AF35" s="3138"/>
      <c r="AG35" s="3138"/>
      <c r="AH35" s="3138"/>
    </row>
    <row r="36" ht="18.0" customHeight="true">
      <c r="A36" s="3138"/>
      <c r="B36" s="3138"/>
      <c r="C36" s="3138"/>
      <c r="D36" s="3138"/>
      <c r="E36" s="3138"/>
      <c r="F36" s="3138"/>
      <c r="G36" s="3138"/>
      <c r="H36" s="3138"/>
      <c r="I36" s="3138"/>
      <c r="J36" s="3138"/>
      <c r="K36" s="3138"/>
      <c r="L36" s="3138"/>
      <c r="M36" s="3138"/>
      <c r="N36" s="3138"/>
      <c r="O36" s="3138"/>
      <c r="P36" s="3138"/>
      <c r="Q36" s="3138"/>
      <c r="R36" s="3138"/>
      <c r="S36" s="3138"/>
      <c r="T36" s="3138"/>
      <c r="U36" s="3138"/>
      <c r="V36" s="3138"/>
      <c r="W36" s="3138"/>
      <c r="X36" s="3138"/>
      <c r="Y36" s="3138"/>
      <c r="Z36" s="3138"/>
      <c r="AA36" s="3138"/>
      <c r="AB36" s="3138"/>
      <c r="AC36" s="3138"/>
      <c r="AD36" s="3138"/>
      <c r="AE36" s="3138"/>
      <c r="AF36" s="3138"/>
      <c r="AG36" s="3138"/>
      <c r="AH36" s="3138"/>
    </row>
    <row r="37" ht="18.0" customHeight="true">
      <c r="A37" s="3138"/>
      <c r="B37" s="3138"/>
      <c r="C37" s="3138"/>
      <c r="D37" s="3138"/>
      <c r="E37" s="3138"/>
      <c r="F37" s="3138"/>
      <c r="G37" s="3138"/>
      <c r="H37" s="3138"/>
      <c r="I37" s="3138"/>
      <c r="J37" s="3138"/>
      <c r="K37" s="3138"/>
      <c r="L37" s="3138"/>
      <c r="M37" s="3138"/>
      <c r="N37" s="3138"/>
      <c r="O37" s="3138"/>
      <c r="P37" s="3138"/>
      <c r="Q37" s="3138"/>
      <c r="R37" s="3138"/>
      <c r="S37" s="3138"/>
      <c r="T37" s="3138"/>
      <c r="U37" s="3138"/>
      <c r="V37" s="3138"/>
      <c r="W37" s="3138"/>
      <c r="X37" s="3138"/>
      <c r="Y37" s="3138"/>
      <c r="Z37" s="3138"/>
      <c r="AA37" s="3138"/>
      <c r="AB37" s="3138"/>
      <c r="AC37" s="3138"/>
      <c r="AD37" s="3138"/>
      <c r="AE37" s="3138"/>
      <c r="AF37" s="3138"/>
      <c r="AG37" s="3138"/>
      <c r="AH37" s="3138"/>
    </row>
    <row r="38" ht="18.0" customHeight="true">
      <c r="A38" s="3138"/>
      <c r="B38" s="3138"/>
      <c r="C38" s="3138"/>
      <c r="D38" s="3138"/>
      <c r="E38" s="3138"/>
      <c r="F38" s="3138"/>
      <c r="G38" s="3138"/>
      <c r="H38" s="3138"/>
      <c r="I38" s="3138"/>
      <c r="J38" s="3138"/>
      <c r="K38" s="3138"/>
      <c r="L38" s="3138"/>
      <c r="M38" s="3138"/>
      <c r="N38" s="3138"/>
      <c r="O38" s="3138"/>
      <c r="P38" s="3138"/>
      <c r="Q38" s="3138"/>
      <c r="R38" s="3138"/>
      <c r="S38" s="3138"/>
      <c r="T38" s="3138"/>
      <c r="U38" s="3138"/>
      <c r="V38" s="3138"/>
      <c r="W38" s="3138"/>
      <c r="X38" s="3138"/>
      <c r="Y38" s="3138"/>
      <c r="Z38" s="3138"/>
      <c r="AA38" s="3138"/>
      <c r="AB38" s="3138"/>
      <c r="AC38" s="3138"/>
      <c r="AD38" s="3138"/>
      <c r="AE38" s="3138"/>
      <c r="AF38" s="3138"/>
      <c r="AG38" s="3138"/>
      <c r="AH38" s="3138"/>
    </row>
    <row r="39" ht="18.0" customHeight="true">
      <c r="A39" s="3138"/>
      <c r="B39" s="3138"/>
      <c r="C39" s="3138"/>
      <c r="D39" s="3138"/>
      <c r="E39" s="3138"/>
      <c r="F39" s="3138"/>
      <c r="G39" s="3138"/>
      <c r="H39" s="3138"/>
      <c r="I39" s="3138"/>
      <c r="J39" s="3138"/>
      <c r="K39" s="3138"/>
      <c r="L39" s="3138"/>
      <c r="M39" s="3138"/>
      <c r="N39" s="3138"/>
      <c r="O39" s="3138"/>
      <c r="P39" s="3138"/>
      <c r="Q39" s="3138"/>
      <c r="R39" s="3138"/>
      <c r="S39" s="3138"/>
      <c r="T39" s="3138"/>
      <c r="U39" s="3138"/>
      <c r="V39" s="3138"/>
      <c r="W39" s="3138"/>
      <c r="X39" s="3138"/>
      <c r="Y39" s="3138"/>
      <c r="Z39" s="3138"/>
      <c r="AA39" s="3138"/>
      <c r="AB39" s="3138"/>
      <c r="AC39" s="3138"/>
      <c r="AD39" s="3138"/>
      <c r="AE39" s="3138"/>
      <c r="AF39" s="3138"/>
      <c r="AG39" s="3138"/>
      <c r="AH39" s="3138"/>
    </row>
    <row r="40" ht="18.0" customHeight="true">
      <c r="A40" s="3138"/>
      <c r="B40" s="3138"/>
      <c r="C40" s="3138"/>
      <c r="D40" s="3138"/>
      <c r="E40" s="3138"/>
      <c r="F40" s="3138"/>
      <c r="G40" s="3138"/>
      <c r="H40" s="3138"/>
      <c r="I40" s="3138"/>
      <c r="J40" s="3138"/>
      <c r="K40" s="3138"/>
      <c r="L40" s="3138"/>
      <c r="M40" s="3138"/>
      <c r="N40" s="3138"/>
      <c r="O40" s="3138"/>
      <c r="P40" s="3138"/>
      <c r="Q40" s="3138"/>
      <c r="R40" s="3138"/>
      <c r="S40" s="3138"/>
      <c r="T40" s="3138"/>
      <c r="U40" s="3138"/>
      <c r="V40" s="3138"/>
      <c r="W40" s="3138"/>
      <c r="X40" s="3138"/>
      <c r="Y40" s="3138"/>
      <c r="Z40" s="3138"/>
      <c r="AA40" s="3138"/>
      <c r="AB40" s="3138"/>
      <c r="AC40" s="3138"/>
      <c r="AD40" s="3138"/>
      <c r="AE40" s="3138"/>
      <c r="AF40" s="3138"/>
      <c r="AG40" s="3138"/>
      <c r="AH40" s="3138"/>
    </row>
    <row r="41" ht="18.0" customHeight="true">
      <c r="A41" s="3138"/>
      <c r="B41" s="3138"/>
      <c r="C41" s="3138"/>
      <c r="D41" s="3138"/>
      <c r="E41" s="3138"/>
      <c r="F41" s="3138"/>
      <c r="G41" s="3138"/>
      <c r="H41" s="3138"/>
      <c r="I41" s="3138"/>
      <c r="J41" s="3138"/>
      <c r="K41" s="3138"/>
      <c r="L41" s="3138"/>
      <c r="M41" s="3138"/>
      <c r="N41" s="3138"/>
      <c r="O41" s="3138"/>
      <c r="P41" s="3138"/>
      <c r="Q41" s="3138"/>
      <c r="R41" s="3138"/>
      <c r="S41" s="3138"/>
      <c r="T41" s="3138"/>
      <c r="U41" s="3138"/>
      <c r="V41" s="3138"/>
      <c r="W41" s="3138"/>
      <c r="X41" s="3138"/>
      <c r="Y41" s="3138"/>
      <c r="Z41" s="3138"/>
      <c r="AA41" s="3138"/>
      <c r="AB41" s="3138"/>
      <c r="AC41" s="3138"/>
      <c r="AD41" s="3138"/>
      <c r="AE41" s="3138"/>
      <c r="AF41" s="3138"/>
      <c r="AG41" s="3138"/>
      <c r="AH41" s="3138"/>
    </row>
    <row r="42" ht="18.0" customHeight="true">
      <c r="A42" s="3138"/>
      <c r="B42" s="3138"/>
      <c r="C42" s="3138"/>
      <c r="D42" s="3138"/>
      <c r="E42" s="3138"/>
      <c r="F42" s="3138"/>
      <c r="G42" s="3138"/>
      <c r="H42" s="3138"/>
      <c r="I42" s="3138"/>
      <c r="J42" s="3138"/>
      <c r="K42" s="3138"/>
      <c r="L42" s="3138"/>
      <c r="M42" s="3138"/>
      <c r="N42" s="3138"/>
      <c r="O42" s="3138"/>
      <c r="P42" s="3138"/>
      <c r="Q42" s="3138"/>
      <c r="R42" s="3138"/>
      <c r="S42" s="3138"/>
      <c r="T42" s="3138"/>
      <c r="U42" s="3138"/>
      <c r="V42" s="3138"/>
      <c r="W42" s="3138"/>
      <c r="X42" s="3138"/>
      <c r="Y42" s="3138"/>
      <c r="Z42" s="3138"/>
      <c r="AA42" s="3138"/>
      <c r="AB42" s="3138"/>
      <c r="AC42" s="3138"/>
      <c r="AD42" s="3138"/>
      <c r="AE42" s="3138"/>
      <c r="AF42" s="3138"/>
      <c r="AG42" s="3138"/>
      <c r="AH42" s="3138"/>
    </row>
    <row r="43" ht="18.0" customHeight="true">
      <c r="A43" s="3138"/>
      <c r="B43" s="3138"/>
      <c r="C43" s="3138"/>
      <c r="D43" s="3138"/>
      <c r="E43" s="3138"/>
      <c r="F43" s="3138"/>
      <c r="G43" s="3138"/>
      <c r="H43" s="3138"/>
      <c r="I43" s="3138"/>
      <c r="J43" s="3138"/>
      <c r="K43" s="3138"/>
      <c r="L43" s="3138"/>
      <c r="M43" s="3138"/>
      <c r="N43" s="3138"/>
      <c r="O43" s="3138"/>
      <c r="P43" s="3138"/>
      <c r="Q43" s="3138"/>
      <c r="R43" s="3138"/>
      <c r="S43" s="3138"/>
      <c r="T43" s="3138"/>
      <c r="U43" s="3138"/>
      <c r="V43" s="3138"/>
      <c r="W43" s="3138"/>
      <c r="X43" s="3138"/>
      <c r="Y43" s="3138"/>
      <c r="Z43" s="3138"/>
      <c r="AA43" s="3138"/>
      <c r="AB43" s="3138"/>
      <c r="AC43" s="3138"/>
      <c r="AD43" s="3138"/>
      <c r="AE43" s="3138"/>
      <c r="AF43" s="3138"/>
      <c r="AG43" s="3138"/>
      <c r="AH43" s="3138"/>
    </row>
    <row r="44" ht="18.0" customHeight="true">
      <c r="A44" s="3138"/>
      <c r="B44" s="3138"/>
      <c r="C44" s="3138"/>
      <c r="D44" s="3138"/>
      <c r="E44" s="3138"/>
      <c r="F44" s="3138"/>
      <c r="G44" s="3138"/>
      <c r="H44" s="3138"/>
      <c r="I44" s="3138"/>
      <c r="J44" s="3138"/>
      <c r="K44" s="3138"/>
      <c r="L44" s="3138"/>
      <c r="M44" s="3138"/>
      <c r="N44" s="3138"/>
      <c r="O44" s="3138"/>
      <c r="P44" s="3138"/>
      <c r="Q44" s="3138"/>
      <c r="R44" s="3138"/>
      <c r="S44" s="3138"/>
      <c r="T44" s="3138"/>
      <c r="U44" s="3138"/>
      <c r="V44" s="3138"/>
      <c r="W44" s="3138"/>
      <c r="X44" s="3138"/>
      <c r="Y44" s="3138"/>
      <c r="Z44" s="3138"/>
      <c r="AA44" s="3138"/>
      <c r="AB44" s="3138"/>
      <c r="AC44" s="3138"/>
      <c r="AD44" s="3138"/>
      <c r="AE44" s="3138"/>
      <c r="AF44" s="3138"/>
      <c r="AG44" s="3138"/>
      <c r="AH44" s="3138"/>
    </row>
    <row r="45" ht="18.0" customHeight="true">
      <c r="A45" s="3138"/>
      <c r="B45" s="3138"/>
      <c r="C45" s="3138"/>
      <c r="D45" s="3138"/>
      <c r="E45" s="3138"/>
      <c r="F45" s="3138"/>
      <c r="G45" s="3138"/>
      <c r="H45" s="3138"/>
      <c r="I45" s="3138"/>
      <c r="J45" s="3138"/>
      <c r="K45" s="3138"/>
      <c r="L45" s="3138"/>
      <c r="M45" s="3138"/>
      <c r="N45" s="3138"/>
      <c r="O45" s="3138"/>
      <c r="P45" s="3138"/>
      <c r="Q45" s="3138"/>
      <c r="R45" s="3138"/>
      <c r="S45" s="3138"/>
      <c r="T45" s="3138"/>
      <c r="U45" s="3138"/>
      <c r="V45" s="3138"/>
      <c r="W45" s="3138"/>
      <c r="X45" s="3138"/>
      <c r="Y45" s="3138"/>
      <c r="Z45" s="3138"/>
      <c r="AA45" s="3138"/>
      <c r="AB45" s="3138"/>
      <c r="AC45" s="3138"/>
      <c r="AD45" s="3138"/>
      <c r="AE45" s="3138"/>
      <c r="AF45" s="3138"/>
      <c r="AG45" s="3138"/>
      <c r="AH45" s="3138"/>
    </row>
    <row r="46" ht="18.0" customHeight="true">
      <c r="A46" s="3138"/>
      <c r="B46" s="3138"/>
      <c r="C46" s="3138"/>
      <c r="D46" s="3138"/>
      <c r="E46" s="3138"/>
      <c r="F46" s="3138"/>
      <c r="G46" s="3138"/>
      <c r="H46" s="3138"/>
      <c r="I46" s="3138"/>
      <c r="J46" s="3138"/>
      <c r="K46" s="3138"/>
      <c r="L46" s="3138"/>
      <c r="M46" s="3138"/>
      <c r="N46" s="3138"/>
      <c r="O46" s="3138"/>
      <c r="P46" s="3138"/>
      <c r="Q46" s="3138"/>
      <c r="R46" s="3138"/>
      <c r="S46" s="3138"/>
      <c r="T46" s="3138"/>
      <c r="U46" s="3138"/>
      <c r="V46" s="3138"/>
      <c r="W46" s="3138"/>
      <c r="X46" s="3138"/>
      <c r="Y46" s="3138"/>
      <c r="Z46" s="3138"/>
      <c r="AA46" s="3138"/>
      <c r="AB46" s="3138"/>
      <c r="AC46" s="3138"/>
      <c r="AD46" s="3138"/>
      <c r="AE46" s="3138"/>
      <c r="AF46" s="3138"/>
      <c r="AG46" s="3138"/>
      <c r="AH46" s="3138"/>
    </row>
    <row r="47" ht="18.0" customHeight="true">
      <c r="A47" s="3138"/>
      <c r="B47" s="3138"/>
      <c r="C47" s="3138"/>
      <c r="D47" s="3138"/>
      <c r="E47" s="3138"/>
      <c r="F47" s="3138"/>
      <c r="G47" s="3138"/>
      <c r="H47" s="3138"/>
      <c r="I47" s="3138"/>
      <c r="J47" s="3138"/>
      <c r="K47" s="3138"/>
      <c r="L47" s="3138"/>
      <c r="M47" s="3138"/>
      <c r="N47" s="3138"/>
      <c r="O47" s="3138"/>
      <c r="P47" s="3138"/>
      <c r="Q47" s="3138"/>
      <c r="R47" s="3138"/>
      <c r="S47" s="3138"/>
      <c r="T47" s="3138"/>
      <c r="U47" s="3138"/>
      <c r="V47" s="3138"/>
      <c r="W47" s="3138"/>
      <c r="X47" s="3138"/>
      <c r="Y47" s="3138"/>
      <c r="Z47" s="3138"/>
      <c r="AA47" s="3138"/>
      <c r="AB47" s="3138"/>
      <c r="AC47" s="3138"/>
      <c r="AD47" s="3138"/>
      <c r="AE47" s="3138"/>
      <c r="AF47" s="3138"/>
      <c r="AG47" s="3138"/>
      <c r="AH47" s="3138"/>
    </row>
    <row r="48" ht="18.0" customHeight="true">
      <c r="A48" s="3138"/>
      <c r="B48" s="3138"/>
      <c r="C48" s="3138"/>
      <c r="D48" s="3138"/>
      <c r="E48" s="3138"/>
      <c r="F48" s="3138"/>
      <c r="G48" s="3138"/>
      <c r="H48" s="3138"/>
      <c r="I48" s="3138"/>
      <c r="J48" s="3138"/>
      <c r="K48" s="3138"/>
      <c r="L48" s="3138"/>
      <c r="M48" s="3138"/>
      <c r="N48" s="3138"/>
      <c r="O48" s="3138"/>
      <c r="P48" s="3138"/>
      <c r="Q48" s="3138"/>
      <c r="R48" s="3138"/>
      <c r="S48" s="3138"/>
      <c r="T48" s="3138"/>
      <c r="U48" s="3138"/>
      <c r="V48" s="3138"/>
      <c r="W48" s="3138"/>
      <c r="X48" s="3138"/>
      <c r="Y48" s="3138"/>
      <c r="Z48" s="3138"/>
      <c r="AA48" s="3138"/>
      <c r="AB48" s="3138"/>
      <c r="AC48" s="3138"/>
      <c r="AD48" s="3138"/>
      <c r="AE48" s="3138"/>
      <c r="AF48" s="3138"/>
      <c r="AG48" s="3138"/>
      <c r="AH48" s="3138"/>
    </row>
    <row r="49" ht="18.0" customHeight="true">
      <c r="A49" s="3138"/>
      <c r="B49" s="3138"/>
      <c r="C49" s="3138"/>
      <c r="D49" s="3138"/>
      <c r="E49" s="3138"/>
      <c r="F49" s="3138"/>
      <c r="G49" s="3138"/>
      <c r="H49" s="3138"/>
      <c r="I49" s="3138"/>
      <c r="J49" s="3138"/>
      <c r="K49" s="3138"/>
      <c r="L49" s="3138"/>
      <c r="M49" s="3138"/>
      <c r="N49" s="3138"/>
      <c r="O49" s="3138"/>
      <c r="P49" s="3138"/>
      <c r="Q49" s="3138"/>
      <c r="R49" s="3138"/>
      <c r="S49" s="3138"/>
      <c r="T49" s="3138"/>
      <c r="U49" s="3138"/>
      <c r="V49" s="3138"/>
      <c r="W49" s="3138"/>
      <c r="X49" s="3138"/>
      <c r="Y49" s="3138"/>
      <c r="Z49" s="3138"/>
      <c r="AA49" s="3138"/>
      <c r="AB49" s="3138"/>
      <c r="AC49" s="3138"/>
      <c r="AD49" s="3138"/>
      <c r="AE49" s="3138"/>
      <c r="AF49" s="3138"/>
      <c r="AG49" s="3138"/>
      <c r="AH49" s="3138"/>
    </row>
    <row r="50" ht="18.0" customHeight="true">
      <c r="A50" s="3138"/>
      <c r="B50" s="3138"/>
      <c r="C50" s="3138"/>
      <c r="D50" s="3138"/>
      <c r="E50" s="3138"/>
      <c r="F50" s="3138"/>
      <c r="G50" s="3138"/>
      <c r="H50" s="3138"/>
      <c r="I50" s="3138"/>
      <c r="J50" s="3138"/>
      <c r="K50" s="3138"/>
      <c r="L50" s="3138"/>
      <c r="M50" s="3138"/>
      <c r="N50" s="3138"/>
      <c r="O50" s="3138"/>
      <c r="P50" s="3138"/>
      <c r="Q50" s="3138"/>
      <c r="R50" s="3138"/>
      <c r="S50" s="3138"/>
      <c r="T50" s="3138"/>
      <c r="U50" s="3138"/>
      <c r="V50" s="3138"/>
      <c r="W50" s="3138"/>
      <c r="X50" s="3138"/>
      <c r="Y50" s="3138"/>
      <c r="Z50" s="3138"/>
      <c r="AA50" s="3138"/>
      <c r="AB50" s="3138"/>
      <c r="AC50" s="3138"/>
      <c r="AD50" s="3138"/>
      <c r="AE50" s="3138"/>
      <c r="AF50" s="3138"/>
      <c r="AG50" s="3138"/>
      <c r="AH50" s="3138"/>
    </row>
    <row r="51" ht="18.0" customHeight="true">
      <c r="A51" s="3138"/>
      <c r="B51" s="3138"/>
      <c r="C51" s="3138"/>
      <c r="D51" s="3138"/>
      <c r="E51" s="3138"/>
      <c r="F51" s="3138"/>
      <c r="G51" s="3138"/>
      <c r="H51" s="3138"/>
      <c r="I51" s="3138"/>
      <c r="J51" s="3138"/>
      <c r="K51" s="3138"/>
      <c r="L51" s="3138"/>
      <c r="M51" s="3138"/>
      <c r="N51" s="3138"/>
      <c r="O51" s="3138"/>
      <c r="P51" s="3138"/>
      <c r="Q51" s="3138"/>
      <c r="R51" s="3138"/>
      <c r="S51" s="3138"/>
      <c r="T51" s="3138"/>
      <c r="U51" s="3138"/>
      <c r="V51" s="3138"/>
      <c r="W51" s="3138"/>
      <c r="X51" s="3138"/>
      <c r="Y51" s="3138"/>
      <c r="Z51" s="3138"/>
      <c r="AA51" s="3138"/>
      <c r="AB51" s="3138"/>
      <c r="AC51" s="3138"/>
      <c r="AD51" s="3138"/>
      <c r="AE51" s="3138"/>
      <c r="AF51" s="3138"/>
      <c r="AG51" s="3138"/>
      <c r="AH51" s="3138"/>
    </row>
    <row r="52" ht="18.0" customHeight="true">
      <c r="A52" s="3138"/>
      <c r="B52" s="3138"/>
      <c r="C52" s="3138"/>
      <c r="D52" s="3138"/>
      <c r="E52" s="3138"/>
      <c r="F52" s="3138"/>
      <c r="G52" s="3138"/>
      <c r="H52" s="3138"/>
      <c r="I52" s="3138"/>
      <c r="J52" s="3138"/>
      <c r="K52" s="3138"/>
      <c r="L52" s="3138"/>
      <c r="M52" s="3138"/>
      <c r="N52" s="3138"/>
      <c r="O52" s="3138"/>
      <c r="P52" s="3138"/>
      <c r="Q52" s="3138"/>
      <c r="R52" s="3138"/>
      <c r="S52" s="3138"/>
      <c r="T52" s="3138"/>
      <c r="U52" s="3138"/>
      <c r="V52" s="3138"/>
      <c r="W52" s="3138"/>
      <c r="X52" s="3138"/>
      <c r="Y52" s="3138"/>
      <c r="Z52" s="3138"/>
      <c r="AA52" s="3138"/>
      <c r="AB52" s="3138"/>
      <c r="AC52" s="3138"/>
      <c r="AD52" s="3138"/>
      <c r="AE52" s="3138"/>
      <c r="AF52" s="3138"/>
      <c r="AG52" s="3138"/>
      <c r="AH52" s="3138"/>
    </row>
    <row r="53" ht="18.0" customHeight="true">
      <c r="A53" s="3138"/>
      <c r="B53" s="3138"/>
      <c r="C53" s="3138"/>
      <c r="D53" s="3138"/>
      <c r="E53" s="3138"/>
      <c r="F53" s="3138"/>
      <c r="G53" s="3138"/>
      <c r="H53" s="3138"/>
      <c r="I53" s="3138"/>
      <c r="J53" s="3138"/>
      <c r="K53" s="3138"/>
      <c r="L53" s="3138"/>
      <c r="M53" s="3138"/>
      <c r="N53" s="3138"/>
      <c r="O53" s="3138"/>
      <c r="P53" s="3138"/>
      <c r="Q53" s="3138"/>
      <c r="R53" s="3138"/>
      <c r="S53" s="3138"/>
      <c r="T53" s="3138"/>
      <c r="U53" s="3138"/>
      <c r="V53" s="3138"/>
      <c r="W53" s="3138"/>
      <c r="X53" s="3138"/>
      <c r="Y53" s="3138"/>
      <c r="Z53" s="3138"/>
      <c r="AA53" s="3138"/>
      <c r="AB53" s="3138"/>
      <c r="AC53" s="3138"/>
      <c r="AD53" s="3138"/>
      <c r="AE53" s="3138"/>
      <c r="AF53" s="3138"/>
      <c r="AG53" s="3138"/>
      <c r="AH53" s="3138"/>
    </row>
    <row r="54" ht="18.0" customHeight="true">
      <c r="A54" s="3138"/>
      <c r="B54" s="3138"/>
      <c r="C54" s="3138"/>
      <c r="D54" s="3138"/>
      <c r="E54" s="3138"/>
      <c r="F54" s="3138"/>
      <c r="G54" s="3138"/>
      <c r="H54" s="3138"/>
      <c r="I54" s="3138"/>
      <c r="J54" s="3138"/>
      <c r="K54" s="3138"/>
      <c r="L54" s="3138"/>
      <c r="M54" s="3138"/>
      <c r="N54" s="3138"/>
      <c r="O54" s="3138"/>
      <c r="P54" s="3138"/>
      <c r="Q54" s="3138"/>
      <c r="R54" s="3138"/>
      <c r="S54" s="3138"/>
      <c r="T54" s="3138"/>
      <c r="U54" s="3138"/>
      <c r="V54" s="3138"/>
      <c r="W54" s="3138"/>
      <c r="X54" s="3138"/>
      <c r="Y54" s="3138"/>
      <c r="Z54" s="3138"/>
      <c r="AA54" s="3138"/>
      <c r="AB54" s="3138"/>
      <c r="AC54" s="3138"/>
      <c r="AD54" s="3138"/>
      <c r="AE54" s="3138"/>
      <c r="AF54" s="3138"/>
      <c r="AG54" s="3138"/>
      <c r="AH54" s="3138"/>
    </row>
    <row r="55" ht="18.0" customHeight="true">
      <c r="A55" s="3138"/>
      <c r="B55" s="3138"/>
      <c r="C55" s="3138"/>
      <c r="D55" s="3138"/>
      <c r="E55" s="3138"/>
      <c r="F55" s="3138"/>
      <c r="G55" s="3138"/>
      <c r="H55" s="3138"/>
      <c r="I55" s="3138"/>
      <c r="J55" s="3138"/>
      <c r="K55" s="3138"/>
      <c r="L55" s="3138"/>
      <c r="M55" s="3138"/>
      <c r="N55" s="3138"/>
      <c r="O55" s="3138"/>
      <c r="P55" s="3138"/>
      <c r="Q55" s="3138"/>
      <c r="R55" s="3138"/>
      <c r="S55" s="3138"/>
      <c r="T55" s="3138"/>
      <c r="U55" s="3138"/>
      <c r="V55" s="3138"/>
      <c r="W55" s="3138"/>
      <c r="X55" s="3138"/>
      <c r="Y55" s="3138"/>
      <c r="Z55" s="3138"/>
      <c r="AA55" s="3138"/>
      <c r="AB55" s="3138"/>
      <c r="AC55" s="3138"/>
      <c r="AD55" s="3138"/>
      <c r="AE55" s="3138"/>
      <c r="AF55" s="3138"/>
      <c r="AG55" s="3138"/>
      <c r="AH55" s="3138"/>
    </row>
    <row r="56" ht="18.0" customHeight="true">
      <c r="A56" s="3138"/>
      <c r="B56" s="3138"/>
      <c r="C56" s="3138"/>
      <c r="D56" s="3138"/>
      <c r="E56" s="3138"/>
      <c r="F56" s="3138"/>
      <c r="G56" s="3138"/>
      <c r="H56" s="3138"/>
      <c r="I56" s="3138"/>
      <c r="J56" s="3138"/>
      <c r="K56" s="3138"/>
      <c r="L56" s="3138"/>
      <c r="M56" s="3138"/>
      <c r="N56" s="3138"/>
      <c r="O56" s="3138"/>
      <c r="P56" s="3138"/>
      <c r="Q56" s="3138"/>
      <c r="R56" s="3138"/>
      <c r="S56" s="3138"/>
      <c r="T56" s="3138"/>
      <c r="U56" s="3138"/>
      <c r="V56" s="3138"/>
      <c r="W56" s="3138"/>
      <c r="X56" s="3138"/>
      <c r="Y56" s="3138"/>
      <c r="Z56" s="3138"/>
      <c r="AA56" s="3138"/>
      <c r="AB56" s="3138"/>
      <c r="AC56" s="3138"/>
      <c r="AD56" s="3138"/>
      <c r="AE56" s="3138"/>
      <c r="AF56" s="3138"/>
      <c r="AG56" s="3138"/>
      <c r="AH56" s="3138"/>
    </row>
    <row r="57" ht="18.0" customHeight="true">
      <c r="A57" s="3138"/>
      <c r="B57" s="3138"/>
      <c r="C57" s="3138"/>
      <c r="D57" s="3138"/>
      <c r="E57" s="3138"/>
      <c r="F57" s="3138"/>
      <c r="G57" s="3138"/>
      <c r="H57" s="3138"/>
      <c r="I57" s="3138"/>
      <c r="J57" s="3138"/>
      <c r="K57" s="3138"/>
      <c r="L57" s="3138"/>
      <c r="M57" s="3138"/>
      <c r="N57" s="3138"/>
      <c r="O57" s="3138"/>
      <c r="P57" s="3138"/>
      <c r="Q57" s="3138"/>
      <c r="R57" s="3138"/>
      <c r="S57" s="3138"/>
      <c r="T57" s="3138"/>
      <c r="U57" s="3138"/>
      <c r="V57" s="3138"/>
      <c r="W57" s="3138"/>
      <c r="X57" s="3138"/>
      <c r="Y57" s="3138"/>
      <c r="Z57" s="3138"/>
      <c r="AA57" s="3138"/>
      <c r="AB57" s="3138"/>
      <c r="AC57" s="3138"/>
      <c r="AD57" s="3138"/>
      <c r="AE57" s="3138"/>
      <c r="AF57" s="3138"/>
      <c r="AG57" s="3138"/>
      <c r="AH57" s="3138"/>
    </row>
    <row r="58" ht="18.0" customHeight="true">
      <c r="A58" s="3138"/>
      <c r="B58" s="3138"/>
      <c r="C58" s="3138"/>
      <c r="D58" s="3138"/>
      <c r="E58" s="3138"/>
      <c r="F58" s="3138"/>
      <c r="G58" s="3138"/>
      <c r="H58" s="3138"/>
      <c r="I58" s="3138"/>
      <c r="J58" s="3138"/>
      <c r="K58" s="3138"/>
      <c r="L58" s="3138"/>
      <c r="M58" s="3138"/>
      <c r="N58" s="3138"/>
      <c r="O58" s="3138"/>
      <c r="P58" s="3138"/>
      <c r="Q58" s="3138"/>
      <c r="R58" s="3138"/>
      <c r="S58" s="3138"/>
      <c r="T58" s="3138"/>
      <c r="U58" s="3138"/>
      <c r="V58" s="3138"/>
      <c r="W58" s="3138"/>
      <c r="X58" s="3138"/>
      <c r="Y58" s="3138"/>
      <c r="Z58" s="3138"/>
      <c r="AA58" s="3138"/>
      <c r="AB58" s="3138"/>
      <c r="AC58" s="3138"/>
      <c r="AD58" s="3138"/>
      <c r="AE58" s="3138"/>
      <c r="AF58" s="3138"/>
      <c r="AG58" s="3138"/>
      <c r="AH58" s="3138"/>
    </row>
    <row r="59" ht="18.0" customHeight="true">
      <c r="A59" s="3138"/>
      <c r="B59" s="3138"/>
      <c r="C59" s="3138"/>
      <c r="D59" s="3138"/>
      <c r="E59" s="3138"/>
      <c r="F59" s="3138"/>
      <c r="G59" s="3138"/>
      <c r="H59" s="3138"/>
      <c r="I59" s="3138"/>
      <c r="J59" s="3138"/>
      <c r="K59" s="3138"/>
      <c r="L59" s="3138"/>
      <c r="M59" s="3138"/>
      <c r="N59" s="3138"/>
      <c r="O59" s="3138"/>
      <c r="P59" s="3138"/>
      <c r="Q59" s="3138"/>
      <c r="R59" s="3138"/>
      <c r="S59" s="3138"/>
      <c r="T59" s="3138"/>
      <c r="U59" s="3138"/>
      <c r="V59" s="3138"/>
      <c r="W59" s="3138"/>
      <c r="X59" s="3138"/>
      <c r="Y59" s="3138"/>
      <c r="Z59" s="3138"/>
      <c r="AA59" s="3138"/>
      <c r="AB59" s="3138"/>
      <c r="AC59" s="3138"/>
      <c r="AD59" s="3138"/>
      <c r="AE59" s="3138"/>
      <c r="AF59" s="3138"/>
      <c r="AG59" s="3138"/>
      <c r="AH59" s="3138"/>
    </row>
    <row r="60" ht="18.0" customHeight="true">
      <c r="A60" s="3138"/>
      <c r="B60" s="3138"/>
      <c r="C60" s="3138"/>
      <c r="D60" s="3138"/>
      <c r="E60" s="3138"/>
      <c r="F60" s="3138"/>
      <c r="G60" s="3138"/>
      <c r="H60" s="3138"/>
      <c r="I60" s="3138"/>
      <c r="J60" s="3138"/>
      <c r="K60" s="3138"/>
      <c r="L60" s="3138"/>
      <c r="M60" s="3138"/>
      <c r="N60" s="3138"/>
      <c r="O60" s="3138"/>
      <c r="P60" s="3138"/>
      <c r="Q60" s="3138"/>
      <c r="R60" s="3138"/>
      <c r="S60" s="3138"/>
      <c r="T60" s="3138"/>
      <c r="U60" s="3138"/>
      <c r="V60" s="3138"/>
      <c r="W60" s="3138"/>
      <c r="X60" s="3138"/>
      <c r="Y60" s="3138"/>
      <c r="Z60" s="3138"/>
      <c r="AA60" s="3138"/>
      <c r="AB60" s="3138"/>
      <c r="AC60" s="3138"/>
      <c r="AD60" s="3138"/>
      <c r="AE60" s="3138"/>
      <c r="AF60" s="3138"/>
      <c r="AG60" s="3138"/>
      <c r="AH60" s="3138"/>
    </row>
  </sheetData>
  <mergeCells count="61">
    <mergeCell ref="A1:B4"/>
    <mergeCell ref="C1:Q2"/>
    <mergeCell ref="C3:Q3"/>
    <mergeCell ref="R1:S4"/>
    <mergeCell ref="A7:A9"/>
    <mergeCell ref="B6:D6"/>
    <mergeCell ref="B7:D8"/>
    <mergeCell ref="B9:D10"/>
    <mergeCell ref="F7:F9"/>
    <mergeCell ref="G6:I6"/>
    <mergeCell ref="G7:I8"/>
    <mergeCell ref="G9:I10"/>
    <mergeCell ref="K7:K9"/>
    <mergeCell ref="L6:N6"/>
    <mergeCell ref="L7:N8"/>
    <mergeCell ref="L9:N10"/>
    <mergeCell ref="P7:P9"/>
    <mergeCell ref="Q6:S6"/>
    <mergeCell ref="Q7:S8"/>
    <mergeCell ref="Q9:S10"/>
    <mergeCell ref="A12:S12"/>
    <mergeCell ref="A13:S13"/>
    <mergeCell ref="A14:G14"/>
    <mergeCell ref="H14:J14"/>
    <mergeCell ref="K14:M14"/>
    <mergeCell ref="N14:Q14"/>
    <mergeCell ref="R14:S14"/>
    <mergeCell ref="A15:G15"/>
    <mergeCell ref="H15:J15"/>
    <mergeCell ref="K15:M15"/>
    <mergeCell ref="N15:Q15"/>
    <mergeCell ref="R15:S15"/>
    <mergeCell ref="A16:G16"/>
    <mergeCell ref="H16:J16"/>
    <mergeCell ref="K16:M16"/>
    <mergeCell ref="N16:Q16"/>
    <mergeCell ref="R16:S16"/>
    <mergeCell ref="A17:G17"/>
    <mergeCell ref="H17:J17"/>
    <mergeCell ref="K17:M17"/>
    <mergeCell ref="N17:Q17"/>
    <mergeCell ref="R17:S17"/>
    <mergeCell ref="A21:S21"/>
    <mergeCell ref="A22:S22"/>
    <mergeCell ref="A23:D23"/>
    <mergeCell ref="A24:D25"/>
    <mergeCell ref="A26:D26"/>
    <mergeCell ref="A27:D28"/>
    <mergeCell ref="F23:I23"/>
    <mergeCell ref="F24:I25"/>
    <mergeCell ref="F26:I26"/>
    <mergeCell ref="F27:I28"/>
    <mergeCell ref="K23:N23"/>
    <mergeCell ref="K24:N25"/>
    <mergeCell ref="K26:N26"/>
    <mergeCell ref="K27:N28"/>
    <mergeCell ref="P23:S23"/>
    <mergeCell ref="P24:S25"/>
    <mergeCell ref="P26:S26"/>
    <mergeCell ref="P27:S28"/>
    <mergeCell ref="D32:P32"/>
  </mergeCells>
  <conditionalFormatting sqref="P6:S10">
    <cfRule type="expression" dxfId="59" priority="1">
      <formula>COUNTIFS('CADASTRO MAIO'!$A$3:$A$164,"&lt;&gt;",'CADASTRO MAIO'!$U$3:$U$164,"&lt;&gt;",'CADASTRO MAIO'!$AB$3:$AB$164,"&lt;15")&gt;0</formula>
    </cfRule>
    <cfRule type="expression" dxfId="60" priority="2">
      <formula><![CDATA[AND(COUNTIFS('CADASTRO MAIO'!$A$3:$A$164,"<>",'CADASTRO MAIO'!$U$3:$U$164,"<>",'CADASTRO MAIO'!$AB$3:$AB$164,"<15")=0,COUNTIFS('CADASTRO MAIO'!$A$3:$A$164,"<>",'CADASTRO MAIO'!$U$3:$U$164,"<>",'CADASTRO MAIO'!$AB$3:$AB$164,"<=30")>0)]]></formula>
    </cfRule>
    <cfRule type="expression" dxfId="61" priority="3">
      <formula>COUNTIFS('CADASTRO MAIO'!$A$3:$A$164,"&lt;&gt;",'CADASTRO MAIO'!$U$3:$U$164,"&lt;&gt;",'CADASTRO MAIO'!$AB$3:$AB$164,"&lt;=30")=0</formula>
    </cfRule>
  </conditionalFormatting>
  <conditionalFormatting sqref="A15:S17">
    <cfRule type="expression" dxfId="62" priority="4">
      <formula>$R15="VERMELHO"</formula>
    </cfRule>
    <cfRule type="expression" dxfId="63" priority="5">
      <formula>$R15="AMARELO"</formula>
    </cfRule>
    <cfRule type="expression" dxfId="64" priority="6">
      <formula>$R15="VERDE"</formula>
    </cfRule>
  </conditionalFormatting>
  <conditionalFormatting sqref="A27:D28">
    <cfRule type="expression" dxfId="65" priority="7">
      <formula>$A$27="REVISAR"</formula>
    </cfRule>
    <cfRule type="expression" dxfId="66" priority="8">
      <formula>$A$27="OK"</formula>
    </cfRule>
  </conditionalFormatting>
  <conditionalFormatting sqref="F27:I28">
    <cfRule type="expression" dxfId="67" priority="9">
      <formula>$F$27="REVISAR"</formula>
    </cfRule>
    <cfRule type="expression" dxfId="68" priority="10">
      <formula>$F$27="OK"</formula>
    </cfRule>
  </conditionalFormatting>
  <conditionalFormatting sqref="K27:N28">
    <cfRule type="expression" dxfId="69" priority="11">
      <formula>$K$27="REVISAR"</formula>
    </cfRule>
    <cfRule type="expression" dxfId="70" priority="12">
      <formula>$K$27="OK"</formula>
    </cfRule>
  </conditionalFormatting>
  <conditionalFormatting sqref="P27:S28">
    <cfRule type="expression" dxfId="71" priority="13">
      <formula>$P$27="REVISAR"</formula>
    </cfRule>
    <cfRule type="expression" dxfId="72" priority="14">
      <formula>$P$27="OK"</formula>
    </cfRule>
  </conditionalFormatting>
  <printOptions gridLines="false"/>
  <pageMargins bottom="0.75" footer="0.3" header="0.3" left="0.7" right="0.7" top="0.75"/>
</worksheet>
</file>

<file path=xl/worksheets/sheet11.xml><?xml version="1.0" encoding="utf-8"?>
<worksheet xmlns="http://schemas.openxmlformats.org/spreadsheetml/2006/main">
  <dimension ref="A1:F11"/>
  <sheetViews>
    <sheetView workbookViewId="0" showGridLines="false" tabSelected="false"/>
  </sheetViews>
  <sheetFormatPr defaultRowHeight="15.0"/>
  <cols>
    <col min="1" max="1" width="24.0" customWidth="true"/>
    <col min="2" max="2" width="42.0" customWidth="true"/>
    <col min="3" max="3" width="28.0" customWidth="true"/>
    <col min="5" max="5" width="24.0" customWidth="true"/>
    <col min="6" max="6" width="18.0" customWidth="true"/>
  </cols>
  <sheetData>
    <row r="1">
      <c r="A1" t="s" s="3715">
        <v>446</v>
      </c>
    </row>
    <row r="2">
      <c r="A2" t="s" s="3716">
        <v>447</v>
      </c>
      <c r="B2" t="s" s="3717">
        <v>448</v>
      </c>
      <c r="C2" t="s" s="3718">
        <v>449</v>
      </c>
      <c r="D2" t="s" s="3719">
        <v>450</v>
      </c>
      <c r="E2" t="s" s="3720">
        <v>451</v>
      </c>
      <c r="F2" t="s" s="3721">
        <v>452</v>
      </c>
    </row>
    <row r="3">
      <c r="A3" t="s" s="3722">
        <v>417</v>
      </c>
      <c r="B3" t="s" s="3722">
        <v>453</v>
      </c>
      <c r="C3" t="s" s="3722">
        <v>412</v>
      </c>
      <c r="E3" t="s" s="3727">
        <v>458</v>
      </c>
      <c r="F3" t="s" s="3727">
        <v>459</v>
      </c>
    </row>
    <row r="4">
      <c r="A4" t="s" s="3723">
        <v>454</v>
      </c>
      <c r="B4" t="s" s="3723">
        <v>455</v>
      </c>
      <c r="C4" t="s" s="3723">
        <v>412</v>
      </c>
      <c r="E4" t="s" s="3728">
        <v>460</v>
      </c>
      <c r="F4" t="s" s="3728">
        <v>461</v>
      </c>
    </row>
    <row r="5">
      <c r="A5" t="s" s="3724">
        <v>14</v>
      </c>
      <c r="B5" t="s" s="3724">
        <v>456</v>
      </c>
      <c r="C5" t="s" s="3724">
        <v>457</v>
      </c>
      <c r="E5" t="s" s="3729">
        <v>462</v>
      </c>
      <c r="F5" t="s" s="3729">
        <v>463</v>
      </c>
    </row>
    <row r="6">
      <c r="A6" t="s" s="3725">
        <v>49</v>
      </c>
      <c r="B6" t="s" s="3725">
        <v>456</v>
      </c>
      <c r="C6" t="s" s="3725">
        <v>457</v>
      </c>
      <c r="E6" t="s" s="3730">
        <v>464</v>
      </c>
      <c r="F6" t="s" s="3730">
        <v>465</v>
      </c>
    </row>
    <row r="7">
      <c r="A7" t="s" s="3726">
        <v>5</v>
      </c>
      <c r="B7" t="s" s="3726">
        <v>456</v>
      </c>
      <c r="C7" t="s" s="3726">
        <v>457</v>
      </c>
      <c r="E7" t="s" s="3731">
        <v>466</v>
      </c>
      <c r="F7" t="s" s="3731">
        <v>467</v>
      </c>
    </row>
    <row r="9">
      <c r="A9" t="s" s="3732">
        <v>496</v>
      </c>
      <c r="B9" t="s" s="3733">
        <v>497</v>
      </c>
      <c r="C9" t="s" s="3734">
        <v>449</v>
      </c>
    </row>
    <row r="10">
      <c r="A10" t="s" s="3735">
        <v>498</v>
      </c>
      <c r="B10" t="n" s="3735">
        <v>0.0</v>
      </c>
      <c r="C10" t="s" s="3735">
        <v>499</v>
      </c>
    </row>
    <row r="11">
      <c r="A11" t="s" s="3736">
        <v>500</v>
      </c>
      <c r="B11" t="n" s="3736">
        <v>0.0</v>
      </c>
      <c r="C11" t="s" s="3736">
        <v>501</v>
      </c>
    </row>
  </sheetData>
  <mergeCells count="1">
    <mergeCell ref="A1:F1"/>
  </mergeCells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Dashboard Fiscal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2026-04-30T15:03:48Z</dcterms:created>
  <dc:creator>Thiago Caetano Faria</dc:creator>
  <cp:lastModifiedBy>Thiago Caetano Faria</cp:lastModifiedBy>
  <dcterms:modified xsi:type="dcterms:W3CDTF">2026-05-06T17:26:43Z</dcterms:modified>
</cp:coreProperties>
</file>