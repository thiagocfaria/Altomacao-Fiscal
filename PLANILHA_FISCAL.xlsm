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>
    <mc:Choice Requires="x15">
      <x15ac:absPath xmlns:x15ac="http://schemas.microsoft.com/office/spreadsheetml/2010/11/ac" url="U:\Desktop\Altomação Fiscal\Altomacao-Fiscal\"/>
    </mc:Choice>
  </mc:AlternateContent>
  <xr:revisionPtr revIDLastSave="0" documentId="13_ncr:1_{9EC6900D-91CE-4AC8-BD74-3EA4B5445FD2}" xr6:coauthVersionLast="47" xr6:coauthVersionMax="47" xr10:uidLastSave="{00000000-0000-0000-0000-000000000000}"/>
  <bookViews>
    <workbookView xWindow="20370" yWindow="-4785" windowWidth="29040" windowHeight="15840" activeTab="1" xr2:uid="{9199F354-76A9-448A-886E-15664A417BFC}"/>
  </bookViews>
  <sheets>
    <sheet name="DASHBOARD" sheetId="10" r:id="rId1"/>
    <sheet name="CADASTRO ABRIL" sheetId="1" r:id="rId2"/>
    <sheet name="CADASTRO MAIO" sheetId="2" r:id="rId3"/>
    <sheet name="CADASTRO JUNHO" sheetId="3" r:id="rId4"/>
    <sheet name="CADASTRO JULHO" sheetId="4" r:id="rId5"/>
    <sheet name="CADASTRO AGOSTO" sheetId="5" r:id="rId6"/>
    <sheet name="CADASTRO SETEMBRO" sheetId="6" r:id="rId7"/>
    <sheet name="CADASTRO OUTUBRO" sheetId="7" r:id="rId8"/>
    <sheet name="CADASTRO NOVEMBRO" sheetId="8" r:id="rId9"/>
    <sheet name="CADASTRO DEZEMBRO" sheetId="9" r:id="rId10"/>
    <sheet name="CONFIG" sheetId="11" r:id="rId11"/>
  </sheets>
  <definedNames>
    <definedName name="_xlnm._FilterDatabase" localSheetId="1" hidden="1">'CADASTRO ABRIL'!$A$2:$W$164</definedName>
  </definedNames>
  <calcPr calcId="191029" fullCalcOnLoad="true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64" i="9" l="1"/>
  <c r="AB164" i="9"/>
  <c r="AD164" i="9" s="1"/>
  <c r="AA164" i="9"/>
  <c r="Z164" i="9"/>
  <c r="Y164" i="9"/>
  <c r="X164" i="9"/>
  <c r="AC163" i="9"/>
  <c r="AB163" i="9"/>
  <c r="AD163" i="9" s="1"/>
  <c r="AA163" i="9"/>
  <c r="Z163" i="9"/>
  <c r="Y163" i="9"/>
  <c r="X163" i="9"/>
  <c r="AC162" i="9"/>
  <c r="AB162" i="9"/>
  <c r="AD162" i="9" s="1"/>
  <c r="AA162" i="9"/>
  <c r="Z162" i="9"/>
  <c r="Y162" i="9"/>
  <c r="X162" i="9"/>
  <c r="AC161" i="9"/>
  <c r="AB161" i="9"/>
  <c r="AD161" i="9" s="1"/>
  <c r="AA161" i="9"/>
  <c r="Z161" i="9"/>
  <c r="Y161" i="9"/>
  <c r="X161" i="9"/>
  <c r="AC160" i="9"/>
  <c r="AB160" i="9"/>
  <c r="AD160" i="9" s="1"/>
  <c r="AA160" i="9"/>
  <c r="Z160" i="9"/>
  <c r="Y160" i="9"/>
  <c r="X160" i="9"/>
  <c r="AD159" i="9"/>
  <c r="AC159" i="9"/>
  <c r="AB159" i="9"/>
  <c r="AA159" i="9"/>
  <c r="Z159" i="9"/>
  <c r="Y159" i="9"/>
  <c r="X159" i="9"/>
  <c r="AC158" i="9"/>
  <c r="AB158" i="9"/>
  <c r="AD158" i="9" s="1"/>
  <c r="AA158" i="9"/>
  <c r="Z158" i="9"/>
  <c r="Y158" i="9"/>
  <c r="X158" i="9"/>
  <c r="AD157" i="9"/>
  <c r="AC157" i="9"/>
  <c r="AB157" i="9"/>
  <c r="AA157" i="9"/>
  <c r="Z157" i="9"/>
  <c r="Y157" i="9"/>
  <c r="X157" i="9"/>
  <c r="AC156" i="9"/>
  <c r="AB156" i="9"/>
  <c r="AD156" i="9" s="1"/>
  <c r="AA156" i="9"/>
  <c r="Z156" i="9"/>
  <c r="Y156" i="9"/>
  <c r="X156" i="9"/>
  <c r="AC155" i="9"/>
  <c r="AB155" i="9"/>
  <c r="AD155" i="9" s="1"/>
  <c r="AA155" i="9"/>
  <c r="Z155" i="9"/>
  <c r="Y155" i="9"/>
  <c r="X155" i="9"/>
  <c r="AC154" i="9"/>
  <c r="AB154" i="9"/>
  <c r="AD154" i="9" s="1"/>
  <c r="AA154" i="9"/>
  <c r="Z154" i="9"/>
  <c r="Y154" i="9"/>
  <c r="X154" i="9"/>
  <c r="AC153" i="9"/>
  <c r="AB153" i="9"/>
  <c r="AD153" i="9" s="1"/>
  <c r="AA153" i="9"/>
  <c r="Z153" i="9"/>
  <c r="Y153" i="9"/>
  <c r="X153" i="9"/>
  <c r="AD152" i="9"/>
  <c r="AC152" i="9"/>
  <c r="AB152" i="9"/>
  <c r="AA152" i="9"/>
  <c r="Z152" i="9"/>
  <c r="Y152" i="9"/>
  <c r="X152" i="9"/>
  <c r="AC151" i="9"/>
  <c r="AB151" i="9"/>
  <c r="AD151" i="9" s="1"/>
  <c r="AA151" i="9"/>
  <c r="Z151" i="9"/>
  <c r="Y151" i="9"/>
  <c r="X151" i="9"/>
  <c r="AC150" i="9"/>
  <c r="AB150" i="9"/>
  <c r="AD150" i="9" s="1"/>
  <c r="AA150" i="9"/>
  <c r="Z150" i="9"/>
  <c r="Y150" i="9"/>
  <c r="X150" i="9"/>
  <c r="AC149" i="9"/>
  <c r="AB149" i="9"/>
  <c r="AD149" i="9" s="1"/>
  <c r="AA149" i="9"/>
  <c r="Z149" i="9"/>
  <c r="Y149" i="9"/>
  <c r="X149" i="9"/>
  <c r="AD148" i="9"/>
  <c r="AC148" i="9"/>
  <c r="AB148" i="9"/>
  <c r="AA148" i="9"/>
  <c r="Z148" i="9"/>
  <c r="Y148" i="9"/>
  <c r="X148" i="9"/>
  <c r="AC147" i="9"/>
  <c r="AB147" i="9"/>
  <c r="AD147" i="9" s="1"/>
  <c r="AA147" i="9"/>
  <c r="Z147" i="9"/>
  <c r="Y147" i="9"/>
  <c r="X147" i="9"/>
  <c r="AC146" i="9"/>
  <c r="AB146" i="9"/>
  <c r="AD146" i="9" s="1"/>
  <c r="AA146" i="9"/>
  <c r="Z146" i="9"/>
  <c r="Y146" i="9"/>
  <c r="X146" i="9"/>
  <c r="AC145" i="9"/>
  <c r="AB145" i="9"/>
  <c r="AD145" i="9" s="1"/>
  <c r="AA145" i="9"/>
  <c r="Z145" i="9"/>
  <c r="Y145" i="9"/>
  <c r="X145" i="9"/>
  <c r="AC144" i="9"/>
  <c r="AB144" i="9"/>
  <c r="AD144" i="9" s="1"/>
  <c r="AA144" i="9"/>
  <c r="Z144" i="9"/>
  <c r="Y144" i="9"/>
  <c r="X144" i="9"/>
  <c r="AD143" i="9"/>
  <c r="AC143" i="9"/>
  <c r="AB143" i="9"/>
  <c r="AA143" i="9"/>
  <c r="Z143" i="9"/>
  <c r="Y143" i="9"/>
  <c r="X143" i="9"/>
  <c r="AD142" i="9"/>
  <c r="AC142" i="9"/>
  <c r="AB142" i="9"/>
  <c r="AA142" i="9"/>
  <c r="Z142" i="9"/>
  <c r="Y142" i="9"/>
  <c r="X142" i="9"/>
  <c r="AC141" i="9"/>
  <c r="AB141" i="9"/>
  <c r="AD141" i="9" s="1"/>
  <c r="AA141" i="9"/>
  <c r="Z141" i="9"/>
  <c r="Y141" i="9"/>
  <c r="X141" i="9"/>
  <c r="AC140" i="9"/>
  <c r="AB140" i="9"/>
  <c r="AD140" i="9" s="1"/>
  <c r="AA140" i="9"/>
  <c r="Z140" i="9"/>
  <c r="Y140" i="9"/>
  <c r="X140" i="9"/>
  <c r="AC139" i="9"/>
  <c r="AB139" i="9"/>
  <c r="AD139" i="9" s="1"/>
  <c r="AA139" i="9"/>
  <c r="Z139" i="9"/>
  <c r="Y139" i="9"/>
  <c r="X139" i="9"/>
  <c r="AC138" i="9"/>
  <c r="AB138" i="9"/>
  <c r="AD138" i="9" s="1"/>
  <c r="AA138" i="9"/>
  <c r="Z138" i="9"/>
  <c r="Y138" i="9"/>
  <c r="X138" i="9"/>
  <c r="AC137" i="9"/>
  <c r="AB137" i="9"/>
  <c r="AD137" i="9" s="1"/>
  <c r="AA137" i="9"/>
  <c r="Z137" i="9"/>
  <c r="Y137" i="9"/>
  <c r="X137" i="9"/>
  <c r="AC136" i="9"/>
  <c r="AB136" i="9"/>
  <c r="AD136" i="9" s="1"/>
  <c r="AA136" i="9"/>
  <c r="Z136" i="9"/>
  <c r="Y136" i="9"/>
  <c r="X136" i="9"/>
  <c r="AC135" i="9"/>
  <c r="AB135" i="9"/>
  <c r="AD135" i="9" s="1"/>
  <c r="AA135" i="9"/>
  <c r="Z135" i="9"/>
  <c r="Y135" i="9"/>
  <c r="X135" i="9"/>
  <c r="AC134" i="9"/>
  <c r="AB134" i="9"/>
  <c r="AD134" i="9" s="1"/>
  <c r="AA134" i="9"/>
  <c r="Z134" i="9"/>
  <c r="Y134" i="9"/>
  <c r="X134" i="9"/>
  <c r="AC133" i="9"/>
  <c r="AB133" i="9"/>
  <c r="AD133" i="9" s="1"/>
  <c r="AA133" i="9"/>
  <c r="Z133" i="9"/>
  <c r="Y133" i="9"/>
  <c r="X133" i="9"/>
  <c r="AC132" i="9"/>
  <c r="AB132" i="9"/>
  <c r="AD132" i="9" s="1"/>
  <c r="AA132" i="9"/>
  <c r="Z132" i="9"/>
  <c r="Y132" i="9"/>
  <c r="X132" i="9"/>
  <c r="AC131" i="9"/>
  <c r="AB131" i="9"/>
  <c r="AD131" i="9" s="1"/>
  <c r="AA131" i="9"/>
  <c r="Z131" i="9"/>
  <c r="Y131" i="9"/>
  <c r="X131" i="9"/>
  <c r="AC130" i="9"/>
  <c r="AB130" i="9"/>
  <c r="AD130" i="9" s="1"/>
  <c r="AA130" i="9"/>
  <c r="Z130" i="9"/>
  <c r="Y130" i="9"/>
  <c r="X130" i="9"/>
  <c r="AD129" i="9"/>
  <c r="AC129" i="9"/>
  <c r="AB129" i="9"/>
  <c r="AA129" i="9"/>
  <c r="Z129" i="9"/>
  <c r="Y129" i="9"/>
  <c r="X129" i="9"/>
  <c r="AC128" i="9"/>
  <c r="AB128" i="9"/>
  <c r="AD128" i="9" s="1"/>
  <c r="AA128" i="9"/>
  <c r="Z128" i="9"/>
  <c r="Y128" i="9"/>
  <c r="X128" i="9"/>
  <c r="AC127" i="9"/>
  <c r="AB127" i="9"/>
  <c r="AD127" i="9" s="1"/>
  <c r="AA127" i="9"/>
  <c r="Z127" i="9"/>
  <c r="Y127" i="9"/>
  <c r="X127" i="9"/>
  <c r="AC126" i="9"/>
  <c r="AB126" i="9"/>
  <c r="AD126" i="9" s="1"/>
  <c r="AA126" i="9"/>
  <c r="Z126" i="9"/>
  <c r="Y126" i="9"/>
  <c r="X126" i="9"/>
  <c r="AC125" i="9"/>
  <c r="AB125" i="9"/>
  <c r="AD125" i="9" s="1"/>
  <c r="AA125" i="9"/>
  <c r="Z125" i="9"/>
  <c r="Y125" i="9"/>
  <c r="X125" i="9"/>
  <c r="AD124" i="9"/>
  <c r="AC124" i="9"/>
  <c r="AB124" i="9"/>
  <c r="AA124" i="9"/>
  <c r="Z124" i="9"/>
  <c r="Y124" i="9"/>
  <c r="X124" i="9"/>
  <c r="AC123" i="9"/>
  <c r="AB123" i="9"/>
  <c r="AD123" i="9" s="1"/>
  <c r="AA123" i="9"/>
  <c r="Z123" i="9"/>
  <c r="Y123" i="9"/>
  <c r="X123" i="9"/>
  <c r="AD122" i="9"/>
  <c r="AC122" i="9"/>
  <c r="AB122" i="9"/>
  <c r="AA122" i="9"/>
  <c r="Z122" i="9"/>
  <c r="Y122" i="9"/>
  <c r="X122" i="9"/>
  <c r="AC121" i="9"/>
  <c r="AB121" i="9"/>
  <c r="AD121" i="9" s="1"/>
  <c r="AA121" i="9"/>
  <c r="Z121" i="9"/>
  <c r="Y121" i="9"/>
  <c r="X121" i="9"/>
  <c r="AC120" i="9"/>
  <c r="AB120" i="9"/>
  <c r="AD120" i="9" s="1"/>
  <c r="AA120" i="9"/>
  <c r="Z120" i="9"/>
  <c r="Y120" i="9"/>
  <c r="X120" i="9"/>
  <c r="AC119" i="9"/>
  <c r="AB119" i="9"/>
  <c r="AD119" i="9" s="1"/>
  <c r="AA119" i="9"/>
  <c r="Z119" i="9"/>
  <c r="Y119" i="9"/>
  <c r="X119" i="9"/>
  <c r="AC118" i="9"/>
  <c r="AB118" i="9"/>
  <c r="AD118" i="9" s="1"/>
  <c r="AA118" i="9"/>
  <c r="Z118" i="9"/>
  <c r="Y118" i="9"/>
  <c r="X118" i="9"/>
  <c r="AC117" i="9"/>
  <c r="AB117" i="9"/>
  <c r="AD117" i="9" s="1"/>
  <c r="AA117" i="9"/>
  <c r="Z117" i="9"/>
  <c r="Y117" i="9"/>
  <c r="X117" i="9"/>
  <c r="AC116" i="9"/>
  <c r="AB116" i="9"/>
  <c r="AD116" i="9" s="1"/>
  <c r="AA116" i="9"/>
  <c r="Z116" i="9"/>
  <c r="Y116" i="9"/>
  <c r="X116" i="9"/>
  <c r="AC115" i="9"/>
  <c r="AB115" i="9"/>
  <c r="AD115" i="9" s="1"/>
  <c r="AA115" i="9"/>
  <c r="Z115" i="9"/>
  <c r="Y115" i="9"/>
  <c r="X115" i="9"/>
  <c r="AC114" i="9"/>
  <c r="AB114" i="9"/>
  <c r="AD114" i="9" s="1"/>
  <c r="AA114" i="9"/>
  <c r="Z114" i="9"/>
  <c r="Y114" i="9"/>
  <c r="X114" i="9"/>
  <c r="AD113" i="9"/>
  <c r="AC113" i="9"/>
  <c r="AB113" i="9"/>
  <c r="AA113" i="9"/>
  <c r="Z113" i="9"/>
  <c r="Y113" i="9"/>
  <c r="X113" i="9"/>
  <c r="AC112" i="9"/>
  <c r="AB112" i="9"/>
  <c r="AD112" i="9" s="1"/>
  <c r="AA112" i="9"/>
  <c r="Z112" i="9"/>
  <c r="Y112" i="9"/>
  <c r="X112" i="9"/>
  <c r="AC111" i="9"/>
  <c r="AB111" i="9"/>
  <c r="AD111" i="9" s="1"/>
  <c r="AA111" i="9"/>
  <c r="Z111" i="9"/>
  <c r="Y111" i="9"/>
  <c r="X111" i="9"/>
  <c r="AC110" i="9"/>
  <c r="AB110" i="9"/>
  <c r="AD110" i="9" s="1"/>
  <c r="AA110" i="9"/>
  <c r="Z110" i="9"/>
  <c r="Y110" i="9"/>
  <c r="X110" i="9"/>
  <c r="AC109" i="9"/>
  <c r="AB109" i="9"/>
  <c r="AD109" i="9" s="1"/>
  <c r="AA109" i="9"/>
  <c r="Z109" i="9"/>
  <c r="Y109" i="9"/>
  <c r="X109" i="9"/>
  <c r="AD108" i="9"/>
  <c r="AC108" i="9"/>
  <c r="AB108" i="9"/>
  <c r="AA108" i="9"/>
  <c r="Z108" i="9"/>
  <c r="Y108" i="9"/>
  <c r="X108" i="9"/>
  <c r="AC107" i="9"/>
  <c r="AB107" i="9"/>
  <c r="AD107" i="9" s="1"/>
  <c r="AA107" i="9"/>
  <c r="Z107" i="9"/>
  <c r="Y107" i="9"/>
  <c r="X107" i="9"/>
  <c r="AC106" i="9"/>
  <c r="AB106" i="9"/>
  <c r="AD106" i="9" s="1"/>
  <c r="AA106" i="9"/>
  <c r="Z106" i="9"/>
  <c r="Y106" i="9"/>
  <c r="X106" i="9"/>
  <c r="AC105" i="9"/>
  <c r="AB105" i="9"/>
  <c r="AD105" i="9" s="1"/>
  <c r="AA105" i="9"/>
  <c r="Z105" i="9"/>
  <c r="Y105" i="9"/>
  <c r="X105" i="9"/>
  <c r="AC104" i="9"/>
  <c r="AB104" i="9"/>
  <c r="AD104" i="9" s="1"/>
  <c r="AA104" i="9"/>
  <c r="Z104" i="9"/>
  <c r="Y104" i="9"/>
  <c r="X104" i="9"/>
  <c r="AC103" i="9"/>
  <c r="AB103" i="9"/>
  <c r="AD103" i="9" s="1"/>
  <c r="AA103" i="9"/>
  <c r="Z103" i="9"/>
  <c r="Y103" i="9"/>
  <c r="X103" i="9"/>
  <c r="AC102" i="9"/>
  <c r="AB102" i="9"/>
  <c r="AD102" i="9" s="1"/>
  <c r="AA102" i="9"/>
  <c r="Z102" i="9"/>
  <c r="Y102" i="9"/>
  <c r="X102" i="9"/>
  <c r="AC101" i="9"/>
  <c r="AB101" i="9"/>
  <c r="AD101" i="9" s="1"/>
  <c r="AA101" i="9"/>
  <c r="Z101" i="9"/>
  <c r="Y101" i="9"/>
  <c r="X101" i="9"/>
  <c r="AC100" i="9"/>
  <c r="AB100" i="9"/>
  <c r="AD100" i="9" s="1"/>
  <c r="AA100" i="9"/>
  <c r="Z100" i="9"/>
  <c r="Y100" i="9"/>
  <c r="X100" i="9"/>
  <c r="AC99" i="9"/>
  <c r="AB99" i="9"/>
  <c r="AD99" i="9" s="1"/>
  <c r="AA99" i="9"/>
  <c r="Z99" i="9"/>
  <c r="Y99" i="9"/>
  <c r="X99" i="9"/>
  <c r="AD98" i="9"/>
  <c r="AC98" i="9"/>
  <c r="AB98" i="9"/>
  <c r="AA98" i="9"/>
  <c r="Z98" i="9"/>
  <c r="Y98" i="9"/>
  <c r="X98" i="9"/>
  <c r="AC97" i="9"/>
  <c r="AB97" i="9"/>
  <c r="AD97" i="9" s="1"/>
  <c r="AA97" i="9"/>
  <c r="Z97" i="9"/>
  <c r="Y97" i="9"/>
  <c r="X97" i="9"/>
  <c r="AC96" i="9"/>
  <c r="AB96" i="9"/>
  <c r="AD96" i="9" s="1"/>
  <c r="AA96" i="9"/>
  <c r="Z96" i="9"/>
  <c r="Y96" i="9"/>
  <c r="X96" i="9"/>
  <c r="AC95" i="9"/>
  <c r="AB95" i="9"/>
  <c r="AD95" i="9" s="1"/>
  <c r="AA95" i="9"/>
  <c r="Z95" i="9"/>
  <c r="Y95" i="9"/>
  <c r="X95" i="9"/>
  <c r="AC94" i="9"/>
  <c r="AB94" i="9"/>
  <c r="AD94" i="9" s="1"/>
  <c r="AA94" i="9"/>
  <c r="Z94" i="9"/>
  <c r="Y94" i="9"/>
  <c r="X94" i="9"/>
  <c r="AD93" i="9"/>
  <c r="AC93" i="9"/>
  <c r="AB93" i="9"/>
  <c r="AA93" i="9"/>
  <c r="Z93" i="9"/>
  <c r="Y93" i="9"/>
  <c r="X93" i="9"/>
  <c r="AC92" i="9"/>
  <c r="AB92" i="9"/>
  <c r="AD92" i="9" s="1"/>
  <c r="AA92" i="9"/>
  <c r="Z92" i="9"/>
  <c r="Y92" i="9"/>
  <c r="X92" i="9"/>
  <c r="AC91" i="9"/>
  <c r="AB91" i="9"/>
  <c r="AD91" i="9" s="1"/>
  <c r="AA91" i="9"/>
  <c r="Z91" i="9"/>
  <c r="Y91" i="9"/>
  <c r="X91" i="9"/>
  <c r="AC90" i="9"/>
  <c r="AB90" i="9"/>
  <c r="AD90" i="9" s="1"/>
  <c r="AA90" i="9"/>
  <c r="Z90" i="9"/>
  <c r="Y90" i="9"/>
  <c r="X90" i="9"/>
  <c r="AC89" i="9"/>
  <c r="AB89" i="9"/>
  <c r="AD89" i="9" s="1"/>
  <c r="AA89" i="9"/>
  <c r="Z89" i="9"/>
  <c r="Y89" i="9"/>
  <c r="X89" i="9"/>
  <c r="AC88" i="9"/>
  <c r="AB88" i="9"/>
  <c r="AD88" i="9" s="1"/>
  <c r="AA88" i="9"/>
  <c r="Z88" i="9"/>
  <c r="Y88" i="9"/>
  <c r="X88" i="9"/>
  <c r="AC87" i="9"/>
  <c r="AB87" i="9"/>
  <c r="AD87" i="9" s="1"/>
  <c r="AA87" i="9"/>
  <c r="Z87" i="9"/>
  <c r="Y87" i="9"/>
  <c r="X87" i="9"/>
  <c r="AC86" i="9"/>
  <c r="AB86" i="9"/>
  <c r="AD86" i="9" s="1"/>
  <c r="AA86" i="9"/>
  <c r="Z86" i="9"/>
  <c r="Y86" i="9"/>
  <c r="X86" i="9"/>
  <c r="AC85" i="9"/>
  <c r="AB85" i="9"/>
  <c r="AD85" i="9" s="1"/>
  <c r="AA85" i="9"/>
  <c r="Z85" i="9"/>
  <c r="Y85" i="9"/>
  <c r="X85" i="9"/>
  <c r="AC84" i="9"/>
  <c r="AB84" i="9"/>
  <c r="AD84" i="9" s="1"/>
  <c r="AA84" i="9"/>
  <c r="Z84" i="9"/>
  <c r="Y84" i="9"/>
  <c r="X84" i="9"/>
  <c r="AC83" i="9"/>
  <c r="AB83" i="9"/>
  <c r="AD83" i="9" s="1"/>
  <c r="AA83" i="9"/>
  <c r="Z83" i="9"/>
  <c r="Y83" i="9"/>
  <c r="X83" i="9"/>
  <c r="AD82" i="9"/>
  <c r="AC82" i="9"/>
  <c r="AB82" i="9"/>
  <c r="AA82" i="9"/>
  <c r="Z82" i="9"/>
  <c r="Y82" i="9"/>
  <c r="X82" i="9"/>
  <c r="AC81" i="9"/>
  <c r="AB81" i="9"/>
  <c r="AD81" i="9" s="1"/>
  <c r="AA81" i="9"/>
  <c r="Z81" i="9"/>
  <c r="Y81" i="9"/>
  <c r="X81" i="9"/>
  <c r="AC80" i="9"/>
  <c r="AB80" i="9"/>
  <c r="AD80" i="9" s="1"/>
  <c r="AA80" i="9"/>
  <c r="Z80" i="9"/>
  <c r="Y80" i="9"/>
  <c r="X80" i="9"/>
  <c r="AC79" i="9"/>
  <c r="AB79" i="9"/>
  <c r="AD79" i="9" s="1"/>
  <c r="AA79" i="9"/>
  <c r="Z79" i="9"/>
  <c r="Y79" i="9"/>
  <c r="X79" i="9"/>
  <c r="AC78" i="9"/>
  <c r="AB78" i="9"/>
  <c r="AD78" i="9" s="1"/>
  <c r="AA78" i="9"/>
  <c r="Z78" i="9"/>
  <c r="Y78" i="9"/>
  <c r="X78" i="9"/>
  <c r="AD77" i="9"/>
  <c r="AC77" i="9"/>
  <c r="AB77" i="9"/>
  <c r="AA77" i="9"/>
  <c r="Z77" i="9"/>
  <c r="Y77" i="9"/>
  <c r="X77" i="9"/>
  <c r="AC76" i="9"/>
  <c r="AB76" i="9"/>
  <c r="AD76" i="9" s="1"/>
  <c r="AA76" i="9"/>
  <c r="Z76" i="9"/>
  <c r="Y76" i="9"/>
  <c r="X76" i="9"/>
  <c r="AD75" i="9"/>
  <c r="AC75" i="9"/>
  <c r="AB75" i="9"/>
  <c r="AA75" i="9"/>
  <c r="Z75" i="9"/>
  <c r="Y75" i="9"/>
  <c r="X75" i="9"/>
  <c r="AC74" i="9"/>
  <c r="AB74" i="9"/>
  <c r="AD74" i="9" s="1"/>
  <c r="AA74" i="9"/>
  <c r="Z74" i="9"/>
  <c r="Y74" i="9"/>
  <c r="X74" i="9"/>
  <c r="AC73" i="9"/>
  <c r="AB73" i="9"/>
  <c r="AD73" i="9" s="1"/>
  <c r="AA73" i="9"/>
  <c r="Z73" i="9"/>
  <c r="Y73" i="9"/>
  <c r="X73" i="9"/>
  <c r="AC72" i="9"/>
  <c r="AB72" i="9"/>
  <c r="AD72" i="9" s="1"/>
  <c r="AA72" i="9"/>
  <c r="Z72" i="9"/>
  <c r="Y72" i="9"/>
  <c r="X72" i="9"/>
  <c r="AC71" i="9"/>
  <c r="AB71" i="9"/>
  <c r="AD71" i="9" s="1"/>
  <c r="AA71" i="9"/>
  <c r="Z71" i="9"/>
  <c r="Y71" i="9"/>
  <c r="X71" i="9"/>
  <c r="AC70" i="9"/>
  <c r="AB70" i="9"/>
  <c r="AD70" i="9" s="1"/>
  <c r="AA70" i="9"/>
  <c r="Z70" i="9"/>
  <c r="Y70" i="9"/>
  <c r="X70" i="9"/>
  <c r="AC69" i="9"/>
  <c r="AB69" i="9"/>
  <c r="AD69" i="9" s="1"/>
  <c r="AA69" i="9"/>
  <c r="Z69" i="9"/>
  <c r="Y69" i="9"/>
  <c r="X69" i="9"/>
  <c r="AC68" i="9"/>
  <c r="AB68" i="9"/>
  <c r="AD68" i="9" s="1"/>
  <c r="AA68" i="9"/>
  <c r="Z68" i="9"/>
  <c r="Y68" i="9"/>
  <c r="X68" i="9"/>
  <c r="AC67" i="9"/>
  <c r="AB67" i="9"/>
  <c r="AD67" i="9" s="1"/>
  <c r="AA67" i="9"/>
  <c r="Z67" i="9"/>
  <c r="Y67" i="9"/>
  <c r="X67" i="9"/>
  <c r="AD66" i="9"/>
  <c r="AC66" i="9"/>
  <c r="AB66" i="9"/>
  <c r="AA66" i="9"/>
  <c r="Z66" i="9"/>
  <c r="Y66" i="9"/>
  <c r="X66" i="9"/>
  <c r="AC65" i="9"/>
  <c r="AB65" i="9"/>
  <c r="AD65" i="9" s="1"/>
  <c r="AA65" i="9"/>
  <c r="Z65" i="9"/>
  <c r="Y65" i="9"/>
  <c r="X65" i="9"/>
  <c r="AC64" i="9"/>
  <c r="AB64" i="9"/>
  <c r="AD64" i="9" s="1"/>
  <c r="AA64" i="9"/>
  <c r="Z64" i="9"/>
  <c r="Y64" i="9"/>
  <c r="X64" i="9"/>
  <c r="AC63" i="9"/>
  <c r="AB63" i="9"/>
  <c r="AD63" i="9" s="1"/>
  <c r="AA63" i="9"/>
  <c r="Z63" i="9"/>
  <c r="Y63" i="9"/>
  <c r="X63" i="9"/>
  <c r="AC62" i="9"/>
  <c r="AB62" i="9"/>
  <c r="AD62" i="9" s="1"/>
  <c r="AA62" i="9"/>
  <c r="Z62" i="9"/>
  <c r="Y62" i="9"/>
  <c r="X62" i="9"/>
  <c r="AC61" i="9"/>
  <c r="AB61" i="9"/>
  <c r="AD61" i="9" s="1"/>
  <c r="AA61" i="9"/>
  <c r="Z61" i="9"/>
  <c r="Y61" i="9"/>
  <c r="X61" i="9"/>
  <c r="AC60" i="9"/>
  <c r="AB60" i="9"/>
  <c r="AD60" i="9" s="1"/>
  <c r="AA60" i="9"/>
  <c r="Z60" i="9"/>
  <c r="Y60" i="9"/>
  <c r="X60" i="9"/>
  <c r="AC59" i="9"/>
  <c r="AB59" i="9"/>
  <c r="AD59" i="9" s="1"/>
  <c r="AA59" i="9"/>
  <c r="Z59" i="9"/>
  <c r="Y59" i="9"/>
  <c r="X59" i="9"/>
  <c r="AC58" i="9"/>
  <c r="AB58" i="9"/>
  <c r="AD58" i="9" s="1"/>
  <c r="AA58" i="9"/>
  <c r="Z58" i="9"/>
  <c r="Y58" i="9"/>
  <c r="X58" i="9"/>
  <c r="AC57" i="9"/>
  <c r="AB57" i="9"/>
  <c r="AD57" i="9" s="1"/>
  <c r="AA57" i="9"/>
  <c r="Z57" i="9"/>
  <c r="Y57" i="9"/>
  <c r="X57" i="9"/>
  <c r="AC56" i="9"/>
  <c r="AB56" i="9"/>
  <c r="AD56" i="9" s="1"/>
  <c r="AA56" i="9"/>
  <c r="Z56" i="9"/>
  <c r="Y56" i="9"/>
  <c r="X56" i="9"/>
  <c r="AC55" i="9"/>
  <c r="AB55" i="9"/>
  <c r="AD55" i="9" s="1"/>
  <c r="AA55" i="9"/>
  <c r="Z55" i="9"/>
  <c r="Y55" i="9"/>
  <c r="X55" i="9"/>
  <c r="AC54" i="9"/>
  <c r="AB54" i="9"/>
  <c r="AD54" i="9" s="1"/>
  <c r="AA54" i="9"/>
  <c r="Z54" i="9"/>
  <c r="Y54" i="9"/>
  <c r="X54" i="9"/>
  <c r="AD53" i="9"/>
  <c r="AC53" i="9"/>
  <c r="AB53" i="9"/>
  <c r="AA53" i="9"/>
  <c r="Z53" i="9"/>
  <c r="Y53" i="9"/>
  <c r="X53" i="9"/>
  <c r="AC52" i="9"/>
  <c r="AB52" i="9"/>
  <c r="AD52" i="9" s="1"/>
  <c r="AA52" i="9"/>
  <c r="Z52" i="9"/>
  <c r="Y52" i="9"/>
  <c r="X52" i="9"/>
  <c r="AC51" i="9"/>
  <c r="AB51" i="9"/>
  <c r="AD51" i="9" s="1"/>
  <c r="AA51" i="9"/>
  <c r="Z51" i="9"/>
  <c r="Y51" i="9"/>
  <c r="X51" i="9"/>
  <c r="AD50" i="9"/>
  <c r="AC50" i="9"/>
  <c r="AB50" i="9"/>
  <c r="AA50" i="9"/>
  <c r="Z50" i="9"/>
  <c r="Y50" i="9"/>
  <c r="X50" i="9"/>
  <c r="AC49" i="9"/>
  <c r="AB49" i="9"/>
  <c r="AD49" i="9" s="1"/>
  <c r="AA49" i="9"/>
  <c r="Z49" i="9"/>
  <c r="Y49" i="9"/>
  <c r="X49" i="9"/>
  <c r="AD48" i="9"/>
  <c r="AC48" i="9"/>
  <c r="AB48" i="9"/>
  <c r="AA48" i="9"/>
  <c r="Z48" i="9"/>
  <c r="Y48" i="9"/>
  <c r="X48" i="9"/>
  <c r="AD47" i="9"/>
  <c r="AC47" i="9"/>
  <c r="AB47" i="9"/>
  <c r="AA47" i="9"/>
  <c r="Z47" i="9"/>
  <c r="Y47" i="9"/>
  <c r="X47" i="9"/>
  <c r="AC46" i="9"/>
  <c r="AB46" i="9"/>
  <c r="AD46" i="9" s="1"/>
  <c r="AA46" i="9"/>
  <c r="Z46" i="9"/>
  <c r="Y46" i="9"/>
  <c r="X46" i="9"/>
  <c r="AC45" i="9"/>
  <c r="AB45" i="9"/>
  <c r="AD45" i="9" s="1"/>
  <c r="AA45" i="9"/>
  <c r="Z45" i="9"/>
  <c r="Y45" i="9"/>
  <c r="X45" i="9"/>
  <c r="AD44" i="9"/>
  <c r="AC44" i="9"/>
  <c r="AB44" i="9"/>
  <c r="AA44" i="9"/>
  <c r="Z44" i="9"/>
  <c r="Y44" i="9"/>
  <c r="X44" i="9"/>
  <c r="AC43" i="9"/>
  <c r="AB43" i="9"/>
  <c r="AD43" i="9" s="1"/>
  <c r="AA43" i="9"/>
  <c r="Z43" i="9"/>
  <c r="Y43" i="9"/>
  <c r="X43" i="9"/>
  <c r="AD42" i="9"/>
  <c r="AC42" i="9"/>
  <c r="AB42" i="9"/>
  <c r="AA42" i="9"/>
  <c r="Z42" i="9"/>
  <c r="Y42" i="9"/>
  <c r="X42" i="9"/>
  <c r="AC41" i="9"/>
  <c r="AB41" i="9"/>
  <c r="AD41" i="9" s="1"/>
  <c r="AA41" i="9"/>
  <c r="Z41" i="9"/>
  <c r="Y41" i="9"/>
  <c r="X41" i="9"/>
  <c r="AC40" i="9"/>
  <c r="AB40" i="9"/>
  <c r="AD40" i="9" s="1"/>
  <c r="AA40" i="9"/>
  <c r="Z40" i="9"/>
  <c r="Y40" i="9"/>
  <c r="X40" i="9"/>
  <c r="AC39" i="9"/>
  <c r="AB39" i="9"/>
  <c r="AD39" i="9" s="1"/>
  <c r="AA39" i="9"/>
  <c r="Z39" i="9"/>
  <c r="Y39" i="9"/>
  <c r="X39" i="9"/>
  <c r="AC38" i="9"/>
  <c r="AB38" i="9"/>
  <c r="AD38" i="9" s="1"/>
  <c r="AA38" i="9"/>
  <c r="Z38" i="9"/>
  <c r="Y38" i="9"/>
  <c r="X38" i="9"/>
  <c r="AC37" i="9"/>
  <c r="AB37" i="9"/>
  <c r="AD37" i="9" s="1"/>
  <c r="AA37" i="9"/>
  <c r="Z37" i="9"/>
  <c r="Y37" i="9"/>
  <c r="X37" i="9"/>
  <c r="AC36" i="9"/>
  <c r="AB36" i="9"/>
  <c r="AD36" i="9" s="1"/>
  <c r="AA36" i="9"/>
  <c r="Z36" i="9"/>
  <c r="Y36" i="9"/>
  <c r="X36" i="9"/>
  <c r="AC35" i="9"/>
  <c r="AB35" i="9"/>
  <c r="AD35" i="9" s="1"/>
  <c r="AA35" i="9"/>
  <c r="Z35" i="9"/>
  <c r="Y35" i="9"/>
  <c r="X35" i="9"/>
  <c r="AC34" i="9"/>
  <c r="AB34" i="9"/>
  <c r="AD34" i="9" s="1"/>
  <c r="AA34" i="9"/>
  <c r="Z34" i="9"/>
  <c r="Y34" i="9"/>
  <c r="X34" i="9"/>
  <c r="AC33" i="9"/>
  <c r="AB33" i="9"/>
  <c r="AD33" i="9" s="1"/>
  <c r="AA33" i="9"/>
  <c r="Z33" i="9"/>
  <c r="Y33" i="9"/>
  <c r="X33" i="9"/>
  <c r="AC32" i="9"/>
  <c r="AB32" i="9"/>
  <c r="AD32" i="9" s="1"/>
  <c r="AA32" i="9"/>
  <c r="Z32" i="9"/>
  <c r="Y32" i="9"/>
  <c r="X32" i="9"/>
  <c r="AC31" i="9"/>
  <c r="AB31" i="9"/>
  <c r="AD31" i="9" s="1"/>
  <c r="AA31" i="9"/>
  <c r="Z31" i="9"/>
  <c r="Y31" i="9"/>
  <c r="X31" i="9"/>
  <c r="AC30" i="9"/>
  <c r="AB30" i="9"/>
  <c r="AD30" i="9" s="1"/>
  <c r="AA30" i="9"/>
  <c r="Z30" i="9"/>
  <c r="Y30" i="9"/>
  <c r="X30" i="9"/>
  <c r="AC29" i="9"/>
  <c r="AB29" i="9"/>
  <c r="AD29" i="9" s="1"/>
  <c r="AA29" i="9"/>
  <c r="Z29" i="9"/>
  <c r="Y29" i="9"/>
  <c r="X29" i="9"/>
  <c r="AC28" i="9"/>
  <c r="AB28" i="9"/>
  <c r="AD28" i="9" s="1"/>
  <c r="AA28" i="9"/>
  <c r="Z28" i="9"/>
  <c r="Y28" i="9"/>
  <c r="X28" i="9"/>
  <c r="AC27" i="9"/>
  <c r="AB27" i="9"/>
  <c r="AD27" i="9" s="1"/>
  <c r="AA27" i="9"/>
  <c r="Z27" i="9"/>
  <c r="Y27" i="9"/>
  <c r="X27" i="9"/>
  <c r="AC26" i="9"/>
  <c r="AB26" i="9"/>
  <c r="AD26" i="9" s="1"/>
  <c r="AA26" i="9"/>
  <c r="Z26" i="9"/>
  <c r="Y26" i="9"/>
  <c r="X26" i="9"/>
  <c r="AC25" i="9"/>
  <c r="AB25" i="9"/>
  <c r="AD25" i="9" s="1"/>
  <c r="AA25" i="9"/>
  <c r="Z25" i="9"/>
  <c r="Y25" i="9"/>
  <c r="X25" i="9"/>
  <c r="AC24" i="9"/>
  <c r="AB24" i="9"/>
  <c r="AD24" i="9" s="1"/>
  <c r="AA24" i="9"/>
  <c r="Z24" i="9"/>
  <c r="Y24" i="9"/>
  <c r="X24" i="9"/>
  <c r="AC23" i="9"/>
  <c r="AB23" i="9"/>
  <c r="AD23" i="9" s="1"/>
  <c r="AA23" i="9"/>
  <c r="Z23" i="9"/>
  <c r="Y23" i="9"/>
  <c r="X23" i="9"/>
  <c r="AC22" i="9"/>
  <c r="AB22" i="9"/>
  <c r="AD22" i="9" s="1"/>
  <c r="AA22" i="9"/>
  <c r="Z22" i="9"/>
  <c r="Y22" i="9"/>
  <c r="X22" i="9"/>
  <c r="AD21" i="9"/>
  <c r="AC21" i="9"/>
  <c r="AB21" i="9"/>
  <c r="AA21" i="9"/>
  <c r="Z21" i="9"/>
  <c r="Y21" i="9"/>
  <c r="X21" i="9"/>
  <c r="AC20" i="9"/>
  <c r="AB20" i="9"/>
  <c r="AD20" i="9" s="1"/>
  <c r="AA20" i="9"/>
  <c r="Z20" i="9"/>
  <c r="Y20" i="9"/>
  <c r="X20" i="9"/>
  <c r="AC19" i="9"/>
  <c r="AB19" i="9"/>
  <c r="AD19" i="9" s="1"/>
  <c r="AA19" i="9"/>
  <c r="Z19" i="9"/>
  <c r="Y19" i="9"/>
  <c r="X19" i="9"/>
  <c r="AC18" i="9"/>
  <c r="AB18" i="9"/>
  <c r="AD18" i="9" s="1"/>
  <c r="AA18" i="9"/>
  <c r="Z18" i="9"/>
  <c r="Y18" i="9"/>
  <c r="X18" i="9"/>
  <c r="AC17" i="9"/>
  <c r="AB17" i="9"/>
  <c r="AD17" i="9" s="1"/>
  <c r="AA17" i="9"/>
  <c r="Z17" i="9"/>
  <c r="Y17" i="9"/>
  <c r="X17" i="9"/>
  <c r="AC16" i="9"/>
  <c r="AB16" i="9"/>
  <c r="AD16" i="9" s="1"/>
  <c r="AA16" i="9"/>
  <c r="Z16" i="9"/>
  <c r="Y16" i="9"/>
  <c r="X16" i="9"/>
  <c r="AC15" i="9"/>
  <c r="AB15" i="9"/>
  <c r="AD15" i="9" s="1"/>
  <c r="AA15" i="9"/>
  <c r="Z15" i="9"/>
  <c r="Y15" i="9"/>
  <c r="X15" i="9"/>
  <c r="AC14" i="9"/>
  <c r="AB14" i="9"/>
  <c r="AD14" i="9" s="1"/>
  <c r="AA14" i="9"/>
  <c r="Z14" i="9"/>
  <c r="Y14" i="9"/>
  <c r="X14" i="9"/>
  <c r="AC13" i="9"/>
  <c r="AB13" i="9"/>
  <c r="AD13" i="9" s="1"/>
  <c r="AA13" i="9"/>
  <c r="Z13" i="9"/>
  <c r="Y13" i="9"/>
  <c r="X13" i="9"/>
  <c r="AC12" i="9"/>
  <c r="AB12" i="9"/>
  <c r="AD12" i="9" s="1"/>
  <c r="AA12" i="9"/>
  <c r="Z12" i="9"/>
  <c r="Y12" i="9"/>
  <c r="X12" i="9"/>
  <c r="AC11" i="9"/>
  <c r="AB11" i="9"/>
  <c r="AD11" i="9" s="1"/>
  <c r="AA11" i="9"/>
  <c r="Z11" i="9"/>
  <c r="Y11" i="9"/>
  <c r="X11" i="9"/>
  <c r="AC10" i="9"/>
  <c r="AB10" i="9"/>
  <c r="AD10" i="9" s="1"/>
  <c r="AA10" i="9"/>
  <c r="Z10" i="9"/>
  <c r="Y10" i="9"/>
  <c r="X10" i="9"/>
  <c r="AC9" i="9"/>
  <c r="AB9" i="9"/>
  <c r="AD9" i="9" s="1"/>
  <c r="AA9" i="9"/>
  <c r="Z9" i="9"/>
  <c r="Y9" i="9"/>
  <c r="X9" i="9"/>
  <c r="AC8" i="9"/>
  <c r="AB8" i="9"/>
  <c r="AD8" i="9" s="1"/>
  <c r="AA8" i="9"/>
  <c r="Z8" i="9"/>
  <c r="Y8" i="9"/>
  <c r="X8" i="9"/>
  <c r="AC7" i="9"/>
  <c r="AB7" i="9"/>
  <c r="AD7" i="9" s="1"/>
  <c r="AA7" i="9"/>
  <c r="Z7" i="9"/>
  <c r="Y7" i="9"/>
  <c r="X7" i="9"/>
  <c r="AC6" i="9"/>
  <c r="AB6" i="9"/>
  <c r="AD6" i="9" s="1"/>
  <c r="AA6" i="9"/>
  <c r="Z6" i="9"/>
  <c r="Y6" i="9"/>
  <c r="X6" i="9"/>
  <c r="AC5" i="9"/>
  <c r="AB5" i="9"/>
  <c r="AD5" i="9" s="1"/>
  <c r="AA5" i="9"/>
  <c r="Z5" i="9"/>
  <c r="Y5" i="9"/>
  <c r="X5" i="9"/>
  <c r="AC4" i="9"/>
  <c r="AB4" i="9"/>
  <c r="AD4" i="9" s="1"/>
  <c r="AA4" i="9"/>
  <c r="Z4" i="9"/>
  <c r="Y4" i="9"/>
  <c r="X4" i="9"/>
  <c r="AC3" i="9"/>
  <c r="AB3" i="9"/>
  <c r="AD3" i="9" s="1"/>
  <c r="AA3" i="9"/>
  <c r="Z3" i="9"/>
  <c r="Y3" i="9"/>
  <c r="X3" i="9"/>
  <c r="AC164" i="8"/>
  <c r="AB164" i="8"/>
  <c r="AD164" i="8" s="1"/>
  <c r="AA164" i="8"/>
  <c r="Z164" i="8"/>
  <c r="Y164" i="8"/>
  <c r="X164" i="8"/>
  <c r="AC163" i="8"/>
  <c r="AB163" i="8"/>
  <c r="AD163" i="8" s="1"/>
  <c r="AA163" i="8"/>
  <c r="Z163" i="8"/>
  <c r="Y163" i="8"/>
  <c r="X163" i="8"/>
  <c r="AC162" i="8"/>
  <c r="AB162" i="8"/>
  <c r="AD162" i="8" s="1"/>
  <c r="AA162" i="8"/>
  <c r="Z162" i="8"/>
  <c r="Y162" i="8"/>
  <c r="X162" i="8"/>
  <c r="AC161" i="8"/>
  <c r="AB161" i="8"/>
  <c r="AD161" i="8" s="1"/>
  <c r="AA161" i="8"/>
  <c r="Z161" i="8"/>
  <c r="Y161" i="8"/>
  <c r="X161" i="8"/>
  <c r="AC160" i="8"/>
  <c r="AB160" i="8"/>
  <c r="AD160" i="8" s="1"/>
  <c r="AA160" i="8"/>
  <c r="Z160" i="8"/>
  <c r="Y160" i="8"/>
  <c r="X160" i="8"/>
  <c r="AC159" i="8"/>
  <c r="AB159" i="8"/>
  <c r="AD159" i="8" s="1"/>
  <c r="AA159" i="8"/>
  <c r="Z159" i="8"/>
  <c r="Y159" i="8"/>
  <c r="X159" i="8"/>
  <c r="AC158" i="8"/>
  <c r="AB158" i="8"/>
  <c r="AD158" i="8" s="1"/>
  <c r="AA158" i="8"/>
  <c r="Z158" i="8"/>
  <c r="Y158" i="8"/>
  <c r="X158" i="8"/>
  <c r="AC157" i="8"/>
  <c r="AB157" i="8"/>
  <c r="AD157" i="8" s="1"/>
  <c r="AA157" i="8"/>
  <c r="Z157" i="8"/>
  <c r="Y157" i="8"/>
  <c r="X157" i="8"/>
  <c r="AC156" i="8"/>
  <c r="AB156" i="8"/>
  <c r="AD156" i="8" s="1"/>
  <c r="AA156" i="8"/>
  <c r="Z156" i="8"/>
  <c r="Y156" i="8"/>
  <c r="X156" i="8"/>
  <c r="AC155" i="8"/>
  <c r="AB155" i="8"/>
  <c r="AD155" i="8" s="1"/>
  <c r="AA155" i="8"/>
  <c r="Z155" i="8"/>
  <c r="Y155" i="8"/>
  <c r="X155" i="8"/>
  <c r="AC154" i="8"/>
  <c r="AB154" i="8"/>
  <c r="AD154" i="8" s="1"/>
  <c r="AA154" i="8"/>
  <c r="Z154" i="8"/>
  <c r="Y154" i="8"/>
  <c r="X154" i="8"/>
  <c r="AC153" i="8"/>
  <c r="AB153" i="8"/>
  <c r="AD153" i="8" s="1"/>
  <c r="AA153" i="8"/>
  <c r="Z153" i="8"/>
  <c r="Y153" i="8"/>
  <c r="X153" i="8"/>
  <c r="AC152" i="8"/>
  <c r="AB152" i="8"/>
  <c r="AD152" i="8" s="1"/>
  <c r="AA152" i="8"/>
  <c r="Z152" i="8"/>
  <c r="Y152" i="8"/>
  <c r="X152" i="8"/>
  <c r="AC151" i="8"/>
  <c r="AB151" i="8"/>
  <c r="AD151" i="8" s="1"/>
  <c r="AA151" i="8"/>
  <c r="Z151" i="8"/>
  <c r="Y151" i="8"/>
  <c r="X151" i="8"/>
  <c r="AD150" i="8"/>
  <c r="AC150" i="8"/>
  <c r="AB150" i="8"/>
  <c r="AA150" i="8"/>
  <c r="Z150" i="8"/>
  <c r="Y150" i="8"/>
  <c r="X150" i="8"/>
  <c r="AC149" i="8"/>
  <c r="AB149" i="8"/>
  <c r="AD149" i="8" s="1"/>
  <c r="AA149" i="8"/>
  <c r="Z149" i="8"/>
  <c r="Y149" i="8"/>
  <c r="X149" i="8"/>
  <c r="AC148" i="8"/>
  <c r="AB148" i="8"/>
  <c r="AD148" i="8" s="1"/>
  <c r="AA148" i="8"/>
  <c r="Z148" i="8"/>
  <c r="Y148" i="8"/>
  <c r="X148" i="8"/>
  <c r="AC147" i="8"/>
  <c r="AB147" i="8"/>
  <c r="AD147" i="8" s="1"/>
  <c r="AA147" i="8"/>
  <c r="Z147" i="8"/>
  <c r="Y147" i="8"/>
  <c r="X147" i="8"/>
  <c r="AC146" i="8"/>
  <c r="AB146" i="8"/>
  <c r="AD146" i="8" s="1"/>
  <c r="AA146" i="8"/>
  <c r="Z146" i="8"/>
  <c r="Y146" i="8"/>
  <c r="X146" i="8"/>
  <c r="AD145" i="8"/>
  <c r="AC145" i="8"/>
  <c r="AB145" i="8"/>
  <c r="AA145" i="8"/>
  <c r="Z145" i="8"/>
  <c r="Y145" i="8"/>
  <c r="X145" i="8"/>
  <c r="AC144" i="8"/>
  <c r="AB144" i="8"/>
  <c r="AD144" i="8" s="1"/>
  <c r="AA144" i="8"/>
  <c r="Z144" i="8"/>
  <c r="Y144" i="8"/>
  <c r="X144" i="8"/>
  <c r="AC143" i="8"/>
  <c r="AB143" i="8"/>
  <c r="AD143" i="8" s="1"/>
  <c r="AA143" i="8"/>
  <c r="Z143" i="8"/>
  <c r="Y143" i="8"/>
  <c r="X143" i="8"/>
  <c r="AD142" i="8"/>
  <c r="AC142" i="8"/>
  <c r="AB142" i="8"/>
  <c r="AA142" i="8"/>
  <c r="Z142" i="8"/>
  <c r="Y142" i="8"/>
  <c r="X142" i="8"/>
  <c r="AC141" i="8"/>
  <c r="AB141" i="8"/>
  <c r="AD141" i="8" s="1"/>
  <c r="AA141" i="8"/>
  <c r="Z141" i="8"/>
  <c r="Y141" i="8"/>
  <c r="X141" i="8"/>
  <c r="AC140" i="8"/>
  <c r="AB140" i="8"/>
  <c r="AD140" i="8" s="1"/>
  <c r="AA140" i="8"/>
  <c r="Z140" i="8"/>
  <c r="Y140" i="8"/>
  <c r="X140" i="8"/>
  <c r="AC139" i="8"/>
  <c r="AB139" i="8"/>
  <c r="AD139" i="8" s="1"/>
  <c r="AA139" i="8"/>
  <c r="Z139" i="8"/>
  <c r="Y139" i="8"/>
  <c r="X139" i="8"/>
  <c r="AC138" i="8"/>
  <c r="AB138" i="8"/>
  <c r="AD138" i="8" s="1"/>
  <c r="AA138" i="8"/>
  <c r="Z138" i="8"/>
  <c r="Y138" i="8"/>
  <c r="X138" i="8"/>
  <c r="AD137" i="8"/>
  <c r="AC137" i="8"/>
  <c r="AB137" i="8"/>
  <c r="AA137" i="8"/>
  <c r="Z137" i="8"/>
  <c r="Y137" i="8"/>
  <c r="X137" i="8"/>
  <c r="AC136" i="8"/>
  <c r="AB136" i="8"/>
  <c r="AD136" i="8" s="1"/>
  <c r="AA136" i="8"/>
  <c r="Z136" i="8"/>
  <c r="Y136" i="8"/>
  <c r="X136" i="8"/>
  <c r="AC135" i="8"/>
  <c r="AB135" i="8"/>
  <c r="AD135" i="8" s="1"/>
  <c r="AA135" i="8"/>
  <c r="Z135" i="8"/>
  <c r="Y135" i="8"/>
  <c r="X135" i="8"/>
  <c r="AC134" i="8"/>
  <c r="AB134" i="8"/>
  <c r="AD134" i="8" s="1"/>
  <c r="AA134" i="8"/>
  <c r="Z134" i="8"/>
  <c r="Y134" i="8"/>
  <c r="X134" i="8"/>
  <c r="AC133" i="8"/>
  <c r="AB133" i="8"/>
  <c r="AD133" i="8" s="1"/>
  <c r="AA133" i="8"/>
  <c r="Z133" i="8"/>
  <c r="Y133" i="8"/>
  <c r="X133" i="8"/>
  <c r="AC132" i="8"/>
  <c r="AB132" i="8"/>
  <c r="AD132" i="8" s="1"/>
  <c r="AA132" i="8"/>
  <c r="Z132" i="8"/>
  <c r="Y132" i="8"/>
  <c r="X132" i="8"/>
  <c r="AC131" i="8"/>
  <c r="AB131" i="8"/>
  <c r="AD131" i="8" s="1"/>
  <c r="AA131" i="8"/>
  <c r="Z131" i="8"/>
  <c r="Y131" i="8"/>
  <c r="X131" i="8"/>
  <c r="AC130" i="8"/>
  <c r="AB130" i="8"/>
  <c r="AD130" i="8" s="1"/>
  <c r="AA130" i="8"/>
  <c r="Z130" i="8"/>
  <c r="Y130" i="8"/>
  <c r="X130" i="8"/>
  <c r="AD129" i="8"/>
  <c r="AC129" i="8"/>
  <c r="AB129" i="8"/>
  <c r="AA129" i="8"/>
  <c r="Z129" i="8"/>
  <c r="Y129" i="8"/>
  <c r="X129" i="8"/>
  <c r="AC128" i="8"/>
  <c r="AB128" i="8"/>
  <c r="AD128" i="8" s="1"/>
  <c r="AA128" i="8"/>
  <c r="Z128" i="8"/>
  <c r="Y128" i="8"/>
  <c r="X128" i="8"/>
  <c r="AC127" i="8"/>
  <c r="AB127" i="8"/>
  <c r="AD127" i="8" s="1"/>
  <c r="AA127" i="8"/>
  <c r="Z127" i="8"/>
  <c r="Y127" i="8"/>
  <c r="X127" i="8"/>
  <c r="AD126" i="8"/>
  <c r="AC126" i="8"/>
  <c r="AB126" i="8"/>
  <c r="AA126" i="8"/>
  <c r="Z126" i="8"/>
  <c r="Y126" i="8"/>
  <c r="X126" i="8"/>
  <c r="AC125" i="8"/>
  <c r="AB125" i="8"/>
  <c r="AD125" i="8" s="1"/>
  <c r="AA125" i="8"/>
  <c r="Z125" i="8"/>
  <c r="Y125" i="8"/>
  <c r="X125" i="8"/>
  <c r="AC124" i="8"/>
  <c r="AB124" i="8"/>
  <c r="AD124" i="8" s="1"/>
  <c r="AA124" i="8"/>
  <c r="Z124" i="8"/>
  <c r="Y124" i="8"/>
  <c r="X124" i="8"/>
  <c r="AC123" i="8"/>
  <c r="AB123" i="8"/>
  <c r="AD123" i="8" s="1"/>
  <c r="AA123" i="8"/>
  <c r="Z123" i="8"/>
  <c r="Y123" i="8"/>
  <c r="X123" i="8"/>
  <c r="AD122" i="8"/>
  <c r="AC122" i="8"/>
  <c r="AB122" i="8"/>
  <c r="AA122" i="8"/>
  <c r="Z122" i="8"/>
  <c r="Y122" i="8"/>
  <c r="X122" i="8"/>
  <c r="AD121" i="8"/>
  <c r="AC121" i="8"/>
  <c r="AB121" i="8"/>
  <c r="AA121" i="8"/>
  <c r="Z121" i="8"/>
  <c r="Y121" i="8"/>
  <c r="X121" i="8"/>
  <c r="AC120" i="8"/>
  <c r="AB120" i="8"/>
  <c r="AD120" i="8" s="1"/>
  <c r="AA120" i="8"/>
  <c r="Z120" i="8"/>
  <c r="Y120" i="8"/>
  <c r="X120" i="8"/>
  <c r="AC119" i="8"/>
  <c r="AB119" i="8"/>
  <c r="AD119" i="8" s="1"/>
  <c r="AA119" i="8"/>
  <c r="Z119" i="8"/>
  <c r="Y119" i="8"/>
  <c r="X119" i="8"/>
  <c r="AC118" i="8"/>
  <c r="AB118" i="8"/>
  <c r="AD118" i="8" s="1"/>
  <c r="AA118" i="8"/>
  <c r="Z118" i="8"/>
  <c r="Y118" i="8"/>
  <c r="X118" i="8"/>
  <c r="AC117" i="8"/>
  <c r="AB117" i="8"/>
  <c r="AD117" i="8" s="1"/>
  <c r="AA117" i="8"/>
  <c r="Z117" i="8"/>
  <c r="Y117" i="8"/>
  <c r="X117" i="8"/>
  <c r="AC116" i="8"/>
  <c r="AB116" i="8"/>
  <c r="AD116" i="8" s="1"/>
  <c r="AA116" i="8"/>
  <c r="Z116" i="8"/>
  <c r="Y116" i="8"/>
  <c r="X116" i="8"/>
  <c r="AC115" i="8"/>
  <c r="AB115" i="8"/>
  <c r="AD115" i="8" s="1"/>
  <c r="AA115" i="8"/>
  <c r="Z115" i="8"/>
  <c r="Y115" i="8"/>
  <c r="X115" i="8"/>
  <c r="AC114" i="8"/>
  <c r="AB114" i="8"/>
  <c r="AD114" i="8" s="1"/>
  <c r="AA114" i="8"/>
  <c r="Z114" i="8"/>
  <c r="Y114" i="8"/>
  <c r="X114" i="8"/>
  <c r="AD113" i="8"/>
  <c r="AC113" i="8"/>
  <c r="AB113" i="8"/>
  <c r="AA113" i="8"/>
  <c r="Z113" i="8"/>
  <c r="Y113" i="8"/>
  <c r="X113" i="8"/>
  <c r="AC112" i="8"/>
  <c r="AB112" i="8"/>
  <c r="AD112" i="8" s="1"/>
  <c r="AA112" i="8"/>
  <c r="Z112" i="8"/>
  <c r="Y112" i="8"/>
  <c r="X112" i="8"/>
  <c r="AC111" i="8"/>
  <c r="AB111" i="8"/>
  <c r="AD111" i="8" s="1"/>
  <c r="AA111" i="8"/>
  <c r="Z111" i="8"/>
  <c r="Y111" i="8"/>
  <c r="X111" i="8"/>
  <c r="AC110" i="8"/>
  <c r="AB110" i="8"/>
  <c r="AD110" i="8" s="1"/>
  <c r="AA110" i="8"/>
  <c r="Z110" i="8"/>
  <c r="Y110" i="8"/>
  <c r="X110" i="8"/>
  <c r="AC109" i="8"/>
  <c r="AB109" i="8"/>
  <c r="AD109" i="8" s="1"/>
  <c r="AA109" i="8"/>
  <c r="Z109" i="8"/>
  <c r="Y109" i="8"/>
  <c r="X109" i="8"/>
  <c r="AC108" i="8"/>
  <c r="AB108" i="8"/>
  <c r="AD108" i="8" s="1"/>
  <c r="AA108" i="8"/>
  <c r="Z108" i="8"/>
  <c r="Y108" i="8"/>
  <c r="X108" i="8"/>
  <c r="AC107" i="8"/>
  <c r="AB107" i="8"/>
  <c r="AD107" i="8" s="1"/>
  <c r="AA107" i="8"/>
  <c r="Z107" i="8"/>
  <c r="Y107" i="8"/>
  <c r="X107" i="8"/>
  <c r="AD106" i="8"/>
  <c r="AC106" i="8"/>
  <c r="AB106" i="8"/>
  <c r="AA106" i="8"/>
  <c r="Z106" i="8"/>
  <c r="Y106" i="8"/>
  <c r="X106" i="8"/>
  <c r="AD105" i="8"/>
  <c r="AC105" i="8"/>
  <c r="AB105" i="8"/>
  <c r="AA105" i="8"/>
  <c r="Z105" i="8"/>
  <c r="Y105" i="8"/>
  <c r="X105" i="8"/>
  <c r="AC104" i="8"/>
  <c r="AB104" i="8"/>
  <c r="AD104" i="8" s="1"/>
  <c r="AA104" i="8"/>
  <c r="Z104" i="8"/>
  <c r="Y104" i="8"/>
  <c r="X104" i="8"/>
  <c r="AC103" i="8"/>
  <c r="AB103" i="8"/>
  <c r="AD103" i="8" s="1"/>
  <c r="AA103" i="8"/>
  <c r="Z103" i="8"/>
  <c r="Y103" i="8"/>
  <c r="X103" i="8"/>
  <c r="AC102" i="8"/>
  <c r="AB102" i="8"/>
  <c r="AD102" i="8" s="1"/>
  <c r="AA102" i="8"/>
  <c r="Z102" i="8"/>
  <c r="Y102" i="8"/>
  <c r="X102" i="8"/>
  <c r="AC101" i="8"/>
  <c r="AB101" i="8"/>
  <c r="AD101" i="8" s="1"/>
  <c r="AA101" i="8"/>
  <c r="Z101" i="8"/>
  <c r="Y101" i="8"/>
  <c r="X101" i="8"/>
  <c r="AC100" i="8"/>
  <c r="AB100" i="8"/>
  <c r="AD100" i="8" s="1"/>
  <c r="AA100" i="8"/>
  <c r="Z100" i="8"/>
  <c r="Y100" i="8"/>
  <c r="X100" i="8"/>
  <c r="AC99" i="8"/>
  <c r="AB99" i="8"/>
  <c r="AD99" i="8" s="1"/>
  <c r="AA99" i="8"/>
  <c r="Z99" i="8"/>
  <c r="Y99" i="8"/>
  <c r="X99" i="8"/>
  <c r="AC98" i="8"/>
  <c r="AB98" i="8"/>
  <c r="AD98" i="8" s="1"/>
  <c r="AA98" i="8"/>
  <c r="Z98" i="8"/>
  <c r="Y98" i="8"/>
  <c r="X98" i="8"/>
  <c r="AC97" i="8"/>
  <c r="AB97" i="8"/>
  <c r="AD97" i="8" s="1"/>
  <c r="AA97" i="8"/>
  <c r="Z97" i="8"/>
  <c r="Y97" i="8"/>
  <c r="X97" i="8"/>
  <c r="AC96" i="8"/>
  <c r="AB96" i="8"/>
  <c r="AD96" i="8" s="1"/>
  <c r="AA96" i="8"/>
  <c r="Z96" i="8"/>
  <c r="Y96" i="8"/>
  <c r="X96" i="8"/>
  <c r="AC95" i="8"/>
  <c r="AB95" i="8"/>
  <c r="AD95" i="8" s="1"/>
  <c r="AA95" i="8"/>
  <c r="Z95" i="8"/>
  <c r="Y95" i="8"/>
  <c r="X95" i="8"/>
  <c r="AD94" i="8"/>
  <c r="AC94" i="8"/>
  <c r="AB94" i="8"/>
  <c r="AA94" i="8"/>
  <c r="Z94" i="8"/>
  <c r="Y94" i="8"/>
  <c r="X94" i="8"/>
  <c r="AC93" i="8"/>
  <c r="AB93" i="8"/>
  <c r="AD93" i="8" s="1"/>
  <c r="AA93" i="8"/>
  <c r="Z93" i="8"/>
  <c r="Y93" i="8"/>
  <c r="X93" i="8"/>
  <c r="AC92" i="8"/>
  <c r="AB92" i="8"/>
  <c r="AD92" i="8" s="1"/>
  <c r="AA92" i="8"/>
  <c r="Z92" i="8"/>
  <c r="Y92" i="8"/>
  <c r="X92" i="8"/>
  <c r="AC91" i="8"/>
  <c r="AB91" i="8"/>
  <c r="AD91" i="8" s="1"/>
  <c r="AA91" i="8"/>
  <c r="Z91" i="8"/>
  <c r="Y91" i="8"/>
  <c r="X91" i="8"/>
  <c r="AC90" i="8"/>
  <c r="AB90" i="8"/>
  <c r="AD90" i="8" s="1"/>
  <c r="AA90" i="8"/>
  <c r="Z90" i="8"/>
  <c r="Y90" i="8"/>
  <c r="X90" i="8"/>
  <c r="AD89" i="8"/>
  <c r="AC89" i="8"/>
  <c r="AB89" i="8"/>
  <c r="AA89" i="8"/>
  <c r="Z89" i="8"/>
  <c r="Y89" i="8"/>
  <c r="X89" i="8"/>
  <c r="AC88" i="8"/>
  <c r="AB88" i="8"/>
  <c r="AD88" i="8" s="1"/>
  <c r="AA88" i="8"/>
  <c r="Z88" i="8"/>
  <c r="Y88" i="8"/>
  <c r="X88" i="8"/>
  <c r="AC87" i="8"/>
  <c r="AB87" i="8"/>
  <c r="AD87" i="8" s="1"/>
  <c r="AA87" i="8"/>
  <c r="Z87" i="8"/>
  <c r="Y87" i="8"/>
  <c r="X87" i="8"/>
  <c r="AD86" i="8"/>
  <c r="AC86" i="8"/>
  <c r="AB86" i="8"/>
  <c r="AA86" i="8"/>
  <c r="Z86" i="8"/>
  <c r="Y86" i="8"/>
  <c r="X86" i="8"/>
  <c r="AC85" i="8"/>
  <c r="AB85" i="8"/>
  <c r="AD85" i="8" s="1"/>
  <c r="AA85" i="8"/>
  <c r="Z85" i="8"/>
  <c r="Y85" i="8"/>
  <c r="X85" i="8"/>
  <c r="AC84" i="8"/>
  <c r="AB84" i="8"/>
  <c r="AD84" i="8" s="1"/>
  <c r="AA84" i="8"/>
  <c r="Z84" i="8"/>
  <c r="Y84" i="8"/>
  <c r="X84" i="8"/>
  <c r="AC83" i="8"/>
  <c r="AB83" i="8"/>
  <c r="AD83" i="8" s="1"/>
  <c r="AA83" i="8"/>
  <c r="Z83" i="8"/>
  <c r="Y83" i="8"/>
  <c r="X83" i="8"/>
  <c r="AC82" i="8"/>
  <c r="AB82" i="8"/>
  <c r="AD82" i="8" s="1"/>
  <c r="AA82" i="8"/>
  <c r="Z82" i="8"/>
  <c r="Y82" i="8"/>
  <c r="X82" i="8"/>
  <c r="AC81" i="8"/>
  <c r="AB81" i="8"/>
  <c r="AD81" i="8" s="1"/>
  <c r="AA81" i="8"/>
  <c r="Z81" i="8"/>
  <c r="Y81" i="8"/>
  <c r="X81" i="8"/>
  <c r="AC80" i="8"/>
  <c r="AB80" i="8"/>
  <c r="AD80" i="8" s="1"/>
  <c r="AA80" i="8"/>
  <c r="Z80" i="8"/>
  <c r="Y80" i="8"/>
  <c r="X80" i="8"/>
  <c r="AC79" i="8"/>
  <c r="AB79" i="8"/>
  <c r="AD79" i="8" s="1"/>
  <c r="AA79" i="8"/>
  <c r="Z79" i="8"/>
  <c r="Y79" i="8"/>
  <c r="X79" i="8"/>
  <c r="AD78" i="8"/>
  <c r="AC78" i="8"/>
  <c r="AB78" i="8"/>
  <c r="AA78" i="8"/>
  <c r="Z78" i="8"/>
  <c r="Y78" i="8"/>
  <c r="X78" i="8"/>
  <c r="AD77" i="8"/>
  <c r="AC77" i="8"/>
  <c r="AB77" i="8"/>
  <c r="AA77" i="8"/>
  <c r="Z77" i="8"/>
  <c r="Y77" i="8"/>
  <c r="X77" i="8"/>
  <c r="AC76" i="8"/>
  <c r="AB76" i="8"/>
  <c r="AD76" i="8" s="1"/>
  <c r="AA76" i="8"/>
  <c r="Z76" i="8"/>
  <c r="Y76" i="8"/>
  <c r="X76" i="8"/>
  <c r="AD75" i="8"/>
  <c r="AC75" i="8"/>
  <c r="AB75" i="8"/>
  <c r="AA75" i="8"/>
  <c r="Z75" i="8"/>
  <c r="Y75" i="8"/>
  <c r="X75" i="8"/>
  <c r="AC74" i="8"/>
  <c r="AB74" i="8"/>
  <c r="AD74" i="8" s="1"/>
  <c r="AA74" i="8"/>
  <c r="Z74" i="8"/>
  <c r="Y74" i="8"/>
  <c r="X74" i="8"/>
  <c r="AC73" i="8"/>
  <c r="AB73" i="8"/>
  <c r="AD73" i="8" s="1"/>
  <c r="AA73" i="8"/>
  <c r="Z73" i="8"/>
  <c r="Y73" i="8"/>
  <c r="X73" i="8"/>
  <c r="AC72" i="8"/>
  <c r="AB72" i="8"/>
  <c r="AD72" i="8" s="1"/>
  <c r="AA72" i="8"/>
  <c r="Z72" i="8"/>
  <c r="Y72" i="8"/>
  <c r="X72" i="8"/>
  <c r="AC71" i="8"/>
  <c r="AB71" i="8"/>
  <c r="AD71" i="8" s="1"/>
  <c r="AA71" i="8"/>
  <c r="Z71" i="8"/>
  <c r="Y71" i="8"/>
  <c r="X71" i="8"/>
  <c r="AC70" i="8"/>
  <c r="AB70" i="8"/>
  <c r="AD70" i="8" s="1"/>
  <c r="AA70" i="8"/>
  <c r="Z70" i="8"/>
  <c r="Y70" i="8"/>
  <c r="X70" i="8"/>
  <c r="AC69" i="8"/>
  <c r="AB69" i="8"/>
  <c r="AD69" i="8" s="1"/>
  <c r="AA69" i="8"/>
  <c r="Z69" i="8"/>
  <c r="Y69" i="8"/>
  <c r="X69" i="8"/>
  <c r="AC68" i="8"/>
  <c r="AB68" i="8"/>
  <c r="AD68" i="8" s="1"/>
  <c r="AA68" i="8"/>
  <c r="Z68" i="8"/>
  <c r="Y68" i="8"/>
  <c r="X68" i="8"/>
  <c r="AC67" i="8"/>
  <c r="AB67" i="8"/>
  <c r="AD67" i="8" s="1"/>
  <c r="AA67" i="8"/>
  <c r="Z67" i="8"/>
  <c r="Y67" i="8"/>
  <c r="X67" i="8"/>
  <c r="AD66" i="8"/>
  <c r="AC66" i="8"/>
  <c r="AB66" i="8"/>
  <c r="AA66" i="8"/>
  <c r="Z66" i="8"/>
  <c r="Y66" i="8"/>
  <c r="X66" i="8"/>
  <c r="AC65" i="8"/>
  <c r="AB65" i="8"/>
  <c r="AD65" i="8" s="1"/>
  <c r="AA65" i="8"/>
  <c r="Z65" i="8"/>
  <c r="Y65" i="8"/>
  <c r="X65" i="8"/>
  <c r="AC64" i="8"/>
  <c r="AB64" i="8"/>
  <c r="AD64" i="8" s="1"/>
  <c r="AA64" i="8"/>
  <c r="Z64" i="8"/>
  <c r="Y64" i="8"/>
  <c r="X64" i="8"/>
  <c r="AC63" i="8"/>
  <c r="AB63" i="8"/>
  <c r="AD63" i="8" s="1"/>
  <c r="AA63" i="8"/>
  <c r="Z63" i="8"/>
  <c r="Y63" i="8"/>
  <c r="X63" i="8"/>
  <c r="AC62" i="8"/>
  <c r="AB62" i="8"/>
  <c r="AD62" i="8" s="1"/>
  <c r="AA62" i="8"/>
  <c r="Z62" i="8"/>
  <c r="Y62" i="8"/>
  <c r="X62" i="8"/>
  <c r="AC61" i="8"/>
  <c r="AB61" i="8"/>
  <c r="AD61" i="8" s="1"/>
  <c r="AA61" i="8"/>
  <c r="Z61" i="8"/>
  <c r="Y61" i="8"/>
  <c r="X61" i="8"/>
  <c r="AC60" i="8"/>
  <c r="AB60" i="8"/>
  <c r="AD60" i="8" s="1"/>
  <c r="AA60" i="8"/>
  <c r="Z60" i="8"/>
  <c r="Y60" i="8"/>
  <c r="X60" i="8"/>
  <c r="AC59" i="8"/>
  <c r="AB59" i="8"/>
  <c r="AD59" i="8" s="1"/>
  <c r="AA59" i="8"/>
  <c r="Z59" i="8"/>
  <c r="Y59" i="8"/>
  <c r="X59" i="8"/>
  <c r="AC58" i="8"/>
  <c r="AB58" i="8"/>
  <c r="AD58" i="8" s="1"/>
  <c r="AA58" i="8"/>
  <c r="Z58" i="8"/>
  <c r="Y58" i="8"/>
  <c r="X58" i="8"/>
  <c r="AC57" i="8"/>
  <c r="AB57" i="8"/>
  <c r="AD57" i="8" s="1"/>
  <c r="AA57" i="8"/>
  <c r="Z57" i="8"/>
  <c r="Y57" i="8"/>
  <c r="X57" i="8"/>
  <c r="AC56" i="8"/>
  <c r="AB56" i="8"/>
  <c r="AD56" i="8" s="1"/>
  <c r="AA56" i="8"/>
  <c r="Z56" i="8"/>
  <c r="Y56" i="8"/>
  <c r="X56" i="8"/>
  <c r="AC55" i="8"/>
  <c r="AB55" i="8"/>
  <c r="AD55" i="8" s="1"/>
  <c r="AA55" i="8"/>
  <c r="Z55" i="8"/>
  <c r="Y55" i="8"/>
  <c r="X55" i="8"/>
  <c r="AC54" i="8"/>
  <c r="AB54" i="8"/>
  <c r="AD54" i="8" s="1"/>
  <c r="AA54" i="8"/>
  <c r="Z54" i="8"/>
  <c r="Y54" i="8"/>
  <c r="X54" i="8"/>
  <c r="AC53" i="8"/>
  <c r="AB53" i="8"/>
  <c r="AD53" i="8" s="1"/>
  <c r="AA53" i="8"/>
  <c r="Z53" i="8"/>
  <c r="Y53" i="8"/>
  <c r="X53" i="8"/>
  <c r="AC52" i="8"/>
  <c r="AB52" i="8"/>
  <c r="AD52" i="8" s="1"/>
  <c r="AA52" i="8"/>
  <c r="Z52" i="8"/>
  <c r="Y52" i="8"/>
  <c r="X52" i="8"/>
  <c r="AC51" i="8"/>
  <c r="AB51" i="8"/>
  <c r="AD51" i="8" s="1"/>
  <c r="AA51" i="8"/>
  <c r="Z51" i="8"/>
  <c r="Y51" i="8"/>
  <c r="X51" i="8"/>
  <c r="AD50" i="8"/>
  <c r="AC50" i="8"/>
  <c r="AB50" i="8"/>
  <c r="AA50" i="8"/>
  <c r="Z50" i="8"/>
  <c r="Y50" i="8"/>
  <c r="X50" i="8"/>
  <c r="AC49" i="8"/>
  <c r="AB49" i="8"/>
  <c r="AD49" i="8" s="1"/>
  <c r="AA49" i="8"/>
  <c r="Z49" i="8"/>
  <c r="Y49" i="8"/>
  <c r="X49" i="8"/>
  <c r="AC48" i="8"/>
  <c r="AB48" i="8"/>
  <c r="AD48" i="8" s="1"/>
  <c r="AA48" i="8"/>
  <c r="Z48" i="8"/>
  <c r="Y48" i="8"/>
  <c r="X48" i="8"/>
  <c r="AC47" i="8"/>
  <c r="AB47" i="8"/>
  <c r="AD47" i="8" s="1"/>
  <c r="AA47" i="8"/>
  <c r="Z47" i="8"/>
  <c r="Y47" i="8"/>
  <c r="X47" i="8"/>
  <c r="AC46" i="8"/>
  <c r="AB46" i="8"/>
  <c r="AD46" i="8" s="1"/>
  <c r="AA46" i="8"/>
  <c r="Z46" i="8"/>
  <c r="Y46" i="8"/>
  <c r="X46" i="8"/>
  <c r="AD45" i="8"/>
  <c r="AC45" i="8"/>
  <c r="AB45" i="8"/>
  <c r="AA45" i="8"/>
  <c r="Z45" i="8"/>
  <c r="Y45" i="8"/>
  <c r="X45" i="8"/>
  <c r="AC44" i="8"/>
  <c r="AB44" i="8"/>
  <c r="AD44" i="8" s="1"/>
  <c r="AA44" i="8"/>
  <c r="Z44" i="8"/>
  <c r="Y44" i="8"/>
  <c r="X44" i="8"/>
  <c r="AC43" i="8"/>
  <c r="AB43" i="8"/>
  <c r="AD43" i="8" s="1"/>
  <c r="AA43" i="8"/>
  <c r="Z43" i="8"/>
  <c r="Y43" i="8"/>
  <c r="X43" i="8"/>
  <c r="AC42" i="8"/>
  <c r="AB42" i="8"/>
  <c r="AD42" i="8" s="1"/>
  <c r="AA42" i="8"/>
  <c r="Z42" i="8"/>
  <c r="Y42" i="8"/>
  <c r="X42" i="8"/>
  <c r="AC41" i="8"/>
  <c r="AB41" i="8"/>
  <c r="AD41" i="8" s="1"/>
  <c r="AA41" i="8"/>
  <c r="Z41" i="8"/>
  <c r="Y41" i="8"/>
  <c r="X41" i="8"/>
  <c r="AC40" i="8"/>
  <c r="AB40" i="8"/>
  <c r="AD40" i="8" s="1"/>
  <c r="AA40" i="8"/>
  <c r="Z40" i="8"/>
  <c r="Y40" i="8"/>
  <c r="X40" i="8"/>
  <c r="AC39" i="8"/>
  <c r="AB39" i="8"/>
  <c r="AD39" i="8" s="1"/>
  <c r="AA39" i="8"/>
  <c r="Z39" i="8"/>
  <c r="Y39" i="8"/>
  <c r="X39" i="8"/>
  <c r="AC38" i="8"/>
  <c r="AB38" i="8"/>
  <c r="AD38" i="8" s="1"/>
  <c r="AA38" i="8"/>
  <c r="Z38" i="8"/>
  <c r="Y38" i="8"/>
  <c r="X38" i="8"/>
  <c r="AC37" i="8"/>
  <c r="AB37" i="8"/>
  <c r="AD37" i="8" s="1"/>
  <c r="AA37" i="8"/>
  <c r="Z37" i="8"/>
  <c r="Y37" i="8"/>
  <c r="X37" i="8"/>
  <c r="AC36" i="8"/>
  <c r="AB36" i="8"/>
  <c r="AD36" i="8" s="1"/>
  <c r="AA36" i="8"/>
  <c r="Z36" i="8"/>
  <c r="Y36" i="8"/>
  <c r="X36" i="8"/>
  <c r="AC35" i="8"/>
  <c r="AB35" i="8"/>
  <c r="AD35" i="8" s="1"/>
  <c r="AA35" i="8"/>
  <c r="Z35" i="8"/>
  <c r="Y35" i="8"/>
  <c r="X35" i="8"/>
  <c r="AC34" i="8"/>
  <c r="AB34" i="8"/>
  <c r="AD34" i="8" s="1"/>
  <c r="AA34" i="8"/>
  <c r="Z34" i="8"/>
  <c r="Y34" i="8"/>
  <c r="X34" i="8"/>
  <c r="AC33" i="8"/>
  <c r="AB33" i="8"/>
  <c r="AD33" i="8" s="1"/>
  <c r="AA33" i="8"/>
  <c r="Z33" i="8"/>
  <c r="Y33" i="8"/>
  <c r="X33" i="8"/>
  <c r="AC32" i="8"/>
  <c r="AB32" i="8"/>
  <c r="AD32" i="8" s="1"/>
  <c r="AA32" i="8"/>
  <c r="Z32" i="8"/>
  <c r="Y32" i="8"/>
  <c r="X32" i="8"/>
  <c r="AC31" i="8"/>
  <c r="AB31" i="8"/>
  <c r="AD31" i="8" s="1"/>
  <c r="AA31" i="8"/>
  <c r="Z31" i="8"/>
  <c r="Y31" i="8"/>
  <c r="X31" i="8"/>
  <c r="AC30" i="8"/>
  <c r="AB30" i="8"/>
  <c r="AD30" i="8" s="1"/>
  <c r="AA30" i="8"/>
  <c r="Z30" i="8"/>
  <c r="Y30" i="8"/>
  <c r="X30" i="8"/>
  <c r="AC29" i="8"/>
  <c r="AB29" i="8"/>
  <c r="AD29" i="8" s="1"/>
  <c r="AA29" i="8"/>
  <c r="Z29" i="8"/>
  <c r="Y29" i="8"/>
  <c r="X29" i="8"/>
  <c r="AC28" i="8"/>
  <c r="AB28" i="8"/>
  <c r="AD28" i="8" s="1"/>
  <c r="AA28" i="8"/>
  <c r="Z28" i="8"/>
  <c r="Y28" i="8"/>
  <c r="X28" i="8"/>
  <c r="AC27" i="8"/>
  <c r="AB27" i="8"/>
  <c r="AD27" i="8" s="1"/>
  <c r="AA27" i="8"/>
  <c r="Z27" i="8"/>
  <c r="Y27" i="8"/>
  <c r="X27" i="8"/>
  <c r="AC26" i="8"/>
  <c r="AB26" i="8"/>
  <c r="AD26" i="8" s="1"/>
  <c r="AA26" i="8"/>
  <c r="Z26" i="8"/>
  <c r="Y26" i="8"/>
  <c r="X26" i="8"/>
  <c r="AC25" i="8"/>
  <c r="AB25" i="8"/>
  <c r="AD25" i="8" s="1"/>
  <c r="AA25" i="8"/>
  <c r="Z25" i="8"/>
  <c r="Y25" i="8"/>
  <c r="X25" i="8"/>
  <c r="AC24" i="8"/>
  <c r="AB24" i="8"/>
  <c r="AD24" i="8" s="1"/>
  <c r="AA24" i="8"/>
  <c r="Z24" i="8"/>
  <c r="Y24" i="8"/>
  <c r="X24" i="8"/>
  <c r="AC23" i="8"/>
  <c r="AB23" i="8"/>
  <c r="AD23" i="8" s="1"/>
  <c r="AA23" i="8"/>
  <c r="Z23" i="8"/>
  <c r="Y23" i="8"/>
  <c r="X23" i="8"/>
  <c r="AD22" i="8"/>
  <c r="AC22" i="8"/>
  <c r="AB22" i="8"/>
  <c r="AA22" i="8"/>
  <c r="Z22" i="8"/>
  <c r="Y22" i="8"/>
  <c r="X22" i="8"/>
  <c r="AC21" i="8"/>
  <c r="AB21" i="8"/>
  <c r="AD21" i="8" s="1"/>
  <c r="AA21" i="8"/>
  <c r="Z21" i="8"/>
  <c r="Y21" i="8"/>
  <c r="X21" i="8"/>
  <c r="AC20" i="8"/>
  <c r="AB20" i="8"/>
  <c r="AD20" i="8" s="1"/>
  <c r="AA20" i="8"/>
  <c r="Z20" i="8"/>
  <c r="Y20" i="8"/>
  <c r="X20" i="8"/>
  <c r="AC19" i="8"/>
  <c r="AB19" i="8"/>
  <c r="AD19" i="8" s="1"/>
  <c r="AA19" i="8"/>
  <c r="Z19" i="8"/>
  <c r="Y19" i="8"/>
  <c r="X19" i="8"/>
  <c r="AC18" i="8"/>
  <c r="AB18" i="8"/>
  <c r="AD18" i="8" s="1"/>
  <c r="AA18" i="8"/>
  <c r="Z18" i="8"/>
  <c r="Y18" i="8"/>
  <c r="X18" i="8"/>
  <c r="AC17" i="8"/>
  <c r="AB17" i="8"/>
  <c r="AD17" i="8" s="1"/>
  <c r="AA17" i="8"/>
  <c r="Z17" i="8"/>
  <c r="Y17" i="8"/>
  <c r="X17" i="8"/>
  <c r="AC16" i="8"/>
  <c r="AB16" i="8"/>
  <c r="AD16" i="8" s="1"/>
  <c r="AA16" i="8"/>
  <c r="Z16" i="8"/>
  <c r="Y16" i="8"/>
  <c r="X16" i="8"/>
  <c r="AC15" i="8"/>
  <c r="AB15" i="8"/>
  <c r="AD15" i="8" s="1"/>
  <c r="AA15" i="8"/>
  <c r="Z15" i="8"/>
  <c r="Y15" i="8"/>
  <c r="X15" i="8"/>
  <c r="AC14" i="8"/>
  <c r="AB14" i="8"/>
  <c r="AD14" i="8" s="1"/>
  <c r="AA14" i="8"/>
  <c r="Z14" i="8"/>
  <c r="Y14" i="8"/>
  <c r="X14" i="8"/>
  <c r="AD13" i="8"/>
  <c r="AC13" i="8"/>
  <c r="AB13" i="8"/>
  <c r="AA13" i="8"/>
  <c r="Z13" i="8"/>
  <c r="Y13" i="8"/>
  <c r="X13" i="8"/>
  <c r="AC12" i="8"/>
  <c r="AB12" i="8"/>
  <c r="AD12" i="8" s="1"/>
  <c r="AA12" i="8"/>
  <c r="Z12" i="8"/>
  <c r="Y12" i="8"/>
  <c r="X12" i="8"/>
  <c r="AC11" i="8"/>
  <c r="AB11" i="8"/>
  <c r="AD11" i="8" s="1"/>
  <c r="AA11" i="8"/>
  <c r="Z11" i="8"/>
  <c r="Y11" i="8"/>
  <c r="X11" i="8"/>
  <c r="AC10" i="8"/>
  <c r="AB10" i="8"/>
  <c r="AD10" i="8" s="1"/>
  <c r="AA10" i="8"/>
  <c r="Z10" i="8"/>
  <c r="Y10" i="8"/>
  <c r="X10" i="8"/>
  <c r="AC9" i="8"/>
  <c r="AB9" i="8"/>
  <c r="AD9" i="8" s="1"/>
  <c r="AA9" i="8"/>
  <c r="Z9" i="8"/>
  <c r="Y9" i="8"/>
  <c r="X9" i="8"/>
  <c r="AC8" i="8"/>
  <c r="AB8" i="8"/>
  <c r="AD8" i="8" s="1"/>
  <c r="AA8" i="8"/>
  <c r="Z8" i="8"/>
  <c r="Y8" i="8"/>
  <c r="X8" i="8"/>
  <c r="AC7" i="8"/>
  <c r="AB7" i="8"/>
  <c r="AD7" i="8" s="1"/>
  <c r="AA7" i="8"/>
  <c r="Z7" i="8"/>
  <c r="Y7" i="8"/>
  <c r="X7" i="8"/>
  <c r="AD6" i="8"/>
  <c r="AC6" i="8"/>
  <c r="AB6" i="8"/>
  <c r="AA6" i="8"/>
  <c r="Z6" i="8"/>
  <c r="Y6" i="8"/>
  <c r="X6" i="8"/>
  <c r="AC5" i="8"/>
  <c r="AB5" i="8"/>
  <c r="AD5" i="8" s="1"/>
  <c r="AA5" i="8"/>
  <c r="Z5" i="8"/>
  <c r="Y5" i="8"/>
  <c r="X5" i="8"/>
  <c r="AC4" i="8"/>
  <c r="AB4" i="8"/>
  <c r="AD4" i="8" s="1"/>
  <c r="AA4" i="8"/>
  <c r="Z4" i="8"/>
  <c r="Y4" i="8"/>
  <c r="X4" i="8"/>
  <c r="AC3" i="8"/>
  <c r="AB3" i="8"/>
  <c r="AD3" i="8" s="1"/>
  <c r="AA3" i="8"/>
  <c r="Z3" i="8"/>
  <c r="Y3" i="8"/>
  <c r="X3" i="8"/>
  <c r="AC164" i="7"/>
  <c r="AB164" i="7"/>
  <c r="AD164" i="7" s="1"/>
  <c r="AA164" i="7"/>
  <c r="Z164" i="7"/>
  <c r="Y164" i="7"/>
  <c r="X164" i="7"/>
  <c r="AD163" i="7"/>
  <c r="AC163" i="7"/>
  <c r="AB163" i="7"/>
  <c r="AA163" i="7"/>
  <c r="Z163" i="7"/>
  <c r="Y163" i="7"/>
  <c r="X163" i="7"/>
  <c r="AC162" i="7"/>
  <c r="AB162" i="7"/>
  <c r="AD162" i="7" s="1"/>
  <c r="AA162" i="7"/>
  <c r="Z162" i="7"/>
  <c r="Y162" i="7"/>
  <c r="X162" i="7"/>
  <c r="AC161" i="7"/>
  <c r="AB161" i="7"/>
  <c r="AD161" i="7" s="1"/>
  <c r="AA161" i="7"/>
  <c r="Z161" i="7"/>
  <c r="Y161" i="7"/>
  <c r="X161" i="7"/>
  <c r="AC160" i="7"/>
  <c r="AB160" i="7"/>
  <c r="AD160" i="7" s="1"/>
  <c r="AA160" i="7"/>
  <c r="Z160" i="7"/>
  <c r="Y160" i="7"/>
  <c r="X160" i="7"/>
  <c r="AC159" i="7"/>
  <c r="AB159" i="7"/>
  <c r="AD159" i="7" s="1"/>
  <c r="AA159" i="7"/>
  <c r="Z159" i="7"/>
  <c r="Y159" i="7"/>
  <c r="X159" i="7"/>
  <c r="AC158" i="7"/>
  <c r="AB158" i="7"/>
  <c r="AD158" i="7" s="1"/>
  <c r="AA158" i="7"/>
  <c r="Z158" i="7"/>
  <c r="Y158" i="7"/>
  <c r="X158" i="7"/>
  <c r="AC157" i="7"/>
  <c r="AB157" i="7"/>
  <c r="AD157" i="7" s="1"/>
  <c r="AA157" i="7"/>
  <c r="Z157" i="7"/>
  <c r="Y157" i="7"/>
  <c r="X157" i="7"/>
  <c r="AC156" i="7"/>
  <c r="AB156" i="7"/>
  <c r="AD156" i="7" s="1"/>
  <c r="AA156" i="7"/>
  <c r="Z156" i="7"/>
  <c r="Y156" i="7"/>
  <c r="X156" i="7"/>
  <c r="AC155" i="7"/>
  <c r="AB155" i="7"/>
  <c r="AD155" i="7" s="1"/>
  <c r="AA155" i="7"/>
  <c r="Z155" i="7"/>
  <c r="Y155" i="7"/>
  <c r="X155" i="7"/>
  <c r="AC154" i="7"/>
  <c r="AB154" i="7"/>
  <c r="AD154" i="7" s="1"/>
  <c r="AA154" i="7"/>
  <c r="Z154" i="7"/>
  <c r="Y154" i="7"/>
  <c r="X154" i="7"/>
  <c r="AC153" i="7"/>
  <c r="AB153" i="7"/>
  <c r="AD153" i="7" s="1"/>
  <c r="AA153" i="7"/>
  <c r="Z153" i="7"/>
  <c r="Y153" i="7"/>
  <c r="X153" i="7"/>
  <c r="AC152" i="7"/>
  <c r="AB152" i="7"/>
  <c r="AD152" i="7" s="1"/>
  <c r="AA152" i="7"/>
  <c r="Z152" i="7"/>
  <c r="Y152" i="7"/>
  <c r="X152" i="7"/>
  <c r="AC151" i="7"/>
  <c r="AB151" i="7"/>
  <c r="AD151" i="7" s="1"/>
  <c r="AA151" i="7"/>
  <c r="Z151" i="7"/>
  <c r="Y151" i="7"/>
  <c r="X151" i="7"/>
  <c r="AC150" i="7"/>
  <c r="AB150" i="7"/>
  <c r="AD150" i="7" s="1"/>
  <c r="AA150" i="7"/>
  <c r="Z150" i="7"/>
  <c r="Y150" i="7"/>
  <c r="X150" i="7"/>
  <c r="AC149" i="7"/>
  <c r="AB149" i="7"/>
  <c r="AD149" i="7" s="1"/>
  <c r="AA149" i="7"/>
  <c r="Z149" i="7"/>
  <c r="Y149" i="7"/>
  <c r="X149" i="7"/>
  <c r="AD148" i="7"/>
  <c r="AC148" i="7"/>
  <c r="AB148" i="7"/>
  <c r="AA148" i="7"/>
  <c r="Z148" i="7"/>
  <c r="Y148" i="7"/>
  <c r="X148" i="7"/>
  <c r="AC147" i="7"/>
  <c r="AB147" i="7"/>
  <c r="AD147" i="7" s="1"/>
  <c r="AA147" i="7"/>
  <c r="Z147" i="7"/>
  <c r="Y147" i="7"/>
  <c r="X147" i="7"/>
  <c r="AC146" i="7"/>
  <c r="AB146" i="7"/>
  <c r="AD146" i="7" s="1"/>
  <c r="AA146" i="7"/>
  <c r="Z146" i="7"/>
  <c r="Y146" i="7"/>
  <c r="X146" i="7"/>
  <c r="AC145" i="7"/>
  <c r="AB145" i="7"/>
  <c r="AD145" i="7" s="1"/>
  <c r="AA145" i="7"/>
  <c r="Z145" i="7"/>
  <c r="Y145" i="7"/>
  <c r="X145" i="7"/>
  <c r="AC144" i="7"/>
  <c r="AB144" i="7"/>
  <c r="AD144" i="7" s="1"/>
  <c r="AA144" i="7"/>
  <c r="Z144" i="7"/>
  <c r="Y144" i="7"/>
  <c r="X144" i="7"/>
  <c r="AC143" i="7"/>
  <c r="AB143" i="7"/>
  <c r="AD143" i="7" s="1"/>
  <c r="AA143" i="7"/>
  <c r="Z143" i="7"/>
  <c r="Y143" i="7"/>
  <c r="X143" i="7"/>
  <c r="AC142" i="7"/>
  <c r="AB142" i="7"/>
  <c r="AD142" i="7" s="1"/>
  <c r="AA142" i="7"/>
  <c r="Z142" i="7"/>
  <c r="Y142" i="7"/>
  <c r="X142" i="7"/>
  <c r="AC141" i="7"/>
  <c r="AB141" i="7"/>
  <c r="AD141" i="7" s="1"/>
  <c r="AA141" i="7"/>
  <c r="Z141" i="7"/>
  <c r="Y141" i="7"/>
  <c r="X141" i="7"/>
  <c r="AD140" i="7"/>
  <c r="AC140" i="7"/>
  <c r="AB140" i="7"/>
  <c r="AA140" i="7"/>
  <c r="Z140" i="7"/>
  <c r="Y140" i="7"/>
  <c r="X140" i="7"/>
  <c r="AC139" i="7"/>
  <c r="AB139" i="7"/>
  <c r="AD139" i="7" s="1"/>
  <c r="AA139" i="7"/>
  <c r="Z139" i="7"/>
  <c r="Y139" i="7"/>
  <c r="X139" i="7"/>
  <c r="AC138" i="7"/>
  <c r="AB138" i="7"/>
  <c r="AD138" i="7" s="1"/>
  <c r="AA138" i="7"/>
  <c r="Z138" i="7"/>
  <c r="Y138" i="7"/>
  <c r="X138" i="7"/>
  <c r="AC137" i="7"/>
  <c r="AB137" i="7"/>
  <c r="AD137" i="7" s="1"/>
  <c r="AA137" i="7"/>
  <c r="Z137" i="7"/>
  <c r="Y137" i="7"/>
  <c r="X137" i="7"/>
  <c r="AC136" i="7"/>
  <c r="AB136" i="7"/>
  <c r="AD136" i="7" s="1"/>
  <c r="AA136" i="7"/>
  <c r="Z136" i="7"/>
  <c r="Y136" i="7"/>
  <c r="X136" i="7"/>
  <c r="AC135" i="7"/>
  <c r="AB135" i="7"/>
  <c r="AD135" i="7" s="1"/>
  <c r="AA135" i="7"/>
  <c r="Z135" i="7"/>
  <c r="Y135" i="7"/>
  <c r="X135" i="7"/>
  <c r="AC134" i="7"/>
  <c r="AB134" i="7"/>
  <c r="AD134" i="7" s="1"/>
  <c r="AA134" i="7"/>
  <c r="Z134" i="7"/>
  <c r="Y134" i="7"/>
  <c r="X134" i="7"/>
  <c r="AC133" i="7"/>
  <c r="AB133" i="7"/>
  <c r="AD133" i="7" s="1"/>
  <c r="AA133" i="7"/>
  <c r="Z133" i="7"/>
  <c r="Y133" i="7"/>
  <c r="X133" i="7"/>
  <c r="AC132" i="7"/>
  <c r="AB132" i="7"/>
  <c r="AD132" i="7" s="1"/>
  <c r="AA132" i="7"/>
  <c r="Z132" i="7"/>
  <c r="Y132" i="7"/>
  <c r="X132" i="7"/>
  <c r="AC131" i="7"/>
  <c r="AB131" i="7"/>
  <c r="AD131" i="7" s="1"/>
  <c r="AA131" i="7"/>
  <c r="Z131" i="7"/>
  <c r="Y131" i="7"/>
  <c r="X131" i="7"/>
  <c r="AC130" i="7"/>
  <c r="AB130" i="7"/>
  <c r="AD130" i="7" s="1"/>
  <c r="AA130" i="7"/>
  <c r="Z130" i="7"/>
  <c r="Y130" i="7"/>
  <c r="X130" i="7"/>
  <c r="AC129" i="7"/>
  <c r="AB129" i="7"/>
  <c r="AD129" i="7" s="1"/>
  <c r="AA129" i="7"/>
  <c r="Z129" i="7"/>
  <c r="Y129" i="7"/>
  <c r="X129" i="7"/>
  <c r="AC128" i="7"/>
  <c r="AB128" i="7"/>
  <c r="AD128" i="7" s="1"/>
  <c r="AA128" i="7"/>
  <c r="Z128" i="7"/>
  <c r="Y128" i="7"/>
  <c r="X128" i="7"/>
  <c r="AC127" i="7"/>
  <c r="AB127" i="7"/>
  <c r="AD127" i="7" s="1"/>
  <c r="AA127" i="7"/>
  <c r="Z127" i="7"/>
  <c r="Y127" i="7"/>
  <c r="X127" i="7"/>
  <c r="AC126" i="7"/>
  <c r="AB126" i="7"/>
  <c r="AD126" i="7" s="1"/>
  <c r="AA126" i="7"/>
  <c r="Z126" i="7"/>
  <c r="Y126" i="7"/>
  <c r="X126" i="7"/>
  <c r="AC125" i="7"/>
  <c r="AB125" i="7"/>
  <c r="AD125" i="7" s="1"/>
  <c r="AA125" i="7"/>
  <c r="Z125" i="7"/>
  <c r="Y125" i="7"/>
  <c r="X125" i="7"/>
  <c r="AD124" i="7"/>
  <c r="AC124" i="7"/>
  <c r="AB124" i="7"/>
  <c r="AA124" i="7"/>
  <c r="Z124" i="7"/>
  <c r="Y124" i="7"/>
  <c r="X124" i="7"/>
  <c r="AC123" i="7"/>
  <c r="AB123" i="7"/>
  <c r="AD123" i="7" s="1"/>
  <c r="AA123" i="7"/>
  <c r="Z123" i="7"/>
  <c r="Y123" i="7"/>
  <c r="X123" i="7"/>
  <c r="AC122" i="7"/>
  <c r="AB122" i="7"/>
  <c r="AD122" i="7" s="1"/>
  <c r="AA122" i="7"/>
  <c r="Z122" i="7"/>
  <c r="Y122" i="7"/>
  <c r="X122" i="7"/>
  <c r="AC121" i="7"/>
  <c r="AB121" i="7"/>
  <c r="AD121" i="7" s="1"/>
  <c r="AA121" i="7"/>
  <c r="Z121" i="7"/>
  <c r="Y121" i="7"/>
  <c r="X121" i="7"/>
  <c r="AC120" i="7"/>
  <c r="AB120" i="7"/>
  <c r="AD120" i="7" s="1"/>
  <c r="AA120" i="7"/>
  <c r="Z120" i="7"/>
  <c r="Y120" i="7"/>
  <c r="X120" i="7"/>
  <c r="AC119" i="7"/>
  <c r="AB119" i="7"/>
  <c r="AD119" i="7" s="1"/>
  <c r="AA119" i="7"/>
  <c r="Z119" i="7"/>
  <c r="Y119" i="7"/>
  <c r="X119" i="7"/>
  <c r="AC118" i="7"/>
  <c r="AB118" i="7"/>
  <c r="AD118" i="7" s="1"/>
  <c r="AA118" i="7"/>
  <c r="Z118" i="7"/>
  <c r="Y118" i="7"/>
  <c r="X118" i="7"/>
  <c r="AC117" i="7"/>
  <c r="AB117" i="7"/>
  <c r="AD117" i="7" s="1"/>
  <c r="AA117" i="7"/>
  <c r="Z117" i="7"/>
  <c r="Y117" i="7"/>
  <c r="X117" i="7"/>
  <c r="AD116" i="7"/>
  <c r="AC116" i="7"/>
  <c r="AB116" i="7"/>
  <c r="AA116" i="7"/>
  <c r="Z116" i="7"/>
  <c r="Y116" i="7"/>
  <c r="X116" i="7"/>
  <c r="AC115" i="7"/>
  <c r="AB115" i="7"/>
  <c r="AD115" i="7" s="1"/>
  <c r="AA115" i="7"/>
  <c r="Z115" i="7"/>
  <c r="Y115" i="7"/>
  <c r="X115" i="7"/>
  <c r="AC114" i="7"/>
  <c r="AB114" i="7"/>
  <c r="AD114" i="7" s="1"/>
  <c r="AA114" i="7"/>
  <c r="Z114" i="7"/>
  <c r="Y114" i="7"/>
  <c r="X114" i="7"/>
  <c r="AC113" i="7"/>
  <c r="AB113" i="7"/>
  <c r="AD113" i="7" s="1"/>
  <c r="AA113" i="7"/>
  <c r="Z113" i="7"/>
  <c r="Y113" i="7"/>
  <c r="X113" i="7"/>
  <c r="AC112" i="7"/>
  <c r="AB112" i="7"/>
  <c r="AD112" i="7" s="1"/>
  <c r="AA112" i="7"/>
  <c r="Z112" i="7"/>
  <c r="Y112" i="7"/>
  <c r="X112" i="7"/>
  <c r="AC111" i="7"/>
  <c r="AB111" i="7"/>
  <c r="AD111" i="7" s="1"/>
  <c r="AA111" i="7"/>
  <c r="Z111" i="7"/>
  <c r="Y111" i="7"/>
  <c r="X111" i="7"/>
  <c r="AC110" i="7"/>
  <c r="AB110" i="7"/>
  <c r="AD110" i="7" s="1"/>
  <c r="AA110" i="7"/>
  <c r="Z110" i="7"/>
  <c r="Y110" i="7"/>
  <c r="X110" i="7"/>
  <c r="AC109" i="7"/>
  <c r="AB109" i="7"/>
  <c r="AD109" i="7" s="1"/>
  <c r="AA109" i="7"/>
  <c r="Z109" i="7"/>
  <c r="Y109" i="7"/>
  <c r="X109" i="7"/>
  <c r="AC108" i="7"/>
  <c r="AB108" i="7"/>
  <c r="AD108" i="7" s="1"/>
  <c r="AA108" i="7"/>
  <c r="Z108" i="7"/>
  <c r="Y108" i="7"/>
  <c r="X108" i="7"/>
  <c r="AC107" i="7"/>
  <c r="AB107" i="7"/>
  <c r="AD107" i="7" s="1"/>
  <c r="AA107" i="7"/>
  <c r="Z107" i="7"/>
  <c r="Y107" i="7"/>
  <c r="X107" i="7"/>
  <c r="AC106" i="7"/>
  <c r="AB106" i="7"/>
  <c r="AD106" i="7" s="1"/>
  <c r="AA106" i="7"/>
  <c r="Z106" i="7"/>
  <c r="Y106" i="7"/>
  <c r="X106" i="7"/>
  <c r="AC105" i="7"/>
  <c r="AB105" i="7"/>
  <c r="AD105" i="7" s="1"/>
  <c r="AA105" i="7"/>
  <c r="Z105" i="7"/>
  <c r="Y105" i="7"/>
  <c r="X105" i="7"/>
  <c r="AC104" i="7"/>
  <c r="AB104" i="7"/>
  <c r="AD104" i="7" s="1"/>
  <c r="AA104" i="7"/>
  <c r="Z104" i="7"/>
  <c r="Y104" i="7"/>
  <c r="X104" i="7"/>
  <c r="AC103" i="7"/>
  <c r="AB103" i="7"/>
  <c r="AD103" i="7" s="1"/>
  <c r="AA103" i="7"/>
  <c r="Z103" i="7"/>
  <c r="Y103" i="7"/>
  <c r="X103" i="7"/>
  <c r="AC102" i="7"/>
  <c r="AB102" i="7"/>
  <c r="AD102" i="7" s="1"/>
  <c r="AA102" i="7"/>
  <c r="Z102" i="7"/>
  <c r="Y102" i="7"/>
  <c r="X102" i="7"/>
  <c r="AC101" i="7"/>
  <c r="AB101" i="7"/>
  <c r="AD101" i="7" s="1"/>
  <c r="AA101" i="7"/>
  <c r="Z101" i="7"/>
  <c r="Y101" i="7"/>
  <c r="X101" i="7"/>
  <c r="AC100" i="7"/>
  <c r="AB100" i="7"/>
  <c r="AD100" i="7" s="1"/>
  <c r="AA100" i="7"/>
  <c r="Z100" i="7"/>
  <c r="Y100" i="7"/>
  <c r="X100" i="7"/>
  <c r="AC99" i="7"/>
  <c r="AB99" i="7"/>
  <c r="AD99" i="7" s="1"/>
  <c r="AA99" i="7"/>
  <c r="Z99" i="7"/>
  <c r="Y99" i="7"/>
  <c r="X99" i="7"/>
  <c r="AC98" i="7"/>
  <c r="AB98" i="7"/>
  <c r="AD98" i="7" s="1"/>
  <c r="AA98" i="7"/>
  <c r="Z98" i="7"/>
  <c r="Y98" i="7"/>
  <c r="X98" i="7"/>
  <c r="AC97" i="7"/>
  <c r="AB97" i="7"/>
  <c r="AD97" i="7" s="1"/>
  <c r="AA97" i="7"/>
  <c r="Z97" i="7"/>
  <c r="Y97" i="7"/>
  <c r="X97" i="7"/>
  <c r="AC96" i="7"/>
  <c r="AB96" i="7"/>
  <c r="AD96" i="7" s="1"/>
  <c r="AA96" i="7"/>
  <c r="Z96" i="7"/>
  <c r="Y96" i="7"/>
  <c r="X96" i="7"/>
  <c r="AC95" i="7"/>
  <c r="AB95" i="7"/>
  <c r="AD95" i="7" s="1"/>
  <c r="AA95" i="7"/>
  <c r="Z95" i="7"/>
  <c r="Y95" i="7"/>
  <c r="X95" i="7"/>
  <c r="AC94" i="7"/>
  <c r="AB94" i="7"/>
  <c r="AD94" i="7" s="1"/>
  <c r="AA94" i="7"/>
  <c r="Z94" i="7"/>
  <c r="Y94" i="7"/>
  <c r="X94" i="7"/>
  <c r="AC93" i="7"/>
  <c r="AB93" i="7"/>
  <c r="AD93" i="7" s="1"/>
  <c r="AA93" i="7"/>
  <c r="Z93" i="7"/>
  <c r="Y93" i="7"/>
  <c r="X93" i="7"/>
  <c r="AC92" i="7"/>
  <c r="AB92" i="7"/>
  <c r="AD92" i="7" s="1"/>
  <c r="AA92" i="7"/>
  <c r="Z92" i="7"/>
  <c r="Y92" i="7"/>
  <c r="X92" i="7"/>
  <c r="AD91" i="7"/>
  <c r="AC91" i="7"/>
  <c r="AB91" i="7"/>
  <c r="AA91" i="7"/>
  <c r="Z91" i="7"/>
  <c r="Y91" i="7"/>
  <c r="X91" i="7"/>
  <c r="AC90" i="7"/>
  <c r="AB90" i="7"/>
  <c r="AD90" i="7" s="1"/>
  <c r="AA90" i="7"/>
  <c r="Z90" i="7"/>
  <c r="Y90" i="7"/>
  <c r="X90" i="7"/>
  <c r="AC89" i="7"/>
  <c r="AB89" i="7"/>
  <c r="AD89" i="7" s="1"/>
  <c r="AA89" i="7"/>
  <c r="Z89" i="7"/>
  <c r="Y89" i="7"/>
  <c r="X89" i="7"/>
  <c r="AC88" i="7"/>
  <c r="AB88" i="7"/>
  <c r="AD88" i="7" s="1"/>
  <c r="AA88" i="7"/>
  <c r="Z88" i="7"/>
  <c r="Y88" i="7"/>
  <c r="X88" i="7"/>
  <c r="AC87" i="7"/>
  <c r="AB87" i="7"/>
  <c r="AD87" i="7" s="1"/>
  <c r="AA87" i="7"/>
  <c r="Z87" i="7"/>
  <c r="Y87" i="7"/>
  <c r="X87" i="7"/>
  <c r="AC86" i="7"/>
  <c r="AB86" i="7"/>
  <c r="AD86" i="7" s="1"/>
  <c r="AA86" i="7"/>
  <c r="Z86" i="7"/>
  <c r="Y86" i="7"/>
  <c r="X86" i="7"/>
  <c r="AC85" i="7"/>
  <c r="AB85" i="7"/>
  <c r="AD85" i="7" s="1"/>
  <c r="AA85" i="7"/>
  <c r="Z85" i="7"/>
  <c r="Y85" i="7"/>
  <c r="X85" i="7"/>
  <c r="AD84" i="7"/>
  <c r="AC84" i="7"/>
  <c r="AB84" i="7"/>
  <c r="AA84" i="7"/>
  <c r="Z84" i="7"/>
  <c r="Y84" i="7"/>
  <c r="X84" i="7"/>
  <c r="AC83" i="7"/>
  <c r="AB83" i="7"/>
  <c r="AD83" i="7" s="1"/>
  <c r="AA83" i="7"/>
  <c r="Z83" i="7"/>
  <c r="Y83" i="7"/>
  <c r="X83" i="7"/>
  <c r="AC82" i="7"/>
  <c r="AB82" i="7"/>
  <c r="AD82" i="7" s="1"/>
  <c r="AA82" i="7"/>
  <c r="Z82" i="7"/>
  <c r="Y82" i="7"/>
  <c r="X82" i="7"/>
  <c r="AC81" i="7"/>
  <c r="AB81" i="7"/>
  <c r="AD81" i="7" s="1"/>
  <c r="AA81" i="7"/>
  <c r="Z81" i="7"/>
  <c r="Y81" i="7"/>
  <c r="X81" i="7"/>
  <c r="AC80" i="7"/>
  <c r="AB80" i="7"/>
  <c r="AD80" i="7" s="1"/>
  <c r="AA80" i="7"/>
  <c r="Z80" i="7"/>
  <c r="Y80" i="7"/>
  <c r="X80" i="7"/>
  <c r="AC79" i="7"/>
  <c r="AB79" i="7"/>
  <c r="AD79" i="7" s="1"/>
  <c r="AA79" i="7"/>
  <c r="Z79" i="7"/>
  <c r="Y79" i="7"/>
  <c r="X79" i="7"/>
  <c r="AC78" i="7"/>
  <c r="AB78" i="7"/>
  <c r="AD78" i="7" s="1"/>
  <c r="AA78" i="7"/>
  <c r="Z78" i="7"/>
  <c r="Y78" i="7"/>
  <c r="X78" i="7"/>
  <c r="AC77" i="7"/>
  <c r="AB77" i="7"/>
  <c r="AD77" i="7" s="1"/>
  <c r="AA77" i="7"/>
  <c r="Z77" i="7"/>
  <c r="Y77" i="7"/>
  <c r="X77" i="7"/>
  <c r="AC76" i="7"/>
  <c r="AB76" i="7"/>
  <c r="AD76" i="7" s="1"/>
  <c r="AA76" i="7"/>
  <c r="Z76" i="7"/>
  <c r="Y76" i="7"/>
  <c r="X76" i="7"/>
  <c r="AC75" i="7"/>
  <c r="AB75" i="7"/>
  <c r="AD75" i="7" s="1"/>
  <c r="AA75" i="7"/>
  <c r="Z75" i="7"/>
  <c r="Y75" i="7"/>
  <c r="X75" i="7"/>
  <c r="AD74" i="7"/>
  <c r="AC74" i="7"/>
  <c r="AB74" i="7"/>
  <c r="AA74" i="7"/>
  <c r="Z74" i="7"/>
  <c r="Y74" i="7"/>
  <c r="X74" i="7"/>
  <c r="AC73" i="7"/>
  <c r="AB73" i="7"/>
  <c r="AD73" i="7" s="1"/>
  <c r="AA73" i="7"/>
  <c r="Z73" i="7"/>
  <c r="Y73" i="7"/>
  <c r="X73" i="7"/>
  <c r="AC72" i="7"/>
  <c r="AB72" i="7"/>
  <c r="AD72" i="7" s="1"/>
  <c r="AA72" i="7"/>
  <c r="Z72" i="7"/>
  <c r="Y72" i="7"/>
  <c r="X72" i="7"/>
  <c r="AC71" i="7"/>
  <c r="AB71" i="7"/>
  <c r="AD71" i="7" s="1"/>
  <c r="AA71" i="7"/>
  <c r="Z71" i="7"/>
  <c r="Y71" i="7"/>
  <c r="X71" i="7"/>
  <c r="AC70" i="7"/>
  <c r="AB70" i="7"/>
  <c r="AD70" i="7" s="1"/>
  <c r="AA70" i="7"/>
  <c r="Z70" i="7"/>
  <c r="Y70" i="7"/>
  <c r="X70" i="7"/>
  <c r="AC69" i="7"/>
  <c r="AB69" i="7"/>
  <c r="AD69" i="7" s="1"/>
  <c r="AA69" i="7"/>
  <c r="Z69" i="7"/>
  <c r="Y69" i="7"/>
  <c r="X69" i="7"/>
  <c r="AC68" i="7"/>
  <c r="AB68" i="7"/>
  <c r="AD68" i="7" s="1"/>
  <c r="AA68" i="7"/>
  <c r="Z68" i="7"/>
  <c r="Y68" i="7"/>
  <c r="X68" i="7"/>
  <c r="AD67" i="7"/>
  <c r="AC67" i="7"/>
  <c r="AB67" i="7"/>
  <c r="AA67" i="7"/>
  <c r="Z67" i="7"/>
  <c r="Y67" i="7"/>
  <c r="X67" i="7"/>
  <c r="AC66" i="7"/>
  <c r="AB66" i="7"/>
  <c r="AD66" i="7" s="1"/>
  <c r="AA66" i="7"/>
  <c r="Z66" i="7"/>
  <c r="Y66" i="7"/>
  <c r="X66" i="7"/>
  <c r="AC65" i="7"/>
  <c r="AB65" i="7"/>
  <c r="AD65" i="7" s="1"/>
  <c r="AA65" i="7"/>
  <c r="Z65" i="7"/>
  <c r="Y65" i="7"/>
  <c r="X65" i="7"/>
  <c r="AC64" i="7"/>
  <c r="AB64" i="7"/>
  <c r="AD64" i="7" s="1"/>
  <c r="AA64" i="7"/>
  <c r="Z64" i="7"/>
  <c r="Y64" i="7"/>
  <c r="X64" i="7"/>
  <c r="AC63" i="7"/>
  <c r="AB63" i="7"/>
  <c r="AD63" i="7" s="1"/>
  <c r="AA63" i="7"/>
  <c r="Z63" i="7"/>
  <c r="Y63" i="7"/>
  <c r="X63" i="7"/>
  <c r="AC62" i="7"/>
  <c r="AB62" i="7"/>
  <c r="AD62" i="7" s="1"/>
  <c r="AA62" i="7"/>
  <c r="Z62" i="7"/>
  <c r="Y62" i="7"/>
  <c r="X62" i="7"/>
  <c r="AC61" i="7"/>
  <c r="AB61" i="7"/>
  <c r="AD61" i="7" s="1"/>
  <c r="AA61" i="7"/>
  <c r="Z61" i="7"/>
  <c r="Y61" i="7"/>
  <c r="X61" i="7"/>
  <c r="AD60" i="7"/>
  <c r="AC60" i="7"/>
  <c r="AB60" i="7"/>
  <c r="AA60" i="7"/>
  <c r="Z60" i="7"/>
  <c r="Y60" i="7"/>
  <c r="X60" i="7"/>
  <c r="AC59" i="7"/>
  <c r="AB59" i="7"/>
  <c r="AD59" i="7" s="1"/>
  <c r="AA59" i="7"/>
  <c r="Z59" i="7"/>
  <c r="Y59" i="7"/>
  <c r="X59" i="7"/>
  <c r="AC58" i="7"/>
  <c r="AB58" i="7"/>
  <c r="AD58" i="7" s="1"/>
  <c r="AA58" i="7"/>
  <c r="Z58" i="7"/>
  <c r="Y58" i="7"/>
  <c r="X58" i="7"/>
  <c r="AC57" i="7"/>
  <c r="AB57" i="7"/>
  <c r="AD57" i="7" s="1"/>
  <c r="AA57" i="7"/>
  <c r="Z57" i="7"/>
  <c r="Y57" i="7"/>
  <c r="X57" i="7"/>
  <c r="AC56" i="7"/>
  <c r="AB56" i="7"/>
  <c r="AD56" i="7" s="1"/>
  <c r="AA56" i="7"/>
  <c r="Z56" i="7"/>
  <c r="Y56" i="7"/>
  <c r="X56" i="7"/>
  <c r="AC55" i="7"/>
  <c r="AB55" i="7"/>
  <c r="AD55" i="7" s="1"/>
  <c r="AA55" i="7"/>
  <c r="Z55" i="7"/>
  <c r="Y55" i="7"/>
  <c r="X55" i="7"/>
  <c r="AC54" i="7"/>
  <c r="AB54" i="7"/>
  <c r="AD54" i="7" s="1"/>
  <c r="AA54" i="7"/>
  <c r="Z54" i="7"/>
  <c r="Y54" i="7"/>
  <c r="X54" i="7"/>
  <c r="AC53" i="7"/>
  <c r="AB53" i="7"/>
  <c r="AD53" i="7" s="1"/>
  <c r="AA53" i="7"/>
  <c r="Z53" i="7"/>
  <c r="Y53" i="7"/>
  <c r="X53" i="7"/>
  <c r="AC52" i="7"/>
  <c r="AB52" i="7"/>
  <c r="AD52" i="7" s="1"/>
  <c r="AA52" i="7"/>
  <c r="Z52" i="7"/>
  <c r="Y52" i="7"/>
  <c r="X52" i="7"/>
  <c r="AC51" i="7"/>
  <c r="AB51" i="7"/>
  <c r="AD51" i="7" s="1"/>
  <c r="AA51" i="7"/>
  <c r="Z51" i="7"/>
  <c r="Y51" i="7"/>
  <c r="X51" i="7"/>
  <c r="AC50" i="7"/>
  <c r="AB50" i="7"/>
  <c r="AD50" i="7" s="1"/>
  <c r="AA50" i="7"/>
  <c r="Z50" i="7"/>
  <c r="Y50" i="7"/>
  <c r="X50" i="7"/>
  <c r="AC49" i="7"/>
  <c r="AB49" i="7"/>
  <c r="AD49" i="7" s="1"/>
  <c r="AA49" i="7"/>
  <c r="Z49" i="7"/>
  <c r="Y49" i="7"/>
  <c r="X49" i="7"/>
  <c r="AD48" i="7"/>
  <c r="AC48" i="7"/>
  <c r="AB48" i="7"/>
  <c r="AA48" i="7"/>
  <c r="Z48" i="7"/>
  <c r="Y48" i="7"/>
  <c r="X48" i="7"/>
  <c r="AC47" i="7"/>
  <c r="AB47" i="7"/>
  <c r="AD47" i="7" s="1"/>
  <c r="AA47" i="7"/>
  <c r="Z47" i="7"/>
  <c r="Y47" i="7"/>
  <c r="X47" i="7"/>
  <c r="AC46" i="7"/>
  <c r="AB46" i="7"/>
  <c r="AD46" i="7" s="1"/>
  <c r="AA46" i="7"/>
  <c r="Z46" i="7"/>
  <c r="Y46" i="7"/>
  <c r="X46" i="7"/>
  <c r="AC45" i="7"/>
  <c r="AB45" i="7"/>
  <c r="AD45" i="7" s="1"/>
  <c r="AA45" i="7"/>
  <c r="Z45" i="7"/>
  <c r="Y45" i="7"/>
  <c r="X45" i="7"/>
  <c r="AC44" i="7"/>
  <c r="AB44" i="7"/>
  <c r="AD44" i="7" s="1"/>
  <c r="AA44" i="7"/>
  <c r="Z44" i="7"/>
  <c r="Y44" i="7"/>
  <c r="X44" i="7"/>
  <c r="AC43" i="7"/>
  <c r="AB43" i="7"/>
  <c r="AD43" i="7" s="1"/>
  <c r="AA43" i="7"/>
  <c r="Z43" i="7"/>
  <c r="Y43" i="7"/>
  <c r="X43" i="7"/>
  <c r="AC42" i="7"/>
  <c r="AB42" i="7"/>
  <c r="AD42" i="7" s="1"/>
  <c r="AA42" i="7"/>
  <c r="Z42" i="7"/>
  <c r="Y42" i="7"/>
  <c r="X42" i="7"/>
  <c r="AC41" i="7"/>
  <c r="AB41" i="7"/>
  <c r="AD41" i="7" s="1"/>
  <c r="AA41" i="7"/>
  <c r="Z41" i="7"/>
  <c r="Y41" i="7"/>
  <c r="X41" i="7"/>
  <c r="AC40" i="7"/>
  <c r="AB40" i="7"/>
  <c r="AD40" i="7" s="1"/>
  <c r="AA40" i="7"/>
  <c r="Z40" i="7"/>
  <c r="Y40" i="7"/>
  <c r="X40" i="7"/>
  <c r="AC39" i="7"/>
  <c r="AB39" i="7"/>
  <c r="AD39" i="7" s="1"/>
  <c r="AA39" i="7"/>
  <c r="Z39" i="7"/>
  <c r="Y39" i="7"/>
  <c r="X39" i="7"/>
  <c r="AC38" i="7"/>
  <c r="AB38" i="7"/>
  <c r="AD38" i="7" s="1"/>
  <c r="AA38" i="7"/>
  <c r="Z38" i="7"/>
  <c r="Y38" i="7"/>
  <c r="X38" i="7"/>
  <c r="AC37" i="7"/>
  <c r="AB37" i="7"/>
  <c r="AD37" i="7" s="1"/>
  <c r="AA37" i="7"/>
  <c r="Z37" i="7"/>
  <c r="Y37" i="7"/>
  <c r="X37" i="7"/>
  <c r="AC36" i="7"/>
  <c r="AB36" i="7"/>
  <c r="AD36" i="7" s="1"/>
  <c r="AA36" i="7"/>
  <c r="Z36" i="7"/>
  <c r="Y36" i="7"/>
  <c r="X36" i="7"/>
  <c r="AD35" i="7"/>
  <c r="AC35" i="7"/>
  <c r="AB35" i="7"/>
  <c r="AA35" i="7"/>
  <c r="Z35" i="7"/>
  <c r="Y35" i="7"/>
  <c r="X35" i="7"/>
  <c r="AC34" i="7"/>
  <c r="AB34" i="7"/>
  <c r="AD34" i="7" s="1"/>
  <c r="AA34" i="7"/>
  <c r="Z34" i="7"/>
  <c r="Y34" i="7"/>
  <c r="X34" i="7"/>
  <c r="AC33" i="7"/>
  <c r="AB33" i="7"/>
  <c r="AD33" i="7" s="1"/>
  <c r="AA33" i="7"/>
  <c r="Z33" i="7"/>
  <c r="Y33" i="7"/>
  <c r="X33" i="7"/>
  <c r="AC32" i="7"/>
  <c r="AB32" i="7"/>
  <c r="AD32" i="7" s="1"/>
  <c r="AA32" i="7"/>
  <c r="Z32" i="7"/>
  <c r="Y32" i="7"/>
  <c r="X32" i="7"/>
  <c r="AC31" i="7"/>
  <c r="AB31" i="7"/>
  <c r="AD31" i="7" s="1"/>
  <c r="AA31" i="7"/>
  <c r="Z31" i="7"/>
  <c r="Y31" i="7"/>
  <c r="X31" i="7"/>
  <c r="AC30" i="7"/>
  <c r="AB30" i="7"/>
  <c r="AD30" i="7" s="1"/>
  <c r="AA30" i="7"/>
  <c r="Z30" i="7"/>
  <c r="Y30" i="7"/>
  <c r="X30" i="7"/>
  <c r="AC29" i="7"/>
  <c r="AB29" i="7"/>
  <c r="AD29" i="7" s="1"/>
  <c r="AA29" i="7"/>
  <c r="Z29" i="7"/>
  <c r="Y29" i="7"/>
  <c r="X29" i="7"/>
  <c r="AD28" i="7"/>
  <c r="AC28" i="7"/>
  <c r="AB28" i="7"/>
  <c r="AA28" i="7"/>
  <c r="Z28" i="7"/>
  <c r="Y28" i="7"/>
  <c r="X28" i="7"/>
  <c r="AC27" i="7"/>
  <c r="AB27" i="7"/>
  <c r="AD27" i="7" s="1"/>
  <c r="AA27" i="7"/>
  <c r="Z27" i="7"/>
  <c r="Y27" i="7"/>
  <c r="X27" i="7"/>
  <c r="AC26" i="7"/>
  <c r="AB26" i="7"/>
  <c r="AD26" i="7" s="1"/>
  <c r="AA26" i="7"/>
  <c r="Z26" i="7"/>
  <c r="Y26" i="7"/>
  <c r="X26" i="7"/>
  <c r="AC25" i="7"/>
  <c r="AB25" i="7"/>
  <c r="AD25" i="7" s="1"/>
  <c r="AA25" i="7"/>
  <c r="Z25" i="7"/>
  <c r="Y25" i="7"/>
  <c r="X25" i="7"/>
  <c r="AC24" i="7"/>
  <c r="AB24" i="7"/>
  <c r="AD24" i="7" s="1"/>
  <c r="AA24" i="7"/>
  <c r="Z24" i="7"/>
  <c r="Y24" i="7"/>
  <c r="X24" i="7"/>
  <c r="AC23" i="7"/>
  <c r="AB23" i="7"/>
  <c r="AD23" i="7" s="1"/>
  <c r="AA23" i="7"/>
  <c r="Z23" i="7"/>
  <c r="Y23" i="7"/>
  <c r="X23" i="7"/>
  <c r="AC22" i="7"/>
  <c r="AB22" i="7"/>
  <c r="AD22" i="7" s="1"/>
  <c r="AA22" i="7"/>
  <c r="Z22" i="7"/>
  <c r="Y22" i="7"/>
  <c r="X22" i="7"/>
  <c r="AC21" i="7"/>
  <c r="AB21" i="7"/>
  <c r="AD21" i="7" s="1"/>
  <c r="AA21" i="7"/>
  <c r="Z21" i="7"/>
  <c r="Y21" i="7"/>
  <c r="X21" i="7"/>
  <c r="AC20" i="7"/>
  <c r="AB20" i="7"/>
  <c r="AD20" i="7" s="1"/>
  <c r="AA20" i="7"/>
  <c r="Z20" i="7"/>
  <c r="Y20" i="7"/>
  <c r="X20" i="7"/>
  <c r="AD19" i="7"/>
  <c r="AC19" i="7"/>
  <c r="AB19" i="7"/>
  <c r="AA19" i="7"/>
  <c r="Z19" i="7"/>
  <c r="Y19" i="7"/>
  <c r="X19" i="7"/>
  <c r="AC18" i="7"/>
  <c r="AB18" i="7"/>
  <c r="AD18" i="7" s="1"/>
  <c r="AA18" i="7"/>
  <c r="Z18" i="7"/>
  <c r="Y18" i="7"/>
  <c r="X18" i="7"/>
  <c r="AC17" i="7"/>
  <c r="AB17" i="7"/>
  <c r="AD17" i="7" s="1"/>
  <c r="AA17" i="7"/>
  <c r="Z17" i="7"/>
  <c r="Y17" i="7"/>
  <c r="X17" i="7"/>
  <c r="AC16" i="7"/>
  <c r="AB16" i="7"/>
  <c r="AD16" i="7" s="1"/>
  <c r="AA16" i="7"/>
  <c r="Z16" i="7"/>
  <c r="Y16" i="7"/>
  <c r="X16" i="7"/>
  <c r="AC15" i="7"/>
  <c r="AB15" i="7"/>
  <c r="AD15" i="7" s="1"/>
  <c r="AA15" i="7"/>
  <c r="Z15" i="7"/>
  <c r="Y15" i="7"/>
  <c r="X15" i="7"/>
  <c r="AC14" i="7"/>
  <c r="AB14" i="7"/>
  <c r="AD14" i="7" s="1"/>
  <c r="AA14" i="7"/>
  <c r="Z14" i="7"/>
  <c r="Y14" i="7"/>
  <c r="X14" i="7"/>
  <c r="AC13" i="7"/>
  <c r="AB13" i="7"/>
  <c r="AD13" i="7" s="1"/>
  <c r="AA13" i="7"/>
  <c r="Z13" i="7"/>
  <c r="Y13" i="7"/>
  <c r="X13" i="7"/>
  <c r="AC12" i="7"/>
  <c r="AB12" i="7"/>
  <c r="AD12" i="7" s="1"/>
  <c r="AA12" i="7"/>
  <c r="Z12" i="7"/>
  <c r="Y12" i="7"/>
  <c r="X12" i="7"/>
  <c r="AC11" i="7"/>
  <c r="AB11" i="7"/>
  <c r="AD11" i="7" s="1"/>
  <c r="AA11" i="7"/>
  <c r="Z11" i="7"/>
  <c r="Y11" i="7"/>
  <c r="X11" i="7"/>
  <c r="AC10" i="7"/>
  <c r="AB10" i="7"/>
  <c r="AD10" i="7" s="1"/>
  <c r="AA10" i="7"/>
  <c r="Z10" i="7"/>
  <c r="Y10" i="7"/>
  <c r="X10" i="7"/>
  <c r="AC9" i="7"/>
  <c r="AB9" i="7"/>
  <c r="AD9" i="7" s="1"/>
  <c r="AA9" i="7"/>
  <c r="Z9" i="7"/>
  <c r="Y9" i="7"/>
  <c r="X9" i="7"/>
  <c r="AD8" i="7"/>
  <c r="AC8" i="7"/>
  <c r="AB8" i="7"/>
  <c r="AA8" i="7"/>
  <c r="Z8" i="7"/>
  <c r="Y8" i="7"/>
  <c r="X8" i="7"/>
  <c r="AC7" i="7"/>
  <c r="AB7" i="7"/>
  <c r="AD7" i="7" s="1"/>
  <c r="AA7" i="7"/>
  <c r="Z7" i="7"/>
  <c r="Y7" i="7"/>
  <c r="X7" i="7"/>
  <c r="AC6" i="7"/>
  <c r="AB6" i="7"/>
  <c r="AD6" i="7" s="1"/>
  <c r="AA6" i="7"/>
  <c r="Z6" i="7"/>
  <c r="Y6" i="7"/>
  <c r="X6" i="7"/>
  <c r="AC5" i="7"/>
  <c r="AB5" i="7"/>
  <c r="AD5" i="7" s="1"/>
  <c r="AA5" i="7"/>
  <c r="Z5" i="7"/>
  <c r="Y5" i="7"/>
  <c r="X5" i="7"/>
  <c r="AC4" i="7"/>
  <c r="AB4" i="7"/>
  <c r="AD4" i="7" s="1"/>
  <c r="AA4" i="7"/>
  <c r="Z4" i="7"/>
  <c r="Y4" i="7"/>
  <c r="X4" i="7"/>
  <c r="AC3" i="7"/>
  <c r="AB3" i="7"/>
  <c r="AD3" i="7" s="1"/>
  <c r="AA3" i="7"/>
  <c r="Z3" i="7"/>
  <c r="Y3" i="7"/>
  <c r="X3" i="7"/>
  <c r="AC164" i="6"/>
  <c r="AB164" i="6"/>
  <c r="AD164" i="6" s="1"/>
  <c r="AA164" i="6"/>
  <c r="Z164" i="6"/>
  <c r="Y164" i="6"/>
  <c r="X164" i="6"/>
  <c r="AC163" i="6"/>
  <c r="AB163" i="6"/>
  <c r="AD163" i="6" s="1"/>
  <c r="AA163" i="6"/>
  <c r="Z163" i="6"/>
  <c r="Y163" i="6"/>
  <c r="X163" i="6"/>
  <c r="AD162" i="6"/>
  <c r="AC162" i="6"/>
  <c r="AB162" i="6"/>
  <c r="AA162" i="6"/>
  <c r="Z162" i="6"/>
  <c r="Y162" i="6"/>
  <c r="X162" i="6"/>
  <c r="AD161" i="6"/>
  <c r="AC161" i="6"/>
  <c r="AB161" i="6"/>
  <c r="AA161" i="6"/>
  <c r="Z161" i="6"/>
  <c r="Y161" i="6"/>
  <c r="X161" i="6"/>
  <c r="AC160" i="6"/>
  <c r="AB160" i="6"/>
  <c r="AD160" i="6" s="1"/>
  <c r="AA160" i="6"/>
  <c r="Z160" i="6"/>
  <c r="Y160" i="6"/>
  <c r="X160" i="6"/>
  <c r="AC159" i="6"/>
  <c r="AB159" i="6"/>
  <c r="AD159" i="6" s="1"/>
  <c r="AA159" i="6"/>
  <c r="Z159" i="6"/>
  <c r="Y159" i="6"/>
  <c r="X159" i="6"/>
  <c r="AC158" i="6"/>
  <c r="AB158" i="6"/>
  <c r="AD158" i="6" s="1"/>
  <c r="AA158" i="6"/>
  <c r="Z158" i="6"/>
  <c r="Y158" i="6"/>
  <c r="X158" i="6"/>
  <c r="AC157" i="6"/>
  <c r="AB157" i="6"/>
  <c r="AD157" i="6" s="1"/>
  <c r="AA157" i="6"/>
  <c r="Z157" i="6"/>
  <c r="Y157" i="6"/>
  <c r="X157" i="6"/>
  <c r="AC156" i="6"/>
  <c r="AB156" i="6"/>
  <c r="AD156" i="6" s="1"/>
  <c r="AA156" i="6"/>
  <c r="Z156" i="6"/>
  <c r="Y156" i="6"/>
  <c r="X156" i="6"/>
  <c r="AC155" i="6"/>
  <c r="AB155" i="6"/>
  <c r="AD155" i="6" s="1"/>
  <c r="AA155" i="6"/>
  <c r="Z155" i="6"/>
  <c r="Y155" i="6"/>
  <c r="X155" i="6"/>
  <c r="AC154" i="6"/>
  <c r="AB154" i="6"/>
  <c r="AD154" i="6" s="1"/>
  <c r="AA154" i="6"/>
  <c r="Z154" i="6"/>
  <c r="Y154" i="6"/>
  <c r="X154" i="6"/>
  <c r="AC153" i="6"/>
  <c r="AB153" i="6"/>
  <c r="AD153" i="6" s="1"/>
  <c r="AA153" i="6"/>
  <c r="Z153" i="6"/>
  <c r="Y153" i="6"/>
  <c r="X153" i="6"/>
  <c r="AC152" i="6"/>
  <c r="AB152" i="6"/>
  <c r="AD152" i="6" s="1"/>
  <c r="AA152" i="6"/>
  <c r="Z152" i="6"/>
  <c r="Y152" i="6"/>
  <c r="X152" i="6"/>
  <c r="AC151" i="6"/>
  <c r="AB151" i="6"/>
  <c r="AD151" i="6" s="1"/>
  <c r="AA151" i="6"/>
  <c r="Z151" i="6"/>
  <c r="Y151" i="6"/>
  <c r="X151" i="6"/>
  <c r="AC150" i="6"/>
  <c r="AB150" i="6"/>
  <c r="AD150" i="6" s="1"/>
  <c r="AA150" i="6"/>
  <c r="Z150" i="6"/>
  <c r="Y150" i="6"/>
  <c r="X150" i="6"/>
  <c r="AC149" i="6"/>
  <c r="AB149" i="6"/>
  <c r="AD149" i="6" s="1"/>
  <c r="AA149" i="6"/>
  <c r="Z149" i="6"/>
  <c r="Y149" i="6"/>
  <c r="X149" i="6"/>
  <c r="AC148" i="6"/>
  <c r="AB148" i="6"/>
  <c r="AD148" i="6" s="1"/>
  <c r="AA148" i="6"/>
  <c r="Z148" i="6"/>
  <c r="Y148" i="6"/>
  <c r="X148" i="6"/>
  <c r="AC147" i="6"/>
  <c r="AB147" i="6"/>
  <c r="AD147" i="6" s="1"/>
  <c r="AA147" i="6"/>
  <c r="Z147" i="6"/>
  <c r="Y147" i="6"/>
  <c r="X147" i="6"/>
  <c r="AD146" i="6"/>
  <c r="AC146" i="6"/>
  <c r="AB146" i="6"/>
  <c r="AA146" i="6"/>
  <c r="Z146" i="6"/>
  <c r="Y146" i="6"/>
  <c r="X146" i="6"/>
  <c r="AD145" i="6"/>
  <c r="AC145" i="6"/>
  <c r="AB145" i="6"/>
  <c r="AA145" i="6"/>
  <c r="Z145" i="6"/>
  <c r="Y145" i="6"/>
  <c r="X145" i="6"/>
  <c r="AC144" i="6"/>
  <c r="AB144" i="6"/>
  <c r="AD144" i="6" s="1"/>
  <c r="AA144" i="6"/>
  <c r="Z144" i="6"/>
  <c r="Y144" i="6"/>
  <c r="X144" i="6"/>
  <c r="AC143" i="6"/>
  <c r="AB143" i="6"/>
  <c r="AD143" i="6" s="1"/>
  <c r="AA143" i="6"/>
  <c r="Z143" i="6"/>
  <c r="Y143" i="6"/>
  <c r="X143" i="6"/>
  <c r="AC142" i="6"/>
  <c r="AB142" i="6"/>
  <c r="AD142" i="6" s="1"/>
  <c r="AA142" i="6"/>
  <c r="Z142" i="6"/>
  <c r="Y142" i="6"/>
  <c r="X142" i="6"/>
  <c r="AC141" i="6"/>
  <c r="AB141" i="6"/>
  <c r="AD141" i="6" s="1"/>
  <c r="AA141" i="6"/>
  <c r="Z141" i="6"/>
  <c r="Y141" i="6"/>
  <c r="X141" i="6"/>
  <c r="AC140" i="6"/>
  <c r="AB140" i="6"/>
  <c r="AD140" i="6" s="1"/>
  <c r="AA140" i="6"/>
  <c r="Z140" i="6"/>
  <c r="Y140" i="6"/>
  <c r="X140" i="6"/>
  <c r="AC139" i="6"/>
  <c r="AB139" i="6"/>
  <c r="AD139" i="6" s="1"/>
  <c r="AA139" i="6"/>
  <c r="Z139" i="6"/>
  <c r="Y139" i="6"/>
  <c r="X139" i="6"/>
  <c r="AD138" i="6"/>
  <c r="AC138" i="6"/>
  <c r="AB138" i="6"/>
  <c r="AA138" i="6"/>
  <c r="Z138" i="6"/>
  <c r="Y138" i="6"/>
  <c r="X138" i="6"/>
  <c r="AC137" i="6"/>
  <c r="AB137" i="6"/>
  <c r="AD137" i="6" s="1"/>
  <c r="AA137" i="6"/>
  <c r="Z137" i="6"/>
  <c r="Y137" i="6"/>
  <c r="X137" i="6"/>
  <c r="AC136" i="6"/>
  <c r="AB136" i="6"/>
  <c r="AD136" i="6" s="1"/>
  <c r="AA136" i="6"/>
  <c r="Z136" i="6"/>
  <c r="Y136" i="6"/>
  <c r="X136" i="6"/>
  <c r="AC135" i="6"/>
  <c r="AB135" i="6"/>
  <c r="AD135" i="6" s="1"/>
  <c r="AA135" i="6"/>
  <c r="Z135" i="6"/>
  <c r="Y135" i="6"/>
  <c r="X135" i="6"/>
  <c r="AC134" i="6"/>
  <c r="AB134" i="6"/>
  <c r="AD134" i="6" s="1"/>
  <c r="AA134" i="6"/>
  <c r="Z134" i="6"/>
  <c r="Y134" i="6"/>
  <c r="X134" i="6"/>
  <c r="AC133" i="6"/>
  <c r="AB133" i="6"/>
  <c r="AD133" i="6" s="1"/>
  <c r="AA133" i="6"/>
  <c r="Z133" i="6"/>
  <c r="Y133" i="6"/>
  <c r="X133" i="6"/>
  <c r="AC132" i="6"/>
  <c r="AB132" i="6"/>
  <c r="AD132" i="6" s="1"/>
  <c r="AA132" i="6"/>
  <c r="Z132" i="6"/>
  <c r="Y132" i="6"/>
  <c r="X132" i="6"/>
  <c r="AC131" i="6"/>
  <c r="AB131" i="6"/>
  <c r="AD131" i="6" s="1"/>
  <c r="AA131" i="6"/>
  <c r="Z131" i="6"/>
  <c r="Y131" i="6"/>
  <c r="X131" i="6"/>
  <c r="AD130" i="6"/>
  <c r="AC130" i="6"/>
  <c r="AB130" i="6"/>
  <c r="AA130" i="6"/>
  <c r="Z130" i="6"/>
  <c r="Y130" i="6"/>
  <c r="X130" i="6"/>
  <c r="AD129" i="6"/>
  <c r="AC129" i="6"/>
  <c r="AB129" i="6"/>
  <c r="AA129" i="6"/>
  <c r="Z129" i="6"/>
  <c r="Y129" i="6"/>
  <c r="X129" i="6"/>
  <c r="AC128" i="6"/>
  <c r="AB128" i="6"/>
  <c r="AD128" i="6" s="1"/>
  <c r="AA128" i="6"/>
  <c r="Z128" i="6"/>
  <c r="Y128" i="6"/>
  <c r="X128" i="6"/>
  <c r="AC127" i="6"/>
  <c r="AB127" i="6"/>
  <c r="AD127" i="6" s="1"/>
  <c r="AA127" i="6"/>
  <c r="Z127" i="6"/>
  <c r="Y127" i="6"/>
  <c r="X127" i="6"/>
  <c r="AC126" i="6"/>
  <c r="AB126" i="6"/>
  <c r="AD126" i="6" s="1"/>
  <c r="AA126" i="6"/>
  <c r="Z126" i="6"/>
  <c r="Y126" i="6"/>
  <c r="X126" i="6"/>
  <c r="AC125" i="6"/>
  <c r="AB125" i="6"/>
  <c r="AD125" i="6" s="1"/>
  <c r="AA125" i="6"/>
  <c r="Z125" i="6"/>
  <c r="Y125" i="6"/>
  <c r="X125" i="6"/>
  <c r="AC124" i="6"/>
  <c r="AB124" i="6"/>
  <c r="AD124" i="6" s="1"/>
  <c r="AA124" i="6"/>
  <c r="Z124" i="6"/>
  <c r="Y124" i="6"/>
  <c r="X124" i="6"/>
  <c r="AC123" i="6"/>
  <c r="AB123" i="6"/>
  <c r="AD123" i="6" s="1"/>
  <c r="AA123" i="6"/>
  <c r="Z123" i="6"/>
  <c r="Y123" i="6"/>
  <c r="X123" i="6"/>
  <c r="AC122" i="6"/>
  <c r="AB122" i="6"/>
  <c r="AD122" i="6" s="1"/>
  <c r="AA122" i="6"/>
  <c r="Z122" i="6"/>
  <c r="Y122" i="6"/>
  <c r="X122" i="6"/>
  <c r="AC121" i="6"/>
  <c r="AB121" i="6"/>
  <c r="AD121" i="6" s="1"/>
  <c r="AA121" i="6"/>
  <c r="Z121" i="6"/>
  <c r="Y121" i="6"/>
  <c r="X121" i="6"/>
  <c r="AC120" i="6"/>
  <c r="AB120" i="6"/>
  <c r="AD120" i="6" s="1"/>
  <c r="AA120" i="6"/>
  <c r="Z120" i="6"/>
  <c r="Y120" i="6"/>
  <c r="X120" i="6"/>
  <c r="AC119" i="6"/>
  <c r="AB119" i="6"/>
  <c r="AD119" i="6" s="1"/>
  <c r="AA119" i="6"/>
  <c r="Z119" i="6"/>
  <c r="Y119" i="6"/>
  <c r="X119" i="6"/>
  <c r="AC118" i="6"/>
  <c r="AB118" i="6"/>
  <c r="AD118" i="6" s="1"/>
  <c r="AA118" i="6"/>
  <c r="Z118" i="6"/>
  <c r="Y118" i="6"/>
  <c r="X118" i="6"/>
  <c r="AC117" i="6"/>
  <c r="AB117" i="6"/>
  <c r="AD117" i="6" s="1"/>
  <c r="AA117" i="6"/>
  <c r="Z117" i="6"/>
  <c r="Y117" i="6"/>
  <c r="X117" i="6"/>
  <c r="AC116" i="6"/>
  <c r="AB116" i="6"/>
  <c r="AD116" i="6" s="1"/>
  <c r="AA116" i="6"/>
  <c r="Z116" i="6"/>
  <c r="Y116" i="6"/>
  <c r="X116" i="6"/>
  <c r="AC115" i="6"/>
  <c r="AB115" i="6"/>
  <c r="AD115" i="6" s="1"/>
  <c r="AA115" i="6"/>
  <c r="Z115" i="6"/>
  <c r="Y115" i="6"/>
  <c r="X115" i="6"/>
  <c r="AD114" i="6"/>
  <c r="AC114" i="6"/>
  <c r="AB114" i="6"/>
  <c r="AA114" i="6"/>
  <c r="Z114" i="6"/>
  <c r="Y114" i="6"/>
  <c r="X114" i="6"/>
  <c r="AC113" i="6"/>
  <c r="AB113" i="6"/>
  <c r="AD113" i="6" s="1"/>
  <c r="AA113" i="6"/>
  <c r="Z113" i="6"/>
  <c r="Y113" i="6"/>
  <c r="X113" i="6"/>
  <c r="AC112" i="6"/>
  <c r="AB112" i="6"/>
  <c r="AD112" i="6" s="1"/>
  <c r="AA112" i="6"/>
  <c r="Z112" i="6"/>
  <c r="Y112" i="6"/>
  <c r="X112" i="6"/>
  <c r="AC111" i="6"/>
  <c r="AB111" i="6"/>
  <c r="AD111" i="6" s="1"/>
  <c r="AA111" i="6"/>
  <c r="Z111" i="6"/>
  <c r="Y111" i="6"/>
  <c r="X111" i="6"/>
  <c r="AC110" i="6"/>
  <c r="AB110" i="6"/>
  <c r="AD110" i="6" s="1"/>
  <c r="AA110" i="6"/>
  <c r="Z110" i="6"/>
  <c r="Y110" i="6"/>
  <c r="X110" i="6"/>
  <c r="AC109" i="6"/>
  <c r="AB109" i="6"/>
  <c r="AD109" i="6" s="1"/>
  <c r="AA109" i="6"/>
  <c r="Z109" i="6"/>
  <c r="Y109" i="6"/>
  <c r="X109" i="6"/>
  <c r="AC108" i="6"/>
  <c r="AB108" i="6"/>
  <c r="AD108" i="6" s="1"/>
  <c r="AA108" i="6"/>
  <c r="Z108" i="6"/>
  <c r="Y108" i="6"/>
  <c r="X108" i="6"/>
  <c r="AC107" i="6"/>
  <c r="AB107" i="6"/>
  <c r="AD107" i="6" s="1"/>
  <c r="AA107" i="6"/>
  <c r="Z107" i="6"/>
  <c r="Y107" i="6"/>
  <c r="X107" i="6"/>
  <c r="AC106" i="6"/>
  <c r="AB106" i="6"/>
  <c r="AD106" i="6" s="1"/>
  <c r="AA106" i="6"/>
  <c r="Z106" i="6"/>
  <c r="Y106" i="6"/>
  <c r="X106" i="6"/>
  <c r="AC105" i="6"/>
  <c r="AB105" i="6"/>
  <c r="AD105" i="6" s="1"/>
  <c r="AA105" i="6"/>
  <c r="Z105" i="6"/>
  <c r="Y105" i="6"/>
  <c r="X105" i="6"/>
  <c r="AC104" i="6"/>
  <c r="AB104" i="6"/>
  <c r="AD104" i="6" s="1"/>
  <c r="AA104" i="6"/>
  <c r="Z104" i="6"/>
  <c r="Y104" i="6"/>
  <c r="X104" i="6"/>
  <c r="AC103" i="6"/>
  <c r="AB103" i="6"/>
  <c r="AD103" i="6" s="1"/>
  <c r="AA103" i="6"/>
  <c r="Z103" i="6"/>
  <c r="Y103" i="6"/>
  <c r="X103" i="6"/>
  <c r="AC102" i="6"/>
  <c r="AB102" i="6"/>
  <c r="AD102" i="6" s="1"/>
  <c r="AA102" i="6"/>
  <c r="Z102" i="6"/>
  <c r="Y102" i="6"/>
  <c r="X102" i="6"/>
  <c r="AC101" i="6"/>
  <c r="AB101" i="6"/>
  <c r="AD101" i="6" s="1"/>
  <c r="AA101" i="6"/>
  <c r="Z101" i="6"/>
  <c r="Y101" i="6"/>
  <c r="X101" i="6"/>
  <c r="AC100" i="6"/>
  <c r="AB100" i="6"/>
  <c r="AD100" i="6" s="1"/>
  <c r="AA100" i="6"/>
  <c r="Z100" i="6"/>
  <c r="Y100" i="6"/>
  <c r="X100" i="6"/>
  <c r="AC99" i="6"/>
  <c r="AB99" i="6"/>
  <c r="AD99" i="6" s="1"/>
  <c r="AA99" i="6"/>
  <c r="Z99" i="6"/>
  <c r="Y99" i="6"/>
  <c r="X99" i="6"/>
  <c r="AD98" i="6"/>
  <c r="AC98" i="6"/>
  <c r="AB98" i="6"/>
  <c r="AA98" i="6"/>
  <c r="Z98" i="6"/>
  <c r="Y98" i="6"/>
  <c r="X98" i="6"/>
  <c r="AC97" i="6"/>
  <c r="AB97" i="6"/>
  <c r="AD97" i="6" s="1"/>
  <c r="AA97" i="6"/>
  <c r="Z97" i="6"/>
  <c r="Y97" i="6"/>
  <c r="X97" i="6"/>
  <c r="AC96" i="6"/>
  <c r="AB96" i="6"/>
  <c r="AD96" i="6" s="1"/>
  <c r="AA96" i="6"/>
  <c r="Z96" i="6"/>
  <c r="Y96" i="6"/>
  <c r="X96" i="6"/>
  <c r="AC95" i="6"/>
  <c r="AB95" i="6"/>
  <c r="AD95" i="6" s="1"/>
  <c r="AA95" i="6"/>
  <c r="Z95" i="6"/>
  <c r="Y95" i="6"/>
  <c r="X95" i="6"/>
  <c r="AC94" i="6"/>
  <c r="AB94" i="6"/>
  <c r="AD94" i="6" s="1"/>
  <c r="AA94" i="6"/>
  <c r="Z94" i="6"/>
  <c r="Y94" i="6"/>
  <c r="X94" i="6"/>
  <c r="AC93" i="6"/>
  <c r="AB93" i="6"/>
  <c r="AD93" i="6" s="1"/>
  <c r="AA93" i="6"/>
  <c r="Z93" i="6"/>
  <c r="Y93" i="6"/>
  <c r="X93" i="6"/>
  <c r="AC92" i="6"/>
  <c r="AB92" i="6"/>
  <c r="AD92" i="6" s="1"/>
  <c r="AA92" i="6"/>
  <c r="Z92" i="6"/>
  <c r="Y92" i="6"/>
  <c r="X92" i="6"/>
  <c r="AC91" i="6"/>
  <c r="AB91" i="6"/>
  <c r="AD91" i="6" s="1"/>
  <c r="AA91" i="6"/>
  <c r="Z91" i="6"/>
  <c r="Y91" i="6"/>
  <c r="X91" i="6"/>
  <c r="AD90" i="6"/>
  <c r="AC90" i="6"/>
  <c r="AB90" i="6"/>
  <c r="AA90" i="6"/>
  <c r="Z90" i="6"/>
  <c r="Y90" i="6"/>
  <c r="X90" i="6"/>
  <c r="AC89" i="6"/>
  <c r="AB89" i="6"/>
  <c r="AD89" i="6" s="1"/>
  <c r="AA89" i="6"/>
  <c r="Z89" i="6"/>
  <c r="Y89" i="6"/>
  <c r="X89" i="6"/>
  <c r="AC88" i="6"/>
  <c r="AB88" i="6"/>
  <c r="AD88" i="6" s="1"/>
  <c r="AA88" i="6"/>
  <c r="Z88" i="6"/>
  <c r="Y88" i="6"/>
  <c r="X88" i="6"/>
  <c r="AC87" i="6"/>
  <c r="AB87" i="6"/>
  <c r="AD87" i="6" s="1"/>
  <c r="AA87" i="6"/>
  <c r="Z87" i="6"/>
  <c r="Y87" i="6"/>
  <c r="X87" i="6"/>
  <c r="AC86" i="6"/>
  <c r="AB86" i="6"/>
  <c r="AD86" i="6" s="1"/>
  <c r="AA86" i="6"/>
  <c r="Z86" i="6"/>
  <c r="Y86" i="6"/>
  <c r="X86" i="6"/>
  <c r="AD85" i="6"/>
  <c r="AC85" i="6"/>
  <c r="AB85" i="6"/>
  <c r="AA85" i="6"/>
  <c r="Z85" i="6"/>
  <c r="Y85" i="6"/>
  <c r="X85" i="6"/>
  <c r="AC84" i="6"/>
  <c r="AB84" i="6"/>
  <c r="AD84" i="6" s="1"/>
  <c r="AA84" i="6"/>
  <c r="Z84" i="6"/>
  <c r="Y84" i="6"/>
  <c r="X84" i="6"/>
  <c r="AC83" i="6"/>
  <c r="AB83" i="6"/>
  <c r="AD83" i="6" s="1"/>
  <c r="AA83" i="6"/>
  <c r="Z83" i="6"/>
  <c r="Y83" i="6"/>
  <c r="X83" i="6"/>
  <c r="AC82" i="6"/>
  <c r="AB82" i="6"/>
  <c r="AD82" i="6" s="1"/>
  <c r="AA82" i="6"/>
  <c r="Z82" i="6"/>
  <c r="Y82" i="6"/>
  <c r="X82" i="6"/>
  <c r="AC81" i="6"/>
  <c r="AB81" i="6"/>
  <c r="AD81" i="6" s="1"/>
  <c r="AA81" i="6"/>
  <c r="Z81" i="6"/>
  <c r="Y81" i="6"/>
  <c r="X81" i="6"/>
  <c r="AC80" i="6"/>
  <c r="AB80" i="6"/>
  <c r="AD80" i="6" s="1"/>
  <c r="AA80" i="6"/>
  <c r="Z80" i="6"/>
  <c r="Y80" i="6"/>
  <c r="X80" i="6"/>
  <c r="AC79" i="6"/>
  <c r="AB79" i="6"/>
  <c r="AD79" i="6" s="1"/>
  <c r="AA79" i="6"/>
  <c r="Z79" i="6"/>
  <c r="Y79" i="6"/>
  <c r="X79" i="6"/>
  <c r="AC78" i="6"/>
  <c r="AB78" i="6"/>
  <c r="AD78" i="6" s="1"/>
  <c r="AA78" i="6"/>
  <c r="Z78" i="6"/>
  <c r="Y78" i="6"/>
  <c r="X78" i="6"/>
  <c r="AC77" i="6"/>
  <c r="AB77" i="6"/>
  <c r="AD77" i="6" s="1"/>
  <c r="AA77" i="6"/>
  <c r="Z77" i="6"/>
  <c r="Y77" i="6"/>
  <c r="X77" i="6"/>
  <c r="AC76" i="6"/>
  <c r="AB76" i="6"/>
  <c r="AD76" i="6" s="1"/>
  <c r="AA76" i="6"/>
  <c r="Z76" i="6"/>
  <c r="Y76" i="6"/>
  <c r="X76" i="6"/>
  <c r="AC75" i="6"/>
  <c r="AB75" i="6"/>
  <c r="AD75" i="6" s="1"/>
  <c r="AA75" i="6"/>
  <c r="Z75" i="6"/>
  <c r="Y75" i="6"/>
  <c r="X75" i="6"/>
  <c r="AD74" i="6"/>
  <c r="AC74" i="6"/>
  <c r="AB74" i="6"/>
  <c r="AA74" i="6"/>
  <c r="Z74" i="6"/>
  <c r="Y74" i="6"/>
  <c r="X74" i="6"/>
  <c r="AC73" i="6"/>
  <c r="AB73" i="6"/>
  <c r="AD73" i="6" s="1"/>
  <c r="AA73" i="6"/>
  <c r="Z73" i="6"/>
  <c r="Y73" i="6"/>
  <c r="X73" i="6"/>
  <c r="AC72" i="6"/>
  <c r="AB72" i="6"/>
  <c r="AD72" i="6" s="1"/>
  <c r="AA72" i="6"/>
  <c r="Z72" i="6"/>
  <c r="Y72" i="6"/>
  <c r="X72" i="6"/>
  <c r="AC71" i="6"/>
  <c r="AB71" i="6"/>
  <c r="AD71" i="6" s="1"/>
  <c r="AA71" i="6"/>
  <c r="Z71" i="6"/>
  <c r="Y71" i="6"/>
  <c r="X71" i="6"/>
  <c r="AC70" i="6"/>
  <c r="AB70" i="6"/>
  <c r="AD70" i="6" s="1"/>
  <c r="AA70" i="6"/>
  <c r="Z70" i="6"/>
  <c r="Y70" i="6"/>
  <c r="X70" i="6"/>
  <c r="AC69" i="6"/>
  <c r="AB69" i="6"/>
  <c r="AD69" i="6" s="1"/>
  <c r="AA69" i="6"/>
  <c r="Z69" i="6"/>
  <c r="Y69" i="6"/>
  <c r="X69" i="6"/>
  <c r="AC68" i="6"/>
  <c r="AB68" i="6"/>
  <c r="AD68" i="6" s="1"/>
  <c r="AA68" i="6"/>
  <c r="Z68" i="6"/>
  <c r="Y68" i="6"/>
  <c r="X68" i="6"/>
  <c r="AC67" i="6"/>
  <c r="AB67" i="6"/>
  <c r="AD67" i="6" s="1"/>
  <c r="AA67" i="6"/>
  <c r="Z67" i="6"/>
  <c r="Y67" i="6"/>
  <c r="X67" i="6"/>
  <c r="AC66" i="6"/>
  <c r="AB66" i="6"/>
  <c r="AD66" i="6" s="1"/>
  <c r="AA66" i="6"/>
  <c r="Z66" i="6"/>
  <c r="Y66" i="6"/>
  <c r="X66" i="6"/>
  <c r="AD65" i="6"/>
  <c r="AC65" i="6"/>
  <c r="AB65" i="6"/>
  <c r="AA65" i="6"/>
  <c r="Z65" i="6"/>
  <c r="Y65" i="6"/>
  <c r="X65" i="6"/>
  <c r="AC64" i="6"/>
  <c r="AB64" i="6"/>
  <c r="AD64" i="6" s="1"/>
  <c r="AA64" i="6"/>
  <c r="Z64" i="6"/>
  <c r="Y64" i="6"/>
  <c r="X64" i="6"/>
  <c r="AC63" i="6"/>
  <c r="AB63" i="6"/>
  <c r="AD63" i="6" s="1"/>
  <c r="AA63" i="6"/>
  <c r="Z63" i="6"/>
  <c r="Y63" i="6"/>
  <c r="X63" i="6"/>
  <c r="AC62" i="6"/>
  <c r="AB62" i="6"/>
  <c r="AD62" i="6" s="1"/>
  <c r="AA62" i="6"/>
  <c r="Z62" i="6"/>
  <c r="Y62" i="6"/>
  <c r="X62" i="6"/>
  <c r="AC61" i="6"/>
  <c r="AB61" i="6"/>
  <c r="AD61" i="6" s="1"/>
  <c r="AA61" i="6"/>
  <c r="Z61" i="6"/>
  <c r="Y61" i="6"/>
  <c r="X61" i="6"/>
  <c r="AC60" i="6"/>
  <c r="AB60" i="6"/>
  <c r="AD60" i="6" s="1"/>
  <c r="AA60" i="6"/>
  <c r="Z60" i="6"/>
  <c r="Y60" i="6"/>
  <c r="X60" i="6"/>
  <c r="AC59" i="6"/>
  <c r="AB59" i="6"/>
  <c r="AD59" i="6" s="1"/>
  <c r="AA59" i="6"/>
  <c r="Z59" i="6"/>
  <c r="Y59" i="6"/>
  <c r="X59" i="6"/>
  <c r="AD58" i="6"/>
  <c r="AC58" i="6"/>
  <c r="AB58" i="6"/>
  <c r="AA58" i="6"/>
  <c r="Z58" i="6"/>
  <c r="Y58" i="6"/>
  <c r="X58" i="6"/>
  <c r="AC57" i="6"/>
  <c r="AB57" i="6"/>
  <c r="AD57" i="6" s="1"/>
  <c r="AA57" i="6"/>
  <c r="Z57" i="6"/>
  <c r="Y57" i="6"/>
  <c r="X57" i="6"/>
  <c r="AC56" i="6"/>
  <c r="AB56" i="6"/>
  <c r="AD56" i="6" s="1"/>
  <c r="AA56" i="6"/>
  <c r="Z56" i="6"/>
  <c r="Y56" i="6"/>
  <c r="X56" i="6"/>
  <c r="AC55" i="6"/>
  <c r="AB55" i="6"/>
  <c r="AD55" i="6" s="1"/>
  <c r="AA55" i="6"/>
  <c r="Z55" i="6"/>
  <c r="Y55" i="6"/>
  <c r="X55" i="6"/>
  <c r="AC54" i="6"/>
  <c r="AB54" i="6"/>
  <c r="AD54" i="6" s="1"/>
  <c r="AA54" i="6"/>
  <c r="Z54" i="6"/>
  <c r="Y54" i="6"/>
  <c r="X54" i="6"/>
  <c r="AD53" i="6"/>
  <c r="AC53" i="6"/>
  <c r="AB53" i="6"/>
  <c r="AA53" i="6"/>
  <c r="Z53" i="6"/>
  <c r="Y53" i="6"/>
  <c r="X53" i="6"/>
  <c r="AC52" i="6"/>
  <c r="AB52" i="6"/>
  <c r="AD52" i="6" s="1"/>
  <c r="AA52" i="6"/>
  <c r="Z52" i="6"/>
  <c r="Y52" i="6"/>
  <c r="X52" i="6"/>
  <c r="AC51" i="6"/>
  <c r="AB51" i="6"/>
  <c r="AD51" i="6" s="1"/>
  <c r="AA51" i="6"/>
  <c r="Z51" i="6"/>
  <c r="Y51" i="6"/>
  <c r="X51" i="6"/>
  <c r="AC50" i="6"/>
  <c r="AB50" i="6"/>
  <c r="AD50" i="6" s="1"/>
  <c r="AA50" i="6"/>
  <c r="Z50" i="6"/>
  <c r="Y50" i="6"/>
  <c r="X50" i="6"/>
  <c r="AD49" i="6"/>
  <c r="AC49" i="6"/>
  <c r="AB49" i="6"/>
  <c r="AA49" i="6"/>
  <c r="Z49" i="6"/>
  <c r="Y49" i="6"/>
  <c r="X49" i="6"/>
  <c r="AC48" i="6"/>
  <c r="AB48" i="6"/>
  <c r="AD48" i="6" s="1"/>
  <c r="AA48" i="6"/>
  <c r="Z48" i="6"/>
  <c r="Y48" i="6"/>
  <c r="X48" i="6"/>
  <c r="AC47" i="6"/>
  <c r="AB47" i="6"/>
  <c r="AD47" i="6" s="1"/>
  <c r="AA47" i="6"/>
  <c r="Z47" i="6"/>
  <c r="Y47" i="6"/>
  <c r="X47" i="6"/>
  <c r="AC46" i="6"/>
  <c r="AB46" i="6"/>
  <c r="AD46" i="6" s="1"/>
  <c r="AA46" i="6"/>
  <c r="Z46" i="6"/>
  <c r="Y46" i="6"/>
  <c r="X46" i="6"/>
  <c r="AC45" i="6"/>
  <c r="AB45" i="6"/>
  <c r="AD45" i="6" s="1"/>
  <c r="AA45" i="6"/>
  <c r="Z45" i="6"/>
  <c r="Y45" i="6"/>
  <c r="X45" i="6"/>
  <c r="AC44" i="6"/>
  <c r="AB44" i="6"/>
  <c r="AD44" i="6" s="1"/>
  <c r="AA44" i="6"/>
  <c r="Z44" i="6"/>
  <c r="Y44" i="6"/>
  <c r="X44" i="6"/>
  <c r="AC43" i="6"/>
  <c r="AB43" i="6"/>
  <c r="AD43" i="6" s="1"/>
  <c r="AA43" i="6"/>
  <c r="Z43" i="6"/>
  <c r="Y43" i="6"/>
  <c r="X43" i="6"/>
  <c r="AD42" i="6"/>
  <c r="AC42" i="6"/>
  <c r="AB42" i="6"/>
  <c r="AA42" i="6"/>
  <c r="Z42" i="6"/>
  <c r="Y42" i="6"/>
  <c r="X42" i="6"/>
  <c r="AC41" i="6"/>
  <c r="AB41" i="6"/>
  <c r="AD41" i="6" s="1"/>
  <c r="AA41" i="6"/>
  <c r="Z41" i="6"/>
  <c r="Y41" i="6"/>
  <c r="X41" i="6"/>
  <c r="AC40" i="6"/>
  <c r="AB40" i="6"/>
  <c r="AD40" i="6" s="1"/>
  <c r="AA40" i="6"/>
  <c r="Z40" i="6"/>
  <c r="Y40" i="6"/>
  <c r="X40" i="6"/>
  <c r="AC39" i="6"/>
  <c r="AB39" i="6"/>
  <c r="AD39" i="6" s="1"/>
  <c r="AA39" i="6"/>
  <c r="Z39" i="6"/>
  <c r="Y39" i="6"/>
  <c r="X39" i="6"/>
  <c r="AC38" i="6"/>
  <c r="AB38" i="6"/>
  <c r="AD38" i="6" s="1"/>
  <c r="AA38" i="6"/>
  <c r="Z38" i="6"/>
  <c r="Y38" i="6"/>
  <c r="X38" i="6"/>
  <c r="AC37" i="6"/>
  <c r="AB37" i="6"/>
  <c r="AD37" i="6" s="1"/>
  <c r="AA37" i="6"/>
  <c r="Z37" i="6"/>
  <c r="Y37" i="6"/>
  <c r="X37" i="6"/>
  <c r="AC36" i="6"/>
  <c r="AB36" i="6"/>
  <c r="AD36" i="6" s="1"/>
  <c r="AA36" i="6"/>
  <c r="Z36" i="6"/>
  <c r="Y36" i="6"/>
  <c r="X36" i="6"/>
  <c r="AC35" i="6"/>
  <c r="AB35" i="6"/>
  <c r="AD35" i="6" s="1"/>
  <c r="AA35" i="6"/>
  <c r="Z35" i="6"/>
  <c r="Y35" i="6"/>
  <c r="X35" i="6"/>
  <c r="AD34" i="6"/>
  <c r="AC34" i="6"/>
  <c r="AB34" i="6"/>
  <c r="AA34" i="6"/>
  <c r="Z34" i="6"/>
  <c r="Y34" i="6"/>
  <c r="X34" i="6"/>
  <c r="AD33" i="6"/>
  <c r="AC33" i="6"/>
  <c r="AB33" i="6"/>
  <c r="AA33" i="6"/>
  <c r="Z33" i="6"/>
  <c r="Y33" i="6"/>
  <c r="X33" i="6"/>
  <c r="AC32" i="6"/>
  <c r="AB32" i="6"/>
  <c r="AD32" i="6" s="1"/>
  <c r="AA32" i="6"/>
  <c r="Z32" i="6"/>
  <c r="Y32" i="6"/>
  <c r="X32" i="6"/>
  <c r="AC31" i="6"/>
  <c r="AB31" i="6"/>
  <c r="AD31" i="6" s="1"/>
  <c r="AA31" i="6"/>
  <c r="Z31" i="6"/>
  <c r="Y31" i="6"/>
  <c r="X31" i="6"/>
  <c r="AC30" i="6"/>
  <c r="AB30" i="6"/>
  <c r="AD30" i="6" s="1"/>
  <c r="AA30" i="6"/>
  <c r="Z30" i="6"/>
  <c r="Y30" i="6"/>
  <c r="X30" i="6"/>
  <c r="AC29" i="6"/>
  <c r="AB29" i="6"/>
  <c r="AD29" i="6" s="1"/>
  <c r="AA29" i="6"/>
  <c r="Z29" i="6"/>
  <c r="Y29" i="6"/>
  <c r="X29" i="6"/>
  <c r="AC28" i="6"/>
  <c r="AB28" i="6"/>
  <c r="AD28" i="6" s="1"/>
  <c r="AA28" i="6"/>
  <c r="Z28" i="6"/>
  <c r="Y28" i="6"/>
  <c r="X28" i="6"/>
  <c r="AC27" i="6"/>
  <c r="AB27" i="6"/>
  <c r="AD27" i="6" s="1"/>
  <c r="AA27" i="6"/>
  <c r="Z27" i="6"/>
  <c r="Y27" i="6"/>
  <c r="X27" i="6"/>
  <c r="AD26" i="6"/>
  <c r="AC26" i="6"/>
  <c r="AB26" i="6"/>
  <c r="AA26" i="6"/>
  <c r="Z26" i="6"/>
  <c r="Y26" i="6"/>
  <c r="X26" i="6"/>
  <c r="AC25" i="6"/>
  <c r="AB25" i="6"/>
  <c r="AD25" i="6" s="1"/>
  <c r="AA25" i="6"/>
  <c r="Z25" i="6"/>
  <c r="Y25" i="6"/>
  <c r="X25" i="6"/>
  <c r="AC24" i="6"/>
  <c r="AB24" i="6"/>
  <c r="AD24" i="6" s="1"/>
  <c r="AA24" i="6"/>
  <c r="Z24" i="6"/>
  <c r="Y24" i="6"/>
  <c r="X24" i="6"/>
  <c r="AC23" i="6"/>
  <c r="AB23" i="6"/>
  <c r="AD23" i="6" s="1"/>
  <c r="AA23" i="6"/>
  <c r="Z23" i="6"/>
  <c r="Y23" i="6"/>
  <c r="X23" i="6"/>
  <c r="AC22" i="6"/>
  <c r="AB22" i="6"/>
  <c r="AD22" i="6" s="1"/>
  <c r="AA22" i="6"/>
  <c r="Z22" i="6"/>
  <c r="Y22" i="6"/>
  <c r="X22" i="6"/>
  <c r="AC21" i="6"/>
  <c r="AB21" i="6"/>
  <c r="AD21" i="6" s="1"/>
  <c r="AA21" i="6"/>
  <c r="Z21" i="6"/>
  <c r="Y21" i="6"/>
  <c r="X21" i="6"/>
  <c r="AC20" i="6"/>
  <c r="AB20" i="6"/>
  <c r="AD20" i="6" s="1"/>
  <c r="AA20" i="6"/>
  <c r="Z20" i="6"/>
  <c r="Y20" i="6"/>
  <c r="X20" i="6"/>
  <c r="AC19" i="6"/>
  <c r="AB19" i="6"/>
  <c r="AD19" i="6" s="1"/>
  <c r="AA19" i="6"/>
  <c r="Z19" i="6"/>
  <c r="Y19" i="6"/>
  <c r="X19" i="6"/>
  <c r="AD18" i="6"/>
  <c r="AC18" i="6"/>
  <c r="AB18" i="6"/>
  <c r="AA18" i="6"/>
  <c r="Z18" i="6"/>
  <c r="Y18" i="6"/>
  <c r="X18" i="6"/>
  <c r="AD17" i="6"/>
  <c r="AC17" i="6"/>
  <c r="AB17" i="6"/>
  <c r="AA17" i="6"/>
  <c r="Z17" i="6"/>
  <c r="Y17" i="6"/>
  <c r="X17" i="6"/>
  <c r="AC16" i="6"/>
  <c r="AB16" i="6"/>
  <c r="AD16" i="6" s="1"/>
  <c r="AA16" i="6"/>
  <c r="Z16" i="6"/>
  <c r="Y16" i="6"/>
  <c r="X16" i="6"/>
  <c r="AC15" i="6"/>
  <c r="AB15" i="6"/>
  <c r="AD15" i="6" s="1"/>
  <c r="AA15" i="6"/>
  <c r="Z15" i="6"/>
  <c r="Y15" i="6"/>
  <c r="X15" i="6"/>
  <c r="AC14" i="6"/>
  <c r="AB14" i="6"/>
  <c r="AD14" i="6" s="1"/>
  <c r="AA14" i="6"/>
  <c r="Z14" i="6"/>
  <c r="Y14" i="6"/>
  <c r="X14" i="6"/>
  <c r="AC13" i="6"/>
  <c r="AB13" i="6"/>
  <c r="AD13" i="6" s="1"/>
  <c r="AA13" i="6"/>
  <c r="Z13" i="6"/>
  <c r="Y13" i="6"/>
  <c r="X13" i="6"/>
  <c r="AC12" i="6"/>
  <c r="AB12" i="6"/>
  <c r="AD12" i="6" s="1"/>
  <c r="AA12" i="6"/>
  <c r="Z12" i="6"/>
  <c r="Y12" i="6"/>
  <c r="X12" i="6"/>
  <c r="AC11" i="6"/>
  <c r="AB11" i="6"/>
  <c r="AD11" i="6" s="1"/>
  <c r="AA11" i="6"/>
  <c r="Z11" i="6"/>
  <c r="Y11" i="6"/>
  <c r="X11" i="6"/>
  <c r="AC10" i="6"/>
  <c r="AB10" i="6"/>
  <c r="AD10" i="6" s="1"/>
  <c r="AA10" i="6"/>
  <c r="Z10" i="6"/>
  <c r="Y10" i="6"/>
  <c r="X10" i="6"/>
  <c r="AC9" i="6"/>
  <c r="AB9" i="6"/>
  <c r="AD9" i="6" s="1"/>
  <c r="AA9" i="6"/>
  <c r="Z9" i="6"/>
  <c r="Y9" i="6"/>
  <c r="X9" i="6"/>
  <c r="AC8" i="6"/>
  <c r="AB8" i="6"/>
  <c r="AD8" i="6" s="1"/>
  <c r="AA8" i="6"/>
  <c r="Z8" i="6"/>
  <c r="Y8" i="6"/>
  <c r="X8" i="6"/>
  <c r="AC7" i="6"/>
  <c r="AB7" i="6"/>
  <c r="AD7" i="6" s="1"/>
  <c r="AA7" i="6"/>
  <c r="Z7" i="6"/>
  <c r="Y7" i="6"/>
  <c r="X7" i="6"/>
  <c r="AC6" i="6"/>
  <c r="AB6" i="6"/>
  <c r="AD6" i="6" s="1"/>
  <c r="AA6" i="6"/>
  <c r="Z6" i="6"/>
  <c r="Y6" i="6"/>
  <c r="X6" i="6"/>
  <c r="AC5" i="6"/>
  <c r="AB5" i="6"/>
  <c r="AD5" i="6" s="1"/>
  <c r="AA5" i="6"/>
  <c r="Z5" i="6"/>
  <c r="Y5" i="6"/>
  <c r="X5" i="6"/>
  <c r="AC4" i="6"/>
  <c r="AB4" i="6"/>
  <c r="AD4" i="6" s="1"/>
  <c r="AA4" i="6"/>
  <c r="Z4" i="6"/>
  <c r="Y4" i="6"/>
  <c r="X4" i="6"/>
  <c r="AC3" i="6"/>
  <c r="AB3" i="6"/>
  <c r="AD3" i="6" s="1"/>
  <c r="AA3" i="6"/>
  <c r="Z3" i="6"/>
  <c r="Y3" i="6"/>
  <c r="X3" i="6"/>
  <c r="AD164" i="5"/>
  <c r="AC164" i="5"/>
  <c r="AB164" i="5"/>
  <c r="AA164" i="5"/>
  <c r="Z164" i="5"/>
  <c r="Y164" i="5"/>
  <c r="X164" i="5"/>
  <c r="AC163" i="5"/>
  <c r="AB163" i="5"/>
  <c r="AD163" i="5" s="1"/>
  <c r="AA163" i="5"/>
  <c r="Z163" i="5"/>
  <c r="Y163" i="5"/>
  <c r="X163" i="5"/>
  <c r="AC162" i="5"/>
  <c r="AB162" i="5"/>
  <c r="AD162" i="5" s="1"/>
  <c r="AA162" i="5"/>
  <c r="Z162" i="5"/>
  <c r="Y162" i="5"/>
  <c r="X162" i="5"/>
  <c r="AC161" i="5"/>
  <c r="AB161" i="5"/>
  <c r="AD161" i="5" s="1"/>
  <c r="AA161" i="5"/>
  <c r="Z161" i="5"/>
  <c r="Y161" i="5"/>
  <c r="X161" i="5"/>
  <c r="AC160" i="5"/>
  <c r="AB160" i="5"/>
  <c r="AD160" i="5" s="1"/>
  <c r="AA160" i="5"/>
  <c r="Z160" i="5"/>
  <c r="Y160" i="5"/>
  <c r="X160" i="5"/>
  <c r="AC159" i="5"/>
  <c r="AB159" i="5"/>
  <c r="AD159" i="5" s="1"/>
  <c r="AA159" i="5"/>
  <c r="Z159" i="5"/>
  <c r="Y159" i="5"/>
  <c r="X159" i="5"/>
  <c r="AC158" i="5"/>
  <c r="AB158" i="5"/>
  <c r="AD158" i="5" s="1"/>
  <c r="AA158" i="5"/>
  <c r="Z158" i="5"/>
  <c r="Y158" i="5"/>
  <c r="X158" i="5"/>
  <c r="AC157" i="5"/>
  <c r="AB157" i="5"/>
  <c r="AD157" i="5" s="1"/>
  <c r="AA157" i="5"/>
  <c r="Z157" i="5"/>
  <c r="Y157" i="5"/>
  <c r="X157" i="5"/>
  <c r="AC156" i="5"/>
  <c r="AB156" i="5"/>
  <c r="AD156" i="5" s="1"/>
  <c r="AA156" i="5"/>
  <c r="Z156" i="5"/>
  <c r="Y156" i="5"/>
  <c r="X156" i="5"/>
  <c r="AC155" i="5"/>
  <c r="AB155" i="5"/>
  <c r="AD155" i="5" s="1"/>
  <c r="AA155" i="5"/>
  <c r="Z155" i="5"/>
  <c r="Y155" i="5"/>
  <c r="X155" i="5"/>
  <c r="AC154" i="5"/>
  <c r="AB154" i="5"/>
  <c r="AD154" i="5" s="1"/>
  <c r="AA154" i="5"/>
  <c r="Z154" i="5"/>
  <c r="Y154" i="5"/>
  <c r="X154" i="5"/>
  <c r="AC153" i="5"/>
  <c r="AB153" i="5"/>
  <c r="AD153" i="5" s="1"/>
  <c r="AA153" i="5"/>
  <c r="Z153" i="5"/>
  <c r="Y153" i="5"/>
  <c r="X153" i="5"/>
  <c r="AC152" i="5"/>
  <c r="AB152" i="5"/>
  <c r="AD152" i="5" s="1"/>
  <c r="AA152" i="5"/>
  <c r="Z152" i="5"/>
  <c r="Y152" i="5"/>
  <c r="X152" i="5"/>
  <c r="AC151" i="5"/>
  <c r="AB151" i="5"/>
  <c r="AD151" i="5" s="1"/>
  <c r="AA151" i="5"/>
  <c r="Z151" i="5"/>
  <c r="Y151" i="5"/>
  <c r="X151" i="5"/>
  <c r="AC150" i="5"/>
  <c r="AB150" i="5"/>
  <c r="AD150" i="5" s="1"/>
  <c r="AA150" i="5"/>
  <c r="Z150" i="5"/>
  <c r="Y150" i="5"/>
  <c r="X150" i="5"/>
  <c r="AC149" i="5"/>
  <c r="AB149" i="5"/>
  <c r="AD149" i="5" s="1"/>
  <c r="AA149" i="5"/>
  <c r="Z149" i="5"/>
  <c r="Y149" i="5"/>
  <c r="X149" i="5"/>
  <c r="AD148" i="5"/>
  <c r="AC148" i="5"/>
  <c r="AB148" i="5"/>
  <c r="AA148" i="5"/>
  <c r="Z148" i="5"/>
  <c r="Y148" i="5"/>
  <c r="X148" i="5"/>
  <c r="AC147" i="5"/>
  <c r="AB147" i="5"/>
  <c r="AD147" i="5" s="1"/>
  <c r="AA147" i="5"/>
  <c r="Z147" i="5"/>
  <c r="Y147" i="5"/>
  <c r="X147" i="5"/>
  <c r="AC146" i="5"/>
  <c r="AB146" i="5"/>
  <c r="AD146" i="5" s="1"/>
  <c r="AA146" i="5"/>
  <c r="Z146" i="5"/>
  <c r="Y146" i="5"/>
  <c r="X146" i="5"/>
  <c r="AC145" i="5"/>
  <c r="AB145" i="5"/>
  <c r="AD145" i="5" s="1"/>
  <c r="AA145" i="5"/>
  <c r="Z145" i="5"/>
  <c r="Y145" i="5"/>
  <c r="X145" i="5"/>
  <c r="AC144" i="5"/>
  <c r="AB144" i="5"/>
  <c r="AD144" i="5" s="1"/>
  <c r="AA144" i="5"/>
  <c r="Z144" i="5"/>
  <c r="Y144" i="5"/>
  <c r="X144" i="5"/>
  <c r="AC143" i="5"/>
  <c r="AB143" i="5"/>
  <c r="AD143" i="5" s="1"/>
  <c r="AA143" i="5"/>
  <c r="Z143" i="5"/>
  <c r="Y143" i="5"/>
  <c r="X143" i="5"/>
  <c r="AC142" i="5"/>
  <c r="AB142" i="5"/>
  <c r="AD142" i="5" s="1"/>
  <c r="AA142" i="5"/>
  <c r="Z142" i="5"/>
  <c r="Y142" i="5"/>
  <c r="X142" i="5"/>
  <c r="AC141" i="5"/>
  <c r="AB141" i="5"/>
  <c r="AD141" i="5" s="1"/>
  <c r="AA141" i="5"/>
  <c r="Z141" i="5"/>
  <c r="Y141" i="5"/>
  <c r="X141" i="5"/>
  <c r="AC140" i="5"/>
  <c r="AB140" i="5"/>
  <c r="AD140" i="5" s="1"/>
  <c r="AA140" i="5"/>
  <c r="Z140" i="5"/>
  <c r="Y140" i="5"/>
  <c r="X140" i="5"/>
  <c r="AC139" i="5"/>
  <c r="AB139" i="5"/>
  <c r="AD139" i="5" s="1"/>
  <c r="AA139" i="5"/>
  <c r="Z139" i="5"/>
  <c r="Y139" i="5"/>
  <c r="X139" i="5"/>
  <c r="AC138" i="5"/>
  <c r="AB138" i="5"/>
  <c r="AD138" i="5" s="1"/>
  <c r="AA138" i="5"/>
  <c r="Z138" i="5"/>
  <c r="Y138" i="5"/>
  <c r="X138" i="5"/>
  <c r="AC137" i="5"/>
  <c r="AB137" i="5"/>
  <c r="AD137" i="5" s="1"/>
  <c r="AA137" i="5"/>
  <c r="Z137" i="5"/>
  <c r="Y137" i="5"/>
  <c r="X137" i="5"/>
  <c r="AD136" i="5"/>
  <c r="AC136" i="5"/>
  <c r="AB136" i="5"/>
  <c r="AA136" i="5"/>
  <c r="Z136" i="5"/>
  <c r="Y136" i="5"/>
  <c r="X136" i="5"/>
  <c r="AC135" i="5"/>
  <c r="AB135" i="5"/>
  <c r="AD135" i="5" s="1"/>
  <c r="AA135" i="5"/>
  <c r="Z135" i="5"/>
  <c r="Y135" i="5"/>
  <c r="X135" i="5"/>
  <c r="AC134" i="5"/>
  <c r="AB134" i="5"/>
  <c r="AD134" i="5" s="1"/>
  <c r="AA134" i="5"/>
  <c r="Z134" i="5"/>
  <c r="Y134" i="5"/>
  <c r="X134" i="5"/>
  <c r="AC133" i="5"/>
  <c r="AB133" i="5"/>
  <c r="AD133" i="5" s="1"/>
  <c r="AA133" i="5"/>
  <c r="Z133" i="5"/>
  <c r="Y133" i="5"/>
  <c r="X133" i="5"/>
  <c r="AC132" i="5"/>
  <c r="AB132" i="5"/>
  <c r="AD132" i="5" s="1"/>
  <c r="AA132" i="5"/>
  <c r="Z132" i="5"/>
  <c r="Y132" i="5"/>
  <c r="X132" i="5"/>
  <c r="AC131" i="5"/>
  <c r="AB131" i="5"/>
  <c r="AD131" i="5" s="1"/>
  <c r="AA131" i="5"/>
  <c r="Z131" i="5"/>
  <c r="Y131" i="5"/>
  <c r="X131" i="5"/>
  <c r="AC130" i="5"/>
  <c r="AB130" i="5"/>
  <c r="AD130" i="5" s="1"/>
  <c r="AA130" i="5"/>
  <c r="Z130" i="5"/>
  <c r="Y130" i="5"/>
  <c r="X130" i="5"/>
  <c r="AC129" i="5"/>
  <c r="AB129" i="5"/>
  <c r="AD129" i="5" s="1"/>
  <c r="AA129" i="5"/>
  <c r="Z129" i="5"/>
  <c r="Y129" i="5"/>
  <c r="X129" i="5"/>
  <c r="AC128" i="5"/>
  <c r="AB128" i="5"/>
  <c r="AD128" i="5" s="1"/>
  <c r="AA128" i="5"/>
  <c r="Z128" i="5"/>
  <c r="Y128" i="5"/>
  <c r="X128" i="5"/>
  <c r="AC127" i="5"/>
  <c r="AB127" i="5"/>
  <c r="AD127" i="5" s="1"/>
  <c r="AA127" i="5"/>
  <c r="Z127" i="5"/>
  <c r="Y127" i="5"/>
  <c r="X127" i="5"/>
  <c r="AC126" i="5"/>
  <c r="AB126" i="5"/>
  <c r="AD126" i="5" s="1"/>
  <c r="AA126" i="5"/>
  <c r="Z126" i="5"/>
  <c r="Y126" i="5"/>
  <c r="X126" i="5"/>
  <c r="AC125" i="5"/>
  <c r="AB125" i="5"/>
  <c r="AD125" i="5" s="1"/>
  <c r="AA125" i="5"/>
  <c r="Z125" i="5"/>
  <c r="Y125" i="5"/>
  <c r="X125" i="5"/>
  <c r="AC124" i="5"/>
  <c r="AB124" i="5"/>
  <c r="AD124" i="5" s="1"/>
  <c r="AA124" i="5"/>
  <c r="Z124" i="5"/>
  <c r="Y124" i="5"/>
  <c r="X124" i="5"/>
  <c r="AC123" i="5"/>
  <c r="AB123" i="5"/>
  <c r="AD123" i="5" s="1"/>
  <c r="AA123" i="5"/>
  <c r="Z123" i="5"/>
  <c r="Y123" i="5"/>
  <c r="X123" i="5"/>
  <c r="AC122" i="5"/>
  <c r="AB122" i="5"/>
  <c r="AD122" i="5" s="1"/>
  <c r="AA122" i="5"/>
  <c r="Z122" i="5"/>
  <c r="Y122" i="5"/>
  <c r="X122" i="5"/>
  <c r="AC121" i="5"/>
  <c r="AB121" i="5"/>
  <c r="AD121" i="5" s="1"/>
  <c r="AA121" i="5"/>
  <c r="Z121" i="5"/>
  <c r="Y121" i="5"/>
  <c r="X121" i="5"/>
  <c r="AC120" i="5"/>
  <c r="AB120" i="5"/>
  <c r="AD120" i="5" s="1"/>
  <c r="AA120" i="5"/>
  <c r="Z120" i="5"/>
  <c r="Y120" i="5"/>
  <c r="X120" i="5"/>
  <c r="AC119" i="5"/>
  <c r="AB119" i="5"/>
  <c r="AD119" i="5" s="1"/>
  <c r="AA119" i="5"/>
  <c r="Z119" i="5"/>
  <c r="Y119" i="5"/>
  <c r="X119" i="5"/>
  <c r="AC118" i="5"/>
  <c r="AB118" i="5"/>
  <c r="AD118" i="5" s="1"/>
  <c r="AA118" i="5"/>
  <c r="Z118" i="5"/>
  <c r="Y118" i="5"/>
  <c r="X118" i="5"/>
  <c r="AD117" i="5"/>
  <c r="AC117" i="5"/>
  <c r="AB117" i="5"/>
  <c r="AA117" i="5"/>
  <c r="Z117" i="5"/>
  <c r="Y117" i="5"/>
  <c r="X117" i="5"/>
  <c r="AC116" i="5"/>
  <c r="AB116" i="5"/>
  <c r="AD116" i="5" s="1"/>
  <c r="AA116" i="5"/>
  <c r="Z116" i="5"/>
  <c r="Y116" i="5"/>
  <c r="X116" i="5"/>
  <c r="AC115" i="5"/>
  <c r="AB115" i="5"/>
  <c r="AD115" i="5" s="1"/>
  <c r="AA115" i="5"/>
  <c r="Z115" i="5"/>
  <c r="Y115" i="5"/>
  <c r="X115" i="5"/>
  <c r="AC114" i="5"/>
  <c r="AB114" i="5"/>
  <c r="AD114" i="5" s="1"/>
  <c r="AA114" i="5"/>
  <c r="Z114" i="5"/>
  <c r="Y114" i="5"/>
  <c r="X114" i="5"/>
  <c r="AC113" i="5"/>
  <c r="AB113" i="5"/>
  <c r="AD113" i="5" s="1"/>
  <c r="AA113" i="5"/>
  <c r="Z113" i="5"/>
  <c r="Y113" i="5"/>
  <c r="X113" i="5"/>
  <c r="AC112" i="5"/>
  <c r="AB112" i="5"/>
  <c r="AD112" i="5" s="1"/>
  <c r="AA112" i="5"/>
  <c r="Z112" i="5"/>
  <c r="Y112" i="5"/>
  <c r="X112" i="5"/>
  <c r="AC111" i="5"/>
  <c r="AB111" i="5"/>
  <c r="AD111" i="5" s="1"/>
  <c r="AA111" i="5"/>
  <c r="Z111" i="5"/>
  <c r="Y111" i="5"/>
  <c r="X111" i="5"/>
  <c r="AC110" i="5"/>
  <c r="AB110" i="5"/>
  <c r="AD110" i="5" s="1"/>
  <c r="AA110" i="5"/>
  <c r="Z110" i="5"/>
  <c r="Y110" i="5"/>
  <c r="X110" i="5"/>
  <c r="AC109" i="5"/>
  <c r="AB109" i="5"/>
  <c r="AD109" i="5" s="1"/>
  <c r="AA109" i="5"/>
  <c r="Z109" i="5"/>
  <c r="Y109" i="5"/>
  <c r="X109" i="5"/>
  <c r="AC108" i="5"/>
  <c r="AB108" i="5"/>
  <c r="AD108" i="5" s="1"/>
  <c r="AA108" i="5"/>
  <c r="Z108" i="5"/>
  <c r="Y108" i="5"/>
  <c r="X108" i="5"/>
  <c r="AC107" i="5"/>
  <c r="AB107" i="5"/>
  <c r="AD107" i="5" s="1"/>
  <c r="AA107" i="5"/>
  <c r="Z107" i="5"/>
  <c r="Y107" i="5"/>
  <c r="X107" i="5"/>
  <c r="AC106" i="5"/>
  <c r="AB106" i="5"/>
  <c r="AD106" i="5" s="1"/>
  <c r="AA106" i="5"/>
  <c r="Z106" i="5"/>
  <c r="Y106" i="5"/>
  <c r="X106" i="5"/>
  <c r="AC105" i="5"/>
  <c r="AB105" i="5"/>
  <c r="AD105" i="5" s="1"/>
  <c r="AA105" i="5"/>
  <c r="Z105" i="5"/>
  <c r="Y105" i="5"/>
  <c r="X105" i="5"/>
  <c r="AC104" i="5"/>
  <c r="AB104" i="5"/>
  <c r="AD104" i="5" s="1"/>
  <c r="AA104" i="5"/>
  <c r="Z104" i="5"/>
  <c r="Y104" i="5"/>
  <c r="X104" i="5"/>
  <c r="AD103" i="5"/>
  <c r="AC103" i="5"/>
  <c r="AB103" i="5"/>
  <c r="AA103" i="5"/>
  <c r="Z103" i="5"/>
  <c r="Y103" i="5"/>
  <c r="X103" i="5"/>
  <c r="AC102" i="5"/>
  <c r="AB102" i="5"/>
  <c r="AD102" i="5" s="1"/>
  <c r="AA102" i="5"/>
  <c r="Z102" i="5"/>
  <c r="Y102" i="5"/>
  <c r="X102" i="5"/>
  <c r="AC101" i="5"/>
  <c r="AB101" i="5"/>
  <c r="AD101" i="5" s="1"/>
  <c r="AA101" i="5"/>
  <c r="Z101" i="5"/>
  <c r="Y101" i="5"/>
  <c r="X101" i="5"/>
  <c r="AD100" i="5"/>
  <c r="AC100" i="5"/>
  <c r="AB100" i="5"/>
  <c r="AA100" i="5"/>
  <c r="Z100" i="5"/>
  <c r="Y100" i="5"/>
  <c r="X100" i="5"/>
  <c r="AC99" i="5"/>
  <c r="AB99" i="5"/>
  <c r="AD99" i="5" s="1"/>
  <c r="AA99" i="5"/>
  <c r="Z99" i="5"/>
  <c r="Y99" i="5"/>
  <c r="X99" i="5"/>
  <c r="AC98" i="5"/>
  <c r="AB98" i="5"/>
  <c r="AD98" i="5" s="1"/>
  <c r="AA98" i="5"/>
  <c r="Z98" i="5"/>
  <c r="Y98" i="5"/>
  <c r="X98" i="5"/>
  <c r="AC97" i="5"/>
  <c r="AB97" i="5"/>
  <c r="AD97" i="5" s="1"/>
  <c r="AA97" i="5"/>
  <c r="Z97" i="5"/>
  <c r="Y97" i="5"/>
  <c r="X97" i="5"/>
  <c r="AC96" i="5"/>
  <c r="AB96" i="5"/>
  <c r="AD96" i="5" s="1"/>
  <c r="AA96" i="5"/>
  <c r="Z96" i="5"/>
  <c r="Y96" i="5"/>
  <c r="X96" i="5"/>
  <c r="AC95" i="5"/>
  <c r="AB95" i="5"/>
  <c r="AD95" i="5" s="1"/>
  <c r="AA95" i="5"/>
  <c r="Z95" i="5"/>
  <c r="Y95" i="5"/>
  <c r="X95" i="5"/>
  <c r="AC94" i="5"/>
  <c r="AB94" i="5"/>
  <c r="AD94" i="5" s="1"/>
  <c r="AA94" i="5"/>
  <c r="Z94" i="5"/>
  <c r="Y94" i="5"/>
  <c r="X94" i="5"/>
  <c r="AC93" i="5"/>
  <c r="AB93" i="5"/>
  <c r="AD93" i="5" s="1"/>
  <c r="AA93" i="5"/>
  <c r="Z93" i="5"/>
  <c r="Y93" i="5"/>
  <c r="X93" i="5"/>
  <c r="AD92" i="5"/>
  <c r="AC92" i="5"/>
  <c r="AB92" i="5"/>
  <c r="AA92" i="5"/>
  <c r="Z92" i="5"/>
  <c r="Y92" i="5"/>
  <c r="X92" i="5"/>
  <c r="AC91" i="5"/>
  <c r="AB91" i="5"/>
  <c r="AD91" i="5" s="1"/>
  <c r="AA91" i="5"/>
  <c r="Z91" i="5"/>
  <c r="Y91" i="5"/>
  <c r="X91" i="5"/>
  <c r="AC90" i="5"/>
  <c r="AB90" i="5"/>
  <c r="AD90" i="5" s="1"/>
  <c r="AA90" i="5"/>
  <c r="Z90" i="5"/>
  <c r="Y90" i="5"/>
  <c r="X90" i="5"/>
  <c r="AC89" i="5"/>
  <c r="AB89" i="5"/>
  <c r="AD89" i="5" s="1"/>
  <c r="AA89" i="5"/>
  <c r="Z89" i="5"/>
  <c r="Y89" i="5"/>
  <c r="X89" i="5"/>
  <c r="AC88" i="5"/>
  <c r="AB88" i="5"/>
  <c r="AD88" i="5" s="1"/>
  <c r="AA88" i="5"/>
  <c r="Z88" i="5"/>
  <c r="Y88" i="5"/>
  <c r="X88" i="5"/>
  <c r="AD87" i="5"/>
  <c r="AC87" i="5"/>
  <c r="AB87" i="5"/>
  <c r="AA87" i="5"/>
  <c r="Z87" i="5"/>
  <c r="Y87" i="5"/>
  <c r="X87" i="5"/>
  <c r="AC86" i="5"/>
  <c r="AB86" i="5"/>
  <c r="AD86" i="5" s="1"/>
  <c r="AA86" i="5"/>
  <c r="Z86" i="5"/>
  <c r="Y86" i="5"/>
  <c r="X86" i="5"/>
  <c r="AC85" i="5"/>
  <c r="AB85" i="5"/>
  <c r="AD85" i="5" s="1"/>
  <c r="AA85" i="5"/>
  <c r="Z85" i="5"/>
  <c r="Y85" i="5"/>
  <c r="X85" i="5"/>
  <c r="AC84" i="5"/>
  <c r="AB84" i="5"/>
  <c r="AD84" i="5" s="1"/>
  <c r="AA84" i="5"/>
  <c r="Z84" i="5"/>
  <c r="Y84" i="5"/>
  <c r="X84" i="5"/>
  <c r="AC83" i="5"/>
  <c r="AB83" i="5"/>
  <c r="AD83" i="5" s="1"/>
  <c r="AA83" i="5"/>
  <c r="Z83" i="5"/>
  <c r="Y83" i="5"/>
  <c r="X83" i="5"/>
  <c r="AD82" i="5"/>
  <c r="AC82" i="5"/>
  <c r="AB82" i="5"/>
  <c r="AA82" i="5"/>
  <c r="Z82" i="5"/>
  <c r="Y82" i="5"/>
  <c r="X82" i="5"/>
  <c r="AC81" i="5"/>
  <c r="AB81" i="5"/>
  <c r="AD81" i="5" s="1"/>
  <c r="AA81" i="5"/>
  <c r="Z81" i="5"/>
  <c r="Y81" i="5"/>
  <c r="X81" i="5"/>
  <c r="AC80" i="5"/>
  <c r="AB80" i="5"/>
  <c r="AD80" i="5" s="1"/>
  <c r="AA80" i="5"/>
  <c r="Z80" i="5"/>
  <c r="Y80" i="5"/>
  <c r="X80" i="5"/>
  <c r="AC79" i="5"/>
  <c r="AB79" i="5"/>
  <c r="AD79" i="5" s="1"/>
  <c r="AA79" i="5"/>
  <c r="Z79" i="5"/>
  <c r="Y79" i="5"/>
  <c r="X79" i="5"/>
  <c r="AC78" i="5"/>
  <c r="AB78" i="5"/>
  <c r="AD78" i="5" s="1"/>
  <c r="AA78" i="5"/>
  <c r="Z78" i="5"/>
  <c r="Y78" i="5"/>
  <c r="X78" i="5"/>
  <c r="AC77" i="5"/>
  <c r="AB77" i="5"/>
  <c r="AD77" i="5" s="1"/>
  <c r="AA77" i="5"/>
  <c r="Z77" i="5"/>
  <c r="Y77" i="5"/>
  <c r="X77" i="5"/>
  <c r="AC76" i="5"/>
  <c r="AB76" i="5"/>
  <c r="AD76" i="5" s="1"/>
  <c r="AA76" i="5"/>
  <c r="Z76" i="5"/>
  <c r="Y76" i="5"/>
  <c r="X76" i="5"/>
  <c r="AD75" i="5"/>
  <c r="AC75" i="5"/>
  <c r="AB75" i="5"/>
  <c r="AA75" i="5"/>
  <c r="Z75" i="5"/>
  <c r="Y75" i="5"/>
  <c r="X75" i="5"/>
  <c r="AC74" i="5"/>
  <c r="AB74" i="5"/>
  <c r="AD74" i="5" s="1"/>
  <c r="AA74" i="5"/>
  <c r="Z74" i="5"/>
  <c r="Y74" i="5"/>
  <c r="X74" i="5"/>
  <c r="AC73" i="5"/>
  <c r="AB73" i="5"/>
  <c r="AD73" i="5" s="1"/>
  <c r="AA73" i="5"/>
  <c r="Z73" i="5"/>
  <c r="Y73" i="5"/>
  <c r="X73" i="5"/>
  <c r="AC72" i="5"/>
  <c r="AB72" i="5"/>
  <c r="AD72" i="5" s="1"/>
  <c r="AA72" i="5"/>
  <c r="Z72" i="5"/>
  <c r="Y72" i="5"/>
  <c r="X72" i="5"/>
  <c r="AC71" i="5"/>
  <c r="AB71" i="5"/>
  <c r="AD71" i="5" s="1"/>
  <c r="AA71" i="5"/>
  <c r="Z71" i="5"/>
  <c r="Y71" i="5"/>
  <c r="X71" i="5"/>
  <c r="AC70" i="5"/>
  <c r="AB70" i="5"/>
  <c r="AD70" i="5" s="1"/>
  <c r="AA70" i="5"/>
  <c r="Z70" i="5"/>
  <c r="Y70" i="5"/>
  <c r="X70" i="5"/>
  <c r="AC69" i="5"/>
  <c r="AB69" i="5"/>
  <c r="AD69" i="5" s="1"/>
  <c r="AA69" i="5"/>
  <c r="Z69" i="5"/>
  <c r="Y69" i="5"/>
  <c r="X69" i="5"/>
  <c r="AC68" i="5"/>
  <c r="AB68" i="5"/>
  <c r="AD68" i="5" s="1"/>
  <c r="AA68" i="5"/>
  <c r="Z68" i="5"/>
  <c r="Y68" i="5"/>
  <c r="X68" i="5"/>
  <c r="AD67" i="5"/>
  <c r="AC67" i="5"/>
  <c r="AB67" i="5"/>
  <c r="AA67" i="5"/>
  <c r="Z67" i="5"/>
  <c r="Y67" i="5"/>
  <c r="X67" i="5"/>
  <c r="AD66" i="5"/>
  <c r="AC66" i="5"/>
  <c r="AB66" i="5"/>
  <c r="AA66" i="5"/>
  <c r="Z66" i="5"/>
  <c r="Y66" i="5"/>
  <c r="X66" i="5"/>
  <c r="AC65" i="5"/>
  <c r="AB65" i="5"/>
  <c r="AD65" i="5" s="1"/>
  <c r="AA65" i="5"/>
  <c r="Z65" i="5"/>
  <c r="Y65" i="5"/>
  <c r="X65" i="5"/>
  <c r="AC64" i="5"/>
  <c r="AB64" i="5"/>
  <c r="AD64" i="5" s="1"/>
  <c r="AA64" i="5"/>
  <c r="Z64" i="5"/>
  <c r="Y64" i="5"/>
  <c r="X64" i="5"/>
  <c r="AC63" i="5"/>
  <c r="AB63" i="5"/>
  <c r="AD63" i="5" s="1"/>
  <c r="AA63" i="5"/>
  <c r="Z63" i="5"/>
  <c r="Y63" i="5"/>
  <c r="X63" i="5"/>
  <c r="AC62" i="5"/>
  <c r="AB62" i="5"/>
  <c r="AD62" i="5" s="1"/>
  <c r="AA62" i="5"/>
  <c r="Z62" i="5"/>
  <c r="Y62" i="5"/>
  <c r="X62" i="5"/>
  <c r="AC61" i="5"/>
  <c r="AB61" i="5"/>
  <c r="AD61" i="5" s="1"/>
  <c r="AA61" i="5"/>
  <c r="Z61" i="5"/>
  <c r="Y61" i="5"/>
  <c r="X61" i="5"/>
  <c r="AC60" i="5"/>
  <c r="AB60" i="5"/>
  <c r="AD60" i="5" s="1"/>
  <c r="AA60" i="5"/>
  <c r="Z60" i="5"/>
  <c r="Y60" i="5"/>
  <c r="X60" i="5"/>
  <c r="AD59" i="5"/>
  <c r="AC59" i="5"/>
  <c r="AB59" i="5"/>
  <c r="AA59" i="5"/>
  <c r="Z59" i="5"/>
  <c r="Y59" i="5"/>
  <c r="X59" i="5"/>
  <c r="AC58" i="5"/>
  <c r="AB58" i="5"/>
  <c r="AD58" i="5" s="1"/>
  <c r="AA58" i="5"/>
  <c r="Z58" i="5"/>
  <c r="Y58" i="5"/>
  <c r="X58" i="5"/>
  <c r="AC57" i="5"/>
  <c r="AB57" i="5"/>
  <c r="AD57" i="5" s="1"/>
  <c r="AA57" i="5"/>
  <c r="Z57" i="5"/>
  <c r="Y57" i="5"/>
  <c r="X57" i="5"/>
  <c r="AC56" i="5"/>
  <c r="AB56" i="5"/>
  <c r="AD56" i="5" s="1"/>
  <c r="AA56" i="5"/>
  <c r="Z56" i="5"/>
  <c r="Y56" i="5"/>
  <c r="X56" i="5"/>
  <c r="AC55" i="5"/>
  <c r="AB55" i="5"/>
  <c r="AD55" i="5" s="1"/>
  <c r="AA55" i="5"/>
  <c r="Z55" i="5"/>
  <c r="Y55" i="5"/>
  <c r="X55" i="5"/>
  <c r="AC54" i="5"/>
  <c r="AB54" i="5"/>
  <c r="AD54" i="5" s="1"/>
  <c r="AA54" i="5"/>
  <c r="Z54" i="5"/>
  <c r="Y54" i="5"/>
  <c r="X54" i="5"/>
  <c r="AC53" i="5"/>
  <c r="AB53" i="5"/>
  <c r="AD53" i="5" s="1"/>
  <c r="AA53" i="5"/>
  <c r="Z53" i="5"/>
  <c r="Y53" i="5"/>
  <c r="X53" i="5"/>
  <c r="AC52" i="5"/>
  <c r="AB52" i="5"/>
  <c r="AD52" i="5" s="1"/>
  <c r="AA52" i="5"/>
  <c r="Z52" i="5"/>
  <c r="Y52" i="5"/>
  <c r="X52" i="5"/>
  <c r="AD51" i="5"/>
  <c r="AC51" i="5"/>
  <c r="AB51" i="5"/>
  <c r="AA51" i="5"/>
  <c r="Z51" i="5"/>
  <c r="Y51" i="5"/>
  <c r="X51" i="5"/>
  <c r="AC50" i="5"/>
  <c r="AB50" i="5"/>
  <c r="AD50" i="5" s="1"/>
  <c r="AA50" i="5"/>
  <c r="Z50" i="5"/>
  <c r="Y50" i="5"/>
  <c r="X50" i="5"/>
  <c r="AC49" i="5"/>
  <c r="AB49" i="5"/>
  <c r="AD49" i="5" s="1"/>
  <c r="AA49" i="5"/>
  <c r="Z49" i="5"/>
  <c r="Y49" i="5"/>
  <c r="X49" i="5"/>
  <c r="AC48" i="5"/>
  <c r="AB48" i="5"/>
  <c r="AD48" i="5" s="1"/>
  <c r="AA48" i="5"/>
  <c r="Z48" i="5"/>
  <c r="Y48" i="5"/>
  <c r="X48" i="5"/>
  <c r="AC47" i="5"/>
  <c r="AB47" i="5"/>
  <c r="AD47" i="5" s="1"/>
  <c r="AA47" i="5"/>
  <c r="Z47" i="5"/>
  <c r="Y47" i="5"/>
  <c r="X47" i="5"/>
  <c r="AC46" i="5"/>
  <c r="AB46" i="5"/>
  <c r="AD46" i="5" s="1"/>
  <c r="AA46" i="5"/>
  <c r="Z46" i="5"/>
  <c r="Y46" i="5"/>
  <c r="X46" i="5"/>
  <c r="AC45" i="5"/>
  <c r="AB45" i="5"/>
  <c r="AD45" i="5" s="1"/>
  <c r="AA45" i="5"/>
  <c r="Z45" i="5"/>
  <c r="Y45" i="5"/>
  <c r="X45" i="5"/>
  <c r="AC44" i="5"/>
  <c r="AB44" i="5"/>
  <c r="AD44" i="5" s="1"/>
  <c r="AA44" i="5"/>
  <c r="Z44" i="5"/>
  <c r="Y44" i="5"/>
  <c r="X44" i="5"/>
  <c r="AC43" i="5"/>
  <c r="AB43" i="5"/>
  <c r="AD43" i="5" s="1"/>
  <c r="AA43" i="5"/>
  <c r="Z43" i="5"/>
  <c r="Y43" i="5"/>
  <c r="X43" i="5"/>
  <c r="AC42" i="5"/>
  <c r="AB42" i="5"/>
  <c r="AD42" i="5" s="1"/>
  <c r="AA42" i="5"/>
  <c r="Z42" i="5"/>
  <c r="Y42" i="5"/>
  <c r="X42" i="5"/>
  <c r="AC41" i="5"/>
  <c r="AB41" i="5"/>
  <c r="AD41" i="5" s="1"/>
  <c r="AA41" i="5"/>
  <c r="Z41" i="5"/>
  <c r="Y41" i="5"/>
  <c r="X41" i="5"/>
  <c r="AC40" i="5"/>
  <c r="AB40" i="5"/>
  <c r="AD40" i="5" s="1"/>
  <c r="AA40" i="5"/>
  <c r="Z40" i="5"/>
  <c r="Y40" i="5"/>
  <c r="X40" i="5"/>
  <c r="AC39" i="5"/>
  <c r="AB39" i="5"/>
  <c r="AD39" i="5" s="1"/>
  <c r="AA39" i="5"/>
  <c r="Z39" i="5"/>
  <c r="Y39" i="5"/>
  <c r="X39" i="5"/>
  <c r="AC38" i="5"/>
  <c r="AB38" i="5"/>
  <c r="AD38" i="5" s="1"/>
  <c r="AA38" i="5"/>
  <c r="Z38" i="5"/>
  <c r="Y38" i="5"/>
  <c r="X38" i="5"/>
  <c r="AC37" i="5"/>
  <c r="AB37" i="5"/>
  <c r="AD37" i="5" s="1"/>
  <c r="AA37" i="5"/>
  <c r="Z37" i="5"/>
  <c r="Y37" i="5"/>
  <c r="X37" i="5"/>
  <c r="AC36" i="5"/>
  <c r="AB36" i="5"/>
  <c r="AD36" i="5" s="1"/>
  <c r="AA36" i="5"/>
  <c r="Z36" i="5"/>
  <c r="Y36" i="5"/>
  <c r="X36" i="5"/>
  <c r="AD35" i="5"/>
  <c r="AC35" i="5"/>
  <c r="AB35" i="5"/>
  <c r="AA35" i="5"/>
  <c r="Z35" i="5"/>
  <c r="Y35" i="5"/>
  <c r="X35" i="5"/>
  <c r="AC34" i="5"/>
  <c r="AB34" i="5"/>
  <c r="AD34" i="5" s="1"/>
  <c r="AA34" i="5"/>
  <c r="Z34" i="5"/>
  <c r="Y34" i="5"/>
  <c r="X34" i="5"/>
  <c r="AC33" i="5"/>
  <c r="AB33" i="5"/>
  <c r="AD33" i="5" s="1"/>
  <c r="AA33" i="5"/>
  <c r="Z33" i="5"/>
  <c r="Y33" i="5"/>
  <c r="X33" i="5"/>
  <c r="AC32" i="5"/>
  <c r="AB32" i="5"/>
  <c r="AD32" i="5" s="1"/>
  <c r="AA32" i="5"/>
  <c r="Z32" i="5"/>
  <c r="Y32" i="5"/>
  <c r="X32" i="5"/>
  <c r="AC31" i="5"/>
  <c r="AB31" i="5"/>
  <c r="AD31" i="5" s="1"/>
  <c r="AA31" i="5"/>
  <c r="Z31" i="5"/>
  <c r="Y31" i="5"/>
  <c r="X31" i="5"/>
  <c r="AC30" i="5"/>
  <c r="AB30" i="5"/>
  <c r="AD30" i="5" s="1"/>
  <c r="AA30" i="5"/>
  <c r="Z30" i="5"/>
  <c r="Y30" i="5"/>
  <c r="X30" i="5"/>
  <c r="AC29" i="5"/>
  <c r="AB29" i="5"/>
  <c r="AD29" i="5" s="1"/>
  <c r="AA29" i="5"/>
  <c r="Z29" i="5"/>
  <c r="Y29" i="5"/>
  <c r="X29" i="5"/>
  <c r="AC28" i="5"/>
  <c r="AB28" i="5"/>
  <c r="AD28" i="5" s="1"/>
  <c r="AA28" i="5"/>
  <c r="Z28" i="5"/>
  <c r="Y28" i="5"/>
  <c r="X28" i="5"/>
  <c r="AC27" i="5"/>
  <c r="AB27" i="5"/>
  <c r="AD27" i="5" s="1"/>
  <c r="AA27" i="5"/>
  <c r="Z27" i="5"/>
  <c r="Y27" i="5"/>
  <c r="X27" i="5"/>
  <c r="AC26" i="5"/>
  <c r="AB26" i="5"/>
  <c r="AD26" i="5" s="1"/>
  <c r="AA26" i="5"/>
  <c r="Z26" i="5"/>
  <c r="Y26" i="5"/>
  <c r="X26" i="5"/>
  <c r="AC25" i="5"/>
  <c r="AB25" i="5"/>
  <c r="AD25" i="5" s="1"/>
  <c r="AA25" i="5"/>
  <c r="Z25" i="5"/>
  <c r="Y25" i="5"/>
  <c r="X25" i="5"/>
  <c r="AC24" i="5"/>
  <c r="AB24" i="5"/>
  <c r="AD24" i="5" s="1"/>
  <c r="AA24" i="5"/>
  <c r="Z24" i="5"/>
  <c r="Y24" i="5"/>
  <c r="X24" i="5"/>
  <c r="AC23" i="5"/>
  <c r="AB23" i="5"/>
  <c r="AD23" i="5" s="1"/>
  <c r="AA23" i="5"/>
  <c r="Z23" i="5"/>
  <c r="Y23" i="5"/>
  <c r="X23" i="5"/>
  <c r="AD22" i="5"/>
  <c r="AC22" i="5"/>
  <c r="AB22" i="5"/>
  <c r="AA22" i="5"/>
  <c r="Z22" i="5"/>
  <c r="Y22" i="5"/>
  <c r="X22" i="5"/>
  <c r="AC21" i="5"/>
  <c r="AB21" i="5"/>
  <c r="AD21" i="5" s="1"/>
  <c r="AA21" i="5"/>
  <c r="Z21" i="5"/>
  <c r="Y21" i="5"/>
  <c r="X21" i="5"/>
  <c r="AC20" i="5"/>
  <c r="AB20" i="5"/>
  <c r="AD20" i="5" s="1"/>
  <c r="AA20" i="5"/>
  <c r="Z20" i="5"/>
  <c r="Y20" i="5"/>
  <c r="X20" i="5"/>
  <c r="AC19" i="5"/>
  <c r="AB19" i="5"/>
  <c r="AD19" i="5" s="1"/>
  <c r="AA19" i="5"/>
  <c r="Z19" i="5"/>
  <c r="Y19" i="5"/>
  <c r="X19" i="5"/>
  <c r="AD18" i="5"/>
  <c r="AC18" i="5"/>
  <c r="AB18" i="5"/>
  <c r="AA18" i="5"/>
  <c r="Z18" i="5"/>
  <c r="Y18" i="5"/>
  <c r="X18" i="5"/>
  <c r="AC17" i="5"/>
  <c r="AB17" i="5"/>
  <c r="AD17" i="5" s="1"/>
  <c r="AA17" i="5"/>
  <c r="Z17" i="5"/>
  <c r="Y17" i="5"/>
  <c r="X17" i="5"/>
  <c r="AC16" i="5"/>
  <c r="AB16" i="5"/>
  <c r="AD16" i="5" s="1"/>
  <c r="AA16" i="5"/>
  <c r="Z16" i="5"/>
  <c r="Y16" i="5"/>
  <c r="X16" i="5"/>
  <c r="AC15" i="5"/>
  <c r="AB15" i="5"/>
  <c r="AD15" i="5" s="1"/>
  <c r="AA15" i="5"/>
  <c r="Z15" i="5"/>
  <c r="Y15" i="5"/>
  <c r="X15" i="5"/>
  <c r="AC14" i="5"/>
  <c r="AB14" i="5"/>
  <c r="AD14" i="5" s="1"/>
  <c r="AA14" i="5"/>
  <c r="Z14" i="5"/>
  <c r="Y14" i="5"/>
  <c r="X14" i="5"/>
  <c r="AC13" i="5"/>
  <c r="AB13" i="5"/>
  <c r="AD13" i="5" s="1"/>
  <c r="AA13" i="5"/>
  <c r="Z13" i="5"/>
  <c r="Y13" i="5"/>
  <c r="X13" i="5"/>
  <c r="AC12" i="5"/>
  <c r="AB12" i="5"/>
  <c r="AD12" i="5" s="1"/>
  <c r="AA12" i="5"/>
  <c r="Z12" i="5"/>
  <c r="Y12" i="5"/>
  <c r="X12" i="5"/>
  <c r="AC11" i="5"/>
  <c r="AB11" i="5"/>
  <c r="AD11" i="5" s="1"/>
  <c r="AA11" i="5"/>
  <c r="Z11" i="5"/>
  <c r="Y11" i="5"/>
  <c r="X11" i="5"/>
  <c r="AC10" i="5"/>
  <c r="AB10" i="5"/>
  <c r="AD10" i="5" s="1"/>
  <c r="AA10" i="5"/>
  <c r="Z10" i="5"/>
  <c r="Y10" i="5"/>
  <c r="X10" i="5"/>
  <c r="AC9" i="5"/>
  <c r="AB9" i="5"/>
  <c r="AD9" i="5" s="1"/>
  <c r="AA9" i="5"/>
  <c r="Z9" i="5"/>
  <c r="Y9" i="5"/>
  <c r="X9" i="5"/>
  <c r="AC8" i="5"/>
  <c r="AB8" i="5"/>
  <c r="AD8" i="5" s="1"/>
  <c r="AA8" i="5"/>
  <c r="Z8" i="5"/>
  <c r="Y8" i="5"/>
  <c r="X8" i="5"/>
  <c r="AC7" i="5"/>
  <c r="AB7" i="5"/>
  <c r="AD7" i="5" s="1"/>
  <c r="AA7" i="5"/>
  <c r="Z7" i="5"/>
  <c r="Y7" i="5"/>
  <c r="X7" i="5"/>
  <c r="AC6" i="5"/>
  <c r="AB6" i="5"/>
  <c r="AD6" i="5" s="1"/>
  <c r="AA6" i="5"/>
  <c r="Z6" i="5"/>
  <c r="Y6" i="5"/>
  <c r="X6" i="5"/>
  <c r="AC5" i="5"/>
  <c r="AB5" i="5"/>
  <c r="AD5" i="5" s="1"/>
  <c r="AA5" i="5"/>
  <c r="Z5" i="5"/>
  <c r="Y5" i="5"/>
  <c r="X5" i="5"/>
  <c r="AC4" i="5"/>
  <c r="AB4" i="5"/>
  <c r="AD4" i="5" s="1"/>
  <c r="AA4" i="5"/>
  <c r="Z4" i="5"/>
  <c r="Y4" i="5"/>
  <c r="X4" i="5"/>
  <c r="AC3" i="5"/>
  <c r="AB3" i="5"/>
  <c r="AD3" i="5" s="1"/>
  <c r="AA3" i="5"/>
  <c r="Z3" i="5"/>
  <c r="Y3" i="5"/>
  <c r="X3" i="5"/>
  <c r="AC164" i="4"/>
  <c r="AB164" i="4"/>
  <c r="AD164" i="4" s="1"/>
  <c r="AA164" i="4"/>
  <c r="Z164" i="4"/>
  <c r="Y164" i="4"/>
  <c r="X164" i="4"/>
  <c r="AC163" i="4"/>
  <c r="AB163" i="4"/>
  <c r="AD163" i="4" s="1"/>
  <c r="AA163" i="4"/>
  <c r="Z163" i="4"/>
  <c r="Y163" i="4"/>
  <c r="X163" i="4"/>
  <c r="AC162" i="4"/>
  <c r="AB162" i="4"/>
  <c r="AD162" i="4" s="1"/>
  <c r="AA162" i="4"/>
  <c r="Z162" i="4"/>
  <c r="Y162" i="4"/>
  <c r="X162" i="4"/>
  <c r="AC161" i="4"/>
  <c r="AB161" i="4"/>
  <c r="AD161" i="4" s="1"/>
  <c r="AA161" i="4"/>
  <c r="Z161" i="4"/>
  <c r="Y161" i="4"/>
  <c r="X161" i="4"/>
  <c r="AC160" i="4"/>
  <c r="AB160" i="4"/>
  <c r="AD160" i="4" s="1"/>
  <c r="AA160" i="4"/>
  <c r="Z160" i="4"/>
  <c r="Y160" i="4"/>
  <c r="X160" i="4"/>
  <c r="AC159" i="4"/>
  <c r="AB159" i="4"/>
  <c r="AD159" i="4" s="1"/>
  <c r="AA159" i="4"/>
  <c r="Z159" i="4"/>
  <c r="Y159" i="4"/>
  <c r="X159" i="4"/>
  <c r="AC158" i="4"/>
  <c r="AB158" i="4"/>
  <c r="AD158" i="4" s="1"/>
  <c r="AA158" i="4"/>
  <c r="Z158" i="4"/>
  <c r="Y158" i="4"/>
  <c r="X158" i="4"/>
  <c r="AD157" i="4"/>
  <c r="AC157" i="4"/>
  <c r="AB157" i="4"/>
  <c r="AA157" i="4"/>
  <c r="Z157" i="4"/>
  <c r="Y157" i="4"/>
  <c r="X157" i="4"/>
  <c r="AC156" i="4"/>
  <c r="AB156" i="4"/>
  <c r="AD156" i="4" s="1"/>
  <c r="AA156" i="4"/>
  <c r="Z156" i="4"/>
  <c r="Y156" i="4"/>
  <c r="X156" i="4"/>
  <c r="AC155" i="4"/>
  <c r="AB155" i="4"/>
  <c r="AD155" i="4" s="1"/>
  <c r="AA155" i="4"/>
  <c r="Z155" i="4"/>
  <c r="Y155" i="4"/>
  <c r="X155" i="4"/>
  <c r="AC154" i="4"/>
  <c r="AB154" i="4"/>
  <c r="AD154" i="4" s="1"/>
  <c r="AA154" i="4"/>
  <c r="Z154" i="4"/>
  <c r="Y154" i="4"/>
  <c r="X154" i="4"/>
  <c r="AC153" i="4"/>
  <c r="AB153" i="4"/>
  <c r="AD153" i="4" s="1"/>
  <c r="AA153" i="4"/>
  <c r="Z153" i="4"/>
  <c r="Y153" i="4"/>
  <c r="X153" i="4"/>
  <c r="AD152" i="4"/>
  <c r="AC152" i="4"/>
  <c r="AB152" i="4"/>
  <c r="AA152" i="4"/>
  <c r="Z152" i="4"/>
  <c r="Y152" i="4"/>
  <c r="X152" i="4"/>
  <c r="AC151" i="4"/>
  <c r="AB151" i="4"/>
  <c r="AD151" i="4" s="1"/>
  <c r="AA151" i="4"/>
  <c r="Z151" i="4"/>
  <c r="Y151" i="4"/>
  <c r="X151" i="4"/>
  <c r="AC150" i="4"/>
  <c r="AB150" i="4"/>
  <c r="AD150" i="4" s="1"/>
  <c r="AA150" i="4"/>
  <c r="Z150" i="4"/>
  <c r="Y150" i="4"/>
  <c r="X150" i="4"/>
  <c r="AD149" i="4"/>
  <c r="AC149" i="4"/>
  <c r="AB149" i="4"/>
  <c r="AA149" i="4"/>
  <c r="Z149" i="4"/>
  <c r="Y149" i="4"/>
  <c r="X149" i="4"/>
  <c r="AC148" i="4"/>
  <c r="AB148" i="4"/>
  <c r="AD148" i="4" s="1"/>
  <c r="AA148" i="4"/>
  <c r="Z148" i="4"/>
  <c r="Y148" i="4"/>
  <c r="X148" i="4"/>
  <c r="AC147" i="4"/>
  <c r="AB147" i="4"/>
  <c r="AD147" i="4" s="1"/>
  <c r="AA147" i="4"/>
  <c r="Z147" i="4"/>
  <c r="Y147" i="4"/>
  <c r="X147" i="4"/>
  <c r="AC146" i="4"/>
  <c r="AB146" i="4"/>
  <c r="AD146" i="4" s="1"/>
  <c r="AA146" i="4"/>
  <c r="Z146" i="4"/>
  <c r="Y146" i="4"/>
  <c r="X146" i="4"/>
  <c r="AC145" i="4"/>
  <c r="AB145" i="4"/>
  <c r="AD145" i="4" s="1"/>
  <c r="AA145" i="4"/>
  <c r="Z145" i="4"/>
  <c r="Y145" i="4"/>
  <c r="X145" i="4"/>
  <c r="AC144" i="4"/>
  <c r="AB144" i="4"/>
  <c r="AD144" i="4" s="1"/>
  <c r="AA144" i="4"/>
  <c r="Z144" i="4"/>
  <c r="Y144" i="4"/>
  <c r="X144" i="4"/>
  <c r="AC143" i="4"/>
  <c r="AB143" i="4"/>
  <c r="AD143" i="4" s="1"/>
  <c r="AA143" i="4"/>
  <c r="Z143" i="4"/>
  <c r="Y143" i="4"/>
  <c r="X143" i="4"/>
  <c r="AC142" i="4"/>
  <c r="AB142" i="4"/>
  <c r="AD142" i="4" s="1"/>
  <c r="AA142" i="4"/>
  <c r="Z142" i="4"/>
  <c r="Y142" i="4"/>
  <c r="X142" i="4"/>
  <c r="AD141" i="4"/>
  <c r="AC141" i="4"/>
  <c r="AB141" i="4"/>
  <c r="AA141" i="4"/>
  <c r="Z141" i="4"/>
  <c r="Y141" i="4"/>
  <c r="X141" i="4"/>
  <c r="AC140" i="4"/>
  <c r="AB140" i="4"/>
  <c r="AD140" i="4" s="1"/>
  <c r="AA140" i="4"/>
  <c r="Z140" i="4"/>
  <c r="Y140" i="4"/>
  <c r="X140" i="4"/>
  <c r="AC139" i="4"/>
  <c r="AB139" i="4"/>
  <c r="AD139" i="4" s="1"/>
  <c r="AA139" i="4"/>
  <c r="Z139" i="4"/>
  <c r="Y139" i="4"/>
  <c r="X139" i="4"/>
  <c r="AC138" i="4"/>
  <c r="AB138" i="4"/>
  <c r="AD138" i="4" s="1"/>
  <c r="AA138" i="4"/>
  <c r="Z138" i="4"/>
  <c r="Y138" i="4"/>
  <c r="X138" i="4"/>
  <c r="AC137" i="4"/>
  <c r="AB137" i="4"/>
  <c r="AD137" i="4" s="1"/>
  <c r="AA137" i="4"/>
  <c r="Z137" i="4"/>
  <c r="Y137" i="4"/>
  <c r="X137" i="4"/>
  <c r="AC136" i="4"/>
  <c r="AB136" i="4"/>
  <c r="AD136" i="4" s="1"/>
  <c r="AA136" i="4"/>
  <c r="Z136" i="4"/>
  <c r="Y136" i="4"/>
  <c r="X136" i="4"/>
  <c r="AC135" i="4"/>
  <c r="AB135" i="4"/>
  <c r="AD135" i="4" s="1"/>
  <c r="AA135" i="4"/>
  <c r="Z135" i="4"/>
  <c r="Y135" i="4"/>
  <c r="X135" i="4"/>
  <c r="AC134" i="4"/>
  <c r="AB134" i="4"/>
  <c r="AD134" i="4" s="1"/>
  <c r="AA134" i="4"/>
  <c r="Z134" i="4"/>
  <c r="Y134" i="4"/>
  <c r="X134" i="4"/>
  <c r="AC133" i="4"/>
  <c r="AB133" i="4"/>
  <c r="AD133" i="4" s="1"/>
  <c r="AA133" i="4"/>
  <c r="Z133" i="4"/>
  <c r="Y133" i="4"/>
  <c r="X133" i="4"/>
  <c r="AD132" i="4"/>
  <c r="AC132" i="4"/>
  <c r="AB132" i="4"/>
  <c r="AA132" i="4"/>
  <c r="Z132" i="4"/>
  <c r="Y132" i="4"/>
  <c r="X132" i="4"/>
  <c r="AC131" i="4"/>
  <c r="AB131" i="4"/>
  <c r="AD131" i="4" s="1"/>
  <c r="AA131" i="4"/>
  <c r="Z131" i="4"/>
  <c r="Y131" i="4"/>
  <c r="X131" i="4"/>
  <c r="AC130" i="4"/>
  <c r="AB130" i="4"/>
  <c r="AD130" i="4" s="1"/>
  <c r="AA130" i="4"/>
  <c r="Z130" i="4"/>
  <c r="Y130" i="4"/>
  <c r="X130" i="4"/>
  <c r="AC129" i="4"/>
  <c r="AB129" i="4"/>
  <c r="AD129" i="4" s="1"/>
  <c r="AA129" i="4"/>
  <c r="Z129" i="4"/>
  <c r="Y129" i="4"/>
  <c r="X129" i="4"/>
  <c r="AC128" i="4"/>
  <c r="AB128" i="4"/>
  <c r="AD128" i="4" s="1"/>
  <c r="AA128" i="4"/>
  <c r="Z128" i="4"/>
  <c r="Y128" i="4"/>
  <c r="X128" i="4"/>
  <c r="AC127" i="4"/>
  <c r="AB127" i="4"/>
  <c r="AD127" i="4" s="1"/>
  <c r="AA127" i="4"/>
  <c r="Z127" i="4"/>
  <c r="Y127" i="4"/>
  <c r="X127" i="4"/>
  <c r="AC126" i="4"/>
  <c r="AB126" i="4"/>
  <c r="AD126" i="4" s="1"/>
  <c r="AA126" i="4"/>
  <c r="Z126" i="4"/>
  <c r="Y126" i="4"/>
  <c r="X126" i="4"/>
  <c r="AC125" i="4"/>
  <c r="AB125" i="4"/>
  <c r="AD125" i="4" s="1"/>
  <c r="AA125" i="4"/>
  <c r="Z125" i="4"/>
  <c r="Y125" i="4"/>
  <c r="X125" i="4"/>
  <c r="AC124" i="4"/>
  <c r="AB124" i="4"/>
  <c r="AD124" i="4" s="1"/>
  <c r="AA124" i="4"/>
  <c r="Z124" i="4"/>
  <c r="Y124" i="4"/>
  <c r="X124" i="4"/>
  <c r="AC123" i="4"/>
  <c r="AB123" i="4"/>
  <c r="AD123" i="4" s="1"/>
  <c r="AA123" i="4"/>
  <c r="Z123" i="4"/>
  <c r="Y123" i="4"/>
  <c r="X123" i="4"/>
  <c r="AC122" i="4"/>
  <c r="AB122" i="4"/>
  <c r="AD122" i="4" s="1"/>
  <c r="AA122" i="4"/>
  <c r="Z122" i="4"/>
  <c r="Y122" i="4"/>
  <c r="X122" i="4"/>
  <c r="AC121" i="4"/>
  <c r="AB121" i="4"/>
  <c r="AD121" i="4" s="1"/>
  <c r="AA121" i="4"/>
  <c r="Z121" i="4"/>
  <c r="Y121" i="4"/>
  <c r="X121" i="4"/>
  <c r="AC120" i="4"/>
  <c r="AB120" i="4"/>
  <c r="AD120" i="4" s="1"/>
  <c r="AA120" i="4"/>
  <c r="Z120" i="4"/>
  <c r="Y120" i="4"/>
  <c r="X120" i="4"/>
  <c r="AC119" i="4"/>
  <c r="AB119" i="4"/>
  <c r="AD119" i="4" s="1"/>
  <c r="AA119" i="4"/>
  <c r="Z119" i="4"/>
  <c r="Y119" i="4"/>
  <c r="X119" i="4"/>
  <c r="AC118" i="4"/>
  <c r="AB118" i="4"/>
  <c r="AD118" i="4" s="1"/>
  <c r="AA118" i="4"/>
  <c r="Z118" i="4"/>
  <c r="Y118" i="4"/>
  <c r="X118" i="4"/>
  <c r="AD117" i="4"/>
  <c r="AC117" i="4"/>
  <c r="AB117" i="4"/>
  <c r="AA117" i="4"/>
  <c r="Z117" i="4"/>
  <c r="Y117" i="4"/>
  <c r="X117" i="4"/>
  <c r="AD116" i="4"/>
  <c r="AC116" i="4"/>
  <c r="AB116" i="4"/>
  <c r="AA116" i="4"/>
  <c r="Z116" i="4"/>
  <c r="Y116" i="4"/>
  <c r="X116" i="4"/>
  <c r="AC115" i="4"/>
  <c r="AB115" i="4"/>
  <c r="AD115" i="4" s="1"/>
  <c r="AA115" i="4"/>
  <c r="Z115" i="4"/>
  <c r="Y115" i="4"/>
  <c r="X115" i="4"/>
  <c r="AC114" i="4"/>
  <c r="AB114" i="4"/>
  <c r="AD114" i="4" s="1"/>
  <c r="AA114" i="4"/>
  <c r="Z114" i="4"/>
  <c r="Y114" i="4"/>
  <c r="X114" i="4"/>
  <c r="AC113" i="4"/>
  <c r="AB113" i="4"/>
  <c r="AD113" i="4" s="1"/>
  <c r="AA113" i="4"/>
  <c r="Z113" i="4"/>
  <c r="Y113" i="4"/>
  <c r="X113" i="4"/>
  <c r="AD112" i="4"/>
  <c r="AC112" i="4"/>
  <c r="AB112" i="4"/>
  <c r="AA112" i="4"/>
  <c r="Z112" i="4"/>
  <c r="Y112" i="4"/>
  <c r="X112" i="4"/>
  <c r="AC111" i="4"/>
  <c r="AB111" i="4"/>
  <c r="AD111" i="4" s="1"/>
  <c r="AA111" i="4"/>
  <c r="Z111" i="4"/>
  <c r="Y111" i="4"/>
  <c r="X111" i="4"/>
  <c r="AC110" i="4"/>
  <c r="AB110" i="4"/>
  <c r="AD110" i="4" s="1"/>
  <c r="AA110" i="4"/>
  <c r="Z110" i="4"/>
  <c r="Y110" i="4"/>
  <c r="X110" i="4"/>
  <c r="AC109" i="4"/>
  <c r="AB109" i="4"/>
  <c r="AD109" i="4" s="1"/>
  <c r="AA109" i="4"/>
  <c r="Z109" i="4"/>
  <c r="Y109" i="4"/>
  <c r="X109" i="4"/>
  <c r="AC108" i="4"/>
  <c r="AB108" i="4"/>
  <c r="AD108" i="4" s="1"/>
  <c r="AA108" i="4"/>
  <c r="Z108" i="4"/>
  <c r="Y108" i="4"/>
  <c r="X108" i="4"/>
  <c r="AD107" i="4"/>
  <c r="AC107" i="4"/>
  <c r="AB107" i="4"/>
  <c r="AA107" i="4"/>
  <c r="Z107" i="4"/>
  <c r="Y107" i="4"/>
  <c r="X107" i="4"/>
  <c r="AC106" i="4"/>
  <c r="AB106" i="4"/>
  <c r="AD106" i="4" s="1"/>
  <c r="AA106" i="4"/>
  <c r="Z106" i="4"/>
  <c r="Y106" i="4"/>
  <c r="X106" i="4"/>
  <c r="AC105" i="4"/>
  <c r="AB105" i="4"/>
  <c r="AD105" i="4" s="1"/>
  <c r="AA105" i="4"/>
  <c r="Z105" i="4"/>
  <c r="Y105" i="4"/>
  <c r="X105" i="4"/>
  <c r="AC104" i="4"/>
  <c r="AB104" i="4"/>
  <c r="AD104" i="4" s="1"/>
  <c r="AA104" i="4"/>
  <c r="Z104" i="4"/>
  <c r="Y104" i="4"/>
  <c r="X104" i="4"/>
  <c r="AC103" i="4"/>
  <c r="AB103" i="4"/>
  <c r="AD103" i="4" s="1"/>
  <c r="AA103" i="4"/>
  <c r="Z103" i="4"/>
  <c r="Y103" i="4"/>
  <c r="X103" i="4"/>
  <c r="AC102" i="4"/>
  <c r="AB102" i="4"/>
  <c r="AD102" i="4" s="1"/>
  <c r="AA102" i="4"/>
  <c r="Z102" i="4"/>
  <c r="Y102" i="4"/>
  <c r="X102" i="4"/>
  <c r="AC101" i="4"/>
  <c r="AB101" i="4"/>
  <c r="AD101" i="4" s="1"/>
  <c r="AA101" i="4"/>
  <c r="Z101" i="4"/>
  <c r="Y101" i="4"/>
  <c r="X101" i="4"/>
  <c r="AD100" i="4"/>
  <c r="AC100" i="4"/>
  <c r="AB100" i="4"/>
  <c r="AA100" i="4"/>
  <c r="Z100" i="4"/>
  <c r="Y100" i="4"/>
  <c r="X100" i="4"/>
  <c r="AC99" i="4"/>
  <c r="AB99" i="4"/>
  <c r="AD99" i="4" s="1"/>
  <c r="AA99" i="4"/>
  <c r="Z99" i="4"/>
  <c r="Y99" i="4"/>
  <c r="X99" i="4"/>
  <c r="AC98" i="4"/>
  <c r="AB98" i="4"/>
  <c r="AD98" i="4" s="1"/>
  <c r="AA98" i="4"/>
  <c r="Z98" i="4"/>
  <c r="Y98" i="4"/>
  <c r="X98" i="4"/>
  <c r="AC97" i="4"/>
  <c r="AB97" i="4"/>
  <c r="AD97" i="4" s="1"/>
  <c r="AA97" i="4"/>
  <c r="Z97" i="4"/>
  <c r="Y97" i="4"/>
  <c r="X97" i="4"/>
  <c r="AC96" i="4"/>
  <c r="AB96" i="4"/>
  <c r="AD96" i="4" s="1"/>
  <c r="AA96" i="4"/>
  <c r="Z96" i="4"/>
  <c r="Y96" i="4"/>
  <c r="X96" i="4"/>
  <c r="AC95" i="4"/>
  <c r="AB95" i="4"/>
  <c r="AD95" i="4" s="1"/>
  <c r="AA95" i="4"/>
  <c r="Z95" i="4"/>
  <c r="Y95" i="4"/>
  <c r="X95" i="4"/>
  <c r="AC94" i="4"/>
  <c r="AB94" i="4"/>
  <c r="AD94" i="4" s="1"/>
  <c r="AA94" i="4"/>
  <c r="Z94" i="4"/>
  <c r="Y94" i="4"/>
  <c r="X94" i="4"/>
  <c r="AC93" i="4"/>
  <c r="AB93" i="4"/>
  <c r="AD93" i="4" s="1"/>
  <c r="AA93" i="4"/>
  <c r="Z93" i="4"/>
  <c r="Y93" i="4"/>
  <c r="X93" i="4"/>
  <c r="AC92" i="4"/>
  <c r="AB92" i="4"/>
  <c r="AD92" i="4" s="1"/>
  <c r="AA92" i="4"/>
  <c r="Z92" i="4"/>
  <c r="Y92" i="4"/>
  <c r="X92" i="4"/>
  <c r="AC91" i="4"/>
  <c r="AB91" i="4"/>
  <c r="AD91" i="4" s="1"/>
  <c r="AA91" i="4"/>
  <c r="Z91" i="4"/>
  <c r="Y91" i="4"/>
  <c r="X91" i="4"/>
  <c r="AC90" i="4"/>
  <c r="AB90" i="4"/>
  <c r="AD90" i="4" s="1"/>
  <c r="AA90" i="4"/>
  <c r="Z90" i="4"/>
  <c r="Y90" i="4"/>
  <c r="X90" i="4"/>
  <c r="AC89" i="4"/>
  <c r="AB89" i="4"/>
  <c r="AD89" i="4" s="1"/>
  <c r="AA89" i="4"/>
  <c r="Z89" i="4"/>
  <c r="Y89" i="4"/>
  <c r="X89" i="4"/>
  <c r="AC88" i="4"/>
  <c r="AB88" i="4"/>
  <c r="AD88" i="4" s="1"/>
  <c r="AA88" i="4"/>
  <c r="Z88" i="4"/>
  <c r="Y88" i="4"/>
  <c r="X88" i="4"/>
  <c r="AC87" i="4"/>
  <c r="AB87" i="4"/>
  <c r="AD87" i="4" s="1"/>
  <c r="AA87" i="4"/>
  <c r="Z87" i="4"/>
  <c r="Y87" i="4"/>
  <c r="X87" i="4"/>
  <c r="AC86" i="4"/>
  <c r="AB86" i="4"/>
  <c r="AD86" i="4" s="1"/>
  <c r="AA86" i="4"/>
  <c r="Z86" i="4"/>
  <c r="Y86" i="4"/>
  <c r="X86" i="4"/>
  <c r="AC85" i="4"/>
  <c r="AB85" i="4"/>
  <c r="AD85" i="4" s="1"/>
  <c r="AA85" i="4"/>
  <c r="Z85" i="4"/>
  <c r="Y85" i="4"/>
  <c r="X85" i="4"/>
  <c r="AC84" i="4"/>
  <c r="AB84" i="4"/>
  <c r="AD84" i="4" s="1"/>
  <c r="AA84" i="4"/>
  <c r="Z84" i="4"/>
  <c r="Y84" i="4"/>
  <c r="X84" i="4"/>
  <c r="AD83" i="4"/>
  <c r="AC83" i="4"/>
  <c r="AB83" i="4"/>
  <c r="AA83" i="4"/>
  <c r="Z83" i="4"/>
  <c r="Y83" i="4"/>
  <c r="X83" i="4"/>
  <c r="AC82" i="4"/>
  <c r="AB82" i="4"/>
  <c r="AD82" i="4" s="1"/>
  <c r="AA82" i="4"/>
  <c r="Z82" i="4"/>
  <c r="Y82" i="4"/>
  <c r="X82" i="4"/>
  <c r="AC81" i="4"/>
  <c r="AB81" i="4"/>
  <c r="AD81" i="4" s="1"/>
  <c r="AA81" i="4"/>
  <c r="Z81" i="4"/>
  <c r="Y81" i="4"/>
  <c r="X81" i="4"/>
  <c r="AC80" i="4"/>
  <c r="AB80" i="4"/>
  <c r="AD80" i="4" s="1"/>
  <c r="AA80" i="4"/>
  <c r="Z80" i="4"/>
  <c r="Y80" i="4"/>
  <c r="X80" i="4"/>
  <c r="AC79" i="4"/>
  <c r="AB79" i="4"/>
  <c r="AD79" i="4" s="1"/>
  <c r="AA79" i="4"/>
  <c r="Z79" i="4"/>
  <c r="Y79" i="4"/>
  <c r="X79" i="4"/>
  <c r="AC78" i="4"/>
  <c r="AB78" i="4"/>
  <c r="AD78" i="4" s="1"/>
  <c r="AA78" i="4"/>
  <c r="Z78" i="4"/>
  <c r="Y78" i="4"/>
  <c r="X78" i="4"/>
  <c r="AC77" i="4"/>
  <c r="AB77" i="4"/>
  <c r="AD77" i="4" s="1"/>
  <c r="AA77" i="4"/>
  <c r="Z77" i="4"/>
  <c r="Y77" i="4"/>
  <c r="X77" i="4"/>
  <c r="AC76" i="4"/>
  <c r="AB76" i="4"/>
  <c r="AD76" i="4" s="1"/>
  <c r="AA76" i="4"/>
  <c r="Z76" i="4"/>
  <c r="Y76" i="4"/>
  <c r="X76" i="4"/>
  <c r="AC75" i="4"/>
  <c r="AB75" i="4"/>
  <c r="AD75" i="4" s="1"/>
  <c r="AA75" i="4"/>
  <c r="Z75" i="4"/>
  <c r="Y75" i="4"/>
  <c r="X75" i="4"/>
  <c r="AC74" i="4"/>
  <c r="AB74" i="4"/>
  <c r="AD74" i="4" s="1"/>
  <c r="AA74" i="4"/>
  <c r="Z74" i="4"/>
  <c r="Y74" i="4"/>
  <c r="X74" i="4"/>
  <c r="AC73" i="4"/>
  <c r="AB73" i="4"/>
  <c r="AD73" i="4" s="1"/>
  <c r="AA73" i="4"/>
  <c r="Z73" i="4"/>
  <c r="Y73" i="4"/>
  <c r="X73" i="4"/>
  <c r="AC72" i="4"/>
  <c r="AB72" i="4"/>
  <c r="AD72" i="4" s="1"/>
  <c r="AA72" i="4"/>
  <c r="Z72" i="4"/>
  <c r="Y72" i="4"/>
  <c r="X72" i="4"/>
  <c r="AC71" i="4"/>
  <c r="AB71" i="4"/>
  <c r="AD71" i="4" s="1"/>
  <c r="AA71" i="4"/>
  <c r="Z71" i="4"/>
  <c r="Y71" i="4"/>
  <c r="X71" i="4"/>
  <c r="AC70" i="4"/>
  <c r="AB70" i="4"/>
  <c r="AD70" i="4" s="1"/>
  <c r="AA70" i="4"/>
  <c r="Z70" i="4"/>
  <c r="Y70" i="4"/>
  <c r="X70" i="4"/>
  <c r="AC69" i="4"/>
  <c r="AB69" i="4"/>
  <c r="AD69" i="4" s="1"/>
  <c r="AA69" i="4"/>
  <c r="Z69" i="4"/>
  <c r="Y69" i="4"/>
  <c r="X69" i="4"/>
  <c r="AD68" i="4"/>
  <c r="AC68" i="4"/>
  <c r="AB68" i="4"/>
  <c r="AA68" i="4"/>
  <c r="Z68" i="4"/>
  <c r="Y68" i="4"/>
  <c r="X68" i="4"/>
  <c r="AC67" i="4"/>
  <c r="AB67" i="4"/>
  <c r="AD67" i="4" s="1"/>
  <c r="AA67" i="4"/>
  <c r="Z67" i="4"/>
  <c r="Y67" i="4"/>
  <c r="X67" i="4"/>
  <c r="AC66" i="4"/>
  <c r="AB66" i="4"/>
  <c r="AD66" i="4" s="1"/>
  <c r="AA66" i="4"/>
  <c r="Z66" i="4"/>
  <c r="Y66" i="4"/>
  <c r="X66" i="4"/>
  <c r="AC65" i="4"/>
  <c r="AB65" i="4"/>
  <c r="AD65" i="4" s="1"/>
  <c r="AA65" i="4"/>
  <c r="Z65" i="4"/>
  <c r="Y65" i="4"/>
  <c r="X65" i="4"/>
  <c r="AD64" i="4"/>
  <c r="AC64" i="4"/>
  <c r="AB64" i="4"/>
  <c r="AA64" i="4"/>
  <c r="Z64" i="4"/>
  <c r="Y64" i="4"/>
  <c r="X64" i="4"/>
  <c r="AC63" i="4"/>
  <c r="AB63" i="4"/>
  <c r="AD63" i="4" s="1"/>
  <c r="AA63" i="4"/>
  <c r="Z63" i="4"/>
  <c r="Y63" i="4"/>
  <c r="X63" i="4"/>
  <c r="AC62" i="4"/>
  <c r="AB62" i="4"/>
  <c r="AD62" i="4" s="1"/>
  <c r="AA62" i="4"/>
  <c r="Z62" i="4"/>
  <c r="Y62" i="4"/>
  <c r="X62" i="4"/>
  <c r="AC61" i="4"/>
  <c r="AB61" i="4"/>
  <c r="AD61" i="4" s="1"/>
  <c r="AA61" i="4"/>
  <c r="Z61" i="4"/>
  <c r="Y61" i="4"/>
  <c r="X61" i="4"/>
  <c r="AD60" i="4"/>
  <c r="AC60" i="4"/>
  <c r="AB60" i="4"/>
  <c r="AA60" i="4"/>
  <c r="Z60" i="4"/>
  <c r="Y60" i="4"/>
  <c r="X60" i="4"/>
  <c r="AC59" i="4"/>
  <c r="AB59" i="4"/>
  <c r="AD59" i="4" s="1"/>
  <c r="AA59" i="4"/>
  <c r="Z59" i="4"/>
  <c r="Y59" i="4"/>
  <c r="X59" i="4"/>
  <c r="AD58" i="4"/>
  <c r="AC58" i="4"/>
  <c r="AB58" i="4"/>
  <c r="AA58" i="4"/>
  <c r="Z58" i="4"/>
  <c r="Y58" i="4"/>
  <c r="X58" i="4"/>
  <c r="AC57" i="4"/>
  <c r="AB57" i="4"/>
  <c r="AD57" i="4" s="1"/>
  <c r="AA57" i="4"/>
  <c r="Z57" i="4"/>
  <c r="Y57" i="4"/>
  <c r="X57" i="4"/>
  <c r="AD56" i="4"/>
  <c r="AC56" i="4"/>
  <c r="AB56" i="4"/>
  <c r="AA56" i="4"/>
  <c r="Z56" i="4"/>
  <c r="Y56" i="4"/>
  <c r="X56" i="4"/>
  <c r="AC55" i="4"/>
  <c r="AB55" i="4"/>
  <c r="AD55" i="4" s="1"/>
  <c r="AA55" i="4"/>
  <c r="Z55" i="4"/>
  <c r="Y55" i="4"/>
  <c r="X55" i="4"/>
  <c r="AC54" i="4"/>
  <c r="AB54" i="4"/>
  <c r="AD54" i="4" s="1"/>
  <c r="AA54" i="4"/>
  <c r="Z54" i="4"/>
  <c r="Y54" i="4"/>
  <c r="X54" i="4"/>
  <c r="AD53" i="4"/>
  <c r="AC53" i="4"/>
  <c r="AB53" i="4"/>
  <c r="AA53" i="4"/>
  <c r="Z53" i="4"/>
  <c r="Y53" i="4"/>
  <c r="X53" i="4"/>
  <c r="AC52" i="4"/>
  <c r="AB52" i="4"/>
  <c r="AD52" i="4" s="1"/>
  <c r="AA52" i="4"/>
  <c r="Z52" i="4"/>
  <c r="Y52" i="4"/>
  <c r="X52" i="4"/>
  <c r="AC51" i="4"/>
  <c r="AB51" i="4"/>
  <c r="AD51" i="4" s="1"/>
  <c r="AA51" i="4"/>
  <c r="Z51" i="4"/>
  <c r="Y51" i="4"/>
  <c r="X51" i="4"/>
  <c r="AC50" i="4"/>
  <c r="AB50" i="4"/>
  <c r="AD50" i="4" s="1"/>
  <c r="AA50" i="4"/>
  <c r="Z50" i="4"/>
  <c r="Y50" i="4"/>
  <c r="X50" i="4"/>
  <c r="AC49" i="4"/>
  <c r="AB49" i="4"/>
  <c r="AD49" i="4" s="1"/>
  <c r="AA49" i="4"/>
  <c r="Z49" i="4"/>
  <c r="Y49" i="4"/>
  <c r="X49" i="4"/>
  <c r="AD48" i="4"/>
  <c r="AC48" i="4"/>
  <c r="AB48" i="4"/>
  <c r="AA48" i="4"/>
  <c r="Z48" i="4"/>
  <c r="Y48" i="4"/>
  <c r="X48" i="4"/>
  <c r="AC47" i="4"/>
  <c r="AB47" i="4"/>
  <c r="AD47" i="4" s="1"/>
  <c r="AA47" i="4"/>
  <c r="Z47" i="4"/>
  <c r="Y47" i="4"/>
  <c r="X47" i="4"/>
  <c r="AC46" i="4"/>
  <c r="AB46" i="4"/>
  <c r="AD46" i="4" s="1"/>
  <c r="AA46" i="4"/>
  <c r="Z46" i="4"/>
  <c r="Y46" i="4"/>
  <c r="X46" i="4"/>
  <c r="AC45" i="4"/>
  <c r="AB45" i="4"/>
  <c r="AD45" i="4" s="1"/>
  <c r="AA45" i="4"/>
  <c r="Z45" i="4"/>
  <c r="Y45" i="4"/>
  <c r="X45" i="4"/>
  <c r="AC44" i="4"/>
  <c r="AB44" i="4"/>
  <c r="AD44" i="4" s="1"/>
  <c r="AA44" i="4"/>
  <c r="Z44" i="4"/>
  <c r="Y44" i="4"/>
  <c r="X44" i="4"/>
  <c r="AD43" i="4"/>
  <c r="AC43" i="4"/>
  <c r="AB43" i="4"/>
  <c r="AA43" i="4"/>
  <c r="Z43" i="4"/>
  <c r="Y43" i="4"/>
  <c r="X43" i="4"/>
  <c r="AC42" i="4"/>
  <c r="AB42" i="4"/>
  <c r="AD42" i="4" s="1"/>
  <c r="AA42" i="4"/>
  <c r="Z42" i="4"/>
  <c r="Y42" i="4"/>
  <c r="X42" i="4"/>
  <c r="AC41" i="4"/>
  <c r="AB41" i="4"/>
  <c r="AD41" i="4" s="1"/>
  <c r="AA41" i="4"/>
  <c r="Z41" i="4"/>
  <c r="Y41" i="4"/>
  <c r="X41" i="4"/>
  <c r="AC40" i="4"/>
  <c r="AB40" i="4"/>
  <c r="AD40" i="4" s="1"/>
  <c r="AA40" i="4"/>
  <c r="Z40" i="4"/>
  <c r="Y40" i="4"/>
  <c r="X40" i="4"/>
  <c r="AC39" i="4"/>
  <c r="AB39" i="4"/>
  <c r="AD39" i="4" s="1"/>
  <c r="AA39" i="4"/>
  <c r="Z39" i="4"/>
  <c r="Y39" i="4"/>
  <c r="X39" i="4"/>
  <c r="AC38" i="4"/>
  <c r="AB38" i="4"/>
  <c r="AD38" i="4" s="1"/>
  <c r="AA38" i="4"/>
  <c r="Z38" i="4"/>
  <c r="Y38" i="4"/>
  <c r="X38" i="4"/>
  <c r="AD37" i="4"/>
  <c r="AC37" i="4"/>
  <c r="AB37" i="4"/>
  <c r="AA37" i="4"/>
  <c r="Z37" i="4"/>
  <c r="Y37" i="4"/>
  <c r="X37" i="4"/>
  <c r="AC36" i="4"/>
  <c r="AB36" i="4"/>
  <c r="AD36" i="4" s="1"/>
  <c r="AA36" i="4"/>
  <c r="Z36" i="4"/>
  <c r="Y36" i="4"/>
  <c r="X36" i="4"/>
  <c r="AC35" i="4"/>
  <c r="AB35" i="4"/>
  <c r="AD35" i="4" s="1"/>
  <c r="AA35" i="4"/>
  <c r="Z35" i="4"/>
  <c r="Y35" i="4"/>
  <c r="X35" i="4"/>
  <c r="AC34" i="4"/>
  <c r="AB34" i="4"/>
  <c r="AD34" i="4" s="1"/>
  <c r="AA34" i="4"/>
  <c r="Z34" i="4"/>
  <c r="Y34" i="4"/>
  <c r="X34" i="4"/>
  <c r="AC33" i="4"/>
  <c r="AB33" i="4"/>
  <c r="AD33" i="4" s="1"/>
  <c r="AA33" i="4"/>
  <c r="Z33" i="4"/>
  <c r="Y33" i="4"/>
  <c r="X33" i="4"/>
  <c r="AC32" i="4"/>
  <c r="AB32" i="4"/>
  <c r="AD32" i="4" s="1"/>
  <c r="AA32" i="4"/>
  <c r="Z32" i="4"/>
  <c r="Y32" i="4"/>
  <c r="X32" i="4"/>
  <c r="AC31" i="4"/>
  <c r="AB31" i="4"/>
  <c r="AD31" i="4" s="1"/>
  <c r="AA31" i="4"/>
  <c r="Z31" i="4"/>
  <c r="Y31" i="4"/>
  <c r="X31" i="4"/>
  <c r="AC30" i="4"/>
  <c r="AB30" i="4"/>
  <c r="AD30" i="4" s="1"/>
  <c r="AA30" i="4"/>
  <c r="Z30" i="4"/>
  <c r="Y30" i="4"/>
  <c r="X30" i="4"/>
  <c r="AC29" i="4"/>
  <c r="AB29" i="4"/>
  <c r="AD29" i="4" s="1"/>
  <c r="AA29" i="4"/>
  <c r="Z29" i="4"/>
  <c r="Y29" i="4"/>
  <c r="X29" i="4"/>
  <c r="AC28" i="4"/>
  <c r="AB28" i="4"/>
  <c r="AD28" i="4" s="1"/>
  <c r="AA28" i="4"/>
  <c r="Z28" i="4"/>
  <c r="Y28" i="4"/>
  <c r="X28" i="4"/>
  <c r="AC27" i="4"/>
  <c r="AB27" i="4"/>
  <c r="AD27" i="4" s="1"/>
  <c r="AA27" i="4"/>
  <c r="Z27" i="4"/>
  <c r="Y27" i="4"/>
  <c r="X27" i="4"/>
  <c r="AC26" i="4"/>
  <c r="AB26" i="4"/>
  <c r="AD26" i="4" s="1"/>
  <c r="AA26" i="4"/>
  <c r="Z26" i="4"/>
  <c r="Y26" i="4"/>
  <c r="X26" i="4"/>
  <c r="AC25" i="4"/>
  <c r="AB25" i="4"/>
  <c r="AD25" i="4" s="1"/>
  <c r="AA25" i="4"/>
  <c r="Z25" i="4"/>
  <c r="Y25" i="4"/>
  <c r="X25" i="4"/>
  <c r="AC24" i="4"/>
  <c r="AB24" i="4"/>
  <c r="AD24" i="4" s="1"/>
  <c r="AA24" i="4"/>
  <c r="Z24" i="4"/>
  <c r="Y24" i="4"/>
  <c r="X24" i="4"/>
  <c r="AC23" i="4"/>
  <c r="AB23" i="4"/>
  <c r="AD23" i="4" s="1"/>
  <c r="AA23" i="4"/>
  <c r="Z23" i="4"/>
  <c r="Y23" i="4"/>
  <c r="X23" i="4"/>
  <c r="AC22" i="4"/>
  <c r="AB22" i="4"/>
  <c r="AD22" i="4" s="1"/>
  <c r="AA22" i="4"/>
  <c r="Z22" i="4"/>
  <c r="Y22" i="4"/>
  <c r="X22" i="4"/>
  <c r="AD21" i="4"/>
  <c r="AC21" i="4"/>
  <c r="AB21" i="4"/>
  <c r="AA21" i="4"/>
  <c r="Z21" i="4"/>
  <c r="Y21" i="4"/>
  <c r="X21" i="4"/>
  <c r="AC20" i="4"/>
  <c r="AB20" i="4"/>
  <c r="AD20" i="4" s="1"/>
  <c r="AA20" i="4"/>
  <c r="Z20" i="4"/>
  <c r="Y20" i="4"/>
  <c r="X20" i="4"/>
  <c r="AC19" i="4"/>
  <c r="AB19" i="4"/>
  <c r="AD19" i="4" s="1"/>
  <c r="AA19" i="4"/>
  <c r="Z19" i="4"/>
  <c r="Y19" i="4"/>
  <c r="X19" i="4"/>
  <c r="AC18" i="4"/>
  <c r="AB18" i="4"/>
  <c r="AD18" i="4" s="1"/>
  <c r="AA18" i="4"/>
  <c r="Z18" i="4"/>
  <c r="Y18" i="4"/>
  <c r="X18" i="4"/>
  <c r="AC17" i="4"/>
  <c r="AB17" i="4"/>
  <c r="AD17" i="4" s="1"/>
  <c r="AA17" i="4"/>
  <c r="Z17" i="4"/>
  <c r="Y17" i="4"/>
  <c r="X17" i="4"/>
  <c r="AC16" i="4"/>
  <c r="AB16" i="4"/>
  <c r="AD16" i="4" s="1"/>
  <c r="AA16" i="4"/>
  <c r="Z16" i="4"/>
  <c r="Y16" i="4"/>
  <c r="X16" i="4"/>
  <c r="AC15" i="4"/>
  <c r="AB15" i="4"/>
  <c r="AD15" i="4" s="1"/>
  <c r="AA15" i="4"/>
  <c r="Z15" i="4"/>
  <c r="Y15" i="4"/>
  <c r="X15" i="4"/>
  <c r="AC14" i="4"/>
  <c r="AB14" i="4"/>
  <c r="AD14" i="4" s="1"/>
  <c r="AA14" i="4"/>
  <c r="Z14" i="4"/>
  <c r="Y14" i="4"/>
  <c r="X14" i="4"/>
  <c r="AC13" i="4"/>
  <c r="AB13" i="4"/>
  <c r="AD13" i="4" s="1"/>
  <c r="AA13" i="4"/>
  <c r="Z13" i="4"/>
  <c r="Y13" i="4"/>
  <c r="X13" i="4"/>
  <c r="AC12" i="4"/>
  <c r="AB12" i="4"/>
  <c r="AD12" i="4" s="1"/>
  <c r="AA12" i="4"/>
  <c r="Z12" i="4"/>
  <c r="Y12" i="4"/>
  <c r="X12" i="4"/>
  <c r="AC11" i="4"/>
  <c r="AB11" i="4"/>
  <c r="AD11" i="4" s="1"/>
  <c r="AA11" i="4"/>
  <c r="Z11" i="4"/>
  <c r="Y11" i="4"/>
  <c r="X11" i="4"/>
  <c r="AC10" i="4"/>
  <c r="AB10" i="4"/>
  <c r="AD10" i="4" s="1"/>
  <c r="AA10" i="4"/>
  <c r="Z10" i="4"/>
  <c r="Y10" i="4"/>
  <c r="X10" i="4"/>
  <c r="AC9" i="4"/>
  <c r="AB9" i="4"/>
  <c r="AD9" i="4" s="1"/>
  <c r="AA9" i="4"/>
  <c r="Z9" i="4"/>
  <c r="Y9" i="4"/>
  <c r="X9" i="4"/>
  <c r="AC8" i="4"/>
  <c r="AB8" i="4"/>
  <c r="AD8" i="4" s="1"/>
  <c r="AA8" i="4"/>
  <c r="Z8" i="4"/>
  <c r="Y8" i="4"/>
  <c r="X8" i="4"/>
  <c r="AC7" i="4"/>
  <c r="AB7" i="4"/>
  <c r="AD7" i="4" s="1"/>
  <c r="AA7" i="4"/>
  <c r="Z7" i="4"/>
  <c r="Y7" i="4"/>
  <c r="X7" i="4"/>
  <c r="AC6" i="4"/>
  <c r="AB6" i="4"/>
  <c r="AD6" i="4" s="1"/>
  <c r="AA6" i="4"/>
  <c r="Z6" i="4"/>
  <c r="Y6" i="4"/>
  <c r="X6" i="4"/>
  <c r="AD5" i="4"/>
  <c r="AC5" i="4"/>
  <c r="AB5" i="4"/>
  <c r="AA5" i="4"/>
  <c r="Z5" i="4"/>
  <c r="Y5" i="4"/>
  <c r="X5" i="4"/>
  <c r="AC4" i="4"/>
  <c r="AB4" i="4"/>
  <c r="AD4" i="4" s="1"/>
  <c r="AA4" i="4"/>
  <c r="Z4" i="4"/>
  <c r="Y4" i="4"/>
  <c r="X4" i="4"/>
  <c r="AD3" i="4"/>
  <c r="AC3" i="4"/>
  <c r="AB3" i="4"/>
  <c r="AA3" i="4"/>
  <c r="Z3" i="4"/>
  <c r="Y3" i="4"/>
  <c r="X3" i="4"/>
  <c r="AC164" i="3"/>
  <c r="AB164" i="3"/>
  <c r="AD164" i="3" s="1"/>
  <c r="AA164" i="3"/>
  <c r="Z164" i="3"/>
  <c r="Y164" i="3"/>
  <c r="X164" i="3"/>
  <c r="AC163" i="3"/>
  <c r="AB163" i="3"/>
  <c r="AD163" i="3" s="1"/>
  <c r="AA163" i="3"/>
  <c r="Z163" i="3"/>
  <c r="Y163" i="3"/>
  <c r="X163" i="3"/>
  <c r="AC162" i="3"/>
  <c r="AB162" i="3"/>
  <c r="AD162" i="3" s="1"/>
  <c r="AA162" i="3"/>
  <c r="Z162" i="3"/>
  <c r="Y162" i="3"/>
  <c r="X162" i="3"/>
  <c r="AC161" i="3"/>
  <c r="AB161" i="3"/>
  <c r="AD161" i="3" s="1"/>
  <c r="AA161" i="3"/>
  <c r="Z161" i="3"/>
  <c r="Y161" i="3"/>
  <c r="X161" i="3"/>
  <c r="AC160" i="3"/>
  <c r="AB160" i="3"/>
  <c r="AD160" i="3" s="1"/>
  <c r="AA160" i="3"/>
  <c r="Z160" i="3"/>
  <c r="Y160" i="3"/>
  <c r="X160" i="3"/>
  <c r="AD159" i="3"/>
  <c r="AC159" i="3"/>
  <c r="AB159" i="3"/>
  <c r="AA159" i="3"/>
  <c r="Z159" i="3"/>
  <c r="Y159" i="3"/>
  <c r="X159" i="3"/>
  <c r="AC158" i="3"/>
  <c r="AB158" i="3"/>
  <c r="AD158" i="3" s="1"/>
  <c r="AA158" i="3"/>
  <c r="Z158" i="3"/>
  <c r="Y158" i="3"/>
  <c r="X158" i="3"/>
  <c r="AC157" i="3"/>
  <c r="AB157" i="3"/>
  <c r="AD157" i="3" s="1"/>
  <c r="AA157" i="3"/>
  <c r="Z157" i="3"/>
  <c r="Y157" i="3"/>
  <c r="X157" i="3"/>
  <c r="AC156" i="3"/>
  <c r="AB156" i="3"/>
  <c r="AD156" i="3" s="1"/>
  <c r="AA156" i="3"/>
  <c r="Z156" i="3"/>
  <c r="Y156" i="3"/>
  <c r="X156" i="3"/>
  <c r="AC155" i="3"/>
  <c r="AB155" i="3"/>
  <c r="AD155" i="3" s="1"/>
  <c r="AA155" i="3"/>
  <c r="Z155" i="3"/>
  <c r="Y155" i="3"/>
  <c r="X155" i="3"/>
  <c r="AC154" i="3"/>
  <c r="AB154" i="3"/>
  <c r="AD154" i="3" s="1"/>
  <c r="AA154" i="3"/>
  <c r="Z154" i="3"/>
  <c r="Y154" i="3"/>
  <c r="X154" i="3"/>
  <c r="AC153" i="3"/>
  <c r="AB153" i="3"/>
  <c r="AD153" i="3" s="1"/>
  <c r="AA153" i="3"/>
  <c r="Z153" i="3"/>
  <c r="Y153" i="3"/>
  <c r="X153" i="3"/>
  <c r="AC152" i="3"/>
  <c r="AB152" i="3"/>
  <c r="AD152" i="3" s="1"/>
  <c r="AA152" i="3"/>
  <c r="Z152" i="3"/>
  <c r="Y152" i="3"/>
  <c r="X152" i="3"/>
  <c r="AD151" i="3"/>
  <c r="AC151" i="3"/>
  <c r="AB151" i="3"/>
  <c r="AA151" i="3"/>
  <c r="Z151" i="3"/>
  <c r="Y151" i="3"/>
  <c r="X151" i="3"/>
  <c r="AD150" i="3"/>
  <c r="AC150" i="3"/>
  <c r="AB150" i="3"/>
  <c r="AA150" i="3"/>
  <c r="Z150" i="3"/>
  <c r="Y150" i="3"/>
  <c r="X150" i="3"/>
  <c r="AC149" i="3"/>
  <c r="AB149" i="3"/>
  <c r="AD149" i="3" s="1"/>
  <c r="AA149" i="3"/>
  <c r="Z149" i="3"/>
  <c r="Y149" i="3"/>
  <c r="X149" i="3"/>
  <c r="AC148" i="3"/>
  <c r="AB148" i="3"/>
  <c r="AD148" i="3" s="1"/>
  <c r="AA148" i="3"/>
  <c r="Z148" i="3"/>
  <c r="Y148" i="3"/>
  <c r="X148" i="3"/>
  <c r="AC147" i="3"/>
  <c r="AB147" i="3"/>
  <c r="AD147" i="3" s="1"/>
  <c r="AA147" i="3"/>
  <c r="Z147" i="3"/>
  <c r="Y147" i="3"/>
  <c r="X147" i="3"/>
  <c r="AC146" i="3"/>
  <c r="AB146" i="3"/>
  <c r="AD146" i="3" s="1"/>
  <c r="AA146" i="3"/>
  <c r="Z146" i="3"/>
  <c r="Y146" i="3"/>
  <c r="X146" i="3"/>
  <c r="AC145" i="3"/>
  <c r="AB145" i="3"/>
  <c r="AD145" i="3" s="1"/>
  <c r="AA145" i="3"/>
  <c r="Z145" i="3"/>
  <c r="Y145" i="3"/>
  <c r="X145" i="3"/>
  <c r="AC144" i="3"/>
  <c r="AB144" i="3"/>
  <c r="AD144" i="3" s="1"/>
  <c r="AA144" i="3"/>
  <c r="Z144" i="3"/>
  <c r="Y144" i="3"/>
  <c r="X144" i="3"/>
  <c r="AC143" i="3"/>
  <c r="AB143" i="3"/>
  <c r="AD143" i="3" s="1"/>
  <c r="AA143" i="3"/>
  <c r="Z143" i="3"/>
  <c r="Y143" i="3"/>
  <c r="X143" i="3"/>
  <c r="AC142" i="3"/>
  <c r="AB142" i="3"/>
  <c r="AD142" i="3" s="1"/>
  <c r="AA142" i="3"/>
  <c r="Z142" i="3"/>
  <c r="Y142" i="3"/>
  <c r="X142" i="3"/>
  <c r="AC141" i="3"/>
  <c r="AB141" i="3"/>
  <c r="AD141" i="3" s="1"/>
  <c r="AA141" i="3"/>
  <c r="Z141" i="3"/>
  <c r="Y141" i="3"/>
  <c r="X141" i="3"/>
  <c r="AC140" i="3"/>
  <c r="AB140" i="3"/>
  <c r="AD140" i="3" s="1"/>
  <c r="AA140" i="3"/>
  <c r="Z140" i="3"/>
  <c r="Y140" i="3"/>
  <c r="X140" i="3"/>
  <c r="AC139" i="3"/>
  <c r="AB139" i="3"/>
  <c r="AD139" i="3" s="1"/>
  <c r="AA139" i="3"/>
  <c r="Z139" i="3"/>
  <c r="Y139" i="3"/>
  <c r="X139" i="3"/>
  <c r="AC138" i="3"/>
  <c r="AB138" i="3"/>
  <c r="AD138" i="3" s="1"/>
  <c r="AA138" i="3"/>
  <c r="Z138" i="3"/>
  <c r="Y138" i="3"/>
  <c r="X138" i="3"/>
  <c r="AC137" i="3"/>
  <c r="AB137" i="3"/>
  <c r="AD137" i="3" s="1"/>
  <c r="AA137" i="3"/>
  <c r="Z137" i="3"/>
  <c r="Y137" i="3"/>
  <c r="X137" i="3"/>
  <c r="AC136" i="3"/>
  <c r="AB136" i="3"/>
  <c r="AD136" i="3" s="1"/>
  <c r="AA136" i="3"/>
  <c r="Z136" i="3"/>
  <c r="Y136" i="3"/>
  <c r="X136" i="3"/>
  <c r="AD135" i="3"/>
  <c r="AC135" i="3"/>
  <c r="AB135" i="3"/>
  <c r="AA135" i="3"/>
  <c r="Z135" i="3"/>
  <c r="Y135" i="3"/>
  <c r="X135" i="3"/>
  <c r="AC134" i="3"/>
  <c r="AB134" i="3"/>
  <c r="AD134" i="3" s="1"/>
  <c r="AA134" i="3"/>
  <c r="Z134" i="3"/>
  <c r="Y134" i="3"/>
  <c r="X134" i="3"/>
  <c r="AC133" i="3"/>
  <c r="AB133" i="3"/>
  <c r="AD133" i="3" s="1"/>
  <c r="AA133" i="3"/>
  <c r="Z133" i="3"/>
  <c r="Y133" i="3"/>
  <c r="X133" i="3"/>
  <c r="AC132" i="3"/>
  <c r="AB132" i="3"/>
  <c r="AD132" i="3" s="1"/>
  <c r="AA132" i="3"/>
  <c r="Z132" i="3"/>
  <c r="Y132" i="3"/>
  <c r="X132" i="3"/>
  <c r="AC131" i="3"/>
  <c r="AB131" i="3"/>
  <c r="AD131" i="3" s="1"/>
  <c r="AA131" i="3"/>
  <c r="Z131" i="3"/>
  <c r="Y131" i="3"/>
  <c r="X131" i="3"/>
  <c r="AD130" i="3"/>
  <c r="AC130" i="3"/>
  <c r="AB130" i="3"/>
  <c r="AA130" i="3"/>
  <c r="Z130" i="3"/>
  <c r="Y130" i="3"/>
  <c r="X130" i="3"/>
  <c r="AC129" i="3"/>
  <c r="AB129" i="3"/>
  <c r="AD129" i="3" s="1"/>
  <c r="AA129" i="3"/>
  <c r="Z129" i="3"/>
  <c r="Y129" i="3"/>
  <c r="X129" i="3"/>
  <c r="AC128" i="3"/>
  <c r="AB128" i="3"/>
  <c r="AD128" i="3" s="1"/>
  <c r="AA128" i="3"/>
  <c r="Z128" i="3"/>
  <c r="Y128" i="3"/>
  <c r="X128" i="3"/>
  <c r="AC127" i="3"/>
  <c r="AB127" i="3"/>
  <c r="AD127" i="3" s="1"/>
  <c r="AA127" i="3"/>
  <c r="Z127" i="3"/>
  <c r="Y127" i="3"/>
  <c r="X127" i="3"/>
  <c r="AC126" i="3"/>
  <c r="AB126" i="3"/>
  <c r="AD126" i="3" s="1"/>
  <c r="AA126" i="3"/>
  <c r="Z126" i="3"/>
  <c r="Y126" i="3"/>
  <c r="X126" i="3"/>
  <c r="AC125" i="3"/>
  <c r="AB125" i="3"/>
  <c r="AD125" i="3" s="1"/>
  <c r="AA125" i="3"/>
  <c r="Z125" i="3"/>
  <c r="Y125" i="3"/>
  <c r="X125" i="3"/>
  <c r="AC124" i="3"/>
  <c r="AB124" i="3"/>
  <c r="AD124" i="3" s="1"/>
  <c r="AA124" i="3"/>
  <c r="Z124" i="3"/>
  <c r="Y124" i="3"/>
  <c r="X124" i="3"/>
  <c r="AC123" i="3"/>
  <c r="AB123" i="3"/>
  <c r="AD123" i="3" s="1"/>
  <c r="AA123" i="3"/>
  <c r="Z123" i="3"/>
  <c r="Y123" i="3"/>
  <c r="X123" i="3"/>
  <c r="AC122" i="3"/>
  <c r="AB122" i="3"/>
  <c r="AD122" i="3" s="1"/>
  <c r="AA122" i="3"/>
  <c r="Z122" i="3"/>
  <c r="Y122" i="3"/>
  <c r="X122" i="3"/>
  <c r="AC121" i="3"/>
  <c r="AB121" i="3"/>
  <c r="AD121" i="3" s="1"/>
  <c r="AA121" i="3"/>
  <c r="Z121" i="3"/>
  <c r="Y121" i="3"/>
  <c r="X121" i="3"/>
  <c r="AC120" i="3"/>
  <c r="AB120" i="3"/>
  <c r="AD120" i="3" s="1"/>
  <c r="AA120" i="3"/>
  <c r="Z120" i="3"/>
  <c r="Y120" i="3"/>
  <c r="X120" i="3"/>
  <c r="AC119" i="3"/>
  <c r="AB119" i="3"/>
  <c r="AD119" i="3" s="1"/>
  <c r="AA119" i="3"/>
  <c r="Z119" i="3"/>
  <c r="Y119" i="3"/>
  <c r="X119" i="3"/>
  <c r="AC118" i="3"/>
  <c r="AB118" i="3"/>
  <c r="AD118" i="3" s="1"/>
  <c r="AA118" i="3"/>
  <c r="Z118" i="3"/>
  <c r="Y118" i="3"/>
  <c r="X118" i="3"/>
  <c r="AC117" i="3"/>
  <c r="AB117" i="3"/>
  <c r="AD117" i="3" s="1"/>
  <c r="AA117" i="3"/>
  <c r="Z117" i="3"/>
  <c r="Y117" i="3"/>
  <c r="X117" i="3"/>
  <c r="AC116" i="3"/>
  <c r="AB116" i="3"/>
  <c r="AD116" i="3" s="1"/>
  <c r="AA116" i="3"/>
  <c r="Z116" i="3"/>
  <c r="Y116" i="3"/>
  <c r="X116" i="3"/>
  <c r="AC115" i="3"/>
  <c r="AB115" i="3"/>
  <c r="AD115" i="3" s="1"/>
  <c r="AA115" i="3"/>
  <c r="Z115" i="3"/>
  <c r="Y115" i="3"/>
  <c r="X115" i="3"/>
  <c r="AC114" i="3"/>
  <c r="AB114" i="3"/>
  <c r="AD114" i="3" s="1"/>
  <c r="AA114" i="3"/>
  <c r="Z114" i="3"/>
  <c r="Y114" i="3"/>
  <c r="X114" i="3"/>
  <c r="AC113" i="3"/>
  <c r="AB113" i="3"/>
  <c r="AD113" i="3" s="1"/>
  <c r="AA113" i="3"/>
  <c r="Z113" i="3"/>
  <c r="Y113" i="3"/>
  <c r="X113" i="3"/>
  <c r="AC112" i="3"/>
  <c r="AB112" i="3"/>
  <c r="AD112" i="3" s="1"/>
  <c r="AA112" i="3"/>
  <c r="Z112" i="3"/>
  <c r="Y112" i="3"/>
  <c r="X112" i="3"/>
  <c r="AC111" i="3"/>
  <c r="AB111" i="3"/>
  <c r="AD111" i="3" s="1"/>
  <c r="AA111" i="3"/>
  <c r="Z111" i="3"/>
  <c r="Y111" i="3"/>
  <c r="X111" i="3"/>
  <c r="AC110" i="3"/>
  <c r="AB110" i="3"/>
  <c r="AD110" i="3" s="1"/>
  <c r="AA110" i="3"/>
  <c r="Z110" i="3"/>
  <c r="Y110" i="3"/>
  <c r="X110" i="3"/>
  <c r="AC109" i="3"/>
  <c r="AB109" i="3"/>
  <c r="AD109" i="3" s="1"/>
  <c r="AA109" i="3"/>
  <c r="Z109" i="3"/>
  <c r="Y109" i="3"/>
  <c r="X109" i="3"/>
  <c r="AC108" i="3"/>
  <c r="AB108" i="3"/>
  <c r="AD108" i="3" s="1"/>
  <c r="AA108" i="3"/>
  <c r="Z108" i="3"/>
  <c r="Y108" i="3"/>
  <c r="X108" i="3"/>
  <c r="AC107" i="3"/>
  <c r="AB107" i="3"/>
  <c r="AD107" i="3" s="1"/>
  <c r="AA107" i="3"/>
  <c r="Z107" i="3"/>
  <c r="Y107" i="3"/>
  <c r="X107" i="3"/>
  <c r="AC106" i="3"/>
  <c r="AB106" i="3"/>
  <c r="AD106" i="3" s="1"/>
  <c r="AA106" i="3"/>
  <c r="Z106" i="3"/>
  <c r="Y106" i="3"/>
  <c r="X106" i="3"/>
  <c r="AC105" i="3"/>
  <c r="AB105" i="3"/>
  <c r="AD105" i="3" s="1"/>
  <c r="AA105" i="3"/>
  <c r="Z105" i="3"/>
  <c r="Y105" i="3"/>
  <c r="X105" i="3"/>
  <c r="AC104" i="3"/>
  <c r="AB104" i="3"/>
  <c r="AD104" i="3" s="1"/>
  <c r="AA104" i="3"/>
  <c r="Z104" i="3"/>
  <c r="Y104" i="3"/>
  <c r="X104" i="3"/>
  <c r="AC103" i="3"/>
  <c r="AB103" i="3"/>
  <c r="AD103" i="3" s="1"/>
  <c r="AA103" i="3"/>
  <c r="Z103" i="3"/>
  <c r="Y103" i="3"/>
  <c r="X103" i="3"/>
  <c r="AC102" i="3"/>
  <c r="AB102" i="3"/>
  <c r="AD102" i="3" s="1"/>
  <c r="AA102" i="3"/>
  <c r="Z102" i="3"/>
  <c r="Y102" i="3"/>
  <c r="X102" i="3"/>
  <c r="AC101" i="3"/>
  <c r="AB101" i="3"/>
  <c r="AD101" i="3" s="1"/>
  <c r="AA101" i="3"/>
  <c r="Z101" i="3"/>
  <c r="Y101" i="3"/>
  <c r="X101" i="3"/>
  <c r="AC100" i="3"/>
  <c r="AB100" i="3"/>
  <c r="AD100" i="3" s="1"/>
  <c r="AA100" i="3"/>
  <c r="Z100" i="3"/>
  <c r="Y100" i="3"/>
  <c r="X100" i="3"/>
  <c r="AC99" i="3"/>
  <c r="AB99" i="3"/>
  <c r="AD99" i="3" s="1"/>
  <c r="AA99" i="3"/>
  <c r="Z99" i="3"/>
  <c r="Y99" i="3"/>
  <c r="X99" i="3"/>
  <c r="AC98" i="3"/>
  <c r="AB98" i="3"/>
  <c r="AD98" i="3" s="1"/>
  <c r="AA98" i="3"/>
  <c r="Z98" i="3"/>
  <c r="Y98" i="3"/>
  <c r="X98" i="3"/>
  <c r="AC97" i="3"/>
  <c r="AB97" i="3"/>
  <c r="AD97" i="3" s="1"/>
  <c r="AA97" i="3"/>
  <c r="Z97" i="3"/>
  <c r="Y97" i="3"/>
  <c r="X97" i="3"/>
  <c r="AC96" i="3"/>
  <c r="AB96" i="3"/>
  <c r="AD96" i="3" s="1"/>
  <c r="AA96" i="3"/>
  <c r="Z96" i="3"/>
  <c r="Y96" i="3"/>
  <c r="X96" i="3"/>
  <c r="AC95" i="3"/>
  <c r="AB95" i="3"/>
  <c r="AD95" i="3" s="1"/>
  <c r="AA95" i="3"/>
  <c r="Z95" i="3"/>
  <c r="Y95" i="3"/>
  <c r="X95" i="3"/>
  <c r="AD94" i="3"/>
  <c r="AC94" i="3"/>
  <c r="AB94" i="3"/>
  <c r="AA94" i="3"/>
  <c r="Z94" i="3"/>
  <c r="Y94" i="3"/>
  <c r="X94" i="3"/>
  <c r="AC93" i="3"/>
  <c r="AB93" i="3"/>
  <c r="AD93" i="3" s="1"/>
  <c r="AA93" i="3"/>
  <c r="Z93" i="3"/>
  <c r="Y93" i="3"/>
  <c r="X93" i="3"/>
  <c r="AC92" i="3"/>
  <c r="AB92" i="3"/>
  <c r="AD92" i="3" s="1"/>
  <c r="AA92" i="3"/>
  <c r="Z92" i="3"/>
  <c r="Y92" i="3"/>
  <c r="X92" i="3"/>
  <c r="AC91" i="3"/>
  <c r="AB91" i="3"/>
  <c r="AD91" i="3" s="1"/>
  <c r="AA91" i="3"/>
  <c r="Z91" i="3"/>
  <c r="Y91" i="3"/>
  <c r="X91" i="3"/>
  <c r="AC90" i="3"/>
  <c r="AB90" i="3"/>
  <c r="AD90" i="3" s="1"/>
  <c r="AA90" i="3"/>
  <c r="Z90" i="3"/>
  <c r="Y90" i="3"/>
  <c r="X90" i="3"/>
  <c r="AC89" i="3"/>
  <c r="AB89" i="3"/>
  <c r="AD89" i="3" s="1"/>
  <c r="AA89" i="3"/>
  <c r="Z89" i="3"/>
  <c r="Y89" i="3"/>
  <c r="X89" i="3"/>
  <c r="AC88" i="3"/>
  <c r="AB88" i="3"/>
  <c r="AD88" i="3" s="1"/>
  <c r="AA88" i="3"/>
  <c r="Z88" i="3"/>
  <c r="Y88" i="3"/>
  <c r="X88" i="3"/>
  <c r="AC87" i="3"/>
  <c r="AB87" i="3"/>
  <c r="AD87" i="3" s="1"/>
  <c r="AA87" i="3"/>
  <c r="Z87" i="3"/>
  <c r="Y87" i="3"/>
  <c r="X87" i="3"/>
  <c r="AD86" i="3"/>
  <c r="AC86" i="3"/>
  <c r="AB86" i="3"/>
  <c r="AA86" i="3"/>
  <c r="Z86" i="3"/>
  <c r="Y86" i="3"/>
  <c r="X86" i="3"/>
  <c r="AD85" i="3"/>
  <c r="AC85" i="3"/>
  <c r="AB85" i="3"/>
  <c r="AA85" i="3"/>
  <c r="Z85" i="3"/>
  <c r="Y85" i="3"/>
  <c r="X85" i="3"/>
  <c r="AC84" i="3"/>
  <c r="AB84" i="3"/>
  <c r="AD84" i="3" s="1"/>
  <c r="AA84" i="3"/>
  <c r="Z84" i="3"/>
  <c r="Y84" i="3"/>
  <c r="X84" i="3"/>
  <c r="AC83" i="3"/>
  <c r="AB83" i="3"/>
  <c r="AD83" i="3" s="1"/>
  <c r="AA83" i="3"/>
  <c r="Z83" i="3"/>
  <c r="Y83" i="3"/>
  <c r="X83" i="3"/>
  <c r="AC82" i="3"/>
  <c r="AB82" i="3"/>
  <c r="AD82" i="3" s="1"/>
  <c r="AA82" i="3"/>
  <c r="Z82" i="3"/>
  <c r="Y82" i="3"/>
  <c r="X82" i="3"/>
  <c r="AC81" i="3"/>
  <c r="AB81" i="3"/>
  <c r="AD81" i="3" s="1"/>
  <c r="AA81" i="3"/>
  <c r="Z81" i="3"/>
  <c r="Y81" i="3"/>
  <c r="X81" i="3"/>
  <c r="AC80" i="3"/>
  <c r="AB80" i="3"/>
  <c r="AD80" i="3" s="1"/>
  <c r="AA80" i="3"/>
  <c r="Z80" i="3"/>
  <c r="Y80" i="3"/>
  <c r="X80" i="3"/>
  <c r="AC79" i="3"/>
  <c r="AB79" i="3"/>
  <c r="AD79" i="3" s="1"/>
  <c r="AA79" i="3"/>
  <c r="Z79" i="3"/>
  <c r="Y79" i="3"/>
  <c r="X79" i="3"/>
  <c r="AC78" i="3"/>
  <c r="AB78" i="3"/>
  <c r="AD78" i="3" s="1"/>
  <c r="AA78" i="3"/>
  <c r="Z78" i="3"/>
  <c r="Y78" i="3"/>
  <c r="X78" i="3"/>
  <c r="AC77" i="3"/>
  <c r="AB77" i="3"/>
  <c r="AD77" i="3" s="1"/>
  <c r="AA77" i="3"/>
  <c r="Z77" i="3"/>
  <c r="Y77" i="3"/>
  <c r="X77" i="3"/>
  <c r="AC76" i="3"/>
  <c r="AB76" i="3"/>
  <c r="AD76" i="3" s="1"/>
  <c r="AA76" i="3"/>
  <c r="Z76" i="3"/>
  <c r="Y76" i="3"/>
  <c r="X76" i="3"/>
  <c r="AC75" i="3"/>
  <c r="AB75" i="3"/>
  <c r="AD75" i="3" s="1"/>
  <c r="AA75" i="3"/>
  <c r="Z75" i="3"/>
  <c r="Y75" i="3"/>
  <c r="X75" i="3"/>
  <c r="AD74" i="3"/>
  <c r="AC74" i="3"/>
  <c r="AB74" i="3"/>
  <c r="AA74" i="3"/>
  <c r="Z74" i="3"/>
  <c r="Y74" i="3"/>
  <c r="X74" i="3"/>
  <c r="AC73" i="3"/>
  <c r="AB73" i="3"/>
  <c r="AD73" i="3" s="1"/>
  <c r="AA73" i="3"/>
  <c r="Z73" i="3"/>
  <c r="Y73" i="3"/>
  <c r="X73" i="3"/>
  <c r="AC72" i="3"/>
  <c r="AB72" i="3"/>
  <c r="AD72" i="3" s="1"/>
  <c r="AA72" i="3"/>
  <c r="Z72" i="3"/>
  <c r="Y72" i="3"/>
  <c r="X72" i="3"/>
  <c r="AC71" i="3"/>
  <c r="AB71" i="3"/>
  <c r="AD71" i="3" s="1"/>
  <c r="AA71" i="3"/>
  <c r="Z71" i="3"/>
  <c r="Y71" i="3"/>
  <c r="X71" i="3"/>
  <c r="AC70" i="3"/>
  <c r="AB70" i="3"/>
  <c r="AD70" i="3" s="1"/>
  <c r="AA70" i="3"/>
  <c r="Z70" i="3"/>
  <c r="Y70" i="3"/>
  <c r="X70" i="3"/>
  <c r="AC69" i="3"/>
  <c r="AB69" i="3"/>
  <c r="AD69" i="3" s="1"/>
  <c r="AA69" i="3"/>
  <c r="Z69" i="3"/>
  <c r="Y69" i="3"/>
  <c r="X69" i="3"/>
  <c r="AC68" i="3"/>
  <c r="AB68" i="3"/>
  <c r="AD68" i="3" s="1"/>
  <c r="AA68" i="3"/>
  <c r="Z68" i="3"/>
  <c r="Y68" i="3"/>
  <c r="X68" i="3"/>
  <c r="AC67" i="3"/>
  <c r="AB67" i="3"/>
  <c r="AD67" i="3" s="1"/>
  <c r="AA67" i="3"/>
  <c r="Z67" i="3"/>
  <c r="Y67" i="3"/>
  <c r="X67" i="3"/>
  <c r="AD66" i="3"/>
  <c r="AC66" i="3"/>
  <c r="AB66" i="3"/>
  <c r="AA66" i="3"/>
  <c r="Z66" i="3"/>
  <c r="Y66" i="3"/>
  <c r="X66" i="3"/>
  <c r="AC65" i="3"/>
  <c r="AB65" i="3"/>
  <c r="AD65" i="3" s="1"/>
  <c r="AA65" i="3"/>
  <c r="Z65" i="3"/>
  <c r="Y65" i="3"/>
  <c r="X65" i="3"/>
  <c r="AC64" i="3"/>
  <c r="AB64" i="3"/>
  <c r="AD64" i="3" s="1"/>
  <c r="AA64" i="3"/>
  <c r="Z64" i="3"/>
  <c r="Y64" i="3"/>
  <c r="X64" i="3"/>
  <c r="AC63" i="3"/>
  <c r="AB63" i="3"/>
  <c r="AD63" i="3" s="1"/>
  <c r="AA63" i="3"/>
  <c r="Z63" i="3"/>
  <c r="Y63" i="3"/>
  <c r="X63" i="3"/>
  <c r="AC62" i="3"/>
  <c r="AB62" i="3"/>
  <c r="AD62" i="3" s="1"/>
  <c r="AA62" i="3"/>
  <c r="Z62" i="3"/>
  <c r="Y62" i="3"/>
  <c r="X62" i="3"/>
  <c r="AC61" i="3"/>
  <c r="AB61" i="3"/>
  <c r="AD61" i="3" s="1"/>
  <c r="AA61" i="3"/>
  <c r="Z61" i="3"/>
  <c r="Y61" i="3"/>
  <c r="X61" i="3"/>
  <c r="AC60" i="3"/>
  <c r="AB60" i="3"/>
  <c r="AD60" i="3" s="1"/>
  <c r="AA60" i="3"/>
  <c r="Z60" i="3"/>
  <c r="Y60" i="3"/>
  <c r="X60" i="3"/>
  <c r="AC59" i="3"/>
  <c r="AB59" i="3"/>
  <c r="AD59" i="3" s="1"/>
  <c r="AA59" i="3"/>
  <c r="Z59" i="3"/>
  <c r="Y59" i="3"/>
  <c r="X59" i="3"/>
  <c r="AC58" i="3"/>
  <c r="AB58" i="3"/>
  <c r="AD58" i="3" s="1"/>
  <c r="AA58" i="3"/>
  <c r="Z58" i="3"/>
  <c r="Y58" i="3"/>
  <c r="X58" i="3"/>
  <c r="AC57" i="3"/>
  <c r="AB57" i="3"/>
  <c r="AD57" i="3" s="1"/>
  <c r="AA57" i="3"/>
  <c r="Z57" i="3"/>
  <c r="Y57" i="3"/>
  <c r="X57" i="3"/>
  <c r="AC56" i="3"/>
  <c r="AB56" i="3"/>
  <c r="AD56" i="3" s="1"/>
  <c r="AA56" i="3"/>
  <c r="Z56" i="3"/>
  <c r="Y56" i="3"/>
  <c r="X56" i="3"/>
  <c r="AC55" i="3"/>
  <c r="AB55" i="3"/>
  <c r="AD55" i="3" s="1"/>
  <c r="AA55" i="3"/>
  <c r="Z55" i="3"/>
  <c r="Y55" i="3"/>
  <c r="X55" i="3"/>
  <c r="AC54" i="3"/>
  <c r="AB54" i="3"/>
  <c r="AD54" i="3" s="1"/>
  <c r="AA54" i="3"/>
  <c r="Z54" i="3"/>
  <c r="Y54" i="3"/>
  <c r="X54" i="3"/>
  <c r="AC53" i="3"/>
  <c r="AB53" i="3"/>
  <c r="AD53" i="3" s="1"/>
  <c r="AA53" i="3"/>
  <c r="Z53" i="3"/>
  <c r="Y53" i="3"/>
  <c r="X53" i="3"/>
  <c r="AC52" i="3"/>
  <c r="AB52" i="3"/>
  <c r="AD52" i="3" s="1"/>
  <c r="AA52" i="3"/>
  <c r="Z52" i="3"/>
  <c r="Y52" i="3"/>
  <c r="X52" i="3"/>
  <c r="AC51" i="3"/>
  <c r="AB51" i="3"/>
  <c r="AD51" i="3" s="1"/>
  <c r="AA51" i="3"/>
  <c r="Z51" i="3"/>
  <c r="Y51" i="3"/>
  <c r="X51" i="3"/>
  <c r="AC50" i="3"/>
  <c r="AB50" i="3"/>
  <c r="AD50" i="3" s="1"/>
  <c r="AA50" i="3"/>
  <c r="Z50" i="3"/>
  <c r="Y50" i="3"/>
  <c r="X50" i="3"/>
  <c r="AC49" i="3"/>
  <c r="AB49" i="3"/>
  <c r="AD49" i="3" s="1"/>
  <c r="AA49" i="3"/>
  <c r="Z49" i="3"/>
  <c r="Y49" i="3"/>
  <c r="X49" i="3"/>
  <c r="AC48" i="3"/>
  <c r="AB48" i="3"/>
  <c r="AD48" i="3" s="1"/>
  <c r="AA48" i="3"/>
  <c r="Z48" i="3"/>
  <c r="Y48" i="3"/>
  <c r="X48" i="3"/>
  <c r="AC47" i="3"/>
  <c r="AB47" i="3"/>
  <c r="AD47" i="3" s="1"/>
  <c r="AA47" i="3"/>
  <c r="Z47" i="3"/>
  <c r="Y47" i="3"/>
  <c r="X47" i="3"/>
  <c r="AD46" i="3"/>
  <c r="AC46" i="3"/>
  <c r="AB46" i="3"/>
  <c r="AA46" i="3"/>
  <c r="Z46" i="3"/>
  <c r="Y46" i="3"/>
  <c r="X46" i="3"/>
  <c r="AC45" i="3"/>
  <c r="AB45" i="3"/>
  <c r="AD45" i="3" s="1"/>
  <c r="AA45" i="3"/>
  <c r="Z45" i="3"/>
  <c r="Y45" i="3"/>
  <c r="X45" i="3"/>
  <c r="AC44" i="3"/>
  <c r="AB44" i="3"/>
  <c r="AD44" i="3" s="1"/>
  <c r="AA44" i="3"/>
  <c r="Z44" i="3"/>
  <c r="Y44" i="3"/>
  <c r="X44" i="3"/>
  <c r="AC43" i="3"/>
  <c r="AB43" i="3"/>
  <c r="AD43" i="3" s="1"/>
  <c r="AA43" i="3"/>
  <c r="Z43" i="3"/>
  <c r="Y43" i="3"/>
  <c r="X43" i="3"/>
  <c r="AC42" i="3"/>
  <c r="AB42" i="3"/>
  <c r="AD42" i="3" s="1"/>
  <c r="AA42" i="3"/>
  <c r="Z42" i="3"/>
  <c r="Y42" i="3"/>
  <c r="X42" i="3"/>
  <c r="AC41" i="3"/>
  <c r="AB41" i="3"/>
  <c r="AD41" i="3" s="1"/>
  <c r="AA41" i="3"/>
  <c r="Z41" i="3"/>
  <c r="Y41" i="3"/>
  <c r="X41" i="3"/>
  <c r="AC40" i="3"/>
  <c r="AB40" i="3"/>
  <c r="AD40" i="3" s="1"/>
  <c r="AA40" i="3"/>
  <c r="Z40" i="3"/>
  <c r="Y40" i="3"/>
  <c r="X40" i="3"/>
  <c r="AC39" i="3"/>
  <c r="AB39" i="3"/>
  <c r="AD39" i="3" s="1"/>
  <c r="AA39" i="3"/>
  <c r="Z39" i="3"/>
  <c r="Y39" i="3"/>
  <c r="X39" i="3"/>
  <c r="AC38" i="3"/>
  <c r="AB38" i="3"/>
  <c r="AD38" i="3" s="1"/>
  <c r="AA38" i="3"/>
  <c r="Z38" i="3"/>
  <c r="Y38" i="3"/>
  <c r="X38" i="3"/>
  <c r="AC37" i="3"/>
  <c r="AB37" i="3"/>
  <c r="AD37" i="3" s="1"/>
  <c r="AA37" i="3"/>
  <c r="Z37" i="3"/>
  <c r="Y37" i="3"/>
  <c r="X37" i="3"/>
  <c r="AC36" i="3"/>
  <c r="AB36" i="3"/>
  <c r="AD36" i="3" s="1"/>
  <c r="AA36" i="3"/>
  <c r="Z36" i="3"/>
  <c r="Y36" i="3"/>
  <c r="X36" i="3"/>
  <c r="AC35" i="3"/>
  <c r="AB35" i="3"/>
  <c r="AD35" i="3" s="1"/>
  <c r="AA35" i="3"/>
  <c r="Z35" i="3"/>
  <c r="Y35" i="3"/>
  <c r="X35" i="3"/>
  <c r="AC34" i="3"/>
  <c r="AB34" i="3"/>
  <c r="AD34" i="3" s="1"/>
  <c r="AA34" i="3"/>
  <c r="Z34" i="3"/>
  <c r="Y34" i="3"/>
  <c r="X34" i="3"/>
  <c r="AC33" i="3"/>
  <c r="AB33" i="3"/>
  <c r="AD33" i="3" s="1"/>
  <c r="AA33" i="3"/>
  <c r="Z33" i="3"/>
  <c r="Y33" i="3"/>
  <c r="X33" i="3"/>
  <c r="AC32" i="3"/>
  <c r="AB32" i="3"/>
  <c r="AD32" i="3" s="1"/>
  <c r="AA32" i="3"/>
  <c r="Z32" i="3"/>
  <c r="Y32" i="3"/>
  <c r="X32" i="3"/>
  <c r="AC31" i="3"/>
  <c r="AB31" i="3"/>
  <c r="AD31" i="3" s="1"/>
  <c r="AA31" i="3"/>
  <c r="Z31" i="3"/>
  <c r="Y31" i="3"/>
  <c r="X31" i="3"/>
  <c r="AC30" i="3"/>
  <c r="AB30" i="3"/>
  <c r="AD30" i="3" s="1"/>
  <c r="AA30" i="3"/>
  <c r="Z30" i="3"/>
  <c r="Y30" i="3"/>
  <c r="X30" i="3"/>
  <c r="AD29" i="3"/>
  <c r="AC29" i="3"/>
  <c r="AB29" i="3"/>
  <c r="AA29" i="3"/>
  <c r="Z29" i="3"/>
  <c r="Y29" i="3"/>
  <c r="X29" i="3"/>
  <c r="AC28" i="3"/>
  <c r="AB28" i="3"/>
  <c r="AD28" i="3" s="1"/>
  <c r="AA28" i="3"/>
  <c r="Z28" i="3"/>
  <c r="Y28" i="3"/>
  <c r="X28" i="3"/>
  <c r="AC27" i="3"/>
  <c r="AB27" i="3"/>
  <c r="AD27" i="3" s="1"/>
  <c r="AA27" i="3"/>
  <c r="Z27" i="3"/>
  <c r="Y27" i="3"/>
  <c r="X27" i="3"/>
  <c r="AD26" i="3"/>
  <c r="AC26" i="3"/>
  <c r="AB26" i="3"/>
  <c r="AA26" i="3"/>
  <c r="Z26" i="3"/>
  <c r="Y26" i="3"/>
  <c r="X26" i="3"/>
  <c r="AC25" i="3"/>
  <c r="AB25" i="3"/>
  <c r="AD25" i="3" s="1"/>
  <c r="AA25" i="3"/>
  <c r="Z25" i="3"/>
  <c r="Y25" i="3"/>
  <c r="X25" i="3"/>
  <c r="AC24" i="3"/>
  <c r="AB24" i="3"/>
  <c r="AD24" i="3" s="1"/>
  <c r="AA24" i="3"/>
  <c r="Z24" i="3"/>
  <c r="Y24" i="3"/>
  <c r="X24" i="3"/>
  <c r="AC23" i="3"/>
  <c r="AB23" i="3"/>
  <c r="AD23" i="3" s="1"/>
  <c r="AA23" i="3"/>
  <c r="Z23" i="3"/>
  <c r="Y23" i="3"/>
  <c r="X23" i="3"/>
  <c r="AC22" i="3"/>
  <c r="AB22" i="3"/>
  <c r="AD22" i="3" s="1"/>
  <c r="AA22" i="3"/>
  <c r="Z22" i="3"/>
  <c r="Y22" i="3"/>
  <c r="X22" i="3"/>
  <c r="AC21" i="3"/>
  <c r="AB21" i="3"/>
  <c r="AD21" i="3" s="1"/>
  <c r="AA21" i="3"/>
  <c r="Z21" i="3"/>
  <c r="Y21" i="3"/>
  <c r="X21" i="3"/>
  <c r="AC20" i="3"/>
  <c r="AB20" i="3"/>
  <c r="AD20" i="3" s="1"/>
  <c r="AA20" i="3"/>
  <c r="Z20" i="3"/>
  <c r="Y20" i="3"/>
  <c r="X20" i="3"/>
  <c r="AC19" i="3"/>
  <c r="AB19" i="3"/>
  <c r="AD19" i="3" s="1"/>
  <c r="AA19" i="3"/>
  <c r="Z19" i="3"/>
  <c r="Y19" i="3"/>
  <c r="X19" i="3"/>
  <c r="AC18" i="3"/>
  <c r="AB18" i="3"/>
  <c r="AD18" i="3" s="1"/>
  <c r="AA18" i="3"/>
  <c r="Z18" i="3"/>
  <c r="Y18" i="3"/>
  <c r="X18" i="3"/>
  <c r="AC17" i="3"/>
  <c r="AB17" i="3"/>
  <c r="AD17" i="3" s="1"/>
  <c r="AA17" i="3"/>
  <c r="Z17" i="3"/>
  <c r="Y17" i="3"/>
  <c r="X17" i="3"/>
  <c r="AC16" i="3"/>
  <c r="AB16" i="3"/>
  <c r="AD16" i="3" s="1"/>
  <c r="AA16" i="3"/>
  <c r="Z16" i="3"/>
  <c r="Y16" i="3"/>
  <c r="X16" i="3"/>
  <c r="AC15" i="3"/>
  <c r="AB15" i="3"/>
  <c r="AD15" i="3" s="1"/>
  <c r="AA15" i="3"/>
  <c r="Z15" i="3"/>
  <c r="Y15" i="3"/>
  <c r="X15" i="3"/>
  <c r="AD14" i="3"/>
  <c r="AC14" i="3"/>
  <c r="AB14" i="3"/>
  <c r="AA14" i="3"/>
  <c r="Z14" i="3"/>
  <c r="Y14" i="3"/>
  <c r="X14" i="3"/>
  <c r="AC13" i="3"/>
  <c r="AB13" i="3"/>
  <c r="AD13" i="3" s="1"/>
  <c r="AA13" i="3"/>
  <c r="Z13" i="3"/>
  <c r="Y13" i="3"/>
  <c r="X13" i="3"/>
  <c r="AC12" i="3"/>
  <c r="AB12" i="3"/>
  <c r="AD12" i="3" s="1"/>
  <c r="AA12" i="3"/>
  <c r="Z12" i="3"/>
  <c r="Y12" i="3"/>
  <c r="X12" i="3"/>
  <c r="AC11" i="3"/>
  <c r="AB11" i="3"/>
  <c r="AD11" i="3" s="1"/>
  <c r="AA11" i="3"/>
  <c r="Z11" i="3"/>
  <c r="Y11" i="3"/>
  <c r="X11" i="3"/>
  <c r="AC10" i="3"/>
  <c r="AB10" i="3"/>
  <c r="AD10" i="3" s="1"/>
  <c r="AA10" i="3"/>
  <c r="Z10" i="3"/>
  <c r="Y10" i="3"/>
  <c r="X10" i="3"/>
  <c r="AC9" i="3"/>
  <c r="AB9" i="3"/>
  <c r="AD9" i="3" s="1"/>
  <c r="AA9" i="3"/>
  <c r="Z9" i="3"/>
  <c r="Y9" i="3"/>
  <c r="X9" i="3"/>
  <c r="AC8" i="3"/>
  <c r="AB8" i="3"/>
  <c r="AD8" i="3" s="1"/>
  <c r="AA8" i="3"/>
  <c r="Z8" i="3"/>
  <c r="Y8" i="3"/>
  <c r="X8" i="3"/>
  <c r="AC7" i="3"/>
  <c r="AB7" i="3"/>
  <c r="AD7" i="3" s="1"/>
  <c r="AA7" i="3"/>
  <c r="Z7" i="3"/>
  <c r="Y7" i="3"/>
  <c r="X7" i="3"/>
  <c r="AC6" i="3"/>
  <c r="AB6" i="3"/>
  <c r="AD6" i="3" s="1"/>
  <c r="AA6" i="3"/>
  <c r="Z6" i="3"/>
  <c r="Y6" i="3"/>
  <c r="X6" i="3"/>
  <c r="AD5" i="3"/>
  <c r="AC5" i="3"/>
  <c r="AB5" i="3"/>
  <c r="AA5" i="3"/>
  <c r="Z5" i="3"/>
  <c r="Y5" i="3"/>
  <c r="X5" i="3"/>
  <c r="AC4" i="3"/>
  <c r="AB4" i="3"/>
  <c r="AD4" i="3" s="1"/>
  <c r="AA4" i="3"/>
  <c r="Z4" i="3"/>
  <c r="Y4" i="3"/>
  <c r="X4" i="3"/>
  <c r="AC3" i="3"/>
  <c r="AB3" i="3"/>
  <c r="AD3" i="3" s="1"/>
  <c r="AA3" i="3"/>
  <c r="Z3" i="3"/>
  <c r="Y3" i="3"/>
  <c r="X3" i="3"/>
  <c r="AC164" i="2"/>
  <c r="AB164" i="2"/>
  <c r="AD164" i="2" s="1"/>
  <c r="AA164" i="2"/>
  <c r="Z164" i="2"/>
  <c r="Y164" i="2"/>
  <c r="X164" i="2"/>
  <c r="AC163" i="2"/>
  <c r="AB163" i="2"/>
  <c r="AD163" i="2" s="1"/>
  <c r="AA163" i="2"/>
  <c r="Z163" i="2"/>
  <c r="Y163" i="2"/>
  <c r="X163" i="2"/>
  <c r="AC162" i="2"/>
  <c r="AB162" i="2"/>
  <c r="AD162" i="2" s="1"/>
  <c r="AA162" i="2"/>
  <c r="Z162" i="2"/>
  <c r="Y162" i="2"/>
  <c r="X162" i="2"/>
  <c r="AC161" i="2"/>
  <c r="AB161" i="2"/>
  <c r="AD161" i="2" s="1"/>
  <c r="AA161" i="2"/>
  <c r="Z161" i="2"/>
  <c r="Y161" i="2"/>
  <c r="X161" i="2"/>
  <c r="AD160" i="2"/>
  <c r="AC160" i="2"/>
  <c r="AB160" i="2"/>
  <c r="AA160" i="2"/>
  <c r="Z160" i="2"/>
  <c r="Y160" i="2"/>
  <c r="X160" i="2"/>
  <c r="AC159" i="2"/>
  <c r="AB159" i="2"/>
  <c r="AD159" i="2" s="1"/>
  <c r="AA159" i="2"/>
  <c r="Z159" i="2"/>
  <c r="Y159" i="2"/>
  <c r="X159" i="2"/>
  <c r="AC158" i="2"/>
  <c r="AB158" i="2"/>
  <c r="AD158" i="2" s="1"/>
  <c r="AA158" i="2"/>
  <c r="Z158" i="2"/>
  <c r="Y158" i="2"/>
  <c r="X158" i="2"/>
  <c r="AC157" i="2"/>
  <c r="AB157" i="2"/>
  <c r="AD157" i="2" s="1"/>
  <c r="AA157" i="2"/>
  <c r="Z157" i="2"/>
  <c r="Y157" i="2"/>
  <c r="X157" i="2"/>
  <c r="AC156" i="2"/>
  <c r="AB156" i="2"/>
  <c r="AD156" i="2" s="1"/>
  <c r="AA156" i="2"/>
  <c r="Z156" i="2"/>
  <c r="Y156" i="2"/>
  <c r="X156" i="2"/>
  <c r="AC155" i="2"/>
  <c r="AB155" i="2"/>
  <c r="AD155" i="2" s="1"/>
  <c r="AA155" i="2"/>
  <c r="Z155" i="2"/>
  <c r="Y155" i="2"/>
  <c r="X155" i="2"/>
  <c r="AC154" i="2"/>
  <c r="AB154" i="2"/>
  <c r="AD154" i="2" s="1"/>
  <c r="AA154" i="2"/>
  <c r="Z154" i="2"/>
  <c r="Y154" i="2"/>
  <c r="X154" i="2"/>
  <c r="AC153" i="2"/>
  <c r="AB153" i="2"/>
  <c r="AD153" i="2" s="1"/>
  <c r="AA153" i="2"/>
  <c r="Z153" i="2"/>
  <c r="Y153" i="2"/>
  <c r="X153" i="2"/>
  <c r="AC152" i="2"/>
  <c r="AB152" i="2"/>
  <c r="AD152" i="2" s="1"/>
  <c r="AA152" i="2"/>
  <c r="Z152" i="2"/>
  <c r="Y152" i="2"/>
  <c r="X152" i="2"/>
  <c r="AC151" i="2"/>
  <c r="AB151" i="2"/>
  <c r="AD151" i="2" s="1"/>
  <c r="AA151" i="2"/>
  <c r="Z151" i="2"/>
  <c r="Y151" i="2"/>
  <c r="X151" i="2"/>
  <c r="AC150" i="2"/>
  <c r="AB150" i="2"/>
  <c r="AD150" i="2" s="1"/>
  <c r="AA150" i="2"/>
  <c r="Z150" i="2"/>
  <c r="Y150" i="2"/>
  <c r="X150" i="2"/>
  <c r="AC149" i="2"/>
  <c r="AB149" i="2"/>
  <c r="AD149" i="2" s="1"/>
  <c r="AA149" i="2"/>
  <c r="Z149" i="2"/>
  <c r="Y149" i="2"/>
  <c r="X149" i="2"/>
  <c r="AC148" i="2"/>
  <c r="AB148" i="2"/>
  <c r="AD148" i="2" s="1"/>
  <c r="AA148" i="2"/>
  <c r="Z148" i="2"/>
  <c r="Y148" i="2"/>
  <c r="X148" i="2"/>
  <c r="AC147" i="2"/>
  <c r="AB147" i="2"/>
  <c r="AD147" i="2" s="1"/>
  <c r="AA147" i="2"/>
  <c r="Z147" i="2"/>
  <c r="Y147" i="2"/>
  <c r="X147" i="2"/>
  <c r="AC146" i="2"/>
  <c r="AB146" i="2"/>
  <c r="AD146" i="2" s="1"/>
  <c r="AA146" i="2"/>
  <c r="Z146" i="2"/>
  <c r="Y146" i="2"/>
  <c r="X146" i="2"/>
  <c r="AC145" i="2"/>
  <c r="AB145" i="2"/>
  <c r="AD145" i="2" s="1"/>
  <c r="AA145" i="2"/>
  <c r="Z145" i="2"/>
  <c r="Y145" i="2"/>
  <c r="X145" i="2"/>
  <c r="AC144" i="2"/>
  <c r="AB144" i="2"/>
  <c r="AD144" i="2" s="1"/>
  <c r="AA144" i="2"/>
  <c r="Z144" i="2"/>
  <c r="Y144" i="2"/>
  <c r="X144" i="2"/>
  <c r="AC143" i="2"/>
  <c r="AB143" i="2"/>
  <c r="AD143" i="2" s="1"/>
  <c r="AA143" i="2"/>
  <c r="Z143" i="2"/>
  <c r="Y143" i="2"/>
  <c r="X143" i="2"/>
  <c r="AD142" i="2"/>
  <c r="AC142" i="2"/>
  <c r="AB142" i="2"/>
  <c r="AA142" i="2"/>
  <c r="Z142" i="2"/>
  <c r="Y142" i="2"/>
  <c r="X142" i="2"/>
  <c r="AC141" i="2"/>
  <c r="AB141" i="2"/>
  <c r="AD141" i="2" s="1"/>
  <c r="AA141" i="2"/>
  <c r="Z141" i="2"/>
  <c r="Y141" i="2"/>
  <c r="X141" i="2"/>
  <c r="AD140" i="2"/>
  <c r="AC140" i="2"/>
  <c r="AB140" i="2"/>
  <c r="AA140" i="2"/>
  <c r="Z140" i="2"/>
  <c r="Y140" i="2"/>
  <c r="X140" i="2"/>
  <c r="AC139" i="2"/>
  <c r="AB139" i="2"/>
  <c r="AD139" i="2" s="1"/>
  <c r="AA139" i="2"/>
  <c r="Z139" i="2"/>
  <c r="Y139" i="2"/>
  <c r="X139" i="2"/>
  <c r="AC138" i="2"/>
  <c r="AB138" i="2"/>
  <c r="AD138" i="2" s="1"/>
  <c r="AA138" i="2"/>
  <c r="Z138" i="2"/>
  <c r="Y138" i="2"/>
  <c r="X138" i="2"/>
  <c r="AD137" i="2"/>
  <c r="AC137" i="2"/>
  <c r="AB137" i="2"/>
  <c r="AA137" i="2"/>
  <c r="Z137" i="2"/>
  <c r="Y137" i="2"/>
  <c r="X137" i="2"/>
  <c r="AC136" i="2"/>
  <c r="AB136" i="2"/>
  <c r="AD136" i="2" s="1"/>
  <c r="AA136" i="2"/>
  <c r="Z136" i="2"/>
  <c r="Y136" i="2"/>
  <c r="X136" i="2"/>
  <c r="AC135" i="2"/>
  <c r="AB135" i="2"/>
  <c r="AD135" i="2" s="1"/>
  <c r="AA135" i="2"/>
  <c r="Z135" i="2"/>
  <c r="Y135" i="2"/>
  <c r="X135" i="2"/>
  <c r="AC134" i="2"/>
  <c r="AB134" i="2"/>
  <c r="AD134" i="2" s="1"/>
  <c r="AA134" i="2"/>
  <c r="Z134" i="2"/>
  <c r="Y134" i="2"/>
  <c r="X134" i="2"/>
  <c r="AC133" i="2"/>
  <c r="AB133" i="2"/>
  <c r="AD133" i="2" s="1"/>
  <c r="AA133" i="2"/>
  <c r="Z133" i="2"/>
  <c r="Y133" i="2"/>
  <c r="X133" i="2"/>
  <c r="AD132" i="2"/>
  <c r="AC132" i="2"/>
  <c r="AB132" i="2"/>
  <c r="AA132" i="2"/>
  <c r="Z132" i="2"/>
  <c r="Y132" i="2"/>
  <c r="X132" i="2"/>
  <c r="AC131" i="2"/>
  <c r="AB131" i="2"/>
  <c r="AD131" i="2" s="1"/>
  <c r="AA131" i="2"/>
  <c r="Z131" i="2"/>
  <c r="Y131" i="2"/>
  <c r="X131" i="2"/>
  <c r="AC130" i="2"/>
  <c r="AB130" i="2"/>
  <c r="AD130" i="2" s="1"/>
  <c r="AA130" i="2"/>
  <c r="Z130" i="2"/>
  <c r="Y130" i="2"/>
  <c r="X130" i="2"/>
  <c r="AC129" i="2"/>
  <c r="AB129" i="2"/>
  <c r="AD129" i="2" s="1"/>
  <c r="AA129" i="2"/>
  <c r="Z129" i="2"/>
  <c r="Y129" i="2"/>
  <c r="X129" i="2"/>
  <c r="AC128" i="2"/>
  <c r="AB128" i="2"/>
  <c r="AD128" i="2" s="1"/>
  <c r="AA128" i="2"/>
  <c r="Z128" i="2"/>
  <c r="Y128" i="2"/>
  <c r="X128" i="2"/>
  <c r="AD127" i="2"/>
  <c r="AC127" i="2"/>
  <c r="AB127" i="2"/>
  <c r="AA127" i="2"/>
  <c r="Z127" i="2"/>
  <c r="Y127" i="2"/>
  <c r="X127" i="2"/>
  <c r="AC126" i="2"/>
  <c r="AB126" i="2"/>
  <c r="AD126" i="2" s="1"/>
  <c r="AA126" i="2"/>
  <c r="Z126" i="2"/>
  <c r="Y126" i="2"/>
  <c r="X126" i="2"/>
  <c r="AC125" i="2"/>
  <c r="AB125" i="2"/>
  <c r="AD125" i="2" s="1"/>
  <c r="AA125" i="2"/>
  <c r="Z125" i="2"/>
  <c r="Y125" i="2"/>
  <c r="X125" i="2"/>
  <c r="AC124" i="2"/>
  <c r="AB124" i="2"/>
  <c r="AD124" i="2" s="1"/>
  <c r="AA124" i="2"/>
  <c r="Z124" i="2"/>
  <c r="Y124" i="2"/>
  <c r="X124" i="2"/>
  <c r="AC123" i="2"/>
  <c r="AB123" i="2"/>
  <c r="AD123" i="2" s="1"/>
  <c r="AA123" i="2"/>
  <c r="Z123" i="2"/>
  <c r="Y123" i="2"/>
  <c r="X123" i="2"/>
  <c r="AC122" i="2"/>
  <c r="AB122" i="2"/>
  <c r="AD122" i="2" s="1"/>
  <c r="AA122" i="2"/>
  <c r="Z122" i="2"/>
  <c r="Y122" i="2"/>
  <c r="X122" i="2"/>
  <c r="AD121" i="2"/>
  <c r="AC121" i="2"/>
  <c r="AB121" i="2"/>
  <c r="AA121" i="2"/>
  <c r="Z121" i="2"/>
  <c r="Y121" i="2"/>
  <c r="X121" i="2"/>
  <c r="AC120" i="2"/>
  <c r="AB120" i="2"/>
  <c r="AD120" i="2" s="1"/>
  <c r="AA120" i="2"/>
  <c r="Z120" i="2"/>
  <c r="Y120" i="2"/>
  <c r="X120" i="2"/>
  <c r="AC119" i="2"/>
  <c r="AB119" i="2"/>
  <c r="AD119" i="2" s="1"/>
  <c r="AA119" i="2"/>
  <c r="Z119" i="2"/>
  <c r="Y119" i="2"/>
  <c r="X119" i="2"/>
  <c r="AC118" i="2"/>
  <c r="AB118" i="2"/>
  <c r="AD118" i="2" s="1"/>
  <c r="AA118" i="2"/>
  <c r="Z118" i="2"/>
  <c r="Y118" i="2"/>
  <c r="X118" i="2"/>
  <c r="AC117" i="2"/>
  <c r="AB117" i="2"/>
  <c r="AD117" i="2" s="1"/>
  <c r="AA117" i="2"/>
  <c r="Z117" i="2"/>
  <c r="Y117" i="2"/>
  <c r="X117" i="2"/>
  <c r="AD116" i="2"/>
  <c r="AC116" i="2"/>
  <c r="AB116" i="2"/>
  <c r="AA116" i="2"/>
  <c r="Z116" i="2"/>
  <c r="Y116" i="2"/>
  <c r="X116" i="2"/>
  <c r="AC115" i="2"/>
  <c r="AB115" i="2"/>
  <c r="AD115" i="2" s="1"/>
  <c r="AA115" i="2"/>
  <c r="Z115" i="2"/>
  <c r="Y115" i="2"/>
  <c r="X115" i="2"/>
  <c r="AC114" i="2"/>
  <c r="AB114" i="2"/>
  <c r="AD114" i="2" s="1"/>
  <c r="AA114" i="2"/>
  <c r="Z114" i="2"/>
  <c r="Y114" i="2"/>
  <c r="X114" i="2"/>
  <c r="AC113" i="2"/>
  <c r="AB113" i="2"/>
  <c r="AD113" i="2" s="1"/>
  <c r="AA113" i="2"/>
  <c r="Z113" i="2"/>
  <c r="Y113" i="2"/>
  <c r="X113" i="2"/>
  <c r="AC112" i="2"/>
  <c r="AB112" i="2"/>
  <c r="AD112" i="2" s="1"/>
  <c r="AA112" i="2"/>
  <c r="Z112" i="2"/>
  <c r="Y112" i="2"/>
  <c r="X112" i="2"/>
  <c r="AD111" i="2"/>
  <c r="AC111" i="2"/>
  <c r="AB111" i="2"/>
  <c r="AA111" i="2"/>
  <c r="Z111" i="2"/>
  <c r="Y111" i="2"/>
  <c r="X111" i="2"/>
  <c r="AD110" i="2"/>
  <c r="AC110" i="2"/>
  <c r="AB110" i="2"/>
  <c r="AA110" i="2"/>
  <c r="Z110" i="2"/>
  <c r="Y110" i="2"/>
  <c r="X110" i="2"/>
  <c r="AC109" i="2"/>
  <c r="AB109" i="2"/>
  <c r="AD109" i="2" s="1"/>
  <c r="AA109" i="2"/>
  <c r="Z109" i="2"/>
  <c r="Y109" i="2"/>
  <c r="X109" i="2"/>
  <c r="AD108" i="2"/>
  <c r="AC108" i="2"/>
  <c r="AB108" i="2"/>
  <c r="AA108" i="2"/>
  <c r="Z108" i="2"/>
  <c r="Y108" i="2"/>
  <c r="X108" i="2"/>
  <c r="AC107" i="2"/>
  <c r="AB107" i="2"/>
  <c r="AD107" i="2" s="1"/>
  <c r="AA107" i="2"/>
  <c r="Z107" i="2"/>
  <c r="Y107" i="2"/>
  <c r="X107" i="2"/>
  <c r="AC106" i="2"/>
  <c r="AB106" i="2"/>
  <c r="AD106" i="2" s="1"/>
  <c r="AA106" i="2"/>
  <c r="Z106" i="2"/>
  <c r="Y106" i="2"/>
  <c r="X106" i="2"/>
  <c r="AD105" i="2"/>
  <c r="AC105" i="2"/>
  <c r="AB105" i="2"/>
  <c r="AA105" i="2"/>
  <c r="Z105" i="2"/>
  <c r="Y105" i="2"/>
  <c r="X105" i="2"/>
  <c r="AC104" i="2"/>
  <c r="AB104" i="2"/>
  <c r="AD104" i="2" s="1"/>
  <c r="AA104" i="2"/>
  <c r="Z104" i="2"/>
  <c r="Y104" i="2"/>
  <c r="X104" i="2"/>
  <c r="AD103" i="2"/>
  <c r="AC103" i="2"/>
  <c r="AB103" i="2"/>
  <c r="AA103" i="2"/>
  <c r="Z103" i="2"/>
  <c r="Y103" i="2"/>
  <c r="X103" i="2"/>
  <c r="AC102" i="2"/>
  <c r="AB102" i="2"/>
  <c r="AD102" i="2" s="1"/>
  <c r="AA102" i="2"/>
  <c r="Z102" i="2"/>
  <c r="Y102" i="2"/>
  <c r="X102" i="2"/>
  <c r="AC101" i="2"/>
  <c r="AB101" i="2"/>
  <c r="AD101" i="2" s="1"/>
  <c r="AA101" i="2"/>
  <c r="Z101" i="2"/>
  <c r="Y101" i="2"/>
  <c r="X101" i="2"/>
  <c r="AD100" i="2"/>
  <c r="AC100" i="2"/>
  <c r="AB100" i="2"/>
  <c r="AA100" i="2"/>
  <c r="Z100" i="2"/>
  <c r="Y100" i="2"/>
  <c r="X100" i="2"/>
  <c r="AC99" i="2"/>
  <c r="AB99" i="2"/>
  <c r="AD99" i="2" s="1"/>
  <c r="AA99" i="2"/>
  <c r="Z99" i="2"/>
  <c r="Y99" i="2"/>
  <c r="X99" i="2"/>
  <c r="AC98" i="2"/>
  <c r="AB98" i="2"/>
  <c r="AD98" i="2" s="1"/>
  <c r="AA98" i="2"/>
  <c r="Z98" i="2"/>
  <c r="Y98" i="2"/>
  <c r="X98" i="2"/>
  <c r="AC97" i="2"/>
  <c r="AB97" i="2"/>
  <c r="AD97" i="2" s="1"/>
  <c r="AA97" i="2"/>
  <c r="Z97" i="2"/>
  <c r="Y97" i="2"/>
  <c r="X97" i="2"/>
  <c r="AC96" i="2"/>
  <c r="AB96" i="2"/>
  <c r="AD96" i="2" s="1"/>
  <c r="AA96" i="2"/>
  <c r="Z96" i="2"/>
  <c r="Y96" i="2"/>
  <c r="X96" i="2"/>
  <c r="AC95" i="2"/>
  <c r="AB95" i="2"/>
  <c r="AD95" i="2" s="1"/>
  <c r="AA95" i="2"/>
  <c r="Z95" i="2"/>
  <c r="Y95" i="2"/>
  <c r="X95" i="2"/>
  <c r="AC94" i="2"/>
  <c r="AB94" i="2"/>
  <c r="AD94" i="2" s="1"/>
  <c r="AA94" i="2"/>
  <c r="Z94" i="2"/>
  <c r="Y94" i="2"/>
  <c r="X94" i="2"/>
  <c r="AC93" i="2"/>
  <c r="AB93" i="2"/>
  <c r="AD93" i="2" s="1"/>
  <c r="AA93" i="2"/>
  <c r="Z93" i="2"/>
  <c r="Y93" i="2"/>
  <c r="X93" i="2"/>
  <c r="AC92" i="2"/>
  <c r="AB92" i="2"/>
  <c r="AD92" i="2" s="1"/>
  <c r="AA92" i="2"/>
  <c r="Z92" i="2"/>
  <c r="Y92" i="2"/>
  <c r="X92" i="2"/>
  <c r="AC91" i="2"/>
  <c r="AB91" i="2"/>
  <c r="AD91" i="2" s="1"/>
  <c r="AA91" i="2"/>
  <c r="Z91" i="2"/>
  <c r="Y91" i="2"/>
  <c r="X91" i="2"/>
  <c r="AC90" i="2"/>
  <c r="AB90" i="2"/>
  <c r="AD90" i="2" s="1"/>
  <c r="AA90" i="2"/>
  <c r="Z90" i="2"/>
  <c r="Y90" i="2"/>
  <c r="X90" i="2"/>
  <c r="AC89" i="2"/>
  <c r="AB89" i="2"/>
  <c r="AD89" i="2" s="1"/>
  <c r="AA89" i="2"/>
  <c r="Z89" i="2"/>
  <c r="Y89" i="2"/>
  <c r="X89" i="2"/>
  <c r="AC88" i="2"/>
  <c r="AB88" i="2"/>
  <c r="AD88" i="2" s="1"/>
  <c r="AA88" i="2"/>
  <c r="Z88" i="2"/>
  <c r="Y88" i="2"/>
  <c r="X88" i="2"/>
  <c r="AC87" i="2"/>
  <c r="AB87" i="2"/>
  <c r="AD87" i="2" s="1"/>
  <c r="AA87" i="2"/>
  <c r="Z87" i="2"/>
  <c r="Y87" i="2"/>
  <c r="X87" i="2"/>
  <c r="AC86" i="2"/>
  <c r="AB86" i="2"/>
  <c r="AD86" i="2" s="1"/>
  <c r="AA86" i="2"/>
  <c r="Z86" i="2"/>
  <c r="Y86" i="2"/>
  <c r="X86" i="2"/>
  <c r="AC85" i="2"/>
  <c r="AB85" i="2"/>
  <c r="AD85" i="2" s="1"/>
  <c r="AA85" i="2"/>
  <c r="Z85" i="2"/>
  <c r="Y85" i="2"/>
  <c r="X85" i="2"/>
  <c r="AC84" i="2"/>
  <c r="AB84" i="2"/>
  <c r="AD84" i="2" s="1"/>
  <c r="AA84" i="2"/>
  <c r="Z84" i="2"/>
  <c r="Y84" i="2"/>
  <c r="X84" i="2"/>
  <c r="AC83" i="2"/>
  <c r="AB83" i="2"/>
  <c r="AD83" i="2" s="1"/>
  <c r="AA83" i="2"/>
  <c r="Z83" i="2"/>
  <c r="Y83" i="2"/>
  <c r="X83" i="2"/>
  <c r="AC82" i="2"/>
  <c r="AB82" i="2"/>
  <c r="AD82" i="2" s="1"/>
  <c r="AA82" i="2"/>
  <c r="Z82" i="2"/>
  <c r="Y82" i="2"/>
  <c r="X82" i="2"/>
  <c r="AC81" i="2"/>
  <c r="AB81" i="2"/>
  <c r="AD81" i="2" s="1"/>
  <c r="AA81" i="2"/>
  <c r="Z81" i="2"/>
  <c r="Y81" i="2"/>
  <c r="X81" i="2"/>
  <c r="AC80" i="2"/>
  <c r="AB80" i="2"/>
  <c r="AD80" i="2" s="1"/>
  <c r="AA80" i="2"/>
  <c r="Z80" i="2"/>
  <c r="Y80" i="2"/>
  <c r="X80" i="2"/>
  <c r="AC79" i="2"/>
  <c r="AB79" i="2"/>
  <c r="AD79" i="2" s="1"/>
  <c r="AA79" i="2"/>
  <c r="Z79" i="2"/>
  <c r="Y79" i="2"/>
  <c r="X79" i="2"/>
  <c r="AC78" i="2"/>
  <c r="AB78" i="2"/>
  <c r="AD78" i="2" s="1"/>
  <c r="AA78" i="2"/>
  <c r="Z78" i="2"/>
  <c r="Y78" i="2"/>
  <c r="X78" i="2"/>
  <c r="AC77" i="2"/>
  <c r="AB77" i="2"/>
  <c r="AD77" i="2" s="1"/>
  <c r="AA77" i="2"/>
  <c r="Z77" i="2"/>
  <c r="Y77" i="2"/>
  <c r="X77" i="2"/>
  <c r="AC76" i="2"/>
  <c r="AB76" i="2"/>
  <c r="AD76" i="2" s="1"/>
  <c r="AA76" i="2"/>
  <c r="Z76" i="2"/>
  <c r="Y76" i="2"/>
  <c r="X76" i="2"/>
  <c r="AC75" i="2"/>
  <c r="AB75" i="2"/>
  <c r="AD75" i="2" s="1"/>
  <c r="AA75" i="2"/>
  <c r="Z75" i="2"/>
  <c r="Y75" i="2"/>
  <c r="X75" i="2"/>
  <c r="AC74" i="2"/>
  <c r="AB74" i="2"/>
  <c r="AD74" i="2" s="1"/>
  <c r="AA74" i="2"/>
  <c r="Z74" i="2"/>
  <c r="Y74" i="2"/>
  <c r="X74" i="2"/>
  <c r="AC73" i="2"/>
  <c r="AB73" i="2"/>
  <c r="AD73" i="2" s="1"/>
  <c r="AA73" i="2"/>
  <c r="Z73" i="2"/>
  <c r="Y73" i="2"/>
  <c r="X73" i="2"/>
  <c r="AC72" i="2"/>
  <c r="AB72" i="2"/>
  <c r="AD72" i="2" s="1"/>
  <c r="AA72" i="2"/>
  <c r="Z72" i="2"/>
  <c r="Y72" i="2"/>
  <c r="X72" i="2"/>
  <c r="AC71" i="2"/>
  <c r="AB71" i="2"/>
  <c r="AD71" i="2" s="1"/>
  <c r="AA71" i="2"/>
  <c r="Z71" i="2"/>
  <c r="Y71" i="2"/>
  <c r="X71" i="2"/>
  <c r="AC70" i="2"/>
  <c r="AB70" i="2"/>
  <c r="AD70" i="2" s="1"/>
  <c r="AA70" i="2"/>
  <c r="Z70" i="2"/>
  <c r="Y70" i="2"/>
  <c r="X70" i="2"/>
  <c r="AC69" i="2"/>
  <c r="AB69" i="2"/>
  <c r="AD69" i="2" s="1"/>
  <c r="AA69" i="2"/>
  <c r="Z69" i="2"/>
  <c r="Y69" i="2"/>
  <c r="X69" i="2"/>
  <c r="AD68" i="2"/>
  <c r="AC68" i="2"/>
  <c r="AB68" i="2"/>
  <c r="AA68" i="2"/>
  <c r="Z68" i="2"/>
  <c r="Y68" i="2"/>
  <c r="X68" i="2"/>
  <c r="AC67" i="2"/>
  <c r="AB67" i="2"/>
  <c r="AD67" i="2" s="1"/>
  <c r="AA67" i="2"/>
  <c r="Z67" i="2"/>
  <c r="Y67" i="2"/>
  <c r="X67" i="2"/>
  <c r="AC66" i="2"/>
  <c r="AB66" i="2"/>
  <c r="AD66" i="2" s="1"/>
  <c r="AA66" i="2"/>
  <c r="Z66" i="2"/>
  <c r="Y66" i="2"/>
  <c r="X66" i="2"/>
  <c r="AC65" i="2"/>
  <c r="AB65" i="2"/>
  <c r="AD65" i="2" s="1"/>
  <c r="AA65" i="2"/>
  <c r="Z65" i="2"/>
  <c r="Y65" i="2"/>
  <c r="X65" i="2"/>
  <c r="AC64" i="2"/>
  <c r="AB64" i="2"/>
  <c r="AD64" i="2" s="1"/>
  <c r="AA64" i="2"/>
  <c r="Z64" i="2"/>
  <c r="Y64" i="2"/>
  <c r="X64" i="2"/>
  <c r="AC63" i="2"/>
  <c r="AB63" i="2"/>
  <c r="AD63" i="2" s="1"/>
  <c r="AA63" i="2"/>
  <c r="Z63" i="2"/>
  <c r="Y63" i="2"/>
  <c r="X63" i="2"/>
  <c r="AC62" i="2"/>
  <c r="AB62" i="2"/>
  <c r="AD62" i="2" s="1"/>
  <c r="AA62" i="2"/>
  <c r="Z62" i="2"/>
  <c r="Y62" i="2"/>
  <c r="X62" i="2"/>
  <c r="AC61" i="2"/>
  <c r="AB61" i="2"/>
  <c r="AD61" i="2" s="1"/>
  <c r="AA61" i="2"/>
  <c r="Z61" i="2"/>
  <c r="Y61" i="2"/>
  <c r="X61" i="2"/>
  <c r="AC60" i="2"/>
  <c r="AB60" i="2"/>
  <c r="AD60" i="2" s="1"/>
  <c r="AA60" i="2"/>
  <c r="Z60" i="2"/>
  <c r="Y60" i="2"/>
  <c r="X60" i="2"/>
  <c r="AC59" i="2"/>
  <c r="AB59" i="2"/>
  <c r="AD59" i="2" s="1"/>
  <c r="AA59" i="2"/>
  <c r="Z59" i="2"/>
  <c r="Y59" i="2"/>
  <c r="X59" i="2"/>
  <c r="AC58" i="2"/>
  <c r="AB58" i="2"/>
  <c r="AD58" i="2" s="1"/>
  <c r="AA58" i="2"/>
  <c r="Z58" i="2"/>
  <c r="Y58" i="2"/>
  <c r="X58" i="2"/>
  <c r="AC57" i="2"/>
  <c r="AB57" i="2"/>
  <c r="AD57" i="2" s="1"/>
  <c r="AA57" i="2"/>
  <c r="Z57" i="2"/>
  <c r="Y57" i="2"/>
  <c r="X57" i="2"/>
  <c r="AD56" i="2"/>
  <c r="AC56" i="2"/>
  <c r="AB56" i="2"/>
  <c r="AA56" i="2"/>
  <c r="Z56" i="2"/>
  <c r="Y56" i="2"/>
  <c r="X56" i="2"/>
  <c r="AC55" i="2"/>
  <c r="AB55" i="2"/>
  <c r="AD55" i="2" s="1"/>
  <c r="AA55" i="2"/>
  <c r="Z55" i="2"/>
  <c r="Y55" i="2"/>
  <c r="X55" i="2"/>
  <c r="AC54" i="2"/>
  <c r="AB54" i="2"/>
  <c r="AD54" i="2" s="1"/>
  <c r="AA54" i="2"/>
  <c r="Z54" i="2"/>
  <c r="Y54" i="2"/>
  <c r="X54" i="2"/>
  <c r="AC53" i="2"/>
  <c r="AB53" i="2"/>
  <c r="AD53" i="2" s="1"/>
  <c r="AA53" i="2"/>
  <c r="Z53" i="2"/>
  <c r="Y53" i="2"/>
  <c r="X53" i="2"/>
  <c r="AD52" i="2"/>
  <c r="AC52" i="2"/>
  <c r="AB52" i="2"/>
  <c r="AA52" i="2"/>
  <c r="Z52" i="2"/>
  <c r="Y52" i="2"/>
  <c r="X52" i="2"/>
  <c r="AC51" i="2"/>
  <c r="AB51" i="2"/>
  <c r="AD51" i="2" s="1"/>
  <c r="AA51" i="2"/>
  <c r="Z51" i="2"/>
  <c r="Y51" i="2"/>
  <c r="X51" i="2"/>
  <c r="AC50" i="2"/>
  <c r="AB50" i="2"/>
  <c r="AD50" i="2" s="1"/>
  <c r="AA50" i="2"/>
  <c r="Z50" i="2"/>
  <c r="Y50" i="2"/>
  <c r="X50" i="2"/>
  <c r="AC49" i="2"/>
  <c r="AB49" i="2"/>
  <c r="AD49" i="2" s="1"/>
  <c r="AA49" i="2"/>
  <c r="Z49" i="2"/>
  <c r="Y49" i="2"/>
  <c r="X49" i="2"/>
  <c r="AC48" i="2"/>
  <c r="AB48" i="2"/>
  <c r="AD48" i="2" s="1"/>
  <c r="AA48" i="2"/>
  <c r="Z48" i="2"/>
  <c r="Y48" i="2"/>
  <c r="X48" i="2"/>
  <c r="AC47" i="2"/>
  <c r="AB47" i="2"/>
  <c r="AD47" i="2" s="1"/>
  <c r="AA47" i="2"/>
  <c r="Z47" i="2"/>
  <c r="Y47" i="2"/>
  <c r="X47" i="2"/>
  <c r="AC46" i="2"/>
  <c r="AB46" i="2"/>
  <c r="AD46" i="2" s="1"/>
  <c r="AA46" i="2"/>
  <c r="Z46" i="2"/>
  <c r="Y46" i="2"/>
  <c r="X46" i="2"/>
  <c r="AC45" i="2"/>
  <c r="AB45" i="2"/>
  <c r="AD45" i="2" s="1"/>
  <c r="AA45" i="2"/>
  <c r="Z45" i="2"/>
  <c r="Y45" i="2"/>
  <c r="X45" i="2"/>
  <c r="AC44" i="2"/>
  <c r="AB44" i="2"/>
  <c r="AD44" i="2" s="1"/>
  <c r="AA44" i="2"/>
  <c r="Z44" i="2"/>
  <c r="Y44" i="2"/>
  <c r="X44" i="2"/>
  <c r="AC43" i="2"/>
  <c r="AB43" i="2"/>
  <c r="AD43" i="2" s="1"/>
  <c r="AA43" i="2"/>
  <c r="Z43" i="2"/>
  <c r="Y43" i="2"/>
  <c r="X43" i="2"/>
  <c r="AC42" i="2"/>
  <c r="AB42" i="2"/>
  <c r="AD42" i="2" s="1"/>
  <c r="AA42" i="2"/>
  <c r="Z42" i="2"/>
  <c r="Y42" i="2"/>
  <c r="X42" i="2"/>
  <c r="AC41" i="2"/>
  <c r="AB41" i="2"/>
  <c r="AD41" i="2" s="1"/>
  <c r="AA41" i="2"/>
  <c r="Z41" i="2"/>
  <c r="Y41" i="2"/>
  <c r="X41" i="2"/>
  <c r="AC40" i="2"/>
  <c r="AB40" i="2"/>
  <c r="AD40" i="2" s="1"/>
  <c r="AA40" i="2"/>
  <c r="Z40" i="2"/>
  <c r="Y40" i="2"/>
  <c r="X40" i="2"/>
  <c r="AD39" i="2"/>
  <c r="AC39" i="2"/>
  <c r="AB39" i="2"/>
  <c r="AA39" i="2"/>
  <c r="Z39" i="2"/>
  <c r="Y39" i="2"/>
  <c r="X39" i="2"/>
  <c r="AC38" i="2"/>
  <c r="AB38" i="2"/>
  <c r="AD38" i="2" s="1"/>
  <c r="AA38" i="2"/>
  <c r="Z38" i="2"/>
  <c r="Y38" i="2"/>
  <c r="X38" i="2"/>
  <c r="AC37" i="2"/>
  <c r="AB37" i="2"/>
  <c r="AD37" i="2" s="1"/>
  <c r="AA37" i="2"/>
  <c r="Z37" i="2"/>
  <c r="Y37" i="2"/>
  <c r="X37" i="2"/>
  <c r="AD36" i="2"/>
  <c r="AC36" i="2"/>
  <c r="AB36" i="2"/>
  <c r="AA36" i="2"/>
  <c r="Z36" i="2"/>
  <c r="Y36" i="2"/>
  <c r="X36" i="2"/>
  <c r="AC35" i="2"/>
  <c r="AB35" i="2"/>
  <c r="AD35" i="2" s="1"/>
  <c r="AA35" i="2"/>
  <c r="Z35" i="2"/>
  <c r="Y35" i="2"/>
  <c r="X35" i="2"/>
  <c r="AC34" i="2"/>
  <c r="AB34" i="2"/>
  <c r="AD34" i="2" s="1"/>
  <c r="AA34" i="2"/>
  <c r="Z34" i="2"/>
  <c r="Y34" i="2"/>
  <c r="X34" i="2"/>
  <c r="AC33" i="2"/>
  <c r="AB33" i="2"/>
  <c r="AD33" i="2" s="1"/>
  <c r="AA33" i="2"/>
  <c r="Z33" i="2"/>
  <c r="Y33" i="2"/>
  <c r="X33" i="2"/>
  <c r="AD32" i="2"/>
  <c r="AC32" i="2"/>
  <c r="AB32" i="2"/>
  <c r="AA32" i="2"/>
  <c r="Z32" i="2"/>
  <c r="Y32" i="2"/>
  <c r="X32" i="2"/>
  <c r="AC31" i="2"/>
  <c r="AB31" i="2"/>
  <c r="AD31" i="2" s="1"/>
  <c r="AA31" i="2"/>
  <c r="Z31" i="2"/>
  <c r="Y31" i="2"/>
  <c r="X31" i="2"/>
  <c r="AC30" i="2"/>
  <c r="AB30" i="2"/>
  <c r="AD30" i="2" s="1"/>
  <c r="AA30" i="2"/>
  <c r="Z30" i="2"/>
  <c r="Y30" i="2"/>
  <c r="X30" i="2"/>
  <c r="AC29" i="2"/>
  <c r="AB29" i="2"/>
  <c r="AD29" i="2" s="1"/>
  <c r="AA29" i="2"/>
  <c r="Z29" i="2"/>
  <c r="Y29" i="2"/>
  <c r="X29" i="2"/>
  <c r="AD28" i="2"/>
  <c r="AC28" i="2"/>
  <c r="AB28" i="2"/>
  <c r="AA28" i="2"/>
  <c r="Z28" i="2"/>
  <c r="Y28" i="2"/>
  <c r="X28" i="2"/>
  <c r="AC27" i="2"/>
  <c r="AB27" i="2"/>
  <c r="AD27" i="2" s="1"/>
  <c r="AA27" i="2"/>
  <c r="Z27" i="2"/>
  <c r="Y27" i="2"/>
  <c r="X27" i="2"/>
  <c r="AC26" i="2"/>
  <c r="AB26" i="2"/>
  <c r="AD26" i="2" s="1"/>
  <c r="AA26" i="2"/>
  <c r="Z26" i="2"/>
  <c r="Y26" i="2"/>
  <c r="X26" i="2"/>
  <c r="AC25" i="2"/>
  <c r="AB25" i="2"/>
  <c r="AD25" i="2" s="1"/>
  <c r="AA25" i="2"/>
  <c r="Z25" i="2"/>
  <c r="Y25" i="2"/>
  <c r="X25" i="2"/>
  <c r="AC24" i="2"/>
  <c r="AB24" i="2"/>
  <c r="AD24" i="2" s="1"/>
  <c r="AA24" i="2"/>
  <c r="Z24" i="2"/>
  <c r="Y24" i="2"/>
  <c r="X24" i="2"/>
  <c r="AD23" i="2"/>
  <c r="AC23" i="2"/>
  <c r="AB23" i="2"/>
  <c r="AA23" i="2"/>
  <c r="Z23" i="2"/>
  <c r="Y23" i="2"/>
  <c r="X23" i="2"/>
  <c r="AC22" i="2"/>
  <c r="AB22" i="2"/>
  <c r="AD22" i="2" s="1"/>
  <c r="AA22" i="2"/>
  <c r="Z22" i="2"/>
  <c r="Y22" i="2"/>
  <c r="X22" i="2"/>
  <c r="AC21" i="2"/>
  <c r="AB21" i="2"/>
  <c r="AD21" i="2" s="1"/>
  <c r="AA21" i="2"/>
  <c r="Z21" i="2"/>
  <c r="Y21" i="2"/>
  <c r="X21" i="2"/>
  <c r="AC20" i="2"/>
  <c r="AB20" i="2"/>
  <c r="AD20" i="2" s="1"/>
  <c r="AA20" i="2"/>
  <c r="Z20" i="2"/>
  <c r="Y20" i="2"/>
  <c r="X20" i="2"/>
  <c r="AC19" i="2"/>
  <c r="AB19" i="2"/>
  <c r="AD19" i="2" s="1"/>
  <c r="AA19" i="2"/>
  <c r="Z19" i="2"/>
  <c r="Y19" i="2"/>
  <c r="X19" i="2"/>
  <c r="AC18" i="2"/>
  <c r="AB18" i="2"/>
  <c r="AD18" i="2" s="1"/>
  <c r="AA18" i="2"/>
  <c r="Z18" i="2"/>
  <c r="Y18" i="2"/>
  <c r="X18" i="2"/>
  <c r="AC17" i="2"/>
  <c r="AB17" i="2"/>
  <c r="AD17" i="2" s="1"/>
  <c r="AA17" i="2"/>
  <c r="Z17" i="2"/>
  <c r="Y17" i="2"/>
  <c r="X17" i="2"/>
  <c r="AC16" i="2"/>
  <c r="AB16" i="2"/>
  <c r="AD16" i="2" s="1"/>
  <c r="AA16" i="2"/>
  <c r="Z16" i="2"/>
  <c r="Y16" i="2"/>
  <c r="X16" i="2"/>
  <c r="AC15" i="2"/>
  <c r="AB15" i="2"/>
  <c r="AD15" i="2" s="1"/>
  <c r="AA15" i="2"/>
  <c r="Z15" i="2"/>
  <c r="Y15" i="2"/>
  <c r="X15" i="2"/>
  <c r="AC14" i="2"/>
  <c r="AB14" i="2"/>
  <c r="AD14" i="2" s="1"/>
  <c r="AA14" i="2"/>
  <c r="Z14" i="2"/>
  <c r="Y14" i="2"/>
  <c r="X14" i="2"/>
  <c r="AD13" i="2"/>
  <c r="AC13" i="2"/>
  <c r="AB13" i="2"/>
  <c r="AA13" i="2"/>
  <c r="Z13" i="2"/>
  <c r="Y13" i="2"/>
  <c r="X13" i="2"/>
  <c r="AC12" i="2"/>
  <c r="AB12" i="2"/>
  <c r="AD12" i="2" s="1"/>
  <c r="AA12" i="2"/>
  <c r="Z12" i="2"/>
  <c r="Y12" i="2"/>
  <c r="X12" i="2"/>
  <c r="AC11" i="2"/>
  <c r="AB11" i="2"/>
  <c r="AD11" i="2" s="1"/>
  <c r="AA11" i="2"/>
  <c r="Z11" i="2"/>
  <c r="Y11" i="2"/>
  <c r="X11" i="2"/>
  <c r="AC10" i="2"/>
  <c r="AB10" i="2"/>
  <c r="AD10" i="2" s="1"/>
  <c r="AA10" i="2"/>
  <c r="Z10" i="2"/>
  <c r="Y10" i="2"/>
  <c r="X10" i="2"/>
  <c r="AC9" i="2"/>
  <c r="AB9" i="2"/>
  <c r="AD9" i="2" s="1"/>
  <c r="AA9" i="2"/>
  <c r="Z9" i="2"/>
  <c r="Y9" i="2"/>
  <c r="X9" i="2"/>
  <c r="AC8" i="2"/>
  <c r="AB8" i="2"/>
  <c r="AD8" i="2" s="1"/>
  <c r="AA8" i="2"/>
  <c r="Z8" i="2"/>
  <c r="Y8" i="2"/>
  <c r="X8" i="2"/>
  <c r="AC7" i="2"/>
  <c r="AB7" i="2"/>
  <c r="AD7" i="2" s="1"/>
  <c r="AA7" i="2"/>
  <c r="Z7" i="2"/>
  <c r="Y7" i="2"/>
  <c r="X7" i="2"/>
  <c r="AC6" i="2"/>
  <c r="AB6" i="2"/>
  <c r="AD6" i="2" s="1"/>
  <c r="AA6" i="2"/>
  <c r="Z6" i="2"/>
  <c r="Y6" i="2"/>
  <c r="X6" i="2"/>
  <c r="AC5" i="2"/>
  <c r="AB5" i="2"/>
  <c r="AD5" i="2" s="1"/>
  <c r="AA5" i="2"/>
  <c r="Z5" i="2"/>
  <c r="Y5" i="2"/>
  <c r="X5" i="2"/>
  <c r="AC4" i="2"/>
  <c r="P24" i="10" s="1"/>
  <c r="P27" i="10" s="1"/>
  <c r="AB4" i="2"/>
  <c r="AD4" i="2" s="1"/>
  <c r="AA4" i="2"/>
  <c r="Z4" i="2"/>
  <c r="Y4" i="2"/>
  <c r="X4" i="2"/>
  <c r="AC3" i="2"/>
  <c r="AB3" i="2"/>
  <c r="AD3" i="2" s="1"/>
  <c r="AA3" i="2"/>
  <c r="Z3" i="2"/>
  <c r="Y3" i="2"/>
  <c r="X3" i="2"/>
  <c r="AC164" i="1"/>
  <c r="AB164" i="1"/>
  <c r="AD164" i="1" s="1"/>
  <c r="AA164" i="1"/>
  <c r="Z164" i="1"/>
  <c r="Y164" i="1"/>
  <c r="X164" i="1"/>
  <c r="AD163" i="1"/>
  <c r="AC163" i="1"/>
  <c r="AB163" i="1"/>
  <c r="AA163" i="1"/>
  <c r="Z163" i="1"/>
  <c r="Y163" i="1"/>
  <c r="X163" i="1"/>
  <c r="AC162" i="1"/>
  <c r="AB162" i="1"/>
  <c r="AD162" i="1" s="1"/>
  <c r="AA162" i="1"/>
  <c r="Z162" i="1"/>
  <c r="Y162" i="1"/>
  <c r="X162" i="1"/>
  <c r="AC161" i="1"/>
  <c r="AB161" i="1"/>
  <c r="AD161" i="1" s="1"/>
  <c r="AA161" i="1"/>
  <c r="Z161" i="1"/>
  <c r="Y161" i="1"/>
  <c r="X161" i="1"/>
  <c r="AC160" i="1"/>
  <c r="AB160" i="1"/>
  <c r="AD160" i="1" s="1"/>
  <c r="AA160" i="1"/>
  <c r="Z160" i="1"/>
  <c r="Y160" i="1"/>
  <c r="X160" i="1"/>
  <c r="AC159" i="1"/>
  <c r="AB159" i="1"/>
  <c r="AD159" i="1" s="1"/>
  <c r="AA159" i="1"/>
  <c r="Z159" i="1"/>
  <c r="Y159" i="1"/>
  <c r="X159" i="1"/>
  <c r="AC158" i="1"/>
  <c r="AB158" i="1"/>
  <c r="AD158" i="1" s="1"/>
  <c r="AA158" i="1"/>
  <c r="Z158" i="1"/>
  <c r="Y158" i="1"/>
  <c r="X158" i="1"/>
  <c r="AD157" i="1"/>
  <c r="AC157" i="1"/>
  <c r="AB157" i="1"/>
  <c r="AA157" i="1"/>
  <c r="Z157" i="1"/>
  <c r="Y157" i="1"/>
  <c r="X157" i="1"/>
  <c r="AC156" i="1"/>
  <c r="AB156" i="1"/>
  <c r="AD156" i="1" s="1"/>
  <c r="AA156" i="1"/>
  <c r="Z156" i="1"/>
  <c r="Y156" i="1"/>
  <c r="X156" i="1"/>
  <c r="AC155" i="1"/>
  <c r="AB155" i="1"/>
  <c r="AD155" i="1" s="1"/>
  <c r="AA155" i="1"/>
  <c r="Z155" i="1"/>
  <c r="Y155" i="1"/>
  <c r="X155" i="1"/>
  <c r="AC154" i="1"/>
  <c r="AB154" i="1"/>
  <c r="AD154" i="1" s="1"/>
  <c r="AA154" i="1"/>
  <c r="Z154" i="1"/>
  <c r="Y154" i="1"/>
  <c r="X154" i="1"/>
  <c r="AD153" i="1"/>
  <c r="AC153" i="1"/>
  <c r="AB153" i="1"/>
  <c r="AA153" i="1"/>
  <c r="Z153" i="1"/>
  <c r="Y153" i="1"/>
  <c r="X153" i="1"/>
  <c r="AC152" i="1"/>
  <c r="AB152" i="1"/>
  <c r="AD152" i="1" s="1"/>
  <c r="AA152" i="1"/>
  <c r="Z152" i="1"/>
  <c r="Y152" i="1"/>
  <c r="X152" i="1"/>
  <c r="AC151" i="1"/>
  <c r="AB151" i="1"/>
  <c r="AD151" i="1" s="1"/>
  <c r="AA151" i="1"/>
  <c r="Z151" i="1"/>
  <c r="Y151" i="1"/>
  <c r="X151" i="1"/>
  <c r="AC150" i="1"/>
  <c r="AB150" i="1"/>
  <c r="AD150" i="1" s="1"/>
  <c r="AA150" i="1"/>
  <c r="Z150" i="1"/>
  <c r="Y150" i="1"/>
  <c r="X150" i="1"/>
  <c r="AC149" i="1"/>
  <c r="AB149" i="1"/>
  <c r="AD149" i="1" s="1"/>
  <c r="AA149" i="1"/>
  <c r="Z149" i="1"/>
  <c r="Y149" i="1"/>
  <c r="X149" i="1"/>
  <c r="AC148" i="1"/>
  <c r="AB148" i="1"/>
  <c r="AD148" i="1" s="1"/>
  <c r="AA148" i="1"/>
  <c r="Z148" i="1"/>
  <c r="Y148" i="1"/>
  <c r="X148" i="1"/>
  <c r="AC147" i="1"/>
  <c r="AB147" i="1"/>
  <c r="AD147" i="1" s="1"/>
  <c r="AA147" i="1"/>
  <c r="Z147" i="1"/>
  <c r="Y147" i="1"/>
  <c r="X147" i="1"/>
  <c r="AC146" i="1"/>
  <c r="AB146" i="1"/>
  <c r="AD146" i="1" s="1"/>
  <c r="AA146" i="1"/>
  <c r="Z146" i="1"/>
  <c r="Y146" i="1"/>
  <c r="X146" i="1"/>
  <c r="AC145" i="1"/>
  <c r="AB145" i="1"/>
  <c r="AD145" i="1" s="1"/>
  <c r="AA145" i="1"/>
  <c r="Z145" i="1"/>
  <c r="Y145" i="1"/>
  <c r="X145" i="1"/>
  <c r="AC144" i="1"/>
  <c r="AB144" i="1"/>
  <c r="AD144" i="1" s="1"/>
  <c r="AA144" i="1"/>
  <c r="Z144" i="1"/>
  <c r="Y144" i="1"/>
  <c r="X144" i="1"/>
  <c r="AC143" i="1"/>
  <c r="AB143" i="1"/>
  <c r="AD143" i="1" s="1"/>
  <c r="AA143" i="1"/>
  <c r="Z143" i="1"/>
  <c r="Y143" i="1"/>
  <c r="X143" i="1"/>
  <c r="AC142" i="1"/>
  <c r="AB142" i="1"/>
  <c r="AD142" i="1" s="1"/>
  <c r="AA142" i="1"/>
  <c r="Z142" i="1"/>
  <c r="Y142" i="1"/>
  <c r="X142" i="1"/>
  <c r="AC141" i="1"/>
  <c r="AB141" i="1"/>
  <c r="AD141" i="1" s="1"/>
  <c r="AA141" i="1"/>
  <c r="Z141" i="1"/>
  <c r="Y141" i="1"/>
  <c r="X141" i="1"/>
  <c r="AC140" i="1"/>
  <c r="AB140" i="1"/>
  <c r="AD140" i="1" s="1"/>
  <c r="AA140" i="1"/>
  <c r="Z140" i="1"/>
  <c r="Y140" i="1"/>
  <c r="X140" i="1"/>
  <c r="AC139" i="1"/>
  <c r="AB139" i="1"/>
  <c r="AD139" i="1" s="1"/>
  <c r="AA139" i="1"/>
  <c r="Z139" i="1"/>
  <c r="Y139" i="1"/>
  <c r="X139" i="1"/>
  <c r="AC138" i="1"/>
  <c r="AB138" i="1"/>
  <c r="AD138" i="1" s="1"/>
  <c r="AA138" i="1"/>
  <c r="Z138" i="1"/>
  <c r="Y138" i="1"/>
  <c r="X138" i="1"/>
  <c r="AC137" i="1"/>
  <c r="AB137" i="1"/>
  <c r="AD137" i="1" s="1"/>
  <c r="AA137" i="1"/>
  <c r="Z137" i="1"/>
  <c r="Y137" i="1"/>
  <c r="X137" i="1"/>
  <c r="AC136" i="1"/>
  <c r="AB136" i="1"/>
  <c r="AD136" i="1" s="1"/>
  <c r="AA136" i="1"/>
  <c r="Z136" i="1"/>
  <c r="Y136" i="1"/>
  <c r="X136" i="1"/>
  <c r="AC135" i="1"/>
  <c r="AB135" i="1"/>
  <c r="AD135" i="1" s="1"/>
  <c r="AA135" i="1"/>
  <c r="Z135" i="1"/>
  <c r="Y135" i="1"/>
  <c r="X135" i="1"/>
  <c r="AD134" i="1"/>
  <c r="AC134" i="1"/>
  <c r="AB134" i="1"/>
  <c r="AA134" i="1"/>
  <c r="Z134" i="1"/>
  <c r="Y134" i="1"/>
  <c r="X134" i="1"/>
  <c r="AC133" i="1"/>
  <c r="AB133" i="1"/>
  <c r="AD133" i="1" s="1"/>
  <c r="AA133" i="1"/>
  <c r="Z133" i="1"/>
  <c r="Y133" i="1"/>
  <c r="X133" i="1"/>
  <c r="AC132" i="1"/>
  <c r="AB132" i="1"/>
  <c r="AD132" i="1" s="1"/>
  <c r="AA132" i="1"/>
  <c r="Z132" i="1"/>
  <c r="Y132" i="1"/>
  <c r="X132" i="1"/>
  <c r="AC131" i="1"/>
  <c r="AB131" i="1"/>
  <c r="AD131" i="1" s="1"/>
  <c r="AA131" i="1"/>
  <c r="Z131" i="1"/>
  <c r="Y131" i="1"/>
  <c r="X131" i="1"/>
  <c r="AC130" i="1"/>
  <c r="AB130" i="1"/>
  <c r="AD130" i="1" s="1"/>
  <c r="AA130" i="1"/>
  <c r="Z130" i="1"/>
  <c r="Y130" i="1"/>
  <c r="X130" i="1"/>
  <c r="AD129" i="1"/>
  <c r="AC129" i="1"/>
  <c r="AB129" i="1"/>
  <c r="AA129" i="1"/>
  <c r="Z129" i="1"/>
  <c r="Y129" i="1"/>
  <c r="X129" i="1"/>
  <c r="AC128" i="1"/>
  <c r="AB128" i="1"/>
  <c r="AD128" i="1" s="1"/>
  <c r="AA128" i="1"/>
  <c r="Z128" i="1"/>
  <c r="Y128" i="1"/>
  <c r="X128" i="1"/>
  <c r="AC127" i="1"/>
  <c r="AB127" i="1"/>
  <c r="AD127" i="1" s="1"/>
  <c r="AA127" i="1"/>
  <c r="Z127" i="1"/>
  <c r="Y127" i="1"/>
  <c r="X127" i="1"/>
  <c r="AC126" i="1"/>
  <c r="AB126" i="1"/>
  <c r="AD126" i="1" s="1"/>
  <c r="AA126" i="1"/>
  <c r="Z126" i="1"/>
  <c r="Y126" i="1"/>
  <c r="X126" i="1"/>
  <c r="AC125" i="1"/>
  <c r="AB125" i="1"/>
  <c r="AD125" i="1" s="1"/>
  <c r="AA125" i="1"/>
  <c r="Z125" i="1"/>
  <c r="Y125" i="1"/>
  <c r="X125" i="1"/>
  <c r="AC124" i="1"/>
  <c r="AB124" i="1"/>
  <c r="AD124" i="1" s="1"/>
  <c r="AA124" i="1"/>
  <c r="Z124" i="1"/>
  <c r="Y124" i="1"/>
  <c r="X124" i="1"/>
  <c r="AC123" i="1"/>
  <c r="AB123" i="1"/>
  <c r="AD123" i="1" s="1"/>
  <c r="AA123" i="1"/>
  <c r="Z123" i="1"/>
  <c r="Y123" i="1"/>
  <c r="X123" i="1"/>
  <c r="AD122" i="1"/>
  <c r="AC122" i="1"/>
  <c r="AB122" i="1"/>
  <c r="AA122" i="1"/>
  <c r="Z122" i="1"/>
  <c r="Y122" i="1"/>
  <c r="X122" i="1"/>
  <c r="AC121" i="1"/>
  <c r="AB121" i="1"/>
  <c r="AD121" i="1" s="1"/>
  <c r="AA121" i="1"/>
  <c r="Z121" i="1"/>
  <c r="Y121" i="1"/>
  <c r="X121" i="1"/>
  <c r="AC120" i="1"/>
  <c r="AB120" i="1"/>
  <c r="AD120" i="1" s="1"/>
  <c r="AA120" i="1"/>
  <c r="Z120" i="1"/>
  <c r="Y120" i="1"/>
  <c r="X120" i="1"/>
  <c r="AC119" i="1"/>
  <c r="AB119" i="1"/>
  <c r="AD119" i="1" s="1"/>
  <c r="AA119" i="1"/>
  <c r="Z119" i="1"/>
  <c r="Y119" i="1"/>
  <c r="X119" i="1"/>
  <c r="AC118" i="1"/>
  <c r="AB118" i="1"/>
  <c r="AD118" i="1" s="1"/>
  <c r="AA118" i="1"/>
  <c r="Z118" i="1"/>
  <c r="Y118" i="1"/>
  <c r="X118" i="1"/>
  <c r="AC117" i="1"/>
  <c r="AB117" i="1"/>
  <c r="AD117" i="1" s="1"/>
  <c r="AA117" i="1"/>
  <c r="Z117" i="1"/>
  <c r="Y117" i="1"/>
  <c r="X117" i="1"/>
  <c r="AC116" i="1"/>
  <c r="AB116" i="1"/>
  <c r="AD116" i="1" s="1"/>
  <c r="AA116" i="1"/>
  <c r="Z116" i="1"/>
  <c r="Y116" i="1"/>
  <c r="X116" i="1"/>
  <c r="AC115" i="1"/>
  <c r="AB115" i="1"/>
  <c r="AD115" i="1" s="1"/>
  <c r="AA115" i="1"/>
  <c r="Z115" i="1"/>
  <c r="Y115" i="1"/>
  <c r="X115" i="1"/>
  <c r="AC114" i="1"/>
  <c r="AB114" i="1"/>
  <c r="AD114" i="1" s="1"/>
  <c r="AA114" i="1"/>
  <c r="Z114" i="1"/>
  <c r="Y114" i="1"/>
  <c r="X114" i="1"/>
  <c r="AC113" i="1"/>
  <c r="AB113" i="1"/>
  <c r="AD113" i="1" s="1"/>
  <c r="AA113" i="1"/>
  <c r="Z113" i="1"/>
  <c r="Y113" i="1"/>
  <c r="X113" i="1"/>
  <c r="AC112" i="1"/>
  <c r="AB112" i="1"/>
  <c r="AD112" i="1" s="1"/>
  <c r="AA112" i="1"/>
  <c r="Z112" i="1"/>
  <c r="Y112" i="1"/>
  <c r="X112" i="1"/>
  <c r="AC111" i="1"/>
  <c r="AB111" i="1"/>
  <c r="AD111" i="1" s="1"/>
  <c r="AA111" i="1"/>
  <c r="Z111" i="1"/>
  <c r="Y111" i="1"/>
  <c r="X111" i="1"/>
  <c r="AD110" i="1"/>
  <c r="AC110" i="1"/>
  <c r="AB110" i="1"/>
  <c r="AA110" i="1"/>
  <c r="Z110" i="1"/>
  <c r="Y110" i="1"/>
  <c r="X110" i="1"/>
  <c r="AC109" i="1"/>
  <c r="AB109" i="1"/>
  <c r="AD109" i="1" s="1"/>
  <c r="AA109" i="1"/>
  <c r="Z109" i="1"/>
  <c r="Y109" i="1"/>
  <c r="X109" i="1"/>
  <c r="AC108" i="1"/>
  <c r="AB108" i="1"/>
  <c r="AD108" i="1" s="1"/>
  <c r="AA108" i="1"/>
  <c r="Z108" i="1"/>
  <c r="Y108" i="1"/>
  <c r="X108" i="1"/>
  <c r="AD107" i="1"/>
  <c r="AC107" i="1"/>
  <c r="AB107" i="1"/>
  <c r="AA107" i="1"/>
  <c r="Z107" i="1"/>
  <c r="Y107" i="1"/>
  <c r="X107" i="1"/>
  <c r="AC106" i="1"/>
  <c r="AB106" i="1"/>
  <c r="AD106" i="1" s="1"/>
  <c r="AA106" i="1"/>
  <c r="Z106" i="1"/>
  <c r="Y106" i="1"/>
  <c r="X106" i="1"/>
  <c r="AC105" i="1"/>
  <c r="AB105" i="1"/>
  <c r="AD105" i="1" s="1"/>
  <c r="AA105" i="1"/>
  <c r="Z105" i="1"/>
  <c r="Y105" i="1"/>
  <c r="X105" i="1"/>
  <c r="AC104" i="1"/>
  <c r="AB104" i="1"/>
  <c r="AD104" i="1" s="1"/>
  <c r="AA104" i="1"/>
  <c r="Z104" i="1"/>
  <c r="Y104" i="1"/>
  <c r="X104" i="1"/>
  <c r="AC103" i="1"/>
  <c r="AB103" i="1"/>
  <c r="AD103" i="1" s="1"/>
  <c r="AA103" i="1"/>
  <c r="Z103" i="1"/>
  <c r="Y103" i="1"/>
  <c r="X103" i="1"/>
  <c r="AC102" i="1"/>
  <c r="AB102" i="1"/>
  <c r="AD102" i="1" s="1"/>
  <c r="AA102" i="1"/>
  <c r="Z102" i="1"/>
  <c r="Y102" i="1"/>
  <c r="X102" i="1"/>
  <c r="AC101" i="1"/>
  <c r="AB101" i="1"/>
  <c r="AD101" i="1" s="1"/>
  <c r="AA101" i="1"/>
  <c r="Z101" i="1"/>
  <c r="Y101" i="1"/>
  <c r="X101" i="1"/>
  <c r="AC100" i="1"/>
  <c r="AB100" i="1"/>
  <c r="AD100" i="1" s="1"/>
  <c r="AA100" i="1"/>
  <c r="Z100" i="1"/>
  <c r="Y100" i="1"/>
  <c r="X100" i="1"/>
  <c r="AC99" i="1"/>
  <c r="AB99" i="1"/>
  <c r="AD99" i="1" s="1"/>
  <c r="AA99" i="1"/>
  <c r="Z99" i="1"/>
  <c r="Y99" i="1"/>
  <c r="X99" i="1"/>
  <c r="AD98" i="1"/>
  <c r="AC98" i="1"/>
  <c r="AB98" i="1"/>
  <c r="AA98" i="1"/>
  <c r="Z98" i="1"/>
  <c r="Y98" i="1"/>
  <c r="X98" i="1"/>
  <c r="AC97" i="1"/>
  <c r="AB97" i="1"/>
  <c r="AD97" i="1" s="1"/>
  <c r="AA97" i="1"/>
  <c r="Z97" i="1"/>
  <c r="Y97" i="1"/>
  <c r="X97" i="1"/>
  <c r="AC96" i="1"/>
  <c r="AB96" i="1"/>
  <c r="AD96" i="1" s="1"/>
  <c r="AA96" i="1"/>
  <c r="Z96" i="1"/>
  <c r="Y96" i="1"/>
  <c r="X96" i="1"/>
  <c r="AC95" i="1"/>
  <c r="AB95" i="1"/>
  <c r="AD95" i="1" s="1"/>
  <c r="AA95" i="1"/>
  <c r="Z95" i="1"/>
  <c r="Y95" i="1"/>
  <c r="X95" i="1"/>
  <c r="AD94" i="1"/>
  <c r="AC94" i="1"/>
  <c r="AB94" i="1"/>
  <c r="AA94" i="1"/>
  <c r="Z94" i="1"/>
  <c r="Y94" i="1"/>
  <c r="X94" i="1"/>
  <c r="AC93" i="1"/>
  <c r="AB93" i="1"/>
  <c r="AD93" i="1" s="1"/>
  <c r="AA93" i="1"/>
  <c r="Z93" i="1"/>
  <c r="Y93" i="1"/>
  <c r="X93" i="1"/>
  <c r="AC92" i="1"/>
  <c r="AB92" i="1"/>
  <c r="AD92" i="1" s="1"/>
  <c r="AA92" i="1"/>
  <c r="Z92" i="1"/>
  <c r="Y92" i="1"/>
  <c r="X92" i="1"/>
  <c r="AC91" i="1"/>
  <c r="AB91" i="1"/>
  <c r="AD91" i="1" s="1"/>
  <c r="AA91" i="1"/>
  <c r="Z91" i="1"/>
  <c r="Y91" i="1"/>
  <c r="X91" i="1"/>
  <c r="AC90" i="1"/>
  <c r="AB90" i="1"/>
  <c r="AD90" i="1" s="1"/>
  <c r="AA90" i="1"/>
  <c r="Z90" i="1"/>
  <c r="Y90" i="1"/>
  <c r="X90" i="1"/>
  <c r="AD89" i="1"/>
  <c r="AC89" i="1"/>
  <c r="AB89" i="1"/>
  <c r="AA89" i="1"/>
  <c r="Z89" i="1"/>
  <c r="Y89" i="1"/>
  <c r="X89" i="1"/>
  <c r="AC88" i="1"/>
  <c r="AB88" i="1"/>
  <c r="AD88" i="1" s="1"/>
  <c r="AA88" i="1"/>
  <c r="Z88" i="1"/>
  <c r="Y88" i="1"/>
  <c r="X88" i="1"/>
  <c r="AD87" i="1"/>
  <c r="AC87" i="1"/>
  <c r="AB87" i="1"/>
  <c r="AA87" i="1"/>
  <c r="Z87" i="1"/>
  <c r="Y87" i="1"/>
  <c r="X87" i="1"/>
  <c r="AD86" i="1"/>
  <c r="AC86" i="1"/>
  <c r="AB86" i="1"/>
  <c r="AA86" i="1"/>
  <c r="Z86" i="1"/>
  <c r="Y86" i="1"/>
  <c r="X86" i="1"/>
  <c r="AC85" i="1"/>
  <c r="AB85" i="1"/>
  <c r="AD85" i="1" s="1"/>
  <c r="AA85" i="1"/>
  <c r="Z85" i="1"/>
  <c r="Y85" i="1"/>
  <c r="X85" i="1"/>
  <c r="AC84" i="1"/>
  <c r="AB84" i="1"/>
  <c r="AD84" i="1" s="1"/>
  <c r="AA84" i="1"/>
  <c r="Z84" i="1"/>
  <c r="Y84" i="1"/>
  <c r="X84" i="1"/>
  <c r="AC83" i="1"/>
  <c r="AB83" i="1"/>
  <c r="AD83" i="1" s="1"/>
  <c r="AA83" i="1"/>
  <c r="Z83" i="1"/>
  <c r="Y83" i="1"/>
  <c r="X83" i="1"/>
  <c r="AD82" i="1"/>
  <c r="AC82" i="1"/>
  <c r="AB82" i="1"/>
  <c r="AA82" i="1"/>
  <c r="Z82" i="1"/>
  <c r="Y82" i="1"/>
  <c r="X82" i="1"/>
  <c r="AC81" i="1"/>
  <c r="AB81" i="1"/>
  <c r="AD81" i="1" s="1"/>
  <c r="AA81" i="1"/>
  <c r="Z81" i="1"/>
  <c r="Y81" i="1"/>
  <c r="X81" i="1"/>
  <c r="AC80" i="1"/>
  <c r="AB80" i="1"/>
  <c r="AD80" i="1" s="1"/>
  <c r="AA80" i="1"/>
  <c r="Z80" i="1"/>
  <c r="Y80" i="1"/>
  <c r="X80" i="1"/>
  <c r="AD79" i="1"/>
  <c r="AC79" i="1"/>
  <c r="AB79" i="1"/>
  <c r="AA79" i="1"/>
  <c r="Z79" i="1"/>
  <c r="Y79" i="1"/>
  <c r="X79" i="1"/>
  <c r="AC78" i="1"/>
  <c r="AB78" i="1"/>
  <c r="AD78" i="1" s="1"/>
  <c r="AA78" i="1"/>
  <c r="Z78" i="1"/>
  <c r="Y78" i="1"/>
  <c r="X78" i="1"/>
  <c r="AC77" i="1"/>
  <c r="AB77" i="1"/>
  <c r="AD77" i="1" s="1"/>
  <c r="AA77" i="1"/>
  <c r="Z77" i="1"/>
  <c r="Y77" i="1"/>
  <c r="X77" i="1"/>
  <c r="AC76" i="1"/>
  <c r="AB76" i="1"/>
  <c r="AD76" i="1" s="1"/>
  <c r="AA76" i="1"/>
  <c r="Z76" i="1"/>
  <c r="Y76" i="1"/>
  <c r="X76" i="1"/>
  <c r="AC75" i="1"/>
  <c r="AB75" i="1"/>
  <c r="AD75" i="1" s="1"/>
  <c r="AA75" i="1"/>
  <c r="Z75" i="1"/>
  <c r="Y75" i="1"/>
  <c r="X75" i="1"/>
  <c r="AC74" i="1"/>
  <c r="AB74" i="1"/>
  <c r="AD74" i="1" s="1"/>
  <c r="AA74" i="1"/>
  <c r="Z74" i="1"/>
  <c r="Y74" i="1"/>
  <c r="X74" i="1"/>
  <c r="AC73" i="1"/>
  <c r="AB73" i="1"/>
  <c r="AD73" i="1" s="1"/>
  <c r="AA73" i="1"/>
  <c r="Z73" i="1"/>
  <c r="Y73" i="1"/>
  <c r="X73" i="1"/>
  <c r="AC72" i="1"/>
  <c r="AB72" i="1"/>
  <c r="AD72" i="1" s="1"/>
  <c r="AA72" i="1"/>
  <c r="Z72" i="1"/>
  <c r="Y72" i="1"/>
  <c r="X72" i="1"/>
  <c r="AC71" i="1"/>
  <c r="AB71" i="1"/>
  <c r="AD71" i="1" s="1"/>
  <c r="AA71" i="1"/>
  <c r="Z71" i="1"/>
  <c r="Y71" i="1"/>
  <c r="X71" i="1"/>
  <c r="AC70" i="1"/>
  <c r="AB70" i="1"/>
  <c r="AD70" i="1" s="1"/>
  <c r="AA70" i="1"/>
  <c r="Z70" i="1"/>
  <c r="Y70" i="1"/>
  <c r="X70" i="1"/>
  <c r="AC69" i="1"/>
  <c r="AB69" i="1"/>
  <c r="AD69" i="1" s="1"/>
  <c r="AA69" i="1"/>
  <c r="Z69" i="1"/>
  <c r="Y69" i="1"/>
  <c r="X69" i="1"/>
  <c r="AC68" i="1"/>
  <c r="AB68" i="1"/>
  <c r="AD68" i="1" s="1"/>
  <c r="AA68" i="1"/>
  <c r="Z68" i="1"/>
  <c r="Y68" i="1"/>
  <c r="X68" i="1"/>
  <c r="AC67" i="1"/>
  <c r="AB67" i="1"/>
  <c r="AD67" i="1" s="1"/>
  <c r="AA67" i="1"/>
  <c r="Z67" i="1"/>
  <c r="Y67" i="1"/>
  <c r="X67" i="1"/>
  <c r="AC66" i="1"/>
  <c r="AB66" i="1"/>
  <c r="AD66" i="1" s="1"/>
  <c r="AA66" i="1"/>
  <c r="Z66" i="1"/>
  <c r="Y66" i="1"/>
  <c r="X66" i="1"/>
  <c r="AD65" i="1"/>
  <c r="AC65" i="1"/>
  <c r="AB65" i="1"/>
  <c r="AA65" i="1"/>
  <c r="Z65" i="1"/>
  <c r="Y65" i="1"/>
  <c r="X65" i="1"/>
  <c r="AC64" i="1"/>
  <c r="AB64" i="1"/>
  <c r="AD64" i="1" s="1"/>
  <c r="AA64" i="1"/>
  <c r="Z64" i="1"/>
  <c r="Y64" i="1"/>
  <c r="X64" i="1"/>
  <c r="AC63" i="1"/>
  <c r="AB63" i="1"/>
  <c r="AD63" i="1" s="1"/>
  <c r="AA63" i="1"/>
  <c r="Z63" i="1"/>
  <c r="Y63" i="1"/>
  <c r="X63" i="1"/>
  <c r="AC62" i="1"/>
  <c r="AB62" i="1"/>
  <c r="AD62" i="1" s="1"/>
  <c r="AA62" i="1"/>
  <c r="Z62" i="1"/>
  <c r="Y62" i="1"/>
  <c r="X62" i="1"/>
  <c r="AD61" i="1"/>
  <c r="AC61" i="1"/>
  <c r="AB61" i="1"/>
  <c r="AA61" i="1"/>
  <c r="Z61" i="1"/>
  <c r="Y61" i="1"/>
  <c r="X61" i="1"/>
  <c r="AC60" i="1"/>
  <c r="AB60" i="1"/>
  <c r="AD60" i="1" s="1"/>
  <c r="AA60" i="1"/>
  <c r="Z60" i="1"/>
  <c r="Y60" i="1"/>
  <c r="X60" i="1"/>
  <c r="AC59" i="1"/>
  <c r="AB59" i="1"/>
  <c r="AD59" i="1" s="1"/>
  <c r="AA59" i="1"/>
  <c r="Z59" i="1"/>
  <c r="Y59" i="1"/>
  <c r="X59" i="1"/>
  <c r="AC58" i="1"/>
  <c r="AB58" i="1"/>
  <c r="AD58" i="1" s="1"/>
  <c r="AA58" i="1"/>
  <c r="Z58" i="1"/>
  <c r="Y58" i="1"/>
  <c r="X58" i="1"/>
  <c r="AC57" i="1"/>
  <c r="AB57" i="1"/>
  <c r="AD57" i="1" s="1"/>
  <c r="AA57" i="1"/>
  <c r="Z57" i="1"/>
  <c r="Y57" i="1"/>
  <c r="X57" i="1"/>
  <c r="AD56" i="1"/>
  <c r="AC56" i="1"/>
  <c r="AB56" i="1"/>
  <c r="AA56" i="1"/>
  <c r="Z56" i="1"/>
  <c r="Y56" i="1"/>
  <c r="X56" i="1"/>
  <c r="AC55" i="1"/>
  <c r="AB55" i="1"/>
  <c r="AD55" i="1" s="1"/>
  <c r="AA55" i="1"/>
  <c r="Z55" i="1"/>
  <c r="Y55" i="1"/>
  <c r="X55" i="1"/>
  <c r="AC54" i="1"/>
  <c r="AB54" i="1"/>
  <c r="AD54" i="1" s="1"/>
  <c r="AA54" i="1"/>
  <c r="Z54" i="1"/>
  <c r="Y54" i="1"/>
  <c r="X54" i="1"/>
  <c r="AC53" i="1"/>
  <c r="AB53" i="1"/>
  <c r="AD53" i="1" s="1"/>
  <c r="AA53" i="1"/>
  <c r="Z53" i="1"/>
  <c r="Y53" i="1"/>
  <c r="X53" i="1"/>
  <c r="AC52" i="1"/>
  <c r="AB52" i="1"/>
  <c r="AD52" i="1" s="1"/>
  <c r="AA52" i="1"/>
  <c r="Z52" i="1"/>
  <c r="Y52" i="1"/>
  <c r="X52" i="1"/>
  <c r="AD51" i="1"/>
  <c r="AC51" i="1"/>
  <c r="AB51" i="1"/>
  <c r="AA51" i="1"/>
  <c r="Z51" i="1"/>
  <c r="Y51" i="1"/>
  <c r="X51" i="1"/>
  <c r="AC50" i="1"/>
  <c r="AB50" i="1"/>
  <c r="AD50" i="1" s="1"/>
  <c r="AA50" i="1"/>
  <c r="Z50" i="1"/>
  <c r="Y50" i="1"/>
  <c r="X50" i="1"/>
  <c r="AC49" i="1"/>
  <c r="AB49" i="1"/>
  <c r="AD49" i="1" s="1"/>
  <c r="AA49" i="1"/>
  <c r="Z49" i="1"/>
  <c r="Y49" i="1"/>
  <c r="X49" i="1"/>
  <c r="AC48" i="1"/>
  <c r="AB48" i="1"/>
  <c r="AD48" i="1" s="1"/>
  <c r="AA48" i="1"/>
  <c r="Z48" i="1"/>
  <c r="Y48" i="1"/>
  <c r="X48" i="1"/>
  <c r="AC47" i="1"/>
  <c r="AB47" i="1"/>
  <c r="AD47" i="1" s="1"/>
  <c r="AA47" i="1"/>
  <c r="Z47" i="1"/>
  <c r="Y47" i="1"/>
  <c r="X47" i="1"/>
  <c r="AC46" i="1"/>
  <c r="AB46" i="1"/>
  <c r="AD46" i="1" s="1"/>
  <c r="AA46" i="1"/>
  <c r="Z46" i="1"/>
  <c r="Y46" i="1"/>
  <c r="X46" i="1"/>
  <c r="AD45" i="1"/>
  <c r="AC45" i="1"/>
  <c r="AB45" i="1"/>
  <c r="AA45" i="1"/>
  <c r="Z45" i="1"/>
  <c r="Y45" i="1"/>
  <c r="X45" i="1"/>
  <c r="AC44" i="1"/>
  <c r="AB44" i="1"/>
  <c r="AD44" i="1" s="1"/>
  <c r="AA44" i="1"/>
  <c r="Z44" i="1"/>
  <c r="Y44" i="1"/>
  <c r="X44" i="1"/>
  <c r="AC43" i="1"/>
  <c r="AB43" i="1"/>
  <c r="AD43" i="1" s="1"/>
  <c r="AA43" i="1"/>
  <c r="Z43" i="1"/>
  <c r="Y43" i="1"/>
  <c r="X43" i="1"/>
  <c r="AC42" i="1"/>
  <c r="AB42" i="1"/>
  <c r="AD42" i="1" s="1"/>
  <c r="AA42" i="1"/>
  <c r="Z42" i="1"/>
  <c r="Y42" i="1"/>
  <c r="X42" i="1"/>
  <c r="AD41" i="1"/>
  <c r="AC41" i="1"/>
  <c r="AB41" i="1"/>
  <c r="AA41" i="1"/>
  <c r="Z41" i="1"/>
  <c r="Y41" i="1"/>
  <c r="X41" i="1"/>
  <c r="AD40" i="1"/>
  <c r="AC40" i="1"/>
  <c r="AB40" i="1"/>
  <c r="AA40" i="1"/>
  <c r="Z40" i="1"/>
  <c r="Y40" i="1"/>
  <c r="X40" i="1"/>
  <c r="AC39" i="1"/>
  <c r="AB39" i="1"/>
  <c r="AD39" i="1" s="1"/>
  <c r="AA39" i="1"/>
  <c r="Z39" i="1"/>
  <c r="Y39" i="1"/>
  <c r="X39" i="1"/>
  <c r="AC38" i="1"/>
  <c r="AB38" i="1"/>
  <c r="AD38" i="1" s="1"/>
  <c r="AA38" i="1"/>
  <c r="Z38" i="1"/>
  <c r="Y38" i="1"/>
  <c r="X38" i="1"/>
  <c r="AC37" i="1"/>
  <c r="AB37" i="1"/>
  <c r="AD37" i="1" s="1"/>
  <c r="AA37" i="1"/>
  <c r="Z37" i="1"/>
  <c r="Y37" i="1"/>
  <c r="X37" i="1"/>
  <c r="AC36" i="1"/>
  <c r="AB36" i="1"/>
  <c r="AD36" i="1" s="1"/>
  <c r="AA36" i="1"/>
  <c r="Z36" i="1"/>
  <c r="Y36" i="1"/>
  <c r="X36" i="1"/>
  <c r="AC35" i="1"/>
  <c r="AB35" i="1"/>
  <c r="AD35" i="1" s="1"/>
  <c r="AA35" i="1"/>
  <c r="Z35" i="1"/>
  <c r="Y35" i="1"/>
  <c r="X35" i="1"/>
  <c r="AC34" i="1"/>
  <c r="AB34" i="1"/>
  <c r="AD34" i="1" s="1"/>
  <c r="AA34" i="1"/>
  <c r="Z34" i="1"/>
  <c r="Y34" i="1"/>
  <c r="X34" i="1"/>
  <c r="AC33" i="1"/>
  <c r="AB33" i="1"/>
  <c r="AD33" i="1" s="1"/>
  <c r="AA33" i="1"/>
  <c r="Z33" i="1"/>
  <c r="Y33" i="1"/>
  <c r="X33" i="1"/>
  <c r="AC32" i="1"/>
  <c r="AB32" i="1"/>
  <c r="AD32" i="1" s="1"/>
  <c r="AA32" i="1"/>
  <c r="Z32" i="1"/>
  <c r="Y32" i="1"/>
  <c r="X32" i="1"/>
  <c r="AC31" i="1"/>
  <c r="AB31" i="1"/>
  <c r="AD31" i="1" s="1"/>
  <c r="AA31" i="1"/>
  <c r="Z31" i="1"/>
  <c r="Y31" i="1"/>
  <c r="X31" i="1"/>
  <c r="AC30" i="1"/>
  <c r="AB30" i="1"/>
  <c r="AD30" i="1" s="1"/>
  <c r="AA30" i="1"/>
  <c r="Z30" i="1"/>
  <c r="Y30" i="1"/>
  <c r="X30" i="1"/>
  <c r="AC29" i="1"/>
  <c r="AB29" i="1"/>
  <c r="AD29" i="1" s="1"/>
  <c r="AA29" i="1"/>
  <c r="Z29" i="1"/>
  <c r="Y29" i="1"/>
  <c r="X29" i="1"/>
  <c r="AC28" i="1"/>
  <c r="AB28" i="1"/>
  <c r="AD28" i="1" s="1"/>
  <c r="AA28" i="1"/>
  <c r="Z28" i="1"/>
  <c r="Y28" i="1"/>
  <c r="X28" i="1"/>
  <c r="AC27" i="1"/>
  <c r="AB27" i="1"/>
  <c r="AD27" i="1" s="1"/>
  <c r="AA27" i="1"/>
  <c r="Z27" i="1"/>
  <c r="Y27" i="1"/>
  <c r="X27" i="1"/>
  <c r="AC26" i="1"/>
  <c r="AB26" i="1"/>
  <c r="AD26" i="1" s="1"/>
  <c r="AA26" i="1"/>
  <c r="Z26" i="1"/>
  <c r="Y26" i="1"/>
  <c r="X26" i="1"/>
  <c r="AC25" i="1"/>
  <c r="AB25" i="1"/>
  <c r="AD25" i="1" s="1"/>
  <c r="AA25" i="1"/>
  <c r="Z25" i="1"/>
  <c r="Y25" i="1"/>
  <c r="X25" i="1"/>
  <c r="AC24" i="1"/>
  <c r="AB24" i="1"/>
  <c r="AD24" i="1" s="1"/>
  <c r="AA24" i="1"/>
  <c r="Z24" i="1"/>
  <c r="Y24" i="1"/>
  <c r="X24" i="1"/>
  <c r="AC23" i="1"/>
  <c r="AB23" i="1"/>
  <c r="AD23" i="1" s="1"/>
  <c r="AA23" i="1"/>
  <c r="Z23" i="1"/>
  <c r="Y23" i="1"/>
  <c r="X23" i="1"/>
  <c r="AC22" i="1"/>
  <c r="AB22" i="1"/>
  <c r="AD22" i="1" s="1"/>
  <c r="AA22" i="1"/>
  <c r="Z22" i="1"/>
  <c r="Y22" i="1"/>
  <c r="X22" i="1"/>
  <c r="AD21" i="1"/>
  <c r="AC21" i="1"/>
  <c r="AB21" i="1"/>
  <c r="AA21" i="1"/>
  <c r="Z21" i="1"/>
  <c r="Y21" i="1"/>
  <c r="X21" i="1"/>
  <c r="AC20" i="1"/>
  <c r="AB20" i="1"/>
  <c r="AD20" i="1" s="1"/>
  <c r="AA20" i="1"/>
  <c r="Z20" i="1"/>
  <c r="Y20" i="1"/>
  <c r="X20" i="1"/>
  <c r="AC19" i="1"/>
  <c r="AB19" i="1"/>
  <c r="AD19" i="1" s="1"/>
  <c r="AA19" i="1"/>
  <c r="Z19" i="1"/>
  <c r="Y19" i="1"/>
  <c r="X19" i="1"/>
  <c r="AC18" i="1"/>
  <c r="AB18" i="1"/>
  <c r="AD18" i="1" s="1"/>
  <c r="AA18" i="1"/>
  <c r="Z18" i="1"/>
  <c r="Y18" i="1"/>
  <c r="X18" i="1"/>
  <c r="AC17" i="1"/>
  <c r="AB17" i="1"/>
  <c r="AD17" i="1" s="1"/>
  <c r="AA17" i="1"/>
  <c r="Z17" i="1"/>
  <c r="Y17" i="1"/>
  <c r="X17" i="1"/>
  <c r="AC16" i="1"/>
  <c r="AB16" i="1"/>
  <c r="AD16" i="1" s="1"/>
  <c r="AA16" i="1"/>
  <c r="Z16" i="1"/>
  <c r="Y16" i="1"/>
  <c r="X16" i="1"/>
  <c r="AC15" i="1"/>
  <c r="AB15" i="1"/>
  <c r="AD15" i="1" s="1"/>
  <c r="AA15" i="1"/>
  <c r="Z15" i="1"/>
  <c r="Y15" i="1"/>
  <c r="X15" i="1"/>
  <c r="AC14" i="1"/>
  <c r="AB14" i="1"/>
  <c r="AD14" i="1" s="1"/>
  <c r="AA14" i="1"/>
  <c r="Z14" i="1"/>
  <c r="Y14" i="1"/>
  <c r="X14" i="1"/>
  <c r="AD13" i="1"/>
  <c r="AC13" i="1"/>
  <c r="AB13" i="1"/>
  <c r="AA13" i="1"/>
  <c r="Z13" i="1"/>
  <c r="Y13" i="1"/>
  <c r="X13" i="1"/>
  <c r="AC12" i="1"/>
  <c r="AB12" i="1"/>
  <c r="AD12" i="1" s="1"/>
  <c r="AA12" i="1"/>
  <c r="Z12" i="1"/>
  <c r="Y12" i="1"/>
  <c r="X12" i="1"/>
  <c r="AC11" i="1"/>
  <c r="AB11" i="1"/>
  <c r="AD11" i="1" s="1"/>
  <c r="AA11" i="1"/>
  <c r="Z11" i="1"/>
  <c r="Y11" i="1"/>
  <c r="X11" i="1"/>
  <c r="AC10" i="1"/>
  <c r="AB10" i="1"/>
  <c r="AD10" i="1" s="1"/>
  <c r="AA10" i="1"/>
  <c r="Z10" i="1"/>
  <c r="Y10" i="1"/>
  <c r="X10" i="1"/>
  <c r="AD9" i="1"/>
  <c r="AC9" i="1"/>
  <c r="AB9" i="1"/>
  <c r="AA9" i="1"/>
  <c r="Z9" i="1"/>
  <c r="Y9" i="1"/>
  <c r="X9" i="1"/>
  <c r="AD8" i="1"/>
  <c r="AC8" i="1"/>
  <c r="AB8" i="1"/>
  <c r="AA8" i="1"/>
  <c r="Z8" i="1"/>
  <c r="Y8" i="1"/>
  <c r="X8" i="1"/>
  <c r="AC7" i="1"/>
  <c r="AB7" i="1"/>
  <c r="AD7" i="1" s="1"/>
  <c r="AA7" i="1"/>
  <c r="Z7" i="1"/>
  <c r="Y7" i="1"/>
  <c r="X7" i="1"/>
  <c r="AC6" i="1"/>
  <c r="AB6" i="1"/>
  <c r="AD6" i="1" s="1"/>
  <c r="AA6" i="1"/>
  <c r="Z6" i="1"/>
  <c r="Y6" i="1"/>
  <c r="X6" i="1"/>
  <c r="AC5" i="1"/>
  <c r="AB5" i="1"/>
  <c r="AD5" i="1" s="1"/>
  <c r="AA5" i="1"/>
  <c r="Z5" i="1"/>
  <c r="Y5" i="1"/>
  <c r="X5" i="1"/>
  <c r="AC4" i="1"/>
  <c r="AB4" i="1"/>
  <c r="AD4" i="1" s="1"/>
  <c r="AA4" i="1"/>
  <c r="Z4" i="1"/>
  <c r="Y4" i="1"/>
  <c r="X4" i="1"/>
  <c r="AD3" i="1"/>
  <c r="AC3" i="1"/>
  <c r="AB3" i="1"/>
  <c r="AA3" i="1"/>
  <c r="Z3" i="1"/>
  <c r="Y3" i="1"/>
  <c r="X3" i="1"/>
  <c r="F24" i="10"/>
  <c r="F27" i="10" s="1"/>
  <c r="A24" i="10"/>
  <c r="A27" i="10" s="1"/>
  <c r="Q9" i="10"/>
  <c r="Q7" i="10"/>
  <c r="L7" i="10"/>
  <c r="G7" i="10"/>
  <c r="B7" i="10"/>
  <c r="R17" i="10" l="1"/>
  <c r="H16" i="10"/>
  <c r="K17" i="10"/>
  <c r="A15" i="10"/>
  <c r="N17" i="10"/>
  <c r="A16" i="10"/>
  <c r="R15" i="10"/>
  <c r="A17" i="10"/>
  <c r="K15" i="10"/>
  <c r="H17" i="10"/>
  <c r="N15" i="10"/>
  <c r="N16" i="10"/>
  <c r="K16" i="10"/>
  <c r="R16" i="10"/>
  <c r="H15" i="10"/>
  <c r="K24" i="10"/>
  <c r="K2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Renomeador NFS-e</author>
  </authors>
  <commentList>
    <comment ref="D3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6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3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4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6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7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29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30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31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3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33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34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3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44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4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49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51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5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54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56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57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59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60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61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64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6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6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67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7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79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85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8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89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90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9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94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95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06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20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26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27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33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  <comment ref="D134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Revisar CNPJ antes de importar para o sistema.</t>
        </r>
      </text>
    </comment>
  </commentList>
</comments>
</file>

<file path=xl/sharedStrings.xml><?xml version="1.0" encoding="utf-8"?>
<sst xmlns="http://schemas.openxmlformats.org/spreadsheetml/2006/main" count="11189" uniqueCount="480">
  <si>
    <t>3H COMERCIO DE CHOCOLATES - 205</t>
  </si>
  <si>
    <t xml:space="preserve">HH </t>
  </si>
  <si>
    <t>LIMEIRA</t>
  </si>
  <si>
    <t>DANIELLE</t>
  </si>
  <si>
    <t>SIMPLES NACIONAL</t>
  </si>
  <si>
    <t>C</t>
  </si>
  <si>
    <t>3H COMERCIO DE CHOCOLATES LTDA - 207</t>
  </si>
  <si>
    <t>35.381.421/0003-56</t>
  </si>
  <si>
    <t>AGROBOM ARMAZENS GERAIS - FL 02</t>
  </si>
  <si>
    <t>AGROBOM</t>
  </si>
  <si>
    <t>JOVIANIA</t>
  </si>
  <si>
    <t>10.627.382/0002-12</t>
  </si>
  <si>
    <t>DANIEL</t>
  </si>
  <si>
    <t>LUCRO REAL</t>
  </si>
  <si>
    <t>A</t>
  </si>
  <si>
    <t>AGROBOM ARMAZENS GERAIS - FL 03</t>
  </si>
  <si>
    <t>ITUMBIARA</t>
  </si>
  <si>
    <t>10.627.382/0003-01</t>
  </si>
  <si>
    <t>AGROBOM ARMAZENS GERAIS - FL 04</t>
  </si>
  <si>
    <t>PORTEIRÃO</t>
  </si>
  <si>
    <t>10.627.382/0004-84</t>
  </si>
  <si>
    <t>AGROBOM ARMAZENS GERAIS - FL 05</t>
  </si>
  <si>
    <t>10.627.382/0005-65</t>
  </si>
  <si>
    <t>AGROBOM ARMAZENS GERAIS - FL 06</t>
  </si>
  <si>
    <t>BOM JESUS</t>
  </si>
  <si>
    <t>10.627.382/0006-46</t>
  </si>
  <si>
    <t>AGROBOM ARMAZENS GERAIS - FL 07</t>
  </si>
  <si>
    <t>GOIATUBA</t>
  </si>
  <si>
    <t>10.627.382/0007-27</t>
  </si>
  <si>
    <t>AGROBOM ARMAZENS GERAIS - FL 08</t>
  </si>
  <si>
    <t>10.627.382/0008-08</t>
  </si>
  <si>
    <t>AGROBOM ARMAZENS GERAIS - FL 09(184)</t>
  </si>
  <si>
    <t>10.627.382/0009-99</t>
  </si>
  <si>
    <t>AGROBOM ARMAZENS GERAIS - MTZ</t>
  </si>
  <si>
    <t>10.627.382/0001-31</t>
  </si>
  <si>
    <t>AGROBOM COMÉRCIO E INDÚSTRIA DE CEREAIS</t>
  </si>
  <si>
    <t>17.689.853/0001-85</t>
  </si>
  <si>
    <t>DANIEL/ ELCIMAR</t>
  </si>
  <si>
    <t>AGROBOM INDÚSTRIA E COMÉRCIO DE CEREAIS</t>
  </si>
  <si>
    <t>53.176.308/0001-59</t>
  </si>
  <si>
    <t>AGROBOM NEGÓCIOS E CONSULTORIA LTDA - 164</t>
  </si>
  <si>
    <t>LUCRO PRESUMIDO</t>
  </si>
  <si>
    <t>AGROBOM TRANSPORTES</t>
  </si>
  <si>
    <t>36.989.757/0001-05</t>
  </si>
  <si>
    <t>AGRONOVA PEÇAS AGRICOLAS FILIAL  LTDA</t>
  </si>
  <si>
    <t>AGRONOVA</t>
  </si>
  <si>
    <t>JATAI</t>
  </si>
  <si>
    <t>34.088.208/0002-07</t>
  </si>
  <si>
    <t>CLEUBER</t>
  </si>
  <si>
    <t>B</t>
  </si>
  <si>
    <t>AGRONOVA PEÇAS AGRICOLAS LTDA</t>
  </si>
  <si>
    <t>34.088.208/0001-26</t>
  </si>
  <si>
    <t>AGRONOVA SERVIÇOS DE COLHEITAS LTDA</t>
  </si>
  <si>
    <t>15.054.033/0001-91</t>
  </si>
  <si>
    <t>ALPTRON LTDA - 106</t>
  </si>
  <si>
    <t>POWER SOURCE</t>
  </si>
  <si>
    <t>SÃO PAULO</t>
  </si>
  <si>
    <t>BRUNA</t>
  </si>
  <si>
    <t>AM SERVIÇOS DE COLHEITAS LTDA - 202</t>
  </si>
  <si>
    <t>JATAÍ</t>
  </si>
  <si>
    <t>ASSOCIACAO GOIANA DE TRANSFORMACAO SOCIAL ATRAVES DA EDUCACAO - 148</t>
  </si>
  <si>
    <t>INTERESCHOOL</t>
  </si>
  <si>
    <t>GOIÂNIA</t>
  </si>
  <si>
    <t>ROSICLÉIA</t>
  </si>
  <si>
    <t>B.H SELECTION SERVICOS E PEÇAS LTDA - 25</t>
  </si>
  <si>
    <t>BH</t>
  </si>
  <si>
    <t>SHIELEN/MARTA</t>
  </si>
  <si>
    <t>BESSA ADVOGADOS E ASSOCIADOS</t>
  </si>
  <si>
    <t>BESSA</t>
  </si>
  <si>
    <t>GOIANIA</t>
  </si>
  <si>
    <t>35.310.400/0001-88</t>
  </si>
  <si>
    <t>LEIDIANA</t>
  </si>
  <si>
    <t>BOM JESUS SERVIÇOS ADMINISTRATIVOS LTDA - 144</t>
  </si>
  <si>
    <t>IVON</t>
  </si>
  <si>
    <t>BURITI AUTOCENTER - 44</t>
  </si>
  <si>
    <t>INDEPENDENTE</t>
  </si>
  <si>
    <t>GUIGA</t>
  </si>
  <si>
    <t xml:space="preserve">CARRETEIRO AUTO PECAS </t>
  </si>
  <si>
    <t>CARRETEIRO</t>
  </si>
  <si>
    <t>GOIANESIA</t>
  </si>
  <si>
    <t>10.172.340/0001-53</t>
  </si>
  <si>
    <t>ANDRÉ /PAULO</t>
  </si>
  <si>
    <t>CARRETEIRO SERVIÇOS - 221</t>
  </si>
  <si>
    <t>GOIANÉSIA</t>
  </si>
  <si>
    <t>CÉLIO ADRIANO DA SILVA - CAVIS - 45</t>
  </si>
  <si>
    <t>CAVIS</t>
  </si>
  <si>
    <t>CÉLIO/CINTHYA</t>
  </si>
  <si>
    <t>CENTRO DE APOIO BILINGUE I LTDA - 151</t>
  </si>
  <si>
    <t>CENTRO DE APOIO BILINGUE II LTDA - 152</t>
  </si>
  <si>
    <t>CENTRO DE APOIO BILINGUE III LTDA - 153</t>
  </si>
  <si>
    <t>CENTRO DE ENSINO BILINGUE LTDA - 145</t>
  </si>
  <si>
    <t>CENTRO EDUCACIONAL BILINGUE LTDA - 146</t>
  </si>
  <si>
    <t>CLAUKE - COMERCIO DE CHOCOLATES - 209</t>
  </si>
  <si>
    <t>PIRACICABA</t>
  </si>
  <si>
    <t>05.245.896/0001-92</t>
  </si>
  <si>
    <t>COPEMBOM CHOCOLATES LTDA</t>
  </si>
  <si>
    <t>COPEMBOM</t>
  </si>
  <si>
    <t>CUIABA - MT</t>
  </si>
  <si>
    <t>30.514.650/0001-16</t>
  </si>
  <si>
    <t>SANDRA</t>
  </si>
  <si>
    <t>04.116.617/0001-28</t>
  </si>
  <si>
    <t>04.116.617/0002-09</t>
  </si>
  <si>
    <t>04.116.617/0003-90</t>
  </si>
  <si>
    <t>04.116.617/0005-51</t>
  </si>
  <si>
    <t>VARZEA GRANDE - MT</t>
  </si>
  <si>
    <t>04.116.617/0006-32</t>
  </si>
  <si>
    <t>04.116.617/0007-13</t>
  </si>
  <si>
    <t>CRESCER  SEGURANÇA E MEDICINA - 223</t>
  </si>
  <si>
    <t>CRESCER MED</t>
  </si>
  <si>
    <t>HELLEN</t>
  </si>
  <si>
    <t>CRESCER MED OCUPACIONAL - 222</t>
  </si>
  <si>
    <t>CRESCER TREINAMENTOS E SEGURANÇA DO TRABALHO - 224</t>
  </si>
  <si>
    <t>18.690.025/0001-20</t>
  </si>
  <si>
    <t>EDISLANE</t>
  </si>
  <si>
    <t>CSA - CENTRO DE SOLUÇÕES ANALITICAS</t>
  </si>
  <si>
    <t>CSA</t>
  </si>
  <si>
    <t>ANAPOLIS</t>
  </si>
  <si>
    <t>28.900.799/0001-91</t>
  </si>
  <si>
    <t>JEYCE/FÁBIO</t>
  </si>
  <si>
    <t>CSA - CENTRO DE SOLUÇÕES ANALITICAS - FILIAL I</t>
  </si>
  <si>
    <t>28.900.799/0002-72</t>
  </si>
  <si>
    <t>CSA CENTRO DE PESQUISA E DESENVOLVIMENTO &amp; INOVAÇÃO - 73</t>
  </si>
  <si>
    <t>ANÁPOLIS</t>
  </si>
  <si>
    <t>CSA CONSULTORIA EDUCACIONAL</t>
  </si>
  <si>
    <t>33.265.761/0001-24</t>
  </si>
  <si>
    <t>GABRIELA/FÁBIO</t>
  </si>
  <si>
    <t>CSA DIGITAL - 74</t>
  </si>
  <si>
    <t>CSA GESTÃO E TREINAMENTOS - 75</t>
  </si>
  <si>
    <t>DGA ENERGIA</t>
  </si>
  <si>
    <t>DGA</t>
  </si>
  <si>
    <t>25.014.360/0001-73</t>
  </si>
  <si>
    <t>E USY AUTO PARTS LTDA (FOLHA DA BH) - 33</t>
  </si>
  <si>
    <t>BH SELECTION</t>
  </si>
  <si>
    <t>ELDORADO EMPREENDIMENTOS (ENERGIA) - 91</t>
  </si>
  <si>
    <t>ELDORADO</t>
  </si>
  <si>
    <t>42.964.659/0001-08</t>
  </si>
  <si>
    <t>JOÃO/SILVIO</t>
  </si>
  <si>
    <t>ELDORADO EVENTOS E SERVICOS - EIRELI - 17</t>
  </si>
  <si>
    <t>VIVIANE/SILVIO</t>
  </si>
  <si>
    <t>ELDORADO SERVIÇOS (SILVIO) - 38</t>
  </si>
  <si>
    <t>JOÃO</t>
  </si>
  <si>
    <t>ELETRICA E HIDRAULICA SMART LTDA</t>
  </si>
  <si>
    <t>SMART</t>
  </si>
  <si>
    <t>36.878.154/0001-28</t>
  </si>
  <si>
    <t>TATIANE</t>
  </si>
  <si>
    <t>ELETRICA SMART SERVICE LTDA - 208</t>
  </si>
  <si>
    <t>ENIVALDO CAMPOS RODRIGUES MEI - 50</t>
  </si>
  <si>
    <t>ENIVALDO</t>
  </si>
  <si>
    <t>ERIO APOIO ADM - 137</t>
  </si>
  <si>
    <t>ERIO</t>
  </si>
  <si>
    <t>LUCIANA/PATRICIA</t>
  </si>
  <si>
    <t>ERIO AUTO PECAS E MECANICA</t>
  </si>
  <si>
    <t>10.329.564/0001-26</t>
  </si>
  <si>
    <t>ERIO AUTO PECAS E MECANICA - FL 01</t>
  </si>
  <si>
    <t>10.329.564/0002-07</t>
  </si>
  <si>
    <t>ESCOLA DE EDUCACAO BILINGUE LTDA - 149</t>
  </si>
  <si>
    <t>ESCOLA GOIANA BILINGUE LTDA - 147</t>
  </si>
  <si>
    <t>ESCOLA INTERNACIONAL DE GOIANIA LTDA - 155</t>
  </si>
  <si>
    <t>EXCELENCIA PRESTADORA DE SERVIÇOS - 69</t>
  </si>
  <si>
    <t>RETIF EXCELENCIA</t>
  </si>
  <si>
    <t>GISELLE/LEIDIANA</t>
  </si>
  <si>
    <t>FPM CORPORATE SOLUTIONS</t>
  </si>
  <si>
    <t>FPM</t>
  </si>
  <si>
    <t>SINOP - MT</t>
  </si>
  <si>
    <t>49.672.979/0001-33</t>
  </si>
  <si>
    <t>FPM GOURMET BRANDS - FILIAL I</t>
  </si>
  <si>
    <t>39.840.144/0002-72</t>
  </si>
  <si>
    <t>DANY</t>
  </si>
  <si>
    <t>FPM GOURMET BRANDS - FILIAL II</t>
  </si>
  <si>
    <t>39.840.144/0003-53</t>
  </si>
  <si>
    <t>FPM GOURMET BRANDS - FILIAL III</t>
  </si>
  <si>
    <t>39.840.144/0004-34</t>
  </si>
  <si>
    <t>FPM GOURMET BRANDS - FILIAL IV</t>
  </si>
  <si>
    <t>39.840.144/0005-15</t>
  </si>
  <si>
    <t>FPM GOURMET BRANDS MTZ</t>
  </si>
  <si>
    <t>39.840.144/0001-91</t>
  </si>
  <si>
    <t>FPM PEOPLE SOLUTIONS LTDA - FL I</t>
  </si>
  <si>
    <t>24.457.433/0002-10</t>
  </si>
  <si>
    <t>FPM PEOPLE SOLUTIONS LTDA MTZ</t>
  </si>
  <si>
    <t>24.457.433/0001-39</t>
  </si>
  <si>
    <t>GLOBO SERVIÇOS - 129</t>
  </si>
  <si>
    <t>GSV AGROPECUARIA LTDA - 154</t>
  </si>
  <si>
    <t>GSV</t>
  </si>
  <si>
    <t>53.667.342/0001-26</t>
  </si>
  <si>
    <t>NATÁLIA</t>
  </si>
  <si>
    <t>GSV MONTAGENS INDUSTRIAIS - LTDA</t>
  </si>
  <si>
    <t>11.225.183/0001-60</t>
  </si>
  <si>
    <t>HANAMEC FERRAMENTAS - 34</t>
  </si>
  <si>
    <t>HANAMEC</t>
  </si>
  <si>
    <t>DANIELA</t>
  </si>
  <si>
    <t>HANAMEC LOCAÇÕES - 49</t>
  </si>
  <si>
    <t>42.686.883/0001-85</t>
  </si>
  <si>
    <t>HANAMEC SERVICOS ELETRICOS E FERRAMENTAS LTDA</t>
  </si>
  <si>
    <t>12.614.431/0001-27</t>
  </si>
  <si>
    <t>HC COMERCIO DE CHOCOLATES LTDA - 210</t>
  </si>
  <si>
    <t xml:space="preserve">PIRACICABA </t>
  </si>
  <si>
    <t>21.017.530/0001-12</t>
  </si>
  <si>
    <t xml:space="preserve">LUCRO REAL </t>
  </si>
  <si>
    <t>HH COMERCIO DE CHOCOLATES - 211</t>
  </si>
  <si>
    <t>55.718.705/0001-30</t>
  </si>
  <si>
    <t>HH COMERCIO DE CHOCOLATES - 212</t>
  </si>
  <si>
    <t>55.718.705/0002-11</t>
  </si>
  <si>
    <t>INSTITUTO DE MEDICINA OFTALMOLOGICA VASCULAR - 183</t>
  </si>
  <si>
    <t>INMOVI</t>
  </si>
  <si>
    <t>ITABERAI</t>
  </si>
  <si>
    <t>DAYANNE</t>
  </si>
  <si>
    <t>INSTITUTO DE VASCULAR E LASER - IVL - 99</t>
  </si>
  <si>
    <t>IVL</t>
  </si>
  <si>
    <t>HELCI</t>
  </si>
  <si>
    <t>IVL SERVIÇOS ADMINISTRATIVOS - 107</t>
  </si>
  <si>
    <t xml:space="preserve">K&amp;M EMPREENDIMENTOS </t>
  </si>
  <si>
    <t>SILIGYN</t>
  </si>
  <si>
    <t>LIAN PADOVEZ PEDIATRIA</t>
  </si>
  <si>
    <t>MBA - ESCOLA DO MECANICO - 76</t>
  </si>
  <si>
    <t>PRIME</t>
  </si>
  <si>
    <t>MAYSA</t>
  </si>
  <si>
    <t xml:space="preserve">MEGAMOBI MOBILIDADES URBANAS </t>
  </si>
  <si>
    <t>61.483.503/0001-50</t>
  </si>
  <si>
    <t>MENDONCA NOGUEIRA LTDA - 133</t>
  </si>
  <si>
    <t>MENNO CAR</t>
  </si>
  <si>
    <t>ALESSANDRA- ALYSSON</t>
  </si>
  <si>
    <t>MENNO ADMINISTRATIVO - 134</t>
  </si>
  <si>
    <t>MENNO</t>
  </si>
  <si>
    <t>ALESSANDRA/ ALYSSON</t>
  </si>
  <si>
    <t>MONTAGENS GSV - LTDA - 27</t>
  </si>
  <si>
    <t>LILIANE</t>
  </si>
  <si>
    <t>NEXO QUALIFICAÇÃO (ANTES TEKNOPAR) - 56</t>
  </si>
  <si>
    <t>TEKNOPAR</t>
  </si>
  <si>
    <t>JULIMAR</t>
  </si>
  <si>
    <t>NSZ CHOCOLATES LTDA - 177</t>
  </si>
  <si>
    <t>VARZEA GRANDE</t>
  </si>
  <si>
    <t>PADOVEZ CUALHETA</t>
  </si>
  <si>
    <t>64.807.774/0001-01</t>
  </si>
  <si>
    <t>PANIFICADORA ELDORADO</t>
  </si>
  <si>
    <t>03.111.816/0001-80</t>
  </si>
  <si>
    <t>PANIFICADORA ELDORADO - FL 01</t>
  </si>
  <si>
    <t>03.111.816/0002-61</t>
  </si>
  <si>
    <t>PANIFICADORA ELDORADO - FL 02</t>
  </si>
  <si>
    <t>03.111.816/0003-42</t>
  </si>
  <si>
    <t>POWER SOURCE -  0002</t>
  </si>
  <si>
    <t>26.474.286/0002-11</t>
  </si>
  <si>
    <t>POWER SOURCE - 0003</t>
  </si>
  <si>
    <t>RECIFE</t>
  </si>
  <si>
    <t>26.474.286/0003-00</t>
  </si>
  <si>
    <t>POWER SOURCE - 0004</t>
  </si>
  <si>
    <t>GUARULHOS</t>
  </si>
  <si>
    <t>26.474.286/0004-83</t>
  </si>
  <si>
    <t>POWER SOURCE COMERCIO E MANUTENÇÃO DE EQUIPAMENTOS</t>
  </si>
  <si>
    <t>CAIEIRAS</t>
  </si>
  <si>
    <t>26.474.286/0001-30</t>
  </si>
  <si>
    <t>PRILAFER CHOCOLATES LIMEIRA - 225</t>
  </si>
  <si>
    <t>03.012.235/0001-91</t>
  </si>
  <si>
    <t>DIANNY</t>
  </si>
  <si>
    <t>PRIME MTZ - 42</t>
  </si>
  <si>
    <t>MURILO</t>
  </si>
  <si>
    <t>PRIME VII - 43</t>
  </si>
  <si>
    <t>PRIME WORK - 46</t>
  </si>
  <si>
    <t>BARBARA/MURILO</t>
  </si>
  <si>
    <t>PROTONS BUSINESS</t>
  </si>
  <si>
    <t>PROTONS</t>
  </si>
  <si>
    <t>46.828.797/0001-10</t>
  </si>
  <si>
    <t>FERNANDO</t>
  </si>
  <si>
    <t>PROTONS CONSULTORIA</t>
  </si>
  <si>
    <t>11.857.077/0001-07</t>
  </si>
  <si>
    <t>RETIFICA EXCELENCIA</t>
  </si>
  <si>
    <t>12.387.052/0001-41</t>
  </si>
  <si>
    <t>GISELLE</t>
  </si>
  <si>
    <t>RETIFICA EXCELENCIA - FL 01</t>
  </si>
  <si>
    <t>AGUA BOA - MT</t>
  </si>
  <si>
    <t>12.387.052/0002-22</t>
  </si>
  <si>
    <t xml:space="preserve">RIBEIRO E GARCIA ANESTESIOLOGIA </t>
  </si>
  <si>
    <t>RIBEIRO</t>
  </si>
  <si>
    <t>24.337.076/0001-75</t>
  </si>
  <si>
    <t xml:space="preserve">LUCIANO </t>
  </si>
  <si>
    <t>SERVIÇOS ELDORADO (JOÃO) - 37</t>
  </si>
  <si>
    <t>BRUNO</t>
  </si>
  <si>
    <t>SERVMONTE MONTAGENS E SERVICOS INDUSTRIAIS - EIRELI - 2</t>
  </si>
  <si>
    <t>SILIGYN COMÉRCIO</t>
  </si>
  <si>
    <t>25.000.738/0001-80</t>
  </si>
  <si>
    <t>LIAN</t>
  </si>
  <si>
    <t xml:space="preserve">SINOP TÊNIS </t>
  </si>
  <si>
    <t>MATO GROSSO</t>
  </si>
  <si>
    <t>03.830.164/0001-34</t>
  </si>
  <si>
    <t>STUDIO LAYFER A PARTIR DE NOV - 59</t>
  </si>
  <si>
    <t>CELIO ROBERTO</t>
  </si>
  <si>
    <t>TORRENT - 246</t>
  </si>
  <si>
    <t>TORRENT</t>
  </si>
  <si>
    <t>JOÃO CARLOS</t>
  </si>
  <si>
    <t>TORRENT E SILVA ELETRICIDADE</t>
  </si>
  <si>
    <t>42.879.475/00001-40</t>
  </si>
  <si>
    <t>JOÃO VITOR</t>
  </si>
  <si>
    <t>MURILO SOARES  DE CASTRO 265</t>
  </si>
  <si>
    <t>66.415.080/0001-54</t>
  </si>
  <si>
    <t>TQI COM E SERV DE EQUIPAMENTOS DE MEDICAO</t>
  </si>
  <si>
    <t>15.551.480/0001-56</t>
  </si>
  <si>
    <t>TRADICAO INDUSTRIA LTDA</t>
  </si>
  <si>
    <t>RIO VERDE - GO</t>
  </si>
  <si>
    <t>59.979.461/0001-09</t>
  </si>
  <si>
    <t xml:space="preserve">S37 SERVICE </t>
  </si>
  <si>
    <t xml:space="preserve">DGA </t>
  </si>
  <si>
    <t>64.654.373/0001-69</t>
  </si>
  <si>
    <t>ZENER DIGITAL</t>
  </si>
  <si>
    <t>ZENER</t>
  </si>
  <si>
    <t>46.419.690/0001-19</t>
  </si>
  <si>
    <t>ELETRO VALLE AUTOMAÇÃO</t>
  </si>
  <si>
    <t>GRUPO ELETRO VALLE</t>
  </si>
  <si>
    <t>LEIDIANE/ROGÉRIO</t>
  </si>
  <si>
    <t>ELETRO VALLE SERVICE</t>
  </si>
  <si>
    <t>VERIFICAR</t>
  </si>
  <si>
    <t xml:space="preserve">BRAMOVI COOPERATIVA </t>
  </si>
  <si>
    <t>65.947.042/0001-80</t>
  </si>
  <si>
    <t>YARA GUERRA</t>
  </si>
  <si>
    <t>MATEUS SOARES ADVOCACIA</t>
  </si>
  <si>
    <t>65.738.806/000127</t>
  </si>
  <si>
    <t>FERNANDA</t>
  </si>
  <si>
    <t>TRADICAO INDUSTRIA LTDA FILIAL I</t>
  </si>
  <si>
    <t>SANTA CATARINA</t>
  </si>
  <si>
    <t>59.979.461/0002-81</t>
  </si>
  <si>
    <t xml:space="preserve">TRADIÇÃO DISTRIBUIDORA </t>
  </si>
  <si>
    <t>66.032.594/0001-20</t>
  </si>
  <si>
    <t>LUCRO REAL - EM CONST</t>
  </si>
  <si>
    <t>MK SERVICE LTDA</t>
  </si>
  <si>
    <t>66.031.629/0001-07</t>
  </si>
  <si>
    <t>SÃO PATRICIO SERVICE</t>
  </si>
  <si>
    <t>METALÚRGICA MIRANDA</t>
  </si>
  <si>
    <t>CLIENTE</t>
  </si>
  <si>
    <t>GRUPO ECONOMICO</t>
  </si>
  <si>
    <t>EMPRESA</t>
  </si>
  <si>
    <t>CNPJ</t>
  </si>
  <si>
    <t>INSCRICAO ESTADUAL</t>
  </si>
  <si>
    <t>CONTATO</t>
  </si>
  <si>
    <t>REGIME TRIBUTARIO</t>
  </si>
  <si>
    <t>GRUPO
PRIORIDADE</t>
  </si>
  <si>
    <t>DATA ULT.
ATUALIZ. REST</t>
  </si>
  <si>
    <t>QTD NOTAS
REST</t>
  </si>
  <si>
    <t>DATA ULT.
ATUALIZ. DMS</t>
  </si>
  <si>
    <t>QTD NOTAS
DMS</t>
  </si>
  <si>
    <t>DATA ULT.
ENTRADA</t>
  </si>
  <si>
    <t>QTD NOTAS
ENTRADA</t>
  </si>
  <si>
    <t>DATA ULT.
SAIDA</t>
  </si>
  <si>
    <t>QTD NOTAS
SAIDA</t>
  </si>
  <si>
    <t>x</t>
  </si>
  <si>
    <t>S/R</t>
  </si>
  <si>
    <t>n</t>
  </si>
  <si>
    <t>OK 30/04</t>
  </si>
  <si>
    <t>CERTIF VENCIUDO</t>
  </si>
  <si>
    <t>SEM RESULTADO</t>
  </si>
  <si>
    <t>CERT. VENCIDO</t>
  </si>
  <si>
    <t>SEM RESULTADOS</t>
  </si>
  <si>
    <t>XXXXXXX</t>
  </si>
  <si>
    <t>DADOS Ñ ENC CNPJ</t>
  </si>
  <si>
    <t xml:space="preserve">JÁ ESTAVA </t>
  </si>
  <si>
    <t xml:space="preserve">JÁ OK </t>
  </si>
  <si>
    <t>Ñ ENCONTY CNPJ</t>
  </si>
  <si>
    <t>SEM CERT.</t>
  </si>
  <si>
    <t xml:space="preserve">Já na pasta </t>
  </si>
  <si>
    <t xml:space="preserve">já na pasta </t>
  </si>
  <si>
    <t>SP</t>
  </si>
  <si>
    <t>MT</t>
  </si>
  <si>
    <t>OK 04/04</t>
  </si>
  <si>
    <t>SEM DADOS CNPJ</t>
  </si>
  <si>
    <t xml:space="preserve">SEM RESULTADOS </t>
  </si>
  <si>
    <t>JÁ TEM 24/04</t>
  </si>
  <si>
    <t>OK 04/03</t>
  </si>
  <si>
    <t xml:space="preserve">JÁ TEM </t>
  </si>
  <si>
    <t>JÁ TINHA 29/04</t>
  </si>
  <si>
    <t>Ñ FIZ</t>
  </si>
  <si>
    <t xml:space="preserve">Ñ FIZ </t>
  </si>
  <si>
    <t>PE</t>
  </si>
  <si>
    <t>BA</t>
  </si>
  <si>
    <t>SC</t>
  </si>
  <si>
    <t>ok</t>
  </si>
  <si>
    <t>SEM MOVIMENTO</t>
  </si>
  <si>
    <t>OK 04/05</t>
  </si>
  <si>
    <t xml:space="preserve">SEM MOVIMENTO </t>
  </si>
  <si>
    <t>SEM I.E.</t>
  </si>
  <si>
    <t>NÃO ACHEI</t>
  </si>
  <si>
    <t xml:space="preserve">NÃO ACHEI </t>
  </si>
  <si>
    <t xml:space="preserve">SEM PERMISSÃO </t>
  </si>
  <si>
    <t>SEM PREMISSÃO</t>
  </si>
  <si>
    <t>I.E INVALIDA</t>
  </si>
  <si>
    <t>SEM MOVIEMNTO</t>
  </si>
  <si>
    <t>JÁ TINHA SALVO</t>
  </si>
  <si>
    <t>24.584.530/0001-92</t>
  </si>
  <si>
    <t>48.956.624/0001-03</t>
  </si>
  <si>
    <t>OK 05/05</t>
  </si>
  <si>
    <t>01.003.321/0001-02</t>
  </si>
  <si>
    <t>46.970.032/0001-10</t>
  </si>
  <si>
    <t>029.902.823/0001-94</t>
  </si>
  <si>
    <t>23.713.421/0001-65</t>
  </si>
  <si>
    <t>42.352.280/0001-47</t>
  </si>
  <si>
    <t>40.865.363/0001-04</t>
  </si>
  <si>
    <t>30.378.870/0001-60</t>
  </si>
  <si>
    <t>27.313.967/0001-80</t>
  </si>
  <si>
    <t>59.712.721/0001-77</t>
  </si>
  <si>
    <t>CNPJ DIFERENTE</t>
  </si>
  <si>
    <t>W:\TESTE RENOMEADOR\PASTA QUALQUER ======= PDF\2026\1\SADFLJNHSADOIUABSHDIBNASKJDNPKSJANPDJKNASPKJDNPASKJNDPKJNSAPKJDNPASKJNDKJASNDKJNPASKJNDPKJSANPJNPASJNDKAJNDKJS</t>
  </si>
  <si>
    <t>W:\TESTE RENOMEADOR\TESTE - BESSA\2026\ABRIL\FISCAL\MUNICIPAL\REST</t>
  </si>
  <si>
    <t>W:\TESTE RENOMEADOR\TESTE - CLAKE\2026\ABRIL\FISCAL\MUNICIPAL\REST</t>
  </si>
  <si>
    <t>W:\TESTE RENOMEADOR\TESTE - STUDIO LYFER\2026\ABRIL\FISCAL\MUNICIPAL\REST</t>
  </si>
  <si>
    <t>W:\01-CLIENTES\GRUPO - GSV\1 - GSV MONTAGENS INDUSTRIAIS\FISCAL\2026\042026\MUNICIPAL\REST\PDF SERVIÇOS TOMADOS</t>
  </si>
  <si>
    <t>W:\01-CLIENTES\GRUPO - POWER SOURCE\26.474.2860001-30 - POWER SOURCE COMERCIO E MANUTENCAO DE EQUIPAMENTOS LTDA\FISCAL\2026\042026\MUNICIPAL\REST\PDF SERVIÇOS TOMADOS</t>
  </si>
  <si>
    <t>W:\01-CLIENTES\GRUPO - DGA\226 - DGA ENERGIA E AUTOMAÇÃO\DEPARTAMENTO FISCAL\2026\042026\MUNICIPAL\REST\PDF SERVIÇOS TOMADOS\AINDA NÃO FEITO</t>
  </si>
  <si>
    <t>CADASTRO OPERACIONAL | RENOMEADOR NFS-e</t>
  </si>
  <si>
    <t>CIDADE</t>
  </si>
  <si>
    <t>CAMINHO DMS
(DUPLO-CLIQUE)</t>
  </si>
  <si>
    <t>CAMINHO REST
(COLE OU SELECIONE A PASTA)</t>
  </si>
  <si>
    <t>SOMENTE ORIGEM</t>
  </si>
  <si>
    <t>STATUS CNPJ</t>
  </si>
  <si>
    <t>STATUS REST</t>
  </si>
  <si>
    <t>STATUS DUPLICIDADE</t>
  </si>
  <si>
    <t>STATUS CAMINHO</t>
  </si>
  <si>
    <t>SIM</t>
  </si>
  <si>
    <t>CLIENTES</t>
  </si>
  <si>
    <t>Total no cadastro</t>
  </si>
  <si>
    <t>REST PENDENTE</t>
  </si>
  <si>
    <t>CONFIGURACAO VISUAL E VALIDACOES</t>
  </si>
  <si>
    <t>LISTA</t>
  </si>
  <si>
    <t>DESCRICAO</t>
  </si>
  <si>
    <t>USO</t>
  </si>
  <si>
    <t/>
  </si>
  <si>
    <t>PALETA</t>
  </si>
  <si>
    <t>HEX</t>
  </si>
  <si>
    <t>Marca pasta monitorada apenas como origem</t>
  </si>
  <si>
    <t>NAO</t>
  </si>
  <si>
    <t>Valor padrao quando a pasta tambem pode ser destino</t>
  </si>
  <si>
    <t>Prioridade herdada do cadastro</t>
  </si>
  <si>
    <t>PRIORIDADE</t>
  </si>
  <si>
    <t>Azul profundo</t>
  </si>
  <si>
    <t>#061A2F</t>
  </si>
  <si>
    <t>Azul painel</t>
  </si>
  <si>
    <t>#0B2545</t>
  </si>
  <si>
    <t>Ciano destaque</t>
  </si>
  <si>
    <t>#22D3EE</t>
  </si>
  <si>
    <t>Verde pronto</t>
  </si>
  <si>
    <t>#10B981</t>
  </si>
  <si>
    <t>Amarelo alerta</t>
  </si>
  <si>
    <t>#F59E0B</t>
  </si>
  <si>
    <t>CAMINHO CERTIFICADO DIGITAL
(DUPLO-CLIQUE)</t>
  </si>
  <si>
    <t>VALIDADE CERTIFICADO DIGITAL</t>
  </si>
  <si>
    <t>SENHA CERTIFICADO DIGITAL
(OPCIONAL)</t>
  </si>
  <si>
    <t>DIAS CERTIFICADO</t>
  </si>
  <si>
    <t>STATUS CERTIFICADO</t>
  </si>
  <si>
    <t>RANK CERTIFICADO</t>
  </si>
  <si>
    <t>NOTAS HOJE</t>
  </si>
  <si>
    <t>Importador NF</t>
  </si>
  <si>
    <t>XML HOJE</t>
  </si>
  <si>
    <t>Importador XML</t>
  </si>
  <si>
    <t>CERT. ALERTA</t>
  </si>
  <si>
    <t>VENCIMENTO</t>
  </si>
  <si>
    <t>STATUS</t>
  </si>
  <si>
    <t>INDICADOR</t>
  </si>
  <si>
    <t>VALOR</t>
  </si>
  <si>
    <t>NOTAS_IMPORTADAS_HOJE</t>
  </si>
  <si>
    <t>Atualizado pelo futuro importador de NF</t>
  </si>
  <si>
    <t>XML_IMPORTADOS_HOJE</t>
  </si>
  <si>
    <t>Atualizado pelo futuro importador de XML</t>
  </si>
  <si>
    <t>PAINEL CONTÁBIL | AUTOMAÇÃO FISCAL</t>
  </si>
  <si>
    <t>Clientes, importações, XML e certificados digitais críticos para a rotina fiscal</t>
  </si>
  <si>
    <t>CERTIFICADOS DIGITAIS MAIS PRÓXIMOS DE VENCER</t>
  </si>
  <si>
    <t>FALTA VENCER</t>
  </si>
  <si>
    <t>CNPJ INVÁLIDO</t>
  </si>
  <si>
    <t>CERT. SEM DATA</t>
  </si>
  <si>
    <t>CERT. SEM CAMINHO</t>
  </si>
  <si>
    <t>NFSE</t>
  </si>
  <si>
    <t>PAINEL
ATIVO</t>
  </si>
  <si>
    <t>CLI</t>
  </si>
  <si>
    <t>NF</t>
  </si>
  <si>
    <t>XML</t>
  </si>
  <si>
    <t>CERT</t>
  </si>
  <si>
    <t>Empresas com certificado digital cadastrado e menor prazo de vencimento</t>
  </si>
  <si>
    <t>SAÚDE DO CADASTRO OPERACIONAL</t>
  </si>
  <si>
    <t>Pontos que precisam de revisão antes da automação rodar 24/7</t>
  </si>
  <si>
    <t>PONTO DE ATENÇÃO</t>
  </si>
  <si>
    <t>DASHBOARD VISUAL | DADOS REAIS NO CADASTRO</t>
  </si>
  <si>
    <t>CAMINHO ENTRADA/SAIDA
(DUPLO-CLIQUE)</t>
  </si>
  <si>
    <t>17.608.570/0001-61</t>
  </si>
  <si>
    <t>W:\01-CLIENTES\GRUPO - HH\207 - 3H COMERCIO FILIAL - 0003-56\DEPARTAMENTO FISCAL\2026\042026\MUNICIPAL\REST\PDF SERVIÇOS TOMADOS</t>
  </si>
  <si>
    <t>W:\01-CLIENTES\GRUPO - AGROBOM\10.627.3820001-31 - AGROBOM ARMAZENS GERAIS - BOM JESUS 121\DEPARTAMENTO FISCAL\2026\042026\MUNICIPAL\REST\PDF SERVIÇOS TOMADOS</t>
  </si>
  <si>
    <t>W:\01-CLIENTES\GRUPO - HH\205 - 3H COMERCIO MTZ  - 0001-94\DEPARTAMENTO FISCAL\2026\042026\MUNICIPAL\REST\PDF SERVIÇOS TOMADOS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</si>
</sst>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4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rgb="FFEAFBFF"/>
      <name val="Calibri"/>
    </font>
    <font>
      <b/>
      <sz val="10"/>
      <color rgb="FFEAFBFF"/>
      <name val="Calibri"/>
    </font>
    <font>
      <sz val="9"/>
      <color rgb="FF172033"/>
      <name val="Calibri"/>
    </font>
    <font>
      <b/>
      <sz val="24"/>
      <color rgb="FFEAFBFF"/>
      <name val="Calibri"/>
    </font>
    <font>
      <b/>
      <sz val="10"/>
      <color rgb="FFEAFBFF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064E3B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064E3B"/>
      <name val="Calibri"/>
    </font>
    <font>
      <sz val="9"/>
      <color rgb="FF64748B"/>
      <name val="Calibri"/>
    </font>
    <font>
      <sz val="9"/>
      <color rgb="FF172033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9"/>
      <color rgb="FF172033"/>
      <name val="Calibri"/>
    </font>
    <font>
      <b/>
      <sz val="10"/>
      <color rgb="FF0B2436"/>
      <name val="Calibri"/>
    </font>
    <font>
      <sz val="9"/>
      <color rgb="FF64748B"/>
      <name val="Calibri"/>
    </font>
    <font>
      <sz val="10"/>
      <color rgb="FFCBD5E1"/>
      <name val="Calibri"/>
    </font>
    <font>
      <sz val="10"/>
      <color rgb="FFEAF6FF"/>
      <name val="Calibri"/>
    </font>
    <font>
      <b/>
      <sz val="18"/>
      <color rgb="FF22D3EE"/>
      <name val="Calibri"/>
    </font>
    <font>
      <b/>
      <sz val="24"/>
      <color rgb="FFFFFFFF"/>
      <name val="Calibri"/>
    </font>
    <font>
      <sz val="12"/>
      <color rgb="FFB9D6EA"/>
      <name val="Calibri"/>
    </font>
    <font>
      <b/>
      <sz val="11"/>
      <color rgb="FF10B981"/>
      <name val="Calibri"/>
    </font>
    <font>
      <sz val="8"/>
      <color rgb="FF22D3EE"/>
      <name val="Calibri"/>
    </font>
    <font>
      <sz val="10"/>
      <color rgb="FFEAF6FF"/>
      <name val="Calibri"/>
    </font>
    <font>
      <b/>
      <sz val="22"/>
      <color rgb="FF22D3EE"/>
      <name val="Calibri"/>
    </font>
    <font>
      <b/>
      <sz val="11"/>
      <color rgb="FF22D3EE"/>
      <name val="Calibri"/>
    </font>
    <font>
      <b/>
      <sz val="30"/>
      <color rgb="FFFFFFFF"/>
      <name val="Calibri"/>
    </font>
    <font>
      <sz val="10"/>
      <color rgb="FFB9D6EA"/>
      <name val="Calibri"/>
    </font>
    <font>
      <sz val="10"/>
      <color rgb="FFEAF6FF"/>
      <name val="Calibri"/>
    </font>
    <font>
      <b/>
      <sz val="22"/>
      <color rgb="FF10B981"/>
      <name val="Calibri"/>
    </font>
    <font>
      <b/>
      <sz val="11"/>
      <color rgb="FF10B981"/>
      <name val="Calibri"/>
    </font>
    <font>
      <b/>
      <sz val="30"/>
      <color rgb="FFFFFFFF"/>
      <name val="Calibri"/>
    </font>
    <font>
      <sz val="10"/>
      <color rgb="FFB9D6EA"/>
      <name val="Calibri"/>
    </font>
    <font>
      <sz val="10"/>
      <color rgb="FFEAF6FF"/>
      <name val="Calibri"/>
    </font>
    <font>
      <b/>
      <sz val="22"/>
      <color rgb="FF38BDF8"/>
      <name val="Calibri"/>
    </font>
    <font>
      <b/>
      <sz val="11"/>
      <color rgb="FF38BDF8"/>
      <name val="Calibri"/>
    </font>
    <font>
      <b/>
      <sz val="30"/>
      <color rgb="FFFFFFFF"/>
      <name val="Calibri"/>
    </font>
    <font>
      <sz val="10"/>
      <color rgb="FFB9D6EA"/>
      <name val="Calibri"/>
    </font>
    <font>
      <sz val="10"/>
      <color rgb="FFEAF6FF"/>
      <name val="Calibri"/>
    </font>
    <font>
      <b/>
      <sz val="22"/>
      <color rgb="FF10B981"/>
      <name val="Calibri"/>
    </font>
    <font>
      <b/>
      <sz val="11"/>
      <color rgb="FF10B981"/>
      <name val="Calibri"/>
    </font>
    <font>
      <b/>
      <sz val="30"/>
      <color rgb="FFFFFFFF"/>
      <name val="Calibri"/>
    </font>
    <font>
      <sz val="10"/>
      <color rgb="FFB9D6EA"/>
      <name val="Calibri"/>
    </font>
    <font>
      <sz val="10"/>
      <color rgb="FFEAF6FF"/>
      <name val="Calibri"/>
    </font>
    <font>
      <b/>
      <sz val="14"/>
      <color rgb="FF22D3EE"/>
      <name val="Calibri"/>
    </font>
    <font>
      <sz val="9"/>
      <color rgb="FF7FB2CC"/>
      <name val="Calibri"/>
    </font>
    <font>
      <b/>
      <sz val="9"/>
      <color rgb="FFFFFFFF"/>
      <name val="Calibri"/>
    </font>
    <font>
      <b/>
      <sz val="9"/>
      <color rgb="FFFFFFFF"/>
      <name val="Calibri"/>
    </font>
    <font>
      <b/>
      <sz val="9"/>
      <color rgb="FFFFFFFF"/>
      <name val="Calibri"/>
    </font>
    <font>
      <b/>
      <sz val="9"/>
      <color rgb="FFFFFFFF"/>
      <name val="Calibri"/>
    </font>
    <font>
      <b/>
      <sz val="9"/>
      <color rgb="FFFFFFFF"/>
      <name val="Calibri"/>
    </font>
    <font>
      <sz val="9"/>
      <color rgb="FFEAF6FF"/>
      <name val="Calibri"/>
    </font>
    <font>
      <sz val="10"/>
      <color rgb="FFEAF6FF"/>
      <name val="Calibri"/>
    </font>
    <font>
      <b/>
      <sz val="14"/>
      <color rgb="FF22D3EE"/>
      <name val="Calibri"/>
    </font>
    <font>
      <sz val="9"/>
      <color rgb="FF7FB2CC"/>
      <name val="Calibri"/>
    </font>
    <font>
      <b/>
      <sz val="9"/>
      <color rgb="FFFFFFFF"/>
      <name val="Calibri"/>
    </font>
    <font>
      <b/>
      <sz val="22"/>
      <color rgb="FFFFFFFF"/>
      <name val="Calibri"/>
    </font>
    <font>
      <sz val="8"/>
      <color rgb="FF7FB2CC"/>
      <name val="Calibri"/>
    </font>
    <font>
      <b/>
      <sz val="10"/>
      <color rgb="FF10B981"/>
      <name val="Calibri"/>
    </font>
    <font>
      <b/>
      <sz val="9"/>
      <color rgb="FFFFFFFF"/>
      <name val="Calibri"/>
    </font>
    <font>
      <b/>
      <sz val="22"/>
      <color rgb="FFFFFFFF"/>
      <name val="Calibri"/>
    </font>
    <font>
      <sz val="8"/>
      <color rgb="FF7FB2CC"/>
      <name val="Calibri"/>
    </font>
    <font>
      <b/>
      <sz val="10"/>
      <color rgb="FF10B981"/>
      <name val="Calibri"/>
    </font>
    <font>
      <b/>
      <sz val="9"/>
      <color rgb="FFFFFFFF"/>
      <name val="Calibri"/>
    </font>
    <font>
      <b/>
      <sz val="22"/>
      <color rgb="FFFFFFFF"/>
      <name val="Calibri"/>
    </font>
    <font>
      <sz val="8"/>
      <color rgb="FF7FB2CC"/>
      <name val="Calibri"/>
    </font>
    <font>
      <b/>
      <sz val="10"/>
      <color rgb="FF10B981"/>
      <name val="Calibri"/>
    </font>
    <font>
      <b/>
      <sz val="9"/>
      <color rgb="FFFFFFFF"/>
      <name val="Calibri"/>
    </font>
    <font>
      <b/>
      <sz val="22"/>
      <color rgb="FFFFFFFF"/>
      <name val="Calibri"/>
    </font>
    <font>
      <sz val="8"/>
      <color rgb="FF7FB2CC"/>
      <name val="Calibri"/>
    </font>
    <font>
      <b/>
      <sz val="10"/>
      <color rgb="FF10B981"/>
      <name val="Calibri"/>
    </font>
    <font>
      <sz val="8"/>
      <color rgb="FF22D3EE"/>
      <name val="Calibri"/>
    </font>
    <font>
      <sz val="8"/>
      <color rgb="FF7FB2CC"/>
      <name val="Calibri"/>
    </font>
    <font>
      <b/>
      <sz val="16"/>
      <color rgb="FFFFFFFF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sz val="10"/>
      <color rgb="FF0F172A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b/>
      <sz val="10"/>
      <color rgb="FF22D3EE"/>
      <name val="Calibri"/>
    </font>
    <font>
      <sz val="10"/>
      <color rgb="FF0F172A"/>
      <name val="Calibri"/>
    </font>
    <font>
      <sz val="10"/>
      <color rgb="FF0F172A"/>
      <name val="Calibri"/>
    </font>
  </fonts>
  <fills count="24">
    <fill>
      <patternFill patternType="none"/>
    </fill>
    <fill>
      <patternFill patternType="gray125"/>
    </fill>
    <fill>
      <patternFill patternType="solid">
        <fgColor rgb="FF07111F"/>
      </patternFill>
    </fill>
    <fill>
      <patternFill patternType="solid">
        <fgColor rgb="FF0F172A"/>
      </patternFill>
    </fill>
    <fill>
      <patternFill patternType="solid">
        <fgColor rgb="FF0EA5E9"/>
      </patternFill>
    </fill>
    <fill>
      <patternFill patternType="solid">
        <fgColor rgb="FF00B4D8"/>
      </patternFill>
    </fill>
    <fill>
      <patternFill patternType="solid">
        <fgColor rgb="FF14B8A6"/>
      </patternFill>
    </fill>
    <fill>
      <patternFill patternType="solid">
        <fgColor rgb="FF7C3AED"/>
      </patternFill>
    </fill>
    <fill>
      <patternFill patternType="solid">
        <fgColor rgb="FFF8FBFF"/>
      </patternFill>
    </fill>
    <fill>
      <patternFill patternType="solid">
        <fgColor rgb="FFE3FFF4"/>
      </patternFill>
    </fill>
    <fill>
      <patternFill patternType="solid">
        <fgColor rgb="FFF9FAFB"/>
      </patternFill>
    </fill>
    <fill>
      <patternFill patternType="solid">
        <fgColor rgb="FFEEF6FF"/>
      </patternFill>
    </fill>
    <fill>
      <patternFill patternType="solid">
        <fgColor rgb="FFD7FBEA"/>
      </patternFill>
    </fill>
    <fill>
      <patternFill patternType="solid">
        <fgColor rgb="FFF3F6FA"/>
      </patternFill>
    </fill>
    <fill>
      <patternFill patternType="solid">
        <fgColor rgb="FFFFF2B8"/>
      </patternFill>
    </fill>
    <fill>
      <patternFill patternType="solid">
        <fgColor rgb="FF061A2F"/>
      </patternFill>
    </fill>
    <fill>
      <patternFill patternType="solid">
        <fgColor rgb="FF08243E"/>
      </patternFill>
    </fill>
    <fill>
      <patternFill patternType="solid">
        <fgColor rgb="FF0A2F52"/>
      </patternFill>
    </fill>
    <fill>
      <patternFill patternType="solid">
        <fgColor rgb="FF0B2545"/>
      </patternFill>
    </fill>
    <fill>
      <patternFill patternType="solid">
        <fgColor rgb="FF0E7490"/>
      </patternFill>
    </fill>
    <fill>
      <patternFill patternType="solid">
        <fgColor rgb="FF16A34A"/>
      </patternFill>
    </fill>
    <fill>
      <patternFill patternType="solid">
        <fgColor rgb="FF334155"/>
      </patternFill>
    </fill>
    <fill>
      <patternFill patternType="solid">
        <fgColor rgb="FF071E36"/>
      </patternFill>
    </fill>
    <fill>
      <patternFill patternType="solid">
        <fgColor rgb="FF111827"/>
      </patternFill>
    </fill>
  </fills>
  <borders count="38">
    <border>
      <left/>
      <right/>
      <top/>
      <bottom/>
      <diagonal/>
    </border>
    <border>
      <left/>
      <right/>
      <top/>
      <bottom style="medium">
        <color rgb="FF00B4D8"/>
      </bottom>
      <diagonal/>
    </border>
    <border>
      <left/>
      <right/>
      <top/>
      <bottom style="thin">
        <color rgb="FF38BDF8"/>
      </bottom>
      <diagonal/>
    </border>
    <border>
      <left style="thin">
        <color rgb="FFD7E3F0"/>
      </left>
      <right style="thin">
        <color rgb="FFD7E3F0"/>
      </right>
      <top style="thin">
        <color rgb="FFD7E3F0"/>
      </top>
      <bottom style="thin">
        <color rgb="FFD7E3F0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123B5D"/>
      </left>
      <right style="thin">
        <color rgb="FF123B5D"/>
      </right>
      <top style="thin">
        <color rgb="FF123B5D"/>
      </top>
      <bottom style="thin">
        <color rgb="FF123B5D"/>
      </bottom>
      <diagonal/>
    </border>
    <border>
      <left style="medium">
        <color rgb="FF22D3EE"/>
      </left>
      <right/>
      <top style="medium">
        <color rgb="FF22D3EE"/>
      </top>
      <bottom/>
      <diagonal/>
    </border>
    <border>
      <left/>
      <right style="medium">
        <color rgb="FF22D3EE"/>
      </right>
      <top style="medium">
        <color rgb="FF22D3EE"/>
      </top>
      <bottom/>
      <diagonal/>
    </border>
    <border>
      <left style="medium">
        <color rgb="FF22D3EE"/>
      </left>
      <right/>
      <top/>
      <bottom/>
      <diagonal/>
    </border>
    <border>
      <left/>
      <right style="medium">
        <color rgb="FF22D3EE"/>
      </right>
      <top/>
      <bottom/>
      <diagonal/>
    </border>
    <border>
      <left style="medium">
        <color rgb="FF22D3EE"/>
      </left>
      <right/>
      <top/>
      <bottom style="medium">
        <color rgb="FF22D3EE"/>
      </bottom>
      <diagonal/>
    </border>
    <border>
      <left/>
      <right style="medium">
        <color rgb="FF22D3EE"/>
      </right>
      <top/>
      <bottom style="medium">
        <color rgb="FF22D3EE"/>
      </bottom>
      <diagonal/>
    </border>
    <border>
      <left style="thin">
        <color rgb="FF22D3EE"/>
      </left>
      <right/>
      <top style="thin">
        <color rgb="FF22D3EE"/>
      </top>
      <bottom/>
      <diagonal/>
    </border>
    <border>
      <left/>
      <right style="thin">
        <color rgb="FF22D3EE"/>
      </right>
      <top style="thin">
        <color rgb="FF22D3EE"/>
      </top>
      <bottom/>
      <diagonal/>
    </border>
    <border>
      <left style="thin">
        <color rgb="FF22D3EE"/>
      </left>
      <right/>
      <top/>
      <bottom/>
      <diagonal/>
    </border>
    <border>
      <left/>
      <right style="thin">
        <color rgb="FF22D3EE"/>
      </right>
      <top/>
      <bottom/>
      <diagonal/>
    </border>
    <border>
      <left style="thin">
        <color rgb="FF22D3EE"/>
      </left>
      <right/>
      <top/>
      <bottom style="thin">
        <color rgb="FF22D3EE"/>
      </bottom>
      <diagonal/>
    </border>
    <border>
      <left/>
      <right style="thin">
        <color rgb="FF22D3EE"/>
      </right>
      <top/>
      <bottom style="thin">
        <color rgb="FF22D3EE"/>
      </bottom>
      <diagonal/>
    </border>
    <border>
      <left/>
      <right/>
      <top style="medium">
        <color rgb="FF22D3EE"/>
      </top>
      <bottom/>
      <diagonal/>
    </border>
    <border>
      <left/>
      <right/>
      <top/>
      <bottom style="medium">
        <color rgb="FF22D3EE"/>
      </bottom>
      <diagonal/>
    </border>
    <border>
      <left style="medium">
        <color rgb="FF10B981"/>
      </left>
      <right/>
      <top style="medium">
        <color rgb="FF10B981"/>
      </top>
      <bottom/>
      <diagonal/>
    </border>
    <border>
      <left/>
      <right/>
      <top style="medium">
        <color rgb="FF10B981"/>
      </top>
      <bottom/>
      <diagonal/>
    </border>
    <border>
      <left/>
      <right style="medium">
        <color rgb="FF10B981"/>
      </right>
      <top style="medium">
        <color rgb="FF10B981"/>
      </top>
      <bottom/>
      <diagonal/>
    </border>
    <border>
      <left style="medium">
        <color rgb="FF10B981"/>
      </left>
      <right/>
      <top/>
      <bottom/>
      <diagonal/>
    </border>
    <border>
      <left/>
      <right style="medium">
        <color rgb="FF10B981"/>
      </right>
      <top/>
      <bottom/>
      <diagonal/>
    </border>
    <border>
      <left style="medium">
        <color rgb="FF10B981"/>
      </left>
      <right/>
      <top/>
      <bottom style="medium">
        <color rgb="FF10B981"/>
      </bottom>
      <diagonal/>
    </border>
    <border>
      <left/>
      <right/>
      <top/>
      <bottom style="medium">
        <color rgb="FF10B981"/>
      </bottom>
      <diagonal/>
    </border>
    <border>
      <left/>
      <right style="medium">
        <color rgb="FF10B981"/>
      </right>
      <top/>
      <bottom style="medium">
        <color rgb="FF10B981"/>
      </bottom>
      <diagonal/>
    </border>
    <border>
      <left style="medium">
        <color rgb="FF38BDF8"/>
      </left>
      <right/>
      <top style="medium">
        <color rgb="FF38BDF8"/>
      </top>
      <bottom/>
      <diagonal/>
    </border>
    <border>
      <left/>
      <right/>
      <top style="medium">
        <color rgb="FF38BDF8"/>
      </top>
      <bottom/>
      <diagonal/>
    </border>
    <border>
      <left/>
      <right style="medium">
        <color rgb="FF38BDF8"/>
      </right>
      <top style="medium">
        <color rgb="FF38BDF8"/>
      </top>
      <bottom/>
      <diagonal/>
    </border>
    <border>
      <left style="medium">
        <color rgb="FF38BDF8"/>
      </left>
      <right/>
      <top/>
      <bottom/>
      <diagonal/>
    </border>
    <border>
      <left/>
      <right style="medium">
        <color rgb="FF38BDF8"/>
      </right>
      <top/>
      <bottom/>
      <diagonal/>
    </border>
    <border>
      <left style="medium">
        <color rgb="FF38BDF8"/>
      </left>
      <right/>
      <top/>
      <bottom style="medium">
        <color rgb="FF38BDF8"/>
      </bottom>
      <diagonal/>
    </border>
    <border>
      <left/>
      <right/>
      <top/>
      <bottom style="medium">
        <color rgb="FF38BDF8"/>
      </bottom>
      <diagonal/>
    </border>
    <border>
      <left/>
      <right style="medium">
        <color rgb="FF38BDF8"/>
      </right>
      <top/>
      <bottom style="medium">
        <color rgb="FF38BDF8"/>
      </bottom>
      <diagonal/>
    </border>
    <border>
      <left/>
      <right/>
      <top style="thin">
        <color rgb="FF22D3EE"/>
      </top>
      <bottom/>
      <diagonal/>
    </border>
    <border>
      <left/>
      <right/>
      <top/>
      <bottom style="thin">
        <color rgb="FF22D3EE"/>
      </bottom>
      <diagonal/>
    </border>
  </borders>
  <cellStyleXfs count="1">
    <xf numFmtId="0" fontId="0" fillId="0" borderId="0"/>
  </cellStyleXfs>
  <cellXfs count="257">
    <xf numFmtId="0" fontId="0" fillId="0" borderId="0" xfId="0"/>
    <xf numFmtId="49" fontId="0" fillId="14" borderId="4" xfId="0" applyNumberFormat="1" applyFill="1" applyBorder="1"/>
    <xf numFmtId="0" fontId="2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49" fontId="4" fillId="8" borderId="3" xfId="0" applyNumberFormat="1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19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0" fontId="6" fillId="21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49" fontId="7" fillId="8" borderId="3" xfId="0" applyNumberFormat="1" applyFont="1" applyFill="1" applyBorder="1" applyAlignment="1">
      <alignment horizontal="left" vertical="center"/>
    </xf>
    <xf numFmtId="49" fontId="8" fillId="8" borderId="3" xfId="0" applyNumberFormat="1" applyFont="1" applyFill="1" applyBorder="1" applyAlignment="1">
      <alignment horizontal="left" vertical="center"/>
    </xf>
    <xf numFmtId="49" fontId="9" fillId="9" borderId="3" xfId="0" applyNumberFormat="1" applyFont="1" applyFill="1" applyBorder="1" applyAlignment="1">
      <alignment horizontal="left" vertical="center"/>
    </xf>
    <xf numFmtId="49" fontId="10" fillId="10" borderId="3" xfId="0" applyNumberFormat="1" applyFont="1" applyFill="1" applyBorder="1" applyAlignment="1">
      <alignment horizontal="left" vertical="center"/>
    </xf>
    <xf numFmtId="14" fontId="7" fillId="8" borderId="3" xfId="0" applyNumberFormat="1" applyFont="1" applyFill="1" applyBorder="1" applyAlignment="1">
      <alignment horizontal="left" vertical="center"/>
    </xf>
    <xf numFmtId="49" fontId="11" fillId="11" borderId="3" xfId="0" applyNumberFormat="1" applyFont="1" applyFill="1" applyBorder="1" applyAlignment="1">
      <alignment horizontal="left" vertical="center"/>
    </xf>
    <xf numFmtId="49" fontId="12" fillId="11" borderId="3" xfId="0" applyNumberFormat="1" applyFont="1" applyFill="1" applyBorder="1" applyAlignment="1">
      <alignment horizontal="left" vertical="center"/>
    </xf>
    <xf numFmtId="49" fontId="13" fillId="12" borderId="3" xfId="0" applyNumberFormat="1" applyFont="1" applyFill="1" applyBorder="1" applyAlignment="1">
      <alignment horizontal="left" vertical="center"/>
    </xf>
    <xf numFmtId="49" fontId="14" fillId="13" borderId="3" xfId="0" applyNumberFormat="1" applyFont="1" applyFill="1" applyBorder="1" applyAlignment="1">
      <alignment horizontal="left" vertical="center"/>
    </xf>
    <xf numFmtId="14" fontId="11" fillId="11" borderId="3" xfId="0" applyNumberFormat="1" applyFont="1" applyFill="1" applyBorder="1" applyAlignment="1">
      <alignment horizontal="left" vertical="center"/>
    </xf>
    <xf numFmtId="49" fontId="15" fillId="8" borderId="3" xfId="0" applyNumberFormat="1" applyFont="1" applyFill="1" applyBorder="1" applyAlignment="1">
      <alignment horizontal="left" vertical="center"/>
    </xf>
    <xf numFmtId="49" fontId="16" fillId="8" borderId="3" xfId="0" applyNumberFormat="1" applyFont="1" applyFill="1" applyBorder="1" applyAlignment="1">
      <alignment horizontal="left" vertical="center"/>
    </xf>
    <xf numFmtId="49" fontId="17" fillId="8" borderId="3" xfId="0" applyNumberFormat="1" applyFont="1" applyFill="1" applyBorder="1" applyAlignment="1">
      <alignment horizontal="left" vertical="center"/>
    </xf>
    <xf numFmtId="49" fontId="18" fillId="10" borderId="3" xfId="0" applyNumberFormat="1" applyFont="1" applyFill="1" applyBorder="1" applyAlignment="1">
      <alignment horizontal="left" vertical="center"/>
    </xf>
    <xf numFmtId="14" fontId="16" fillId="8" borderId="3" xfId="0" applyNumberFormat="1" applyFont="1" applyFill="1" applyBorder="1" applyAlignment="1">
      <alignment horizontal="left" vertical="center"/>
    </xf>
    <xf numFmtId="49" fontId="19" fillId="11" borderId="3" xfId="0" applyNumberFormat="1" applyFont="1" applyFill="1" applyBorder="1" applyAlignment="1">
      <alignment horizontal="left" vertical="center"/>
    </xf>
    <xf numFmtId="49" fontId="20" fillId="11" borderId="3" xfId="0" applyNumberFormat="1" applyFont="1" applyFill="1" applyBorder="1" applyAlignment="1">
      <alignment horizontal="left" vertical="center"/>
    </xf>
    <xf numFmtId="49" fontId="21" fillId="13" borderId="3" xfId="0" applyNumberFormat="1" applyFont="1" applyFill="1" applyBorder="1" applyAlignment="1">
      <alignment horizontal="left" vertical="center"/>
    </xf>
    <xf numFmtId="14" fontId="19" fillId="11" borderId="3" xfId="0" applyNumberFormat="1" applyFont="1" applyFill="1" applyBorder="1" applyAlignment="1">
      <alignment horizontal="left" vertical="center"/>
    </xf>
    <xf numFmtId="49" fontId="22" fillId="8" borderId="3" xfId="0" applyNumberFormat="1" applyFont="1" applyFill="1" applyBorder="1" applyAlignment="1">
      <alignment horizontal="left" vertical="center"/>
    </xf>
    <xf numFmtId="49" fontId="23" fillId="8" borderId="3" xfId="0" applyNumberFormat="1" applyFont="1" applyFill="1" applyBorder="1" applyAlignment="1">
      <alignment horizontal="left" vertical="center"/>
    </xf>
    <xf numFmtId="49" fontId="24" fillId="10" borderId="3" xfId="0" applyNumberFormat="1" applyFont="1" applyFill="1" applyBorder="1" applyAlignment="1">
      <alignment horizontal="left" vertical="center"/>
    </xf>
    <xf numFmtId="14" fontId="22" fillId="8" borderId="3" xfId="0" applyNumberFormat="1" applyFont="1" applyFill="1" applyBorder="1" applyAlignment="1">
      <alignment horizontal="left" vertical="center"/>
    </xf>
    <xf numFmtId="49" fontId="25" fillId="11" borderId="3" xfId="0" applyNumberFormat="1" applyFont="1" applyFill="1" applyBorder="1" applyAlignment="1">
      <alignment horizontal="left" vertical="center"/>
    </xf>
    <xf numFmtId="49" fontId="26" fillId="11" borderId="3" xfId="0" applyNumberFormat="1" applyFont="1" applyFill="1" applyBorder="1" applyAlignment="1">
      <alignment horizontal="left" vertical="center"/>
    </xf>
    <xf numFmtId="49" fontId="27" fillId="13" borderId="3" xfId="0" applyNumberFormat="1" applyFont="1" applyFill="1" applyBorder="1" applyAlignment="1">
      <alignment horizontal="left" vertical="center"/>
    </xf>
    <xf numFmtId="14" fontId="25" fillId="11" borderId="3" xfId="0" applyNumberFormat="1" applyFont="1" applyFill="1" applyBorder="1" applyAlignment="1">
      <alignment horizontal="left" vertical="center"/>
    </xf>
    <xf numFmtId="49" fontId="28" fillId="8" borderId="3" xfId="0" applyNumberFormat="1" applyFont="1" applyFill="1" applyBorder="1" applyAlignment="1">
      <alignment horizontal="left" vertical="center"/>
    </xf>
    <xf numFmtId="49" fontId="29" fillId="8" borderId="3" xfId="0" applyNumberFormat="1" applyFont="1" applyFill="1" applyBorder="1" applyAlignment="1">
      <alignment horizontal="left" vertical="center"/>
    </xf>
    <xf numFmtId="49" fontId="30" fillId="10" borderId="3" xfId="0" applyNumberFormat="1" applyFont="1" applyFill="1" applyBorder="1" applyAlignment="1">
      <alignment horizontal="left" vertical="center"/>
    </xf>
    <xf numFmtId="14" fontId="28" fillId="8" borderId="3" xfId="0" applyNumberFormat="1" applyFont="1" applyFill="1" applyBorder="1" applyAlignment="1">
      <alignment horizontal="left" vertical="center"/>
    </xf>
    <xf numFmtId="49" fontId="31" fillId="11" borderId="3" xfId="0" applyNumberFormat="1" applyFont="1" applyFill="1" applyBorder="1" applyAlignment="1">
      <alignment horizontal="left" vertical="center"/>
    </xf>
    <xf numFmtId="49" fontId="32" fillId="11" borderId="3" xfId="0" applyNumberFormat="1" applyFont="1" applyFill="1" applyBorder="1" applyAlignment="1">
      <alignment horizontal="left" vertical="center"/>
    </xf>
    <xf numFmtId="49" fontId="33" fillId="13" borderId="3" xfId="0" applyNumberFormat="1" applyFont="1" applyFill="1" applyBorder="1" applyAlignment="1">
      <alignment horizontal="left" vertical="center"/>
    </xf>
    <xf numFmtId="14" fontId="31" fillId="11" borderId="3" xfId="0" applyNumberFormat="1" applyFont="1" applyFill="1" applyBorder="1" applyAlignment="1">
      <alignment horizontal="left" vertical="center"/>
    </xf>
    <xf numFmtId="49" fontId="34" fillId="8" borderId="3" xfId="0" applyNumberFormat="1" applyFont="1" applyFill="1" applyBorder="1" applyAlignment="1">
      <alignment horizontal="left" vertical="center"/>
    </xf>
    <xf numFmtId="49" fontId="35" fillId="8" borderId="3" xfId="0" applyNumberFormat="1" applyFont="1" applyFill="1" applyBorder="1" applyAlignment="1">
      <alignment horizontal="left" vertical="center"/>
    </xf>
    <xf numFmtId="49" fontId="36" fillId="10" borderId="3" xfId="0" applyNumberFormat="1" applyFont="1" applyFill="1" applyBorder="1" applyAlignment="1">
      <alignment horizontal="left" vertical="center"/>
    </xf>
    <xf numFmtId="14" fontId="34" fillId="8" borderId="3" xfId="0" applyNumberFormat="1" applyFont="1" applyFill="1" applyBorder="1" applyAlignment="1">
      <alignment horizontal="left" vertical="center"/>
    </xf>
    <xf numFmtId="49" fontId="37" fillId="11" borderId="3" xfId="0" applyNumberFormat="1" applyFont="1" applyFill="1" applyBorder="1" applyAlignment="1">
      <alignment horizontal="left" vertical="center"/>
    </xf>
    <xf numFmtId="49" fontId="38" fillId="11" borderId="3" xfId="0" applyNumberFormat="1" applyFont="1" applyFill="1" applyBorder="1" applyAlignment="1">
      <alignment horizontal="left" vertical="center"/>
    </xf>
    <xf numFmtId="49" fontId="39" fillId="13" borderId="3" xfId="0" applyNumberFormat="1" applyFont="1" applyFill="1" applyBorder="1" applyAlignment="1">
      <alignment horizontal="left" vertical="center"/>
    </xf>
    <xf numFmtId="14" fontId="37" fillId="11" borderId="3" xfId="0" applyNumberFormat="1" applyFont="1" applyFill="1" applyBorder="1" applyAlignment="1">
      <alignment horizontal="left" vertical="center"/>
    </xf>
    <xf numFmtId="49" fontId="40" fillId="8" borderId="3" xfId="0" applyNumberFormat="1" applyFont="1" applyFill="1" applyBorder="1" applyAlignment="1">
      <alignment horizontal="left" vertical="center"/>
    </xf>
    <xf numFmtId="49" fontId="41" fillId="8" borderId="3" xfId="0" applyNumberFormat="1" applyFont="1" applyFill="1" applyBorder="1" applyAlignment="1">
      <alignment horizontal="left" vertical="center"/>
    </xf>
    <xf numFmtId="49" fontId="42" fillId="10" borderId="3" xfId="0" applyNumberFormat="1" applyFont="1" applyFill="1" applyBorder="1" applyAlignment="1">
      <alignment horizontal="left" vertical="center"/>
    </xf>
    <xf numFmtId="14" fontId="40" fillId="8" borderId="3" xfId="0" applyNumberFormat="1" applyFont="1" applyFill="1" applyBorder="1" applyAlignment="1">
      <alignment horizontal="left" vertical="center"/>
    </xf>
    <xf numFmtId="49" fontId="43" fillId="11" borderId="3" xfId="0" applyNumberFormat="1" applyFont="1" applyFill="1" applyBorder="1" applyAlignment="1">
      <alignment horizontal="left" vertical="center"/>
    </xf>
    <xf numFmtId="49" fontId="44" fillId="11" borderId="3" xfId="0" applyNumberFormat="1" applyFont="1" applyFill="1" applyBorder="1" applyAlignment="1">
      <alignment horizontal="left" vertical="center"/>
    </xf>
    <xf numFmtId="49" fontId="45" fillId="13" borderId="3" xfId="0" applyNumberFormat="1" applyFont="1" applyFill="1" applyBorder="1" applyAlignment="1">
      <alignment horizontal="left" vertical="center"/>
    </xf>
    <xf numFmtId="14" fontId="43" fillId="11" borderId="3" xfId="0" applyNumberFormat="1" applyFont="1" applyFill="1" applyBorder="1" applyAlignment="1">
      <alignment horizontal="left" vertical="center"/>
    </xf>
    <xf numFmtId="49" fontId="46" fillId="8" borderId="3" xfId="0" applyNumberFormat="1" applyFont="1" applyFill="1" applyBorder="1" applyAlignment="1">
      <alignment horizontal="left" vertical="center"/>
    </xf>
    <xf numFmtId="49" fontId="47" fillId="8" borderId="3" xfId="0" applyNumberFormat="1" applyFont="1" applyFill="1" applyBorder="1" applyAlignment="1">
      <alignment horizontal="left" vertical="center"/>
    </xf>
    <xf numFmtId="49" fontId="48" fillId="10" borderId="3" xfId="0" applyNumberFormat="1" applyFont="1" applyFill="1" applyBorder="1" applyAlignment="1">
      <alignment horizontal="left" vertical="center"/>
    </xf>
    <xf numFmtId="14" fontId="46" fillId="8" borderId="3" xfId="0" applyNumberFormat="1" applyFont="1" applyFill="1" applyBorder="1" applyAlignment="1">
      <alignment horizontal="left" vertical="center"/>
    </xf>
    <xf numFmtId="49" fontId="49" fillId="11" borderId="3" xfId="0" applyNumberFormat="1" applyFont="1" applyFill="1" applyBorder="1" applyAlignment="1">
      <alignment horizontal="left" vertical="center"/>
    </xf>
    <xf numFmtId="49" fontId="50" fillId="11" borderId="3" xfId="0" applyNumberFormat="1" applyFont="1" applyFill="1" applyBorder="1" applyAlignment="1">
      <alignment horizontal="left" vertical="center"/>
    </xf>
    <xf numFmtId="49" fontId="51" fillId="13" borderId="3" xfId="0" applyNumberFormat="1" applyFont="1" applyFill="1" applyBorder="1" applyAlignment="1">
      <alignment horizontal="left" vertical="center"/>
    </xf>
    <xf numFmtId="14" fontId="49" fillId="11" borderId="3" xfId="0" applyNumberFormat="1" applyFont="1" applyFill="1" applyBorder="1" applyAlignment="1">
      <alignment horizontal="left" vertical="center"/>
    </xf>
    <xf numFmtId="49" fontId="52" fillId="8" borderId="3" xfId="0" applyNumberFormat="1" applyFont="1" applyFill="1" applyBorder="1" applyAlignment="1">
      <alignment horizontal="left" vertical="center"/>
    </xf>
    <xf numFmtId="49" fontId="53" fillId="8" borderId="3" xfId="0" applyNumberFormat="1" applyFont="1" applyFill="1" applyBorder="1" applyAlignment="1">
      <alignment horizontal="left" vertical="center"/>
    </xf>
    <xf numFmtId="49" fontId="54" fillId="10" borderId="3" xfId="0" applyNumberFormat="1" applyFont="1" applyFill="1" applyBorder="1" applyAlignment="1">
      <alignment horizontal="left" vertical="center"/>
    </xf>
    <xf numFmtId="14" fontId="52" fillId="8" borderId="3" xfId="0" applyNumberFormat="1" applyFont="1" applyFill="1" applyBorder="1" applyAlignment="1">
      <alignment horizontal="left" vertical="center"/>
    </xf>
    <xf numFmtId="49" fontId="55" fillId="11" borderId="3" xfId="0" applyNumberFormat="1" applyFont="1" applyFill="1" applyBorder="1" applyAlignment="1">
      <alignment horizontal="left" vertical="center"/>
    </xf>
    <xf numFmtId="49" fontId="56" fillId="11" borderId="3" xfId="0" applyNumberFormat="1" applyFont="1" applyFill="1" applyBorder="1" applyAlignment="1">
      <alignment horizontal="left" vertical="center"/>
    </xf>
    <xf numFmtId="49" fontId="57" fillId="13" borderId="3" xfId="0" applyNumberFormat="1" applyFont="1" applyFill="1" applyBorder="1" applyAlignment="1">
      <alignment horizontal="left" vertical="center"/>
    </xf>
    <xf numFmtId="14" fontId="55" fillId="11" borderId="3" xfId="0" applyNumberFormat="1" applyFont="1" applyFill="1" applyBorder="1" applyAlignment="1">
      <alignment horizontal="left" vertical="center"/>
    </xf>
    <xf numFmtId="49" fontId="58" fillId="8" borderId="3" xfId="0" applyNumberFormat="1" applyFont="1" applyFill="1" applyBorder="1" applyAlignment="1">
      <alignment horizontal="left" vertical="center"/>
    </xf>
    <xf numFmtId="49" fontId="59" fillId="8" borderId="3" xfId="0" applyNumberFormat="1" applyFont="1" applyFill="1" applyBorder="1" applyAlignment="1">
      <alignment horizontal="left" vertical="center"/>
    </xf>
    <xf numFmtId="49" fontId="60" fillId="10" borderId="3" xfId="0" applyNumberFormat="1" applyFont="1" applyFill="1" applyBorder="1" applyAlignment="1">
      <alignment horizontal="left" vertical="center"/>
    </xf>
    <xf numFmtId="14" fontId="58" fillId="8" borderId="3" xfId="0" applyNumberFormat="1" applyFont="1" applyFill="1" applyBorder="1" applyAlignment="1">
      <alignment horizontal="left" vertical="center"/>
    </xf>
    <xf numFmtId="49" fontId="61" fillId="11" borderId="3" xfId="0" applyNumberFormat="1" applyFont="1" applyFill="1" applyBorder="1" applyAlignment="1">
      <alignment horizontal="left" vertical="center"/>
    </xf>
    <xf numFmtId="49" fontId="62" fillId="11" borderId="3" xfId="0" applyNumberFormat="1" applyFont="1" applyFill="1" applyBorder="1" applyAlignment="1">
      <alignment horizontal="left" vertical="center"/>
    </xf>
    <xf numFmtId="49" fontId="63" fillId="13" borderId="3" xfId="0" applyNumberFormat="1" applyFont="1" applyFill="1" applyBorder="1" applyAlignment="1">
      <alignment horizontal="left" vertical="center"/>
    </xf>
    <xf numFmtId="14" fontId="61" fillId="11" borderId="3" xfId="0" applyNumberFormat="1" applyFont="1" applyFill="1" applyBorder="1" applyAlignment="1">
      <alignment horizontal="left" vertical="center"/>
    </xf>
    <xf numFmtId="0" fontId="64" fillId="23" borderId="0" xfId="0" applyFont="1" applyFill="1" applyAlignment="1">
      <alignment horizontal="center" vertical="center"/>
    </xf>
    <xf numFmtId="0" fontId="65" fillId="15" borderId="0" xfId="0" applyFont="1" applyFill="1" applyAlignment="1">
      <alignment horizontal="center" vertical="center"/>
    </xf>
    <xf numFmtId="0" fontId="70" fillId="17" borderId="0" xfId="0" applyFont="1" applyFill="1" applyAlignment="1">
      <alignment horizontal="center" vertical="center" wrapText="1"/>
    </xf>
    <xf numFmtId="0" fontId="71" fillId="22" borderId="6" xfId="0" applyFont="1" applyFill="1" applyBorder="1" applyAlignment="1">
      <alignment horizontal="center" vertical="center" wrapText="1"/>
    </xf>
    <xf numFmtId="0" fontId="71" fillId="22" borderId="10" xfId="0" applyFont="1" applyFill="1" applyBorder="1" applyAlignment="1">
      <alignment horizontal="center" vertical="center" wrapText="1"/>
    </xf>
    <xf numFmtId="0" fontId="76" fillId="22" borderId="20" xfId="0" applyFont="1" applyFill="1" applyBorder="1" applyAlignment="1">
      <alignment horizontal="center" vertical="center" wrapText="1"/>
    </xf>
    <xf numFmtId="0" fontId="76" fillId="22" borderId="25" xfId="0" applyFont="1" applyFill="1" applyBorder="1" applyAlignment="1">
      <alignment horizontal="center" vertical="center" wrapText="1"/>
    </xf>
    <xf numFmtId="0" fontId="81" fillId="22" borderId="28" xfId="0" applyFont="1" applyFill="1" applyBorder="1" applyAlignment="1">
      <alignment horizontal="center" vertical="center" wrapText="1"/>
    </xf>
    <xf numFmtId="0" fontId="81" fillId="22" borderId="33" xfId="0" applyFont="1" applyFill="1" applyBorder="1" applyAlignment="1">
      <alignment horizontal="center" vertical="center" wrapText="1"/>
    </xf>
    <xf numFmtId="0" fontId="86" fillId="22" borderId="20" xfId="0" applyFont="1" applyFill="1" applyBorder="1" applyAlignment="1">
      <alignment horizontal="center" vertical="center" wrapText="1"/>
    </xf>
    <xf numFmtId="0" fontId="86" fillId="22" borderId="25" xfId="0" applyFont="1" applyFill="1" applyBorder="1" applyAlignment="1">
      <alignment horizontal="center" vertical="center" wrapText="1"/>
    </xf>
    <xf numFmtId="0" fontId="91" fillId="22" borderId="0" xfId="0" applyFont="1" applyFill="1" applyAlignment="1">
      <alignment horizontal="center" vertical="center" wrapText="1"/>
    </xf>
    <xf numFmtId="0" fontId="91" fillId="22" borderId="8" xfId="0" applyFont="1" applyFill="1" applyBorder="1" applyAlignment="1">
      <alignment horizontal="center" vertical="center" wrapText="1"/>
    </xf>
    <xf numFmtId="0" fontId="91" fillId="22" borderId="9" xfId="0" applyFont="1" applyFill="1" applyBorder="1" applyAlignment="1">
      <alignment horizontal="center" vertical="center" wrapText="1"/>
    </xf>
    <xf numFmtId="0" fontId="91" fillId="22" borderId="10" xfId="0" applyFont="1" applyFill="1" applyBorder="1" applyAlignment="1">
      <alignment horizontal="center" vertical="center" wrapText="1"/>
    </xf>
    <xf numFmtId="0" fontId="91" fillId="22" borderId="19" xfId="0" applyFont="1" applyFill="1" applyBorder="1" applyAlignment="1">
      <alignment horizontal="center" vertical="center" wrapText="1"/>
    </xf>
    <xf numFmtId="0" fontId="91" fillId="22" borderId="11" xfId="0" applyFont="1" applyFill="1" applyBorder="1" applyAlignment="1">
      <alignment horizontal="center" vertical="center" wrapText="1"/>
    </xf>
    <xf numFmtId="0" fontId="100" fillId="22" borderId="0" xfId="0" applyFont="1" applyFill="1" applyAlignment="1">
      <alignment horizontal="center" vertical="center" wrapText="1"/>
    </xf>
    <xf numFmtId="0" fontId="100" fillId="22" borderId="10" xfId="0" applyFont="1" applyFill="1" applyBorder="1" applyAlignment="1">
      <alignment horizontal="center" vertical="center" wrapText="1"/>
    </xf>
    <xf numFmtId="0" fontId="100" fillId="22" borderId="19" xfId="0" applyFont="1" applyFill="1" applyBorder="1" applyAlignment="1">
      <alignment horizontal="center" vertical="center" wrapText="1"/>
    </xf>
    <xf numFmtId="0" fontId="100" fillId="22" borderId="11" xfId="0" applyFont="1" applyFill="1" applyBorder="1" applyAlignment="1">
      <alignment horizontal="center" vertical="center" wrapText="1"/>
    </xf>
    <xf numFmtId="0" fontId="119" fillId="17" borderId="0" xfId="0" applyFont="1" applyFill="1" applyAlignment="1">
      <alignment horizontal="center" vertical="center" wrapText="1"/>
    </xf>
    <xf numFmtId="0" fontId="122" fillId="17" borderId="5" xfId="0" applyFont="1" applyFill="1" applyBorder="1" applyAlignment="1">
      <alignment horizontal="center" vertical="center" wrapText="1"/>
    </xf>
    <xf numFmtId="0" fontId="123" fillId="17" borderId="5" xfId="0" applyFont="1" applyFill="1" applyBorder="1" applyAlignment="1">
      <alignment horizontal="center" vertical="center" wrapText="1"/>
    </xf>
    <xf numFmtId="0" fontId="124" fillId="17" borderId="5" xfId="0" applyFont="1" applyFill="1" applyBorder="1" applyAlignment="1">
      <alignment horizontal="center" vertical="center" wrapText="1"/>
    </xf>
    <xf numFmtId="0" fontId="125" fillId="17" borderId="5" xfId="0" applyFont="1" applyFill="1" applyBorder="1" applyAlignment="1">
      <alignment horizontal="center" vertical="center" wrapText="1"/>
    </xf>
    <xf numFmtId="0" fontId="126" fillId="17" borderId="5" xfId="0" applyFont="1" applyFill="1" applyBorder="1" applyAlignment="1">
      <alignment horizontal="center" vertical="center" wrapText="1"/>
    </xf>
    <xf numFmtId="0" fontId="127" fillId="17" borderId="5" xfId="0" applyFont="1" applyFill="1" applyBorder="1" applyAlignment="1">
      <alignment horizontal="center" vertical="center" wrapText="1"/>
    </xf>
    <xf numFmtId="0" fontId="128" fillId="8" borderId="5" xfId="0" applyFont="1" applyFill="1" applyBorder="1" applyAlignment="1">
      <alignment horizontal="center" vertical="center" wrapText="1"/>
    </xf>
    <xf numFmtId="0" fontId="129" fillId="8" borderId="5" xfId="0" applyFont="1" applyFill="1" applyBorder="1" applyAlignment="1">
      <alignment horizontal="center" vertical="center" wrapText="1"/>
    </xf>
    <xf numFmtId="0" fontId="130" fillId="8" borderId="5" xfId="0" applyFont="1" applyFill="1" applyBorder="1" applyAlignment="1">
      <alignment horizontal="center" vertical="center" wrapText="1"/>
    </xf>
    <xf numFmtId="0" fontId="131" fillId="8" borderId="5" xfId="0" applyFont="1" applyFill="1" applyBorder="1" applyAlignment="1">
      <alignment horizontal="center" vertical="center" wrapText="1"/>
    </xf>
    <xf numFmtId="0" fontId="132" fillId="8" borderId="5" xfId="0" applyFont="1" applyFill="1" applyBorder="1" applyAlignment="1">
      <alignment horizontal="center" vertical="center" wrapText="1"/>
    </xf>
    <xf numFmtId="0" fontId="133" fillId="8" borderId="5" xfId="0" applyFont="1" applyFill="1" applyBorder="1" applyAlignment="1">
      <alignment horizontal="center" vertical="center" wrapText="1"/>
    </xf>
    <xf numFmtId="0" fontId="134" fillId="8" borderId="5" xfId="0" applyFont="1" applyFill="1" applyBorder="1" applyAlignment="1">
      <alignment horizontal="center" vertical="center" wrapText="1"/>
    </xf>
    <xf numFmtId="0" fontId="135" fillId="8" borderId="5" xfId="0" applyFont="1" applyFill="1" applyBorder="1" applyAlignment="1">
      <alignment horizontal="center" vertical="center" wrapText="1"/>
    </xf>
    <xf numFmtId="0" fontId="136" fillId="8" borderId="5" xfId="0" applyFont="1" applyFill="1" applyBorder="1" applyAlignment="1">
      <alignment horizontal="center" vertical="center" wrapText="1"/>
    </xf>
    <xf numFmtId="0" fontId="137" fillId="8" borderId="5" xfId="0" applyFont="1" applyFill="1" applyBorder="1" applyAlignment="1">
      <alignment horizontal="center" vertical="center" wrapText="1"/>
    </xf>
    <xf numFmtId="0" fontId="138" fillId="17" borderId="5" xfId="0" applyFont="1" applyFill="1" applyBorder="1" applyAlignment="1">
      <alignment horizontal="center" vertical="center" wrapText="1"/>
    </xf>
    <xf numFmtId="0" fontId="139" fillId="17" borderId="5" xfId="0" applyFont="1" applyFill="1" applyBorder="1" applyAlignment="1">
      <alignment horizontal="center" vertical="center" wrapText="1"/>
    </xf>
    <xf numFmtId="0" fontId="140" fillId="17" borderId="5" xfId="0" applyFont="1" applyFill="1" applyBorder="1" applyAlignment="1">
      <alignment horizontal="center" vertical="center" wrapText="1"/>
    </xf>
    <xf numFmtId="0" fontId="141" fillId="8" borderId="5" xfId="0" applyFont="1" applyFill="1" applyBorder="1" applyAlignment="1">
      <alignment horizontal="center" vertical="center" wrapText="1"/>
    </xf>
    <xf numFmtId="0" fontId="142" fillId="8" borderId="5" xfId="0" applyFont="1" applyFill="1" applyBorder="1" applyAlignment="1">
      <alignment horizontal="center" vertical="center" wrapText="1"/>
    </xf>
    <xf numFmtId="0" fontId="66" fillId="22" borderId="6" xfId="0" applyFont="1" applyFill="1" applyBorder="1" applyAlignment="1">
      <alignment horizontal="center" vertical="center" wrapText="1"/>
    </xf>
    <xf numFmtId="0" fontId="66" fillId="22" borderId="7" xfId="0" applyFont="1" applyFill="1" applyBorder="1" applyAlignment="1">
      <alignment horizontal="center" vertical="center" wrapText="1"/>
    </xf>
    <xf numFmtId="0" fontId="66" fillId="22" borderId="8" xfId="0" applyFont="1" applyFill="1" applyBorder="1" applyAlignment="1">
      <alignment horizontal="center" vertical="center" wrapText="1"/>
    </xf>
    <xf numFmtId="0" fontId="66" fillId="22" borderId="9" xfId="0" applyFont="1" applyFill="1" applyBorder="1" applyAlignment="1">
      <alignment horizontal="center" vertical="center" wrapText="1"/>
    </xf>
    <xf numFmtId="0" fontId="66" fillId="22" borderId="10" xfId="0" applyFont="1" applyFill="1" applyBorder="1" applyAlignment="1">
      <alignment horizontal="center" vertical="center" wrapText="1"/>
    </xf>
    <xf numFmtId="0" fontId="66" fillId="22" borderId="11" xfId="0" applyFont="1" applyFill="1" applyBorder="1" applyAlignment="1">
      <alignment horizontal="center" vertical="center" wrapText="1"/>
    </xf>
    <xf numFmtId="0" fontId="67" fillId="15" borderId="0" xfId="0" applyFont="1" applyFill="1" applyAlignment="1">
      <alignment horizontal="center" vertical="center" wrapText="1"/>
    </xf>
    <xf numFmtId="0" fontId="68" fillId="15" borderId="0" xfId="0" applyFont="1" applyFill="1" applyAlignment="1">
      <alignment horizontal="center" vertical="center" wrapText="1"/>
    </xf>
    <xf numFmtId="0" fontId="69" fillId="22" borderId="12" xfId="0" applyFont="1" applyFill="1" applyBorder="1" applyAlignment="1">
      <alignment horizontal="center" vertical="center" wrapText="1"/>
    </xf>
    <xf numFmtId="0" fontId="69" fillId="22" borderId="13" xfId="0" applyFont="1" applyFill="1" applyBorder="1" applyAlignment="1">
      <alignment horizontal="center" vertical="center" wrapText="1"/>
    </xf>
    <xf numFmtId="0" fontId="69" fillId="22" borderId="14" xfId="0" applyFont="1" applyFill="1" applyBorder="1" applyAlignment="1">
      <alignment horizontal="center" vertical="center" wrapText="1"/>
    </xf>
    <xf numFmtId="0" fontId="69" fillId="22" borderId="15" xfId="0" applyFont="1" applyFill="1" applyBorder="1" applyAlignment="1">
      <alignment horizontal="center" vertical="center" wrapText="1"/>
    </xf>
    <xf numFmtId="0" fontId="69" fillId="22" borderId="16" xfId="0" applyFont="1" applyFill="1" applyBorder="1" applyAlignment="1">
      <alignment horizontal="center" vertical="center" wrapText="1"/>
    </xf>
    <xf numFmtId="0" fontId="69" fillId="22" borderId="17" xfId="0" applyFont="1" applyFill="1" applyBorder="1" applyAlignment="1">
      <alignment horizontal="center" vertical="center" wrapText="1"/>
    </xf>
    <xf numFmtId="0" fontId="72" fillId="16" borderId="8" xfId="0" applyFont="1" applyFill="1" applyBorder="1" applyAlignment="1">
      <alignment horizontal="center" vertical="center" wrapText="1"/>
    </xf>
    <xf numFmtId="0" fontId="73" fillId="22" borderId="18" xfId="0" applyFont="1" applyFill="1" applyBorder="1" applyAlignment="1">
      <alignment horizontal="center" vertical="center" wrapText="1"/>
    </xf>
    <xf numFmtId="0" fontId="73" fillId="22" borderId="7" xfId="0" applyFont="1" applyFill="1" applyBorder="1" applyAlignment="1">
      <alignment horizontal="center" vertical="center" wrapText="1"/>
    </xf>
    <xf numFmtId="0" fontId="74" fillId="22" borderId="0" xfId="0" applyFont="1" applyFill="1" applyAlignment="1">
      <alignment horizontal="center" vertical="center" wrapText="1"/>
    </xf>
    <xf numFmtId="0" fontId="74" fillId="22" borderId="9" xfId="0" applyFont="1" applyFill="1" applyBorder="1" applyAlignment="1">
      <alignment horizontal="center" vertical="center" wrapText="1"/>
    </xf>
    <xf numFmtId="0" fontId="75" fillId="22" borderId="0" xfId="0" applyFont="1" applyFill="1" applyAlignment="1">
      <alignment horizontal="center" vertical="center" wrapText="1"/>
    </xf>
    <xf numFmtId="0" fontId="75" fillId="22" borderId="9" xfId="0" applyFont="1" applyFill="1" applyBorder="1" applyAlignment="1">
      <alignment horizontal="center" vertical="center" wrapText="1"/>
    </xf>
    <xf numFmtId="0" fontId="75" fillId="22" borderId="19" xfId="0" applyFont="1" applyFill="1" applyBorder="1" applyAlignment="1">
      <alignment horizontal="center" vertical="center" wrapText="1"/>
    </xf>
    <xf numFmtId="0" fontId="75" fillId="22" borderId="11" xfId="0" applyFont="1" applyFill="1" applyBorder="1" applyAlignment="1">
      <alignment horizontal="center" vertical="center" wrapText="1"/>
    </xf>
    <xf numFmtId="0" fontId="77" fillId="16" borderId="23" xfId="0" applyFont="1" applyFill="1" applyBorder="1" applyAlignment="1">
      <alignment horizontal="center" vertical="center" wrapText="1"/>
    </xf>
    <xf numFmtId="0" fontId="78" fillId="22" borderId="21" xfId="0" applyFont="1" applyFill="1" applyBorder="1" applyAlignment="1">
      <alignment horizontal="center" vertical="center" wrapText="1"/>
    </xf>
    <xf numFmtId="0" fontId="78" fillId="22" borderId="22" xfId="0" applyFont="1" applyFill="1" applyBorder="1" applyAlignment="1">
      <alignment horizontal="center" vertical="center" wrapText="1"/>
    </xf>
    <xf numFmtId="0" fontId="79" fillId="22" borderId="0" xfId="0" applyFont="1" applyFill="1" applyAlignment="1">
      <alignment horizontal="center" vertical="center" wrapText="1"/>
    </xf>
    <xf numFmtId="0" fontId="79" fillId="22" borderId="24" xfId="0" applyFont="1" applyFill="1" applyBorder="1" applyAlignment="1">
      <alignment horizontal="center" vertical="center" wrapText="1"/>
    </xf>
    <xf numFmtId="0" fontId="80" fillId="22" borderId="0" xfId="0" applyFont="1" applyFill="1" applyAlignment="1">
      <alignment horizontal="center" vertical="center" wrapText="1"/>
    </xf>
    <xf numFmtId="0" fontId="80" fillId="22" borderId="24" xfId="0" applyFont="1" applyFill="1" applyBorder="1" applyAlignment="1">
      <alignment horizontal="center" vertical="center" wrapText="1"/>
    </xf>
    <xf numFmtId="0" fontId="80" fillId="22" borderId="26" xfId="0" applyFont="1" applyFill="1" applyBorder="1" applyAlignment="1">
      <alignment horizontal="center" vertical="center" wrapText="1"/>
    </xf>
    <xf numFmtId="0" fontId="80" fillId="22" borderId="27" xfId="0" applyFont="1" applyFill="1" applyBorder="1" applyAlignment="1">
      <alignment horizontal="center" vertical="center" wrapText="1"/>
    </xf>
    <xf numFmtId="0" fontId="82" fillId="16" borderId="31" xfId="0" applyFont="1" applyFill="1" applyBorder="1" applyAlignment="1">
      <alignment horizontal="center" vertical="center" wrapText="1"/>
    </xf>
    <xf numFmtId="0" fontId="83" fillId="22" borderId="29" xfId="0" applyFont="1" applyFill="1" applyBorder="1" applyAlignment="1">
      <alignment horizontal="center" vertical="center" wrapText="1"/>
    </xf>
    <xf numFmtId="0" fontId="83" fillId="22" borderId="30" xfId="0" applyFont="1" applyFill="1" applyBorder="1" applyAlignment="1">
      <alignment horizontal="center" vertical="center" wrapText="1"/>
    </xf>
    <xf numFmtId="0" fontId="84" fillId="22" borderId="0" xfId="0" applyFont="1" applyFill="1" applyAlignment="1">
      <alignment horizontal="center" vertical="center" wrapText="1"/>
    </xf>
    <xf numFmtId="0" fontId="84" fillId="22" borderId="32" xfId="0" applyFont="1" applyFill="1" applyBorder="1" applyAlignment="1">
      <alignment horizontal="center" vertical="center" wrapText="1"/>
    </xf>
    <xf numFmtId="0" fontId="85" fillId="22" borderId="0" xfId="0" applyFont="1" applyFill="1" applyAlignment="1">
      <alignment horizontal="center" vertical="center" wrapText="1"/>
    </xf>
    <xf numFmtId="0" fontId="85" fillId="22" borderId="32" xfId="0" applyFont="1" applyFill="1" applyBorder="1" applyAlignment="1">
      <alignment horizontal="center" vertical="center" wrapText="1"/>
    </xf>
    <xf numFmtId="0" fontId="85" fillId="22" borderId="34" xfId="0" applyFont="1" applyFill="1" applyBorder="1" applyAlignment="1">
      <alignment horizontal="center" vertical="center" wrapText="1"/>
    </xf>
    <xf numFmtId="0" fontId="85" fillId="22" borderId="35" xfId="0" applyFont="1" applyFill="1" applyBorder="1" applyAlignment="1">
      <alignment horizontal="center" vertical="center" wrapText="1"/>
    </xf>
    <xf numFmtId="0" fontId="87" fillId="16" borderId="23" xfId="0" applyFont="1" applyFill="1" applyBorder="1" applyAlignment="1">
      <alignment horizontal="center" vertical="center" wrapText="1"/>
    </xf>
    <xf numFmtId="0" fontId="88" fillId="22" borderId="21" xfId="0" applyFont="1" applyFill="1" applyBorder="1" applyAlignment="1">
      <alignment horizontal="center" vertical="center" wrapText="1"/>
    </xf>
    <xf numFmtId="0" fontId="88" fillId="22" borderId="22" xfId="0" applyFont="1" applyFill="1" applyBorder="1" applyAlignment="1">
      <alignment horizontal="center" vertical="center" wrapText="1"/>
    </xf>
    <xf numFmtId="0" fontId="89" fillId="22" borderId="0" xfId="0" applyFont="1" applyFill="1" applyAlignment="1">
      <alignment horizontal="center" vertical="center" wrapText="1"/>
    </xf>
    <xf numFmtId="0" fontId="89" fillId="22" borderId="24" xfId="0" applyFont="1" applyFill="1" applyBorder="1" applyAlignment="1">
      <alignment horizontal="center" vertical="center" wrapText="1"/>
    </xf>
    <xf numFmtId="0" fontId="90" fillId="22" borderId="0" xfId="0" applyFont="1" applyFill="1" applyAlignment="1">
      <alignment horizontal="center" vertical="center" wrapText="1"/>
    </xf>
    <xf numFmtId="0" fontId="90" fillId="22" borderId="24" xfId="0" applyFont="1" applyFill="1" applyBorder="1" applyAlignment="1">
      <alignment horizontal="center" vertical="center" wrapText="1"/>
    </xf>
    <xf numFmtId="0" fontId="90" fillId="22" borderId="26" xfId="0" applyFont="1" applyFill="1" applyBorder="1" applyAlignment="1">
      <alignment horizontal="center" vertical="center" wrapText="1"/>
    </xf>
    <xf numFmtId="0" fontId="90" fillId="22" borderId="27" xfId="0" applyFont="1" applyFill="1" applyBorder="1" applyAlignment="1">
      <alignment horizontal="center" vertical="center" wrapText="1"/>
    </xf>
    <xf numFmtId="0" fontId="92" fillId="22" borderId="0" xfId="0" applyFont="1" applyFill="1" applyAlignment="1">
      <alignment horizontal="center" vertical="center" wrapText="1"/>
    </xf>
    <xf numFmtId="0" fontId="93" fillId="22" borderId="0" xfId="0" applyFont="1" applyFill="1" applyAlignment="1">
      <alignment horizontal="center" vertical="center" wrapText="1"/>
    </xf>
    <xf numFmtId="0" fontId="94" fillId="17" borderId="0" xfId="0" applyFont="1" applyFill="1" applyAlignment="1">
      <alignment horizontal="center" vertical="center" wrapText="1"/>
    </xf>
    <xf numFmtId="0" fontId="95" fillId="17" borderId="0" xfId="0" applyFont="1" applyFill="1" applyAlignment="1">
      <alignment horizontal="center" vertical="center" wrapText="1"/>
    </xf>
    <xf numFmtId="0" fontId="96" fillId="17" borderId="0" xfId="0" applyFont="1" applyFill="1" applyAlignment="1">
      <alignment horizontal="center" vertical="center" wrapText="1"/>
    </xf>
    <xf numFmtId="0" fontId="97" fillId="17" borderId="0" xfId="0" applyFont="1" applyFill="1" applyAlignment="1">
      <alignment horizontal="center" vertical="center" wrapText="1"/>
    </xf>
    <xf numFmtId="0" fontId="98" fillId="17" borderId="0" xfId="0" applyFont="1" applyFill="1" applyAlignment="1">
      <alignment horizontal="center" vertical="center" wrapText="1"/>
    </xf>
    <xf numFmtId="0" fontId="99" fillId="18" borderId="0" xfId="0" applyFont="1" applyFill="1" applyAlignment="1">
      <alignment horizontal="center" vertical="center" wrapText="1"/>
    </xf>
    <xf numFmtId="14" fontId="99" fillId="18" borderId="0" xfId="0" applyNumberFormat="1" applyFont="1" applyFill="1" applyAlignment="1">
      <alignment horizontal="center" vertical="center" wrapText="1"/>
    </xf>
    <xf numFmtId="0" fontId="101" fillId="22" borderId="0" xfId="0" applyFont="1" applyFill="1" applyAlignment="1">
      <alignment horizontal="center" vertical="center" wrapText="1"/>
    </xf>
    <xf numFmtId="0" fontId="102" fillId="22" borderId="0" xfId="0" applyFont="1" applyFill="1" applyAlignment="1">
      <alignment horizontal="center" vertical="center" wrapText="1"/>
    </xf>
    <xf numFmtId="0" fontId="103" fillId="17" borderId="12" xfId="0" applyFont="1" applyFill="1" applyBorder="1" applyAlignment="1">
      <alignment horizontal="center" vertical="center" wrapText="1"/>
    </xf>
    <xf numFmtId="0" fontId="103" fillId="17" borderId="36" xfId="0" applyFont="1" applyFill="1" applyBorder="1" applyAlignment="1">
      <alignment horizontal="center" vertical="center" wrapText="1"/>
    </xf>
    <xf numFmtId="0" fontId="103" fillId="17" borderId="13" xfId="0" applyFont="1" applyFill="1" applyBorder="1" applyAlignment="1">
      <alignment horizontal="center" vertical="center" wrapText="1"/>
    </xf>
    <xf numFmtId="0" fontId="104" fillId="18" borderId="14" xfId="0" applyFont="1" applyFill="1" applyBorder="1" applyAlignment="1">
      <alignment horizontal="center" vertical="center" wrapText="1"/>
    </xf>
    <xf numFmtId="0" fontId="104" fillId="18" borderId="0" xfId="0" applyFont="1" applyFill="1" applyAlignment="1">
      <alignment horizontal="center" vertical="center" wrapText="1"/>
    </xf>
    <xf numFmtId="0" fontId="104" fillId="18" borderId="15" xfId="0" applyFont="1" applyFill="1" applyBorder="1" applyAlignment="1">
      <alignment horizontal="center" vertical="center" wrapText="1"/>
    </xf>
    <xf numFmtId="0" fontId="105" fillId="18" borderId="14" xfId="0" applyFont="1" applyFill="1" applyBorder="1" applyAlignment="1">
      <alignment horizontal="center" vertical="center" wrapText="1"/>
    </xf>
    <xf numFmtId="0" fontId="105" fillId="18" borderId="0" xfId="0" applyFont="1" applyFill="1" applyAlignment="1">
      <alignment horizontal="center" vertical="center" wrapText="1"/>
    </xf>
    <xf numFmtId="0" fontId="105" fillId="18" borderId="15" xfId="0" applyFont="1" applyFill="1" applyBorder="1" applyAlignment="1">
      <alignment horizontal="center" vertical="center" wrapText="1"/>
    </xf>
    <xf numFmtId="0" fontId="106" fillId="22" borderId="14" xfId="0" applyFont="1" applyFill="1" applyBorder="1" applyAlignment="1">
      <alignment horizontal="center" vertical="center" wrapText="1"/>
    </xf>
    <xf numFmtId="0" fontId="106" fillId="22" borderId="0" xfId="0" applyFont="1" applyFill="1" applyAlignment="1">
      <alignment horizontal="center" vertical="center" wrapText="1"/>
    </xf>
    <xf numFmtId="0" fontId="106" fillId="22" borderId="15" xfId="0" applyFont="1" applyFill="1" applyBorder="1" applyAlignment="1">
      <alignment horizontal="center" vertical="center" wrapText="1"/>
    </xf>
    <xf numFmtId="0" fontId="106" fillId="22" borderId="16" xfId="0" applyFont="1" applyFill="1" applyBorder="1" applyAlignment="1">
      <alignment horizontal="center" vertical="center" wrapText="1"/>
    </xf>
    <xf numFmtId="0" fontId="106" fillId="22" borderId="37" xfId="0" applyFont="1" applyFill="1" applyBorder="1" applyAlignment="1">
      <alignment horizontal="center" vertical="center" wrapText="1"/>
    </xf>
    <xf numFmtId="0" fontId="106" fillId="22" borderId="17" xfId="0" applyFont="1" applyFill="1" applyBorder="1" applyAlignment="1">
      <alignment horizontal="center" vertical="center" wrapText="1"/>
    </xf>
    <xf numFmtId="0" fontId="107" fillId="17" borderId="12" xfId="0" applyFont="1" applyFill="1" applyBorder="1" applyAlignment="1">
      <alignment horizontal="center" vertical="center" wrapText="1"/>
    </xf>
    <xf numFmtId="0" fontId="107" fillId="17" borderId="36" xfId="0" applyFont="1" applyFill="1" applyBorder="1" applyAlignment="1">
      <alignment horizontal="center" vertical="center" wrapText="1"/>
    </xf>
    <xf numFmtId="0" fontId="107" fillId="17" borderId="13" xfId="0" applyFont="1" applyFill="1" applyBorder="1" applyAlignment="1">
      <alignment horizontal="center" vertical="center" wrapText="1"/>
    </xf>
    <xf numFmtId="0" fontId="108" fillId="18" borderId="14" xfId="0" applyFont="1" applyFill="1" applyBorder="1" applyAlignment="1">
      <alignment horizontal="center" vertical="center" wrapText="1"/>
    </xf>
    <xf numFmtId="0" fontId="108" fillId="18" borderId="0" xfId="0" applyFont="1" applyFill="1" applyAlignment="1">
      <alignment horizontal="center" vertical="center" wrapText="1"/>
    </xf>
    <xf numFmtId="0" fontId="108" fillId="18" borderId="15" xfId="0" applyFont="1" applyFill="1" applyBorder="1" applyAlignment="1">
      <alignment horizontal="center" vertical="center" wrapText="1"/>
    </xf>
    <xf numFmtId="0" fontId="109" fillId="18" borderId="14" xfId="0" applyFont="1" applyFill="1" applyBorder="1" applyAlignment="1">
      <alignment horizontal="center" vertical="center" wrapText="1"/>
    </xf>
    <xf numFmtId="0" fontId="109" fillId="18" borderId="0" xfId="0" applyFont="1" applyFill="1" applyAlignment="1">
      <alignment horizontal="center" vertical="center" wrapText="1"/>
    </xf>
    <xf numFmtId="0" fontId="109" fillId="18" borderId="15" xfId="0" applyFont="1" applyFill="1" applyBorder="1" applyAlignment="1">
      <alignment horizontal="center" vertical="center" wrapText="1"/>
    </xf>
    <xf numFmtId="0" fontId="110" fillId="22" borderId="14" xfId="0" applyFont="1" applyFill="1" applyBorder="1" applyAlignment="1">
      <alignment horizontal="center" vertical="center" wrapText="1"/>
    </xf>
    <xf numFmtId="0" fontId="110" fillId="22" borderId="0" xfId="0" applyFont="1" applyFill="1" applyAlignment="1">
      <alignment horizontal="center" vertical="center" wrapText="1"/>
    </xf>
    <xf numFmtId="0" fontId="110" fillId="22" borderId="15" xfId="0" applyFont="1" applyFill="1" applyBorder="1" applyAlignment="1">
      <alignment horizontal="center" vertical="center" wrapText="1"/>
    </xf>
    <xf numFmtId="0" fontId="110" fillId="22" borderId="16" xfId="0" applyFont="1" applyFill="1" applyBorder="1" applyAlignment="1">
      <alignment horizontal="center" vertical="center" wrapText="1"/>
    </xf>
    <xf numFmtId="0" fontId="110" fillId="22" borderId="37" xfId="0" applyFont="1" applyFill="1" applyBorder="1" applyAlignment="1">
      <alignment horizontal="center" vertical="center" wrapText="1"/>
    </xf>
    <xf numFmtId="0" fontId="110" fillId="22" borderId="17" xfId="0" applyFont="1" applyFill="1" applyBorder="1" applyAlignment="1">
      <alignment horizontal="center" vertical="center" wrapText="1"/>
    </xf>
    <xf numFmtId="0" fontId="111" fillId="17" borderId="12" xfId="0" applyFont="1" applyFill="1" applyBorder="1" applyAlignment="1">
      <alignment horizontal="center" vertical="center" wrapText="1"/>
    </xf>
    <xf numFmtId="0" fontId="111" fillId="17" borderId="36" xfId="0" applyFont="1" applyFill="1" applyBorder="1" applyAlignment="1">
      <alignment horizontal="center" vertical="center" wrapText="1"/>
    </xf>
    <xf numFmtId="0" fontId="111" fillId="17" borderId="13" xfId="0" applyFont="1" applyFill="1" applyBorder="1" applyAlignment="1">
      <alignment horizontal="center" vertical="center" wrapText="1"/>
    </xf>
    <xf numFmtId="0" fontId="112" fillId="18" borderId="14" xfId="0" applyFont="1" applyFill="1" applyBorder="1" applyAlignment="1">
      <alignment horizontal="center" vertical="center" wrapText="1"/>
    </xf>
    <xf numFmtId="0" fontId="112" fillId="18" borderId="0" xfId="0" applyFont="1" applyFill="1" applyAlignment="1">
      <alignment horizontal="center" vertical="center" wrapText="1"/>
    </xf>
    <xf numFmtId="0" fontId="112" fillId="18" borderId="15" xfId="0" applyFont="1" applyFill="1" applyBorder="1" applyAlignment="1">
      <alignment horizontal="center" vertical="center" wrapText="1"/>
    </xf>
    <xf numFmtId="0" fontId="113" fillId="18" borderId="14" xfId="0" applyFont="1" applyFill="1" applyBorder="1" applyAlignment="1">
      <alignment horizontal="center" vertical="center" wrapText="1"/>
    </xf>
    <xf numFmtId="0" fontId="113" fillId="18" borderId="0" xfId="0" applyFont="1" applyFill="1" applyAlignment="1">
      <alignment horizontal="center" vertical="center" wrapText="1"/>
    </xf>
    <xf numFmtId="0" fontId="113" fillId="18" borderId="15" xfId="0" applyFont="1" applyFill="1" applyBorder="1" applyAlignment="1">
      <alignment horizontal="center" vertical="center" wrapText="1"/>
    </xf>
    <xf numFmtId="0" fontId="114" fillId="22" borderId="14" xfId="0" applyFont="1" applyFill="1" applyBorder="1" applyAlignment="1">
      <alignment horizontal="center" vertical="center" wrapText="1"/>
    </xf>
    <xf numFmtId="0" fontId="114" fillId="22" borderId="0" xfId="0" applyFont="1" applyFill="1" applyAlignment="1">
      <alignment horizontal="center" vertical="center" wrapText="1"/>
    </xf>
    <xf numFmtId="0" fontId="114" fillId="22" borderId="15" xfId="0" applyFont="1" applyFill="1" applyBorder="1" applyAlignment="1">
      <alignment horizontal="center" vertical="center" wrapText="1"/>
    </xf>
    <xf numFmtId="0" fontId="114" fillId="22" borderId="16" xfId="0" applyFont="1" applyFill="1" applyBorder="1" applyAlignment="1">
      <alignment horizontal="center" vertical="center" wrapText="1"/>
    </xf>
    <xf numFmtId="0" fontId="114" fillId="22" borderId="37" xfId="0" applyFont="1" applyFill="1" applyBorder="1" applyAlignment="1">
      <alignment horizontal="center" vertical="center" wrapText="1"/>
    </xf>
    <xf numFmtId="0" fontId="114" fillId="22" borderId="17" xfId="0" applyFont="1" applyFill="1" applyBorder="1" applyAlignment="1">
      <alignment horizontal="center" vertical="center" wrapText="1"/>
    </xf>
    <xf numFmtId="0" fontId="115" fillId="17" borderId="12" xfId="0" applyFont="1" applyFill="1" applyBorder="1" applyAlignment="1">
      <alignment horizontal="center" vertical="center" wrapText="1"/>
    </xf>
    <xf numFmtId="0" fontId="115" fillId="17" borderId="36" xfId="0" applyFont="1" applyFill="1" applyBorder="1" applyAlignment="1">
      <alignment horizontal="center" vertical="center" wrapText="1"/>
    </xf>
    <xf numFmtId="0" fontId="115" fillId="17" borderId="13" xfId="0" applyFont="1" applyFill="1" applyBorder="1" applyAlignment="1">
      <alignment horizontal="center" vertical="center" wrapText="1"/>
    </xf>
    <xf numFmtId="0" fontId="116" fillId="18" borderId="14" xfId="0" applyFont="1" applyFill="1" applyBorder="1" applyAlignment="1">
      <alignment horizontal="center" vertical="center" wrapText="1"/>
    </xf>
    <xf numFmtId="0" fontId="116" fillId="18" borderId="0" xfId="0" applyFont="1" applyFill="1" applyAlignment="1">
      <alignment horizontal="center" vertical="center" wrapText="1"/>
    </xf>
    <xf numFmtId="0" fontId="116" fillId="18" borderId="15" xfId="0" applyFont="1" applyFill="1" applyBorder="1" applyAlignment="1">
      <alignment horizontal="center" vertical="center" wrapText="1"/>
    </xf>
    <xf numFmtId="0" fontId="117" fillId="18" borderId="14" xfId="0" applyFont="1" applyFill="1" applyBorder="1" applyAlignment="1">
      <alignment horizontal="center" vertical="center" wrapText="1"/>
    </xf>
    <xf numFmtId="0" fontId="117" fillId="18" borderId="0" xfId="0" applyFont="1" applyFill="1" applyAlignment="1">
      <alignment horizontal="center" vertical="center" wrapText="1"/>
    </xf>
    <xf numFmtId="0" fontId="117" fillId="18" borderId="15" xfId="0" applyFont="1" applyFill="1" applyBorder="1" applyAlignment="1">
      <alignment horizontal="center" vertical="center" wrapText="1"/>
    </xf>
    <xf numFmtId="0" fontId="118" fillId="22" borderId="14" xfId="0" applyFont="1" applyFill="1" applyBorder="1" applyAlignment="1">
      <alignment horizontal="center" vertical="center" wrapText="1"/>
    </xf>
    <xf numFmtId="0" fontId="118" fillId="22" borderId="0" xfId="0" applyFont="1" applyFill="1" applyAlignment="1">
      <alignment horizontal="center" vertical="center" wrapText="1"/>
    </xf>
    <xf numFmtId="0" fontId="118" fillId="22" borderId="15" xfId="0" applyFont="1" applyFill="1" applyBorder="1" applyAlignment="1">
      <alignment horizontal="center" vertical="center" wrapText="1"/>
    </xf>
    <xf numFmtId="0" fontId="118" fillId="22" borderId="16" xfId="0" applyFont="1" applyFill="1" applyBorder="1" applyAlignment="1">
      <alignment horizontal="center" vertical="center" wrapText="1"/>
    </xf>
    <xf numFmtId="0" fontId="118" fillId="22" borderId="37" xfId="0" applyFont="1" applyFill="1" applyBorder="1" applyAlignment="1">
      <alignment horizontal="center" vertical="center" wrapText="1"/>
    </xf>
    <xf numFmtId="0" fontId="118" fillId="22" borderId="17" xfId="0" applyFont="1" applyFill="1" applyBorder="1" applyAlignment="1">
      <alignment horizontal="center" vertical="center" wrapText="1"/>
    </xf>
    <xf numFmtId="0" fontId="120" fillId="15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121" fillId="15" borderId="5" xfId="0" applyFont="1" applyFill="1" applyBorder="1" applyAlignment="1">
      <alignment horizontal="center" vertical="center" wrapText="1"/>
    </xf>
    <xf numFmtId="0" fontId="0" fillId="0" borderId="0" xfId="0"/>
    <xf numFmtId="49" fontId="0" fillId="11" borderId="3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14"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5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calcChain.xml" Type="http://schemas.openxmlformats.org/officeDocument/2006/relationships/calcChain"/><Relationship Id="rId16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3AD8-5C37-494E-B09A-2ED2DE0AD61E}">
  <dimension ref="A1:AH60"/>
  <sheetViews>
    <sheetView showGridLines="0" zoomScale="90" workbookViewId="0">
      <selection sqref="A1:B4"/>
    </sheetView>
  </sheetViews>
  <sheetFormatPr defaultRowHeight="15" x14ac:dyDescent="0.25"/>
  <cols>
    <col min="1" max="4" customWidth="true" width="13.0"/>
    <col min="5" max="5" customWidth="true" width="2.0"/>
    <col min="6" max="9" customWidth="true" width="13.0"/>
    <col min="10" max="10" customWidth="true" width="2.0"/>
    <col min="11" max="14" customWidth="true" width="13.0"/>
    <col min="15" max="15" customWidth="true" width="2.0"/>
    <col min="16" max="34" customWidth="true" width="13.0"/>
  </cols>
  <sheetData>
    <row r="1" spans="1:34" ht="30" customHeight="1" x14ac:dyDescent="0.25">
      <c r="A1" s="131" t="s">
        <v>464</v>
      </c>
      <c r="B1" s="132"/>
      <c r="C1" s="137" t="s">
        <v>457</v>
      </c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9" t="s">
        <v>465</v>
      </c>
      <c r="S1" s="140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</row>
    <row r="2" spans="1:34" ht="30" customHeight="1" x14ac:dyDescent="0.25">
      <c r="A2" s="133"/>
      <c r="B2" s="134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41"/>
      <c r="S2" s="142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</row>
    <row r="3" spans="1:34" ht="21.95" customHeight="1" x14ac:dyDescent="0.25">
      <c r="A3" s="133"/>
      <c r="B3" s="134"/>
      <c r="C3" s="138" t="s">
        <v>458</v>
      </c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41"/>
      <c r="S3" s="142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</row>
    <row r="4" spans="1:34" ht="9" customHeight="1" x14ac:dyDescent="0.25">
      <c r="A4" s="135"/>
      <c r="B4" s="136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143"/>
      <c r="S4" s="144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  <row r="5" spans="1:34" ht="9" customHeight="1" x14ac:dyDescent="0.25">
      <c r="A5" s="90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</row>
    <row r="6" spans="1:34" ht="29.1" customHeight="1" x14ac:dyDescent="0.25">
      <c r="A6" s="91"/>
      <c r="B6" s="146" t="s">
        <v>413</v>
      </c>
      <c r="C6" s="146"/>
      <c r="D6" s="147"/>
      <c r="E6" s="89"/>
      <c r="F6" s="93"/>
      <c r="G6" s="155" t="s">
        <v>444</v>
      </c>
      <c r="H6" s="155"/>
      <c r="I6" s="156"/>
      <c r="J6" s="89"/>
      <c r="K6" s="95"/>
      <c r="L6" s="164" t="s">
        <v>446</v>
      </c>
      <c r="M6" s="164"/>
      <c r="N6" s="165"/>
      <c r="O6" s="89"/>
      <c r="P6" s="97"/>
      <c r="Q6" s="173" t="s">
        <v>448</v>
      </c>
      <c r="R6" s="173"/>
      <c r="S6" s="174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</row>
    <row r="7" spans="1:34" ht="29.1" customHeight="1" x14ac:dyDescent="0.25">
      <c r="A7" s="145" t="s">
        <v>466</v>
      </c>
      <c r="B7" s="148">
        <f>COUNTA('CADASTRO MAIO'!$A$3:$A$164)</f>
        <v>132</v>
      </c>
      <c r="C7" s="148"/>
      <c r="D7" s="149"/>
      <c r="E7" s="89"/>
      <c r="F7" s="154" t="s">
        <v>467</v>
      </c>
      <c r="G7" s="157">
        <f>CONFIG!$B$10</f>
        <v>0</v>
      </c>
      <c r="H7" s="157"/>
      <c r="I7" s="158"/>
      <c r="J7" s="89"/>
      <c r="K7" s="163" t="s">
        <v>468</v>
      </c>
      <c r="L7" s="166">
        <f>CONFIG!$B$11</f>
        <v>0</v>
      </c>
      <c r="M7" s="166"/>
      <c r="N7" s="167"/>
      <c r="O7" s="89"/>
      <c r="P7" s="172" t="s">
        <v>469</v>
      </c>
      <c r="Q7" s="175">
        <f><![CDATA[IF(COUNTIFS('CADASTRO MAIO'!$A$3:$A$164,"<>",'CADASTRO MAIO'!$U$3:$U$164,"<>",'CADASTRO MAIO'!$AB$3:$AB$164,"<15")>0,COUNTIFS('CADASTRO MAIO'!$A$3:$A$164,"<>",'CADASTRO MAIO'!$U$3:$U$164,"<>",'CADASTRO MAIO'!$AB$3:$AB$164,"<15"),COUNTIFS('CADASTRO MAIO'!$A$3:$A$164,"<>",'CADASTRO MAIO'!$U$3:$U$164,"<>",'CADASTRO MAIO'!$AB$3:$AB$164,"<=30"))]]></f>
        <v>0</v>
      </c>
      <c r="R7" s="175"/>
      <c r="S7" s="176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</row>
    <row r="8" spans="1:34" ht="29.1" customHeight="1" x14ac:dyDescent="0.25">
      <c r="A8" s="145"/>
      <c r="B8" s="148"/>
      <c r="C8" s="148"/>
      <c r="D8" s="149"/>
      <c r="E8" s="89"/>
      <c r="F8" s="154"/>
      <c r="G8" s="157"/>
      <c r="H8" s="157"/>
      <c r="I8" s="158"/>
      <c r="J8" s="89"/>
      <c r="K8" s="163"/>
      <c r="L8" s="166"/>
      <c r="M8" s="166"/>
      <c r="N8" s="167"/>
      <c r="O8" s="89"/>
      <c r="P8" s="172"/>
      <c r="Q8" s="175"/>
      <c r="R8" s="175"/>
      <c r="S8" s="176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</row>
    <row r="9" spans="1:34" ht="29.1" customHeight="1" x14ac:dyDescent="0.25">
      <c r="A9" s="145"/>
      <c r="B9" s="150" t="s">
        <v>414</v>
      </c>
      <c r="C9" s="150"/>
      <c r="D9" s="151"/>
      <c r="E9" s="89"/>
      <c r="F9" s="154"/>
      <c r="G9" s="159" t="s">
        <v>445</v>
      </c>
      <c r="H9" s="159"/>
      <c r="I9" s="160"/>
      <c r="J9" s="89"/>
      <c r="K9" s="163"/>
      <c r="L9" s="168" t="s">
        <v>447</v>
      </c>
      <c r="M9" s="168"/>
      <c r="N9" s="169"/>
      <c r="O9" s="89"/>
      <c r="P9" s="172"/>
      <c r="Q9" s="177" t="str">
        <f><![CDATA[IF(COUNTIFS('CADASTRO MAIO'!$A$3:$A$164,"<>",'CADASTRO MAIO'!$U$3:$U$164,"<>",'CADASTRO MAIO'!$AB$3:$AB$164,"<15")>0,"VENCEM EM MENOS DE 15 DIAS",IF(COUNTIFS('CADASTRO MAIO'!$A$3:$A$164,"<>",'CADASTRO MAIO'!$U$3:$U$164,"<>",'CADASTRO MAIO'!$AB$3:$AB$164,"<=30")>0,"VENCEM EM ATE 30 DIAS","SEM CERTIFICADO PERTO"))]]></f>
        <v>SEM CERTIFICADO PERTO</v>
      </c>
      <c r="R9" s="177"/>
      <c r="S9" s="17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</row>
    <row r="10" spans="1:34" ht="29.1" customHeight="1" x14ac:dyDescent="0.25">
      <c r="A10" s="92"/>
      <c r="B10" s="152"/>
      <c r="C10" s="152"/>
      <c r="D10" s="153"/>
      <c r="E10" s="89"/>
      <c r="F10" s="94"/>
      <c r="G10" s="161"/>
      <c r="H10" s="161"/>
      <c r="I10" s="162"/>
      <c r="J10" s="89"/>
      <c r="K10" s="96"/>
      <c r="L10" s="170"/>
      <c r="M10" s="170"/>
      <c r="N10" s="171"/>
      <c r="O10" s="89"/>
      <c r="P10" s="98"/>
      <c r="Q10" s="179"/>
      <c r="R10" s="179"/>
      <c r="S10" s="180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</row>
    <row r="11" spans="1:34" ht="9" customHeight="1" x14ac:dyDescent="0.25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</row>
    <row r="12" spans="1:34" ht="27.95" customHeight="1" x14ac:dyDescent="0.25">
      <c r="A12" s="181" t="s">
        <v>459</v>
      </c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</row>
    <row r="13" spans="1:34" ht="20.100000000000001" customHeight="1" x14ac:dyDescent="0.25">
      <c r="A13" s="182" t="s">
        <v>470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</row>
    <row r="14" spans="1:34" ht="24" customHeight="1" x14ac:dyDescent="0.25">
      <c r="A14" s="183" t="s">
        <v>327</v>
      </c>
      <c r="B14" s="183"/>
      <c r="C14" s="183"/>
      <c r="D14" s="183"/>
      <c r="E14" s="183"/>
      <c r="F14" s="183"/>
      <c r="G14" s="183"/>
      <c r="H14" s="184" t="s">
        <v>328</v>
      </c>
      <c r="I14" s="184"/>
      <c r="J14" s="184"/>
      <c r="K14" s="185" t="s">
        <v>449</v>
      </c>
      <c r="L14" s="185"/>
      <c r="M14" s="185"/>
      <c r="N14" s="186" t="s">
        <v>460</v>
      </c>
      <c r="O14" s="186"/>
      <c r="P14" s="186"/>
      <c r="Q14" s="186"/>
      <c r="R14" s="187" t="s">
        <v>450</v>
      </c>
      <c r="S14" s="187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</row>
    <row r="15" spans="1:34" ht="26.1" customHeight="1" x14ac:dyDescent="0.25">
      <c r="A15" s="188" t="str">
        <f ca="1">IFERROR(INDEX('CADASTRO MAIO'!$A$3:$A$164,MATCH(1,'CADASTRO MAIO'!$AD$3:$AD$164,0)),"")</f>
        <v/>
      </c>
      <c r="B15" s="188"/>
      <c r="C15" s="188"/>
      <c r="D15" s="188"/>
      <c r="E15" s="188"/>
      <c r="F15" s="188"/>
      <c r="G15" s="188"/>
      <c r="H15" s="188" t="str">
        <f ca="1">IFERROR(INDEX('CADASTRO MAIO'!$D$3:$D$164,MATCH(1,'CADASTRO MAIO'!$AD$3:$AD$164,0)),"")</f>
        <v/>
      </c>
      <c r="I15" s="188"/>
      <c r="J15" s="188"/>
      <c r="K15" s="189" t="str">
        <f ca="1">IFERROR(INDEX('CADASTRO MAIO'!$U$3:$U$164,MATCH(1,'CADASTRO MAIO'!$AD$3:$AD$164,0)),"")</f>
        <v/>
      </c>
      <c r="L15" s="189"/>
      <c r="M15" s="189"/>
      <c r="N15" s="188" t="str">
        <f ca="1">IFERROR(IF(INDEX('CADASTRO MAIO'!$AB$3:$AB$164,MATCH(1,'CADASTRO MAIO'!$AD$3:$AD$164,0))&lt;0,"VENCIDO HA "&amp;ABS(INDEX('CADASTRO MAIO'!$AB$3:$AB$164,MATCH(1,'CADASTRO MAIO'!$AD$3:$AD$164,0)))&amp;" DIAS","FALTAM "&amp;INDEX('CADASTRO MAIO'!$AB$3:$AB$164,MATCH(1,'CADASTRO MAIO'!$AD$3:$AD$164,0))&amp;" DIAS"),"")</f>
        <v/>
      </c>
      <c r="O15" s="188"/>
      <c r="P15" s="188"/>
      <c r="Q15" s="188"/>
      <c r="R15" s="188" t="str">
        <f ca="1">IFERROR(INDEX('CADASTRO MAIO'!$AC$3:$AC$164,MATCH(1,'CADASTRO MAIO'!$AD$3:$AD$164,0)),"")</f>
        <v/>
      </c>
      <c r="S15" s="1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</row>
    <row r="16" spans="1:34" ht="26.1" customHeight="1" x14ac:dyDescent="0.25">
      <c r="A16" s="188" t="str">
        <f ca="1">IFERROR(INDEX('CADASTRO MAIO'!$A$3:$A$164,MATCH(2,'CADASTRO MAIO'!$AD$3:$AD$164,0)),"")</f>
        <v/>
      </c>
      <c r="B16" s="188"/>
      <c r="C16" s="188"/>
      <c r="D16" s="188"/>
      <c r="E16" s="188"/>
      <c r="F16" s="188"/>
      <c r="G16" s="188"/>
      <c r="H16" s="188" t="str">
        <f ca="1">IFERROR(INDEX('CADASTRO MAIO'!$D$3:$D$164,MATCH(2,'CADASTRO MAIO'!$AD$3:$AD$164,0)),"")</f>
        <v/>
      </c>
      <c r="I16" s="188"/>
      <c r="J16" s="188"/>
      <c r="K16" s="189" t="str">
        <f ca="1">IFERROR(INDEX('CADASTRO MAIO'!$U$3:$U$164,MATCH(2,'CADASTRO MAIO'!$AD$3:$AD$164,0)),"")</f>
        <v/>
      </c>
      <c r="L16" s="189"/>
      <c r="M16" s="189"/>
      <c r="N16" s="188" t="str">
        <f ca="1">IFERROR(IF(INDEX('CADASTRO MAIO'!$AB$3:$AB$164,MATCH(2,'CADASTRO MAIO'!$AD$3:$AD$164,0))&lt;0,"VENCIDO HA "&amp;ABS(INDEX('CADASTRO MAIO'!$AB$3:$AB$164,MATCH(2,'CADASTRO MAIO'!$AD$3:$AD$164,0)))&amp;" DIAS","FALTAM "&amp;INDEX('CADASTRO MAIO'!$AB$3:$AB$164,MATCH(2,'CADASTRO MAIO'!$AD$3:$AD$164,0))&amp;" DIAS"),"")</f>
        <v/>
      </c>
      <c r="O16" s="188"/>
      <c r="P16" s="188"/>
      <c r="Q16" s="188"/>
      <c r="R16" s="188" t="str">
        <f ca="1">IFERROR(INDEX('CADASTRO MAIO'!$AC$3:$AC$164,MATCH(2,'CADASTRO MAIO'!$AD$3:$AD$164,0)),"")</f>
        <v/>
      </c>
      <c r="S16" s="1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</row>
    <row r="17" spans="1:34" ht="26.1" customHeight="1" x14ac:dyDescent="0.25">
      <c r="A17" s="188" t="str">
        <f ca="1">IFERROR(INDEX('CADASTRO MAIO'!$A$3:$A$164,MATCH(3,'CADASTRO MAIO'!$AD$3:$AD$164,0)),"")</f>
        <v/>
      </c>
      <c r="B17" s="188"/>
      <c r="C17" s="188"/>
      <c r="D17" s="188"/>
      <c r="E17" s="188"/>
      <c r="F17" s="188"/>
      <c r="G17" s="188"/>
      <c r="H17" s="188" t="str">
        <f ca="1">IFERROR(INDEX('CADASTRO MAIO'!$D$3:$D$164,MATCH(3,'CADASTRO MAIO'!$AD$3:$AD$164,0)),"")</f>
        <v/>
      </c>
      <c r="I17" s="188"/>
      <c r="J17" s="188"/>
      <c r="K17" s="189" t="str">
        <f ca="1">IFERROR(INDEX('CADASTRO MAIO'!$U$3:$U$164,MATCH(3,'CADASTRO MAIO'!$AD$3:$AD$164,0)),"")</f>
        <v/>
      </c>
      <c r="L17" s="189"/>
      <c r="M17" s="189"/>
      <c r="N17" s="188" t="str">
        <f ca="1">IFERROR(IF(INDEX('CADASTRO MAIO'!$AB$3:$AB$164,MATCH(3,'CADASTRO MAIO'!$AD$3:$AD$164,0))&lt;0,"VENCIDO HA "&amp;ABS(INDEX('CADASTRO MAIO'!$AB$3:$AB$164,MATCH(3,'CADASTRO MAIO'!$AD$3:$AD$164,0)))&amp;" DIAS","FALTAM "&amp;INDEX('CADASTRO MAIO'!$AB$3:$AB$164,MATCH(3,'CADASTRO MAIO'!$AD$3:$AD$164,0))&amp;" DIAS"),"")</f>
        <v/>
      </c>
      <c r="O17" s="188"/>
      <c r="P17" s="188"/>
      <c r="Q17" s="188"/>
      <c r="R17" s="188" t="str">
        <f ca="1">IFERROR(INDEX('CADASTRO MAIO'!$AC$3:$AC$164,MATCH(3,'CADASTRO MAIO'!$AD$3:$AD$164,0)),"")</f>
        <v/>
      </c>
      <c r="S17" s="1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</row>
    <row r="18" spans="1:34" ht="26.1" customHeight="1" x14ac:dyDescent="0.25">
      <c r="A18" s="100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101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</row>
    <row r="19" spans="1:34" ht="20.100000000000001" customHeight="1" x14ac:dyDescent="0.25">
      <c r="A19" s="102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4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</row>
    <row r="20" spans="1:34" ht="9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</row>
    <row r="21" spans="1:34" ht="27.95" customHeight="1" x14ac:dyDescent="0.25">
      <c r="A21" s="190" t="s">
        <v>471</v>
      </c>
      <c r="B21" s="190"/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</row>
    <row r="22" spans="1:34" ht="20.100000000000001" customHeight="1" x14ac:dyDescent="0.25">
      <c r="A22" s="191" t="s">
        <v>472</v>
      </c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</row>
    <row r="23" spans="1:34" ht="24" customHeight="1" x14ac:dyDescent="0.25">
      <c r="A23" s="192" t="s">
        <v>415</v>
      </c>
      <c r="B23" s="193"/>
      <c r="C23" s="193"/>
      <c r="D23" s="194"/>
      <c r="E23" s="105"/>
      <c r="F23" s="207" t="s">
        <v>461</v>
      </c>
      <c r="G23" s="208"/>
      <c r="H23" s="208"/>
      <c r="I23" s="209"/>
      <c r="J23" s="105"/>
      <c r="K23" s="222" t="s">
        <v>462</v>
      </c>
      <c r="L23" s="223"/>
      <c r="M23" s="223"/>
      <c r="N23" s="224"/>
      <c r="O23" s="105"/>
      <c r="P23" s="237" t="s">
        <v>463</v>
      </c>
      <c r="Q23" s="238"/>
      <c r="R23" s="238"/>
      <c r="S23" s="239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</row>
    <row r="24" spans="1:34" ht="26.1" customHeight="1" x14ac:dyDescent="0.25">
      <c r="A24" s="195">
        <f>COUNTIFS('CADASTRO MAIO'!$A$3:$A$164,"&lt;&gt;",'CADASTRO MAIO'!$R$3:$R$164,"")</f>
        <v>132</v>
      </c>
      <c r="B24" s="196"/>
      <c r="C24" s="196"/>
      <c r="D24" s="197"/>
      <c r="E24" s="105"/>
      <c r="F24" s="210">
        <f>COUNTIF('CADASTRO MAIO'!$X$3:$X$164,"CNPJ INVALIDO")</f>
        <v>7</v>
      </c>
      <c r="G24" s="211"/>
      <c r="H24" s="211"/>
      <c r="I24" s="212"/>
      <c r="J24" s="105"/>
      <c r="K24" s="225">
        <f>COUNTIF('CADASTRO MAIO'!$AC$3:$AC$164,"SEM DATA")</f>
        <v>0</v>
      </c>
      <c r="L24" s="226"/>
      <c r="M24" s="226"/>
      <c r="N24" s="227"/>
      <c r="O24" s="105"/>
      <c r="P24" s="240">
        <f>COUNTIF('CADASTRO MAIO'!$AC$3:$AC$164,"SEM CAMINHO")</f>
        <v>0</v>
      </c>
      <c r="Q24" s="241"/>
      <c r="R24" s="241"/>
      <c r="S24" s="242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</row>
    <row r="25" spans="1:34" ht="26.1" customHeight="1" x14ac:dyDescent="0.25">
      <c r="A25" s="195"/>
      <c r="B25" s="196"/>
      <c r="C25" s="196"/>
      <c r="D25" s="197"/>
      <c r="E25" s="105"/>
      <c r="F25" s="210"/>
      <c r="G25" s="211"/>
      <c r="H25" s="211"/>
      <c r="I25" s="212"/>
      <c r="J25" s="105"/>
      <c r="K25" s="225"/>
      <c r="L25" s="226"/>
      <c r="M25" s="226"/>
      <c r="N25" s="227"/>
      <c r="O25" s="105"/>
      <c r="P25" s="240"/>
      <c r="Q25" s="241"/>
      <c r="R25" s="241"/>
      <c r="S25" s="242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</row>
    <row r="26" spans="1:34" ht="26.1" customHeight="1" x14ac:dyDescent="0.25">
      <c r="A26" s="198" t="s">
        <v>473</v>
      </c>
      <c r="B26" s="199"/>
      <c r="C26" s="199"/>
      <c r="D26" s="200"/>
      <c r="E26" s="105"/>
      <c r="F26" s="213" t="s">
        <v>473</v>
      </c>
      <c r="G26" s="214"/>
      <c r="H26" s="214"/>
      <c r="I26" s="215"/>
      <c r="J26" s="105"/>
      <c r="K26" s="228" t="s">
        <v>473</v>
      </c>
      <c r="L26" s="229"/>
      <c r="M26" s="229"/>
      <c r="N26" s="230"/>
      <c r="O26" s="105"/>
      <c r="P26" s="243" t="s">
        <v>473</v>
      </c>
      <c r="Q26" s="244"/>
      <c r="R26" s="244"/>
      <c r="S26" s="245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</row>
    <row r="27" spans="1:34" ht="26.1" customHeight="1" x14ac:dyDescent="0.25">
      <c r="A27" s="201" t="str">
        <f>IF(A24=0,"OK","REVISAR")</f>
        <v>REVISAR</v>
      </c>
      <c r="B27" s="202"/>
      <c r="C27" s="202"/>
      <c r="D27" s="203"/>
      <c r="E27" s="105"/>
      <c r="F27" s="216" t="str">
        <f>IF(F24=0,"OK","REVISAR")</f>
        <v>REVISAR</v>
      </c>
      <c r="G27" s="217"/>
      <c r="H27" s="217"/>
      <c r="I27" s="218"/>
      <c r="J27" s="105"/>
      <c r="K27" s="231" t="str">
        <f>IF(K24=0,"OK","REVISAR")</f>
        <v>OK</v>
      </c>
      <c r="L27" s="232"/>
      <c r="M27" s="232"/>
      <c r="N27" s="233"/>
      <c r="O27" s="105"/>
      <c r="P27" s="246" t="str">
        <f>IF(P24=0,"OK","REVISAR")</f>
        <v>OK</v>
      </c>
      <c r="Q27" s="247"/>
      <c r="R27" s="247"/>
      <c r="S27" s="24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</row>
    <row r="28" spans="1:34" ht="26.1" customHeight="1" x14ac:dyDescent="0.25">
      <c r="A28" s="204"/>
      <c r="B28" s="205"/>
      <c r="C28" s="205"/>
      <c r="D28" s="206"/>
      <c r="E28" s="105"/>
      <c r="F28" s="219"/>
      <c r="G28" s="220"/>
      <c r="H28" s="220"/>
      <c r="I28" s="221"/>
      <c r="J28" s="105"/>
      <c r="K28" s="234"/>
      <c r="L28" s="235"/>
      <c r="M28" s="235"/>
      <c r="N28" s="236"/>
      <c r="O28" s="105"/>
      <c r="P28" s="249"/>
      <c r="Q28" s="250"/>
      <c r="R28" s="250"/>
      <c r="S28" s="251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</row>
    <row r="29" spans="1:34" ht="20.100000000000001" customHeight="1" x14ac:dyDescent="0.25">
      <c r="A29" s="106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</row>
    <row r="30" spans="1:34" ht="9" customHeight="1" x14ac:dyDescent="0.25">
      <c r="A30" s="89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</row>
    <row r="31" spans="1:34" ht="20.100000000000001" customHeight="1" x14ac:dyDescent="0.25">
      <c r="A31" s="109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</row>
    <row r="32" spans="1:34" ht="9" customHeight="1" x14ac:dyDescent="0.25">
      <c r="A32" s="89"/>
      <c r="B32" s="89"/>
      <c r="C32" s="89"/>
      <c r="D32" s="252" t="s">
        <v>474</v>
      </c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89"/>
      <c r="R32" s="89"/>
      <c r="S32" s="89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</row>
    <row r="33" spans="1:34" ht="9" customHeight="1" x14ac:dyDescent="0.25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</row>
    <row r="34" spans="1:34" ht="9" customHeight="1" x14ac:dyDescent="0.25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</row>
    <row r="35" spans="1:34" ht="18" customHeight="1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</row>
    <row r="36" spans="1:34" ht="18" customHeight="1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</row>
    <row r="37" spans="1:34" ht="18" customHeight="1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</row>
    <row r="38" spans="1:34" ht="18" customHeight="1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</row>
    <row r="39" spans="1:34" ht="18" customHeight="1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</row>
    <row r="40" spans="1:34" ht="18" customHeight="1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</row>
    <row r="41" spans="1:34" ht="18" customHeight="1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</row>
    <row r="42" spans="1:34" ht="18" customHeight="1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</row>
    <row r="43" spans="1:34" ht="18" customHeight="1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</row>
    <row r="44" spans="1:34" ht="18" customHeight="1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</row>
    <row r="45" spans="1:34" ht="18" customHeight="1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</row>
    <row r="46" spans="1:34" ht="18" customHeight="1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</row>
    <row r="47" spans="1:34" ht="18" customHeight="1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</row>
    <row r="48" spans="1:34" ht="18" customHeight="1" x14ac:dyDescent="0.25">
      <c r="A48" s="88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</row>
    <row r="49" spans="1:34" ht="18" customHeight="1" x14ac:dyDescent="0.25">
      <c r="A49" s="88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</row>
    <row r="50" spans="1:34" ht="18" customHeight="1" x14ac:dyDescent="0.25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</row>
    <row r="51" spans="1:34" ht="18" customHeight="1" x14ac:dyDescent="0.25">
      <c r="A51" s="88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</row>
    <row r="52" spans="1:34" ht="18" customHeight="1" x14ac:dyDescent="0.25">
      <c r="A52" s="88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</row>
    <row r="53" spans="1:34" ht="18" customHeight="1" x14ac:dyDescent="0.25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</row>
    <row r="54" spans="1:34" ht="18" customHeight="1" x14ac:dyDescent="0.25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</row>
    <row r="55" spans="1:34" ht="18" customHeight="1" x14ac:dyDescent="0.25">
      <c r="A55" s="88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</row>
    <row r="56" spans="1:34" ht="18" customHeight="1" x14ac:dyDescent="0.25">
      <c r="A56" s="88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</row>
    <row r="57" spans="1:34" ht="18" customHeight="1" x14ac:dyDescent="0.25">
      <c r="A57" s="88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</row>
    <row r="58" spans="1:34" ht="18" customHeight="1" x14ac:dyDescent="0.25">
      <c r="A58" s="88"/>
      <c r="B58" s="88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</row>
    <row r="59" spans="1:34" ht="18" customHeight="1" x14ac:dyDescent="0.25">
      <c r="A59" s="88"/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</row>
    <row r="60" spans="1:34" ht="18" customHeight="1" x14ac:dyDescent="0.25">
      <c r="A60" s="88"/>
      <c r="B60" s="88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</row>
  </sheetData>
  <mergeCells count="61">
    <mergeCell ref="D32:P32"/>
    <mergeCell ref="K27:N28"/>
    <mergeCell ref="P23:S23"/>
    <mergeCell ref="P24:S25"/>
    <mergeCell ref="P26:S26"/>
    <mergeCell ref="P27:S28"/>
    <mergeCell ref="A27:D28"/>
    <mergeCell ref="F23:I23"/>
    <mergeCell ref="F24:I25"/>
    <mergeCell ref="F26:I26"/>
    <mergeCell ref="F27:I28"/>
    <mergeCell ref="A21:S21"/>
    <mergeCell ref="A22:S22"/>
    <mergeCell ref="A23:D23"/>
    <mergeCell ref="A24:D25"/>
    <mergeCell ref="A26:D26"/>
    <mergeCell ref="K23:N23"/>
    <mergeCell ref="K24:N25"/>
    <mergeCell ref="K26:N26"/>
    <mergeCell ref="A17:G17"/>
    <mergeCell ref="H17:J17"/>
    <mergeCell ref="K17:M17"/>
    <mergeCell ref="N17:Q17"/>
    <mergeCell ref="R17:S17"/>
    <mergeCell ref="A16:G16"/>
    <mergeCell ref="H16:J16"/>
    <mergeCell ref="K16:M16"/>
    <mergeCell ref="N16:Q16"/>
    <mergeCell ref="R16:S16"/>
    <mergeCell ref="A15:G15"/>
    <mergeCell ref="H15:J15"/>
    <mergeCell ref="K15:M15"/>
    <mergeCell ref="N15:Q15"/>
    <mergeCell ref="R15:S15"/>
    <mergeCell ref="A13:S13"/>
    <mergeCell ref="A14:G14"/>
    <mergeCell ref="H14:J14"/>
    <mergeCell ref="K14:M14"/>
    <mergeCell ref="N14:Q14"/>
    <mergeCell ref="R14:S14"/>
    <mergeCell ref="P7:P9"/>
    <mergeCell ref="Q6:S6"/>
    <mergeCell ref="Q7:S8"/>
    <mergeCell ref="Q9:S10"/>
    <mergeCell ref="A12:S12"/>
    <mergeCell ref="A1:B4"/>
    <mergeCell ref="C1:Q2"/>
    <mergeCell ref="C3:Q3"/>
    <mergeCell ref="R1:S4"/>
    <mergeCell ref="A7:A9"/>
    <mergeCell ref="B6:D6"/>
    <mergeCell ref="B7:D8"/>
    <mergeCell ref="B9:D10"/>
    <mergeCell ref="F7:F9"/>
    <mergeCell ref="G6:I6"/>
    <mergeCell ref="G7:I8"/>
    <mergeCell ref="G9:I10"/>
    <mergeCell ref="K7:K9"/>
    <mergeCell ref="L6:N6"/>
    <mergeCell ref="L7:N8"/>
    <mergeCell ref="L9:N10"/>
  </mergeCells>
  <conditionalFormatting sqref="A15:S17">
    <cfRule type="expression" dxfId="10" priority="4">
      <formula>$R15="VERMELHO"</formula>
    </cfRule>
    <cfRule type="expression" dxfId="9" priority="5">
      <formula>$R15="AMARELO"</formula>
    </cfRule>
    <cfRule type="expression" dxfId="8" priority="6">
      <formula>$R15="VERDE"</formula>
    </cfRule>
  </conditionalFormatting>
  <conditionalFormatting sqref="A27:D28">
    <cfRule type="expression" dxfId="7" priority="7">
      <formula>$A$27="REVISAR"</formula>
    </cfRule>
    <cfRule type="expression" dxfId="6" priority="8">
      <formula>$A$27="OK"</formula>
    </cfRule>
  </conditionalFormatting>
  <conditionalFormatting sqref="F27:I28">
    <cfRule type="expression" dxfId="5" priority="9">
      <formula>$F$27="REVISAR"</formula>
    </cfRule>
    <cfRule type="expression" dxfId="4" priority="10">
      <formula>$F$27="OK"</formula>
    </cfRule>
  </conditionalFormatting>
  <conditionalFormatting sqref="K27:N28">
    <cfRule type="expression" dxfId="3" priority="11">
      <formula>$K$27="REVISAR"</formula>
    </cfRule>
    <cfRule type="expression" dxfId="2" priority="12">
      <formula>$K$27="OK"</formula>
    </cfRule>
  </conditionalFormatting>
  <conditionalFormatting sqref="P27:S28">
    <cfRule type="expression" dxfId="1" priority="13">
      <formula>$P$27="REVISAR"</formula>
    </cfRule>
    <cfRule type="expression" dxfId="0" priority="14">
      <formula>$P$27="OK"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COUNTIFS('CADASTRO MAIO'!$A$3:$A$164,"&lt;&gt;",'CADASTRO MAIO'!$U$3:$U$164,"&lt;&gt;",'CADASTRO MAIO'!$AB$3:$AB$164,"&lt;15")&gt;0</xm:f>
            <x14:dxf>
              <fill>
                <patternFill patternType="solid">
                  <bgColor indexed="10"/>
                </patternFill>
              </fill>
            </x14:dxf>
          </x14:cfRule>
          <x14:cfRule type="expression" priority="2" id="{00000000-000E-0000-0000-000002000000}">
            <xm:f><![CDATA[AND(COUNTIFS('CADASTRO MAIO'!$A$3:$A$164,"<>",'CADASTRO MAIO'!$U$3:$U$164,"<>",'CADASTRO MAIO'!$AB$3:$AB$164,"<15")=0,COUNTIFS('CADASTRO MAIO'!$A$3:$A$164,"<>",'CADASTRO MAIO'!$U$3:$U$164,"<>",'CADASTRO MAIO'!$AB$3:$AB$164,"<=30")>0)]]></xm:f>
            <x14:dxf>
              <fill>
                <patternFill patternType="solid">
                  <bgColor indexed="13"/>
                </patternFill>
              </fill>
            </x14:dxf>
          </x14:cfRule>
          <x14:cfRule type="expression" priority="3" id="{00000000-000E-0000-0000-000003000000}">
            <xm:f>COUNTIFS('CADASTRO MAIO'!$A$3:$A$164,"&lt;&gt;",'CADASTRO MAIO'!$U$3:$U$164,"&lt;&gt;",'CADASTRO MAIO'!$AB$3:$AB$164,"&lt;=30")=0</xm:f>
            <x14:dxf>
              <fill>
                <patternFill patternType="solid">
                  <bgColor indexed="11"/>
                </patternFill>
              </fill>
            </x14:dxf>
          </x14:cfRule>
          <xm:sqref>P6:S10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82AA-47D5-4A74-8BE9-1E476E2A9E6A}">
  <sheetPr codeName="Planilha1"/>
  <dimension ref="A1:AE164"/>
  <sheetViews>
    <sheetView showGridLines="0" tabSelected="1" zoomScale="90" workbookViewId="0">
      <pane ySplit="2" topLeftCell="A3" activePane="bottomLeft" state="frozen"/>
      <selection pane="bottomLeft" activeCell="D16" sqref="D16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14" t="s">
        <v>0</v>
      </c>
      <c r="B3" s="13" t="s">
        <v>1</v>
      </c>
      <c r="C3" s="13" t="s">
        <v>2</v>
      </c>
      <c r="D3" s="13">
        <v>35381421000194</v>
      </c>
      <c r="E3" s="13"/>
      <c r="F3" s="13" t="s">
        <v>3</v>
      </c>
      <c r="G3" s="13" t="s">
        <v>4</v>
      </c>
      <c r="H3" s="13" t="s">
        <v>5</v>
      </c>
      <c r="I3" s="13" t="s">
        <v>341</v>
      </c>
      <c r="J3" s="13"/>
      <c r="K3" s="13"/>
      <c r="L3" s="13"/>
      <c r="M3" s="13"/>
      <c r="N3" s="13"/>
      <c r="O3" s="13"/>
      <c r="P3" s="13"/>
      <c r="Q3" s="16"/>
      <c r="R3" s="15" t="s">
        <v>479</v>
      </c>
      <c r="S3" s="16"/>
      <c r="T3" s="16"/>
      <c r="U3" s="17"/>
      <c r="V3" s="13"/>
      <c r="W3" s="13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OK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19" t="s">
        <v>6</v>
      </c>
      <c r="B4" s="18" t="s">
        <v>1</v>
      </c>
      <c r="C4" s="18" t="s">
        <v>2</v>
      </c>
      <c r="D4" s="18" t="s">
        <v>7</v>
      </c>
      <c r="E4" s="18"/>
      <c r="F4" s="18" t="s">
        <v>3</v>
      </c>
      <c r="G4" s="18" t="s">
        <v>4</v>
      </c>
      <c r="H4" s="18" t="s">
        <v>5</v>
      </c>
      <c r="I4" s="18" t="s">
        <v>341</v>
      </c>
      <c r="J4" s="18"/>
      <c r="K4" s="18"/>
      <c r="L4" s="18"/>
      <c r="M4" s="18"/>
      <c r="N4" s="18"/>
      <c r="O4" s="18"/>
      <c r="P4" s="18"/>
      <c r="Q4" s="21"/>
      <c r="R4" s="21" t="s">
        <v>477</v>
      </c>
      <c r="S4" s="21"/>
      <c r="T4" s="21"/>
      <c r="U4" s="22"/>
      <c r="V4" s="18"/>
      <c r="W4" s="18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14" t="s">
        <v>8</v>
      </c>
      <c r="B5" s="13" t="s">
        <v>9</v>
      </c>
      <c r="C5" s="13" t="s">
        <v>10</v>
      </c>
      <c r="D5" s="13" t="s">
        <v>11</v>
      </c>
      <c r="E5" s="13"/>
      <c r="F5" s="13" t="s">
        <v>12</v>
      </c>
      <c r="G5" s="13" t="s">
        <v>13</v>
      </c>
      <c r="H5" s="13" t="s">
        <v>14</v>
      </c>
      <c r="I5" s="13" t="s">
        <v>341</v>
      </c>
      <c r="J5" s="13"/>
      <c r="K5" s="13"/>
      <c r="L5" s="13"/>
      <c r="M5" s="13"/>
      <c r="N5" s="13"/>
      <c r="O5" s="13"/>
      <c r="P5" s="13"/>
      <c r="Q5" s="16"/>
      <c r="R5" s="16"/>
      <c r="S5" s="16"/>
      <c r="T5" s="16"/>
      <c r="U5" s="17"/>
      <c r="V5" s="13"/>
      <c r="W5" s="13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19" t="s">
        <v>15</v>
      </c>
      <c r="B6" s="18" t="s">
        <v>9</v>
      </c>
      <c r="C6" s="18" t="s">
        <v>16</v>
      </c>
      <c r="D6" s="18" t="s">
        <v>17</v>
      </c>
      <c r="E6" s="18"/>
      <c r="F6" s="18" t="s">
        <v>12</v>
      </c>
      <c r="G6" s="18" t="s">
        <v>13</v>
      </c>
      <c r="H6" s="18" t="s">
        <v>14</v>
      </c>
      <c r="I6" s="18" t="s">
        <v>341</v>
      </c>
      <c r="J6" s="18" t="s">
        <v>341</v>
      </c>
      <c r="K6" s="18" t="s">
        <v>341</v>
      </c>
      <c r="L6" s="18" t="s">
        <v>341</v>
      </c>
      <c r="M6" s="18" t="s">
        <v>341</v>
      </c>
      <c r="N6" s="18" t="s">
        <v>341</v>
      </c>
      <c r="O6" s="18" t="s">
        <v>341</v>
      </c>
      <c r="P6" s="18" t="s">
        <v>341</v>
      </c>
      <c r="Q6" s="21"/>
      <c r="R6" s="21"/>
      <c r="S6" s="21"/>
      <c r="T6" s="21"/>
      <c r="U6" s="22"/>
      <c r="V6" s="18"/>
      <c r="W6" s="18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14" t="s">
        <v>18</v>
      </c>
      <c r="B7" s="13" t="s">
        <v>9</v>
      </c>
      <c r="C7" s="13" t="s">
        <v>19</v>
      </c>
      <c r="D7" s="13" t="s">
        <v>20</v>
      </c>
      <c r="E7" s="13"/>
      <c r="F7" s="13" t="s">
        <v>12</v>
      </c>
      <c r="G7" s="13" t="s">
        <v>13</v>
      </c>
      <c r="H7" s="13" t="s">
        <v>14</v>
      </c>
      <c r="I7" s="13" t="s">
        <v>341</v>
      </c>
      <c r="J7" s="13" t="s">
        <v>341</v>
      </c>
      <c r="K7" s="13" t="s">
        <v>341</v>
      </c>
      <c r="L7" s="13" t="s">
        <v>341</v>
      </c>
      <c r="M7" s="13" t="s">
        <v>341</v>
      </c>
      <c r="N7" s="13" t="s">
        <v>341</v>
      </c>
      <c r="O7" s="13" t="s">
        <v>341</v>
      </c>
      <c r="P7" s="13" t="s">
        <v>341</v>
      </c>
      <c r="Q7" s="16"/>
      <c r="R7" s="16"/>
      <c r="S7" s="16"/>
      <c r="T7" s="16"/>
      <c r="U7" s="17"/>
      <c r="V7" s="13"/>
      <c r="W7" s="13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19" t="s">
        <v>21</v>
      </c>
      <c r="B8" s="18" t="s">
        <v>9</v>
      </c>
      <c r="C8" s="18" t="s">
        <v>19</v>
      </c>
      <c r="D8" s="18" t="s">
        <v>22</v>
      </c>
      <c r="E8" s="18"/>
      <c r="F8" s="18" t="s">
        <v>12</v>
      </c>
      <c r="G8" s="18" t="s">
        <v>13</v>
      </c>
      <c r="H8" s="18" t="s">
        <v>14</v>
      </c>
      <c r="I8" s="18" t="s">
        <v>341</v>
      </c>
      <c r="J8" s="18" t="s">
        <v>341</v>
      </c>
      <c r="K8" s="18" t="s">
        <v>341</v>
      </c>
      <c r="L8" s="18" t="s">
        <v>341</v>
      </c>
      <c r="M8" s="18" t="s">
        <v>341</v>
      </c>
      <c r="N8" s="18" t="s">
        <v>341</v>
      </c>
      <c r="O8" s="18" t="s">
        <v>341</v>
      </c>
      <c r="P8" s="18" t="s">
        <v>341</v>
      </c>
      <c r="Q8" s="21"/>
      <c r="R8" s="21"/>
      <c r="S8" s="21"/>
      <c r="T8" s="21"/>
      <c r="U8" s="22"/>
      <c r="V8" s="18"/>
      <c r="W8" s="18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14" t="s">
        <v>23</v>
      </c>
      <c r="B9" s="13" t="s">
        <v>9</v>
      </c>
      <c r="C9" s="13" t="s">
        <v>24</v>
      </c>
      <c r="D9" s="13" t="s">
        <v>25</v>
      </c>
      <c r="E9" s="13"/>
      <c r="F9" s="13" t="s">
        <v>12</v>
      </c>
      <c r="G9" s="13" t="s">
        <v>13</v>
      </c>
      <c r="H9" s="13" t="s">
        <v>14</v>
      </c>
      <c r="I9" s="13" t="s">
        <v>341</v>
      </c>
      <c r="J9" s="13" t="s">
        <v>341</v>
      </c>
      <c r="K9" s="13" t="s">
        <v>341</v>
      </c>
      <c r="L9" s="13" t="s">
        <v>341</v>
      </c>
      <c r="M9" s="13" t="s">
        <v>341</v>
      </c>
      <c r="N9" s="13" t="s">
        <v>341</v>
      </c>
      <c r="O9" s="13" t="s">
        <v>341</v>
      </c>
      <c r="P9" s="13" t="s">
        <v>341</v>
      </c>
      <c r="Q9" s="16"/>
      <c r="R9" s="16"/>
      <c r="S9" s="16"/>
      <c r="T9" s="16"/>
      <c r="U9" s="17"/>
      <c r="V9" s="13"/>
      <c r="W9" s="13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19" t="s">
        <v>26</v>
      </c>
      <c r="B10" s="18" t="s">
        <v>9</v>
      </c>
      <c r="C10" s="18" t="s">
        <v>27</v>
      </c>
      <c r="D10" s="18" t="s">
        <v>28</v>
      </c>
      <c r="E10" s="18"/>
      <c r="F10" s="18" t="s">
        <v>12</v>
      </c>
      <c r="G10" s="18" t="s">
        <v>13</v>
      </c>
      <c r="H10" s="18" t="s">
        <v>14</v>
      </c>
      <c r="I10" s="18" t="s">
        <v>341</v>
      </c>
      <c r="J10" s="18" t="s">
        <v>341</v>
      </c>
      <c r="K10" s="18" t="s">
        <v>341</v>
      </c>
      <c r="L10" s="18" t="s">
        <v>341</v>
      </c>
      <c r="M10" s="18" t="s">
        <v>341</v>
      </c>
      <c r="N10" s="18" t="s">
        <v>341</v>
      </c>
      <c r="O10" s="18" t="s">
        <v>341</v>
      </c>
      <c r="P10" s="18" t="s">
        <v>341</v>
      </c>
      <c r="Q10" s="21"/>
      <c r="R10" s="21"/>
      <c r="S10" s="21"/>
      <c r="T10" s="21"/>
      <c r="U10" s="22"/>
      <c r="V10" s="18"/>
      <c r="W10" s="18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14" t="s">
        <v>29</v>
      </c>
      <c r="B11" s="13" t="s">
        <v>9</v>
      </c>
      <c r="C11" s="13" t="s">
        <v>16</v>
      </c>
      <c r="D11" s="13" t="s">
        <v>30</v>
      </c>
      <c r="E11" s="13"/>
      <c r="F11" s="13" t="s">
        <v>12</v>
      </c>
      <c r="G11" s="13" t="s">
        <v>13</v>
      </c>
      <c r="H11" s="13" t="s">
        <v>14</v>
      </c>
      <c r="I11" s="13" t="s">
        <v>341</v>
      </c>
      <c r="J11" s="13" t="s">
        <v>341</v>
      </c>
      <c r="K11" s="13" t="s">
        <v>341</v>
      </c>
      <c r="L11" s="13" t="s">
        <v>341</v>
      </c>
      <c r="M11" s="13" t="s">
        <v>341</v>
      </c>
      <c r="N11" s="13" t="s">
        <v>341</v>
      </c>
      <c r="O11" s="13" t="s">
        <v>341</v>
      </c>
      <c r="P11" s="13" t="s">
        <v>341</v>
      </c>
      <c r="Q11" s="16"/>
      <c r="R11" s="16"/>
      <c r="S11" s="16"/>
      <c r="T11" s="16"/>
      <c r="U11" s="17"/>
      <c r="V11" s="13"/>
      <c r="W11" s="13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19" t="s">
        <v>31</v>
      </c>
      <c r="B12" s="18" t="s">
        <v>9</v>
      </c>
      <c r="C12" s="18" t="s">
        <v>24</v>
      </c>
      <c r="D12" s="18" t="s">
        <v>32</v>
      </c>
      <c r="E12" s="18"/>
      <c r="F12" s="18" t="s">
        <v>12</v>
      </c>
      <c r="G12" s="18" t="s">
        <v>13</v>
      </c>
      <c r="H12" s="18" t="s">
        <v>14</v>
      </c>
      <c r="I12" s="18" t="s">
        <v>341</v>
      </c>
      <c r="J12" s="18" t="s">
        <v>341</v>
      </c>
      <c r="K12" s="18" t="s">
        <v>341</v>
      </c>
      <c r="L12" s="18" t="s">
        <v>341</v>
      </c>
      <c r="M12" s="18" t="s">
        <v>341</v>
      </c>
      <c r="N12" s="18" t="s">
        <v>341</v>
      </c>
      <c r="O12" s="18" t="s">
        <v>341</v>
      </c>
      <c r="P12" s="18" t="s">
        <v>341</v>
      </c>
      <c r="Q12" s="21"/>
      <c r="R12" s="21"/>
      <c r="S12" s="21"/>
      <c r="T12" s="21"/>
      <c r="U12" s="22"/>
      <c r="V12" s="18"/>
      <c r="W12" s="18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14" t="s">
        <v>33</v>
      </c>
      <c r="B13" s="13" t="s">
        <v>9</v>
      </c>
      <c r="C13" s="13" t="s">
        <v>24</v>
      </c>
      <c r="D13" s="13" t="s">
        <v>34</v>
      </c>
      <c r="E13" s="13"/>
      <c r="F13" s="13" t="s">
        <v>12</v>
      </c>
      <c r="G13" s="13" t="s">
        <v>13</v>
      </c>
      <c r="H13" s="13" t="s">
        <v>14</v>
      </c>
      <c r="I13" s="13" t="s">
        <v>341</v>
      </c>
      <c r="J13" s="13" t="s">
        <v>341</v>
      </c>
      <c r="K13" s="13" t="s">
        <v>341</v>
      </c>
      <c r="L13" s="13" t="s">
        <v>341</v>
      </c>
      <c r="M13" s="13" t="s">
        <v>341</v>
      </c>
      <c r="N13" s="13" t="s">
        <v>341</v>
      </c>
      <c r="O13" s="13" t="s">
        <v>341</v>
      </c>
      <c r="P13" s="13" t="s">
        <v>341</v>
      </c>
      <c r="Q13" s="16"/>
      <c r="R13" s="16" t="s">
        <v>478</v>
      </c>
      <c r="S13" s="16"/>
      <c r="T13" s="16"/>
      <c r="U13" s="17"/>
      <c r="V13" s="13"/>
      <c r="W13" s="13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19" t="s">
        <v>35</v>
      </c>
      <c r="B14" s="18" t="s">
        <v>9</v>
      </c>
      <c r="C14" s="18" t="s">
        <v>24</v>
      </c>
      <c r="D14" s="18" t="s">
        <v>36</v>
      </c>
      <c r="E14" s="18"/>
      <c r="F14" s="18" t="s">
        <v>37</v>
      </c>
      <c r="G14" s="18" t="s">
        <v>13</v>
      </c>
      <c r="H14" s="18" t="s">
        <v>14</v>
      </c>
      <c r="I14" s="18" t="s">
        <v>341</v>
      </c>
      <c r="J14" s="18" t="s">
        <v>341</v>
      </c>
      <c r="K14" s="18" t="s">
        <v>341</v>
      </c>
      <c r="L14" s="18" t="s">
        <v>341</v>
      </c>
      <c r="M14" s="18" t="s">
        <v>341</v>
      </c>
      <c r="N14" s="18" t="s">
        <v>341</v>
      </c>
      <c r="O14" s="18" t="s">
        <v>341</v>
      </c>
      <c r="P14" s="18" t="s">
        <v>341</v>
      </c>
      <c r="Q14" s="21"/>
      <c r="R14" s="21"/>
      <c r="S14" s="21"/>
      <c r="T14" s="21"/>
      <c r="U14" s="22"/>
      <c r="V14" s="18"/>
      <c r="W14" s="18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14" t="s">
        <v>38</v>
      </c>
      <c r="B15" s="13" t="s">
        <v>9</v>
      </c>
      <c r="C15" s="13" t="s">
        <v>16</v>
      </c>
      <c r="D15" s="13" t="s">
        <v>39</v>
      </c>
      <c r="E15" s="13"/>
      <c r="F15" s="13" t="s">
        <v>37</v>
      </c>
      <c r="G15" s="13" t="s">
        <v>13</v>
      </c>
      <c r="H15" s="13" t="s">
        <v>14</v>
      </c>
      <c r="I15" s="13" t="s">
        <v>341</v>
      </c>
      <c r="J15" s="13" t="s">
        <v>341</v>
      </c>
      <c r="K15" s="13" t="s">
        <v>341</v>
      </c>
      <c r="L15" s="13" t="s">
        <v>341</v>
      </c>
      <c r="M15" s="13" t="s">
        <v>341</v>
      </c>
      <c r="N15" s="13" t="s">
        <v>341</v>
      </c>
      <c r="O15" s="13" t="s">
        <v>341</v>
      </c>
      <c r="P15" s="13" t="s">
        <v>341</v>
      </c>
      <c r="Q15" s="16"/>
      <c r="R15" s="16"/>
      <c r="S15" s="16"/>
      <c r="T15" s="16"/>
      <c r="U15" s="17"/>
      <c r="V15" s="13"/>
      <c r="W15" s="13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19" t="s">
        <v>40</v>
      </c>
      <c r="B16" s="18" t="s">
        <v>9</v>
      </c>
      <c r="C16" s="18" t="s">
        <v>24</v>
      </c>
      <c r="D16" s="256" t="s">
        <v>476</v>
      </c>
      <c r="E16" s="18"/>
      <c r="F16" s="18" t="s">
        <v>12</v>
      </c>
      <c r="G16" s="18" t="s">
        <v>41</v>
      </c>
      <c r="H16" s="18" t="s">
        <v>5</v>
      </c>
      <c r="I16" s="18" t="s">
        <v>341</v>
      </c>
      <c r="J16" s="18" t="s">
        <v>341</v>
      </c>
      <c r="K16" s="18" t="s">
        <v>341</v>
      </c>
      <c r="L16" s="18" t="s">
        <v>341</v>
      </c>
      <c r="M16" s="18" t="s">
        <v>341</v>
      </c>
      <c r="N16" s="18" t="s">
        <v>341</v>
      </c>
      <c r="O16" s="18" t="s">
        <v>341</v>
      </c>
      <c r="P16" s="18" t="s">
        <v>341</v>
      </c>
      <c r="Q16" s="21"/>
      <c r="R16" s="21"/>
      <c r="S16" s="21"/>
      <c r="T16" s="21"/>
      <c r="U16" s="22"/>
      <c r="V16" s="18"/>
      <c r="W16" s="18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14" t="s">
        <v>42</v>
      </c>
      <c r="B17" s="13" t="s">
        <v>9</v>
      </c>
      <c r="C17" s="13" t="s">
        <v>24</v>
      </c>
      <c r="D17" s="13" t="s">
        <v>43</v>
      </c>
      <c r="E17" s="13"/>
      <c r="F17" s="13" t="s">
        <v>12</v>
      </c>
      <c r="G17" s="13" t="s">
        <v>41</v>
      </c>
      <c r="H17" s="13" t="s">
        <v>5</v>
      </c>
      <c r="I17" s="13"/>
      <c r="J17" s="13"/>
      <c r="K17" s="13"/>
      <c r="L17" s="13"/>
      <c r="M17" s="13" t="s">
        <v>372</v>
      </c>
      <c r="N17" s="13"/>
      <c r="O17" s="13" t="s">
        <v>342</v>
      </c>
      <c r="P17" s="13" t="s">
        <v>343</v>
      </c>
      <c r="Q17" s="16"/>
      <c r="R17" s="16"/>
      <c r="S17" s="16"/>
      <c r="T17" s="16"/>
      <c r="U17" s="17"/>
      <c r="V17" s="13"/>
      <c r="W17" s="13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19" t="s">
        <v>44</v>
      </c>
      <c r="B18" s="18" t="s">
        <v>45</v>
      </c>
      <c r="C18" s="18" t="s">
        <v>46</v>
      </c>
      <c r="D18" s="18" t="s">
        <v>47</v>
      </c>
      <c r="E18" s="18"/>
      <c r="F18" s="18" t="s">
        <v>48</v>
      </c>
      <c r="G18" s="18" t="s">
        <v>13</v>
      </c>
      <c r="H18" s="18" t="s">
        <v>49</v>
      </c>
      <c r="I18" s="18"/>
      <c r="J18" s="18"/>
      <c r="K18" s="18"/>
      <c r="L18" s="18"/>
      <c r="M18" s="18" t="s">
        <v>373</v>
      </c>
      <c r="N18" s="18"/>
      <c r="O18" s="18" t="s">
        <v>344</v>
      </c>
      <c r="P18" s="18"/>
      <c r="Q18" s="21"/>
      <c r="R18" s="21"/>
      <c r="S18" s="21"/>
      <c r="T18" s="21"/>
      <c r="U18" s="22"/>
      <c r="V18" s="18"/>
      <c r="W18" s="18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14" t="s">
        <v>50</v>
      </c>
      <c r="B19" s="13" t="s">
        <v>45</v>
      </c>
      <c r="C19" s="13" t="s">
        <v>46</v>
      </c>
      <c r="D19" s="13" t="s">
        <v>51</v>
      </c>
      <c r="E19" s="13"/>
      <c r="F19" s="13" t="s">
        <v>48</v>
      </c>
      <c r="G19" s="13" t="s">
        <v>13</v>
      </c>
      <c r="H19" s="13" t="s">
        <v>49</v>
      </c>
      <c r="I19" s="13"/>
      <c r="J19" s="13"/>
      <c r="K19" s="13"/>
      <c r="L19" s="13"/>
      <c r="M19" s="13" t="s">
        <v>373</v>
      </c>
      <c r="N19" s="13"/>
      <c r="O19" s="13" t="s">
        <v>344</v>
      </c>
      <c r="P19" s="13"/>
      <c r="Q19" s="16"/>
      <c r="R19" s="16"/>
      <c r="S19" s="16"/>
      <c r="T19" s="16"/>
      <c r="U19" s="17"/>
      <c r="V19" s="13"/>
      <c r="W19" s="13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19" t="s">
        <v>52</v>
      </c>
      <c r="B20" s="18" t="s">
        <v>45</v>
      </c>
      <c r="C20" s="18" t="s">
        <v>46</v>
      </c>
      <c r="D20" s="18" t="s">
        <v>53</v>
      </c>
      <c r="E20" s="18"/>
      <c r="F20" s="18" t="s">
        <v>48</v>
      </c>
      <c r="G20" s="18" t="s">
        <v>13</v>
      </c>
      <c r="H20" s="18" t="s">
        <v>14</v>
      </c>
      <c r="I20" s="18"/>
      <c r="J20" s="18"/>
      <c r="K20" s="18"/>
      <c r="L20" s="18"/>
      <c r="M20" s="18" t="s">
        <v>373</v>
      </c>
      <c r="N20" s="18"/>
      <c r="O20" s="18" t="s">
        <v>344</v>
      </c>
      <c r="P20" s="18"/>
      <c r="Q20" s="21"/>
      <c r="R20" s="21"/>
      <c r="S20" s="21"/>
      <c r="T20" s="21"/>
      <c r="U20" s="22"/>
      <c r="V20" s="18"/>
      <c r="W20" s="18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14" t="s">
        <v>54</v>
      </c>
      <c r="B21" s="13" t="s">
        <v>55</v>
      </c>
      <c r="C21" s="13" t="s">
        <v>56</v>
      </c>
      <c r="D21" s="13">
        <v>57123358000129</v>
      </c>
      <c r="E21" s="13"/>
      <c r="F21" s="13" t="s">
        <v>57</v>
      </c>
      <c r="G21" s="13" t="s">
        <v>4</v>
      </c>
      <c r="H21" s="13" t="s">
        <v>14</v>
      </c>
      <c r="I21" s="13"/>
      <c r="J21" s="13"/>
      <c r="K21" s="13"/>
      <c r="L21" s="13"/>
      <c r="M21" s="13" t="s">
        <v>372</v>
      </c>
      <c r="N21" s="13"/>
      <c r="O21" s="13" t="s">
        <v>346</v>
      </c>
      <c r="P21" s="13"/>
      <c r="Q21" s="16"/>
      <c r="R21" s="16"/>
      <c r="S21" s="16"/>
      <c r="T21" s="16"/>
      <c r="U21" s="17"/>
      <c r="V21" s="13"/>
      <c r="W21" s="13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19" t="s">
        <v>58</v>
      </c>
      <c r="B22" s="18" t="s">
        <v>45</v>
      </c>
      <c r="C22" s="18" t="s">
        <v>59</v>
      </c>
      <c r="D22" s="18">
        <v>40870380000130</v>
      </c>
      <c r="E22" s="18"/>
      <c r="F22" s="18" t="s">
        <v>48</v>
      </c>
      <c r="G22" s="18" t="s">
        <v>4</v>
      </c>
      <c r="H22" s="18" t="s">
        <v>14</v>
      </c>
      <c r="I22" s="18"/>
      <c r="J22" s="18"/>
      <c r="K22" s="18"/>
      <c r="L22" s="18"/>
      <c r="M22" s="18" t="s">
        <v>374</v>
      </c>
      <c r="N22" s="18"/>
      <c r="O22" s="18" t="s">
        <v>345</v>
      </c>
      <c r="P22" s="18"/>
      <c r="Q22" s="21"/>
      <c r="R22" s="21"/>
      <c r="S22" s="21"/>
      <c r="T22" s="21"/>
      <c r="U22" s="22"/>
      <c r="V22" s="18"/>
      <c r="W22" s="18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14" t="s">
        <v>60</v>
      </c>
      <c r="B23" s="13" t="s">
        <v>61</v>
      </c>
      <c r="C23" s="13" t="s">
        <v>62</v>
      </c>
      <c r="D23" s="13">
        <v>26837949000134</v>
      </c>
      <c r="E23" s="13"/>
      <c r="F23" s="13" t="s">
        <v>63</v>
      </c>
      <c r="G23" s="13" t="s">
        <v>41</v>
      </c>
      <c r="H23" s="13" t="s">
        <v>5</v>
      </c>
      <c r="I23" s="13"/>
      <c r="J23" s="13"/>
      <c r="K23" s="13"/>
      <c r="L23" s="13"/>
      <c r="M23" s="13" t="s">
        <v>375</v>
      </c>
      <c r="N23" s="13"/>
      <c r="O23" s="13"/>
      <c r="P23" s="13"/>
      <c r="Q23" s="16"/>
      <c r="R23" s="16"/>
      <c r="S23" s="16"/>
      <c r="T23" s="16"/>
      <c r="U23" s="17"/>
      <c r="V23" s="13"/>
      <c r="W23" s="13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19" t="s">
        <v>64</v>
      </c>
      <c r="B24" s="18" t="s">
        <v>65</v>
      </c>
      <c r="C24" s="18" t="s">
        <v>62</v>
      </c>
      <c r="D24" s="18">
        <v>12923820000134</v>
      </c>
      <c r="E24" s="18"/>
      <c r="F24" s="18" t="s">
        <v>66</v>
      </c>
      <c r="G24" s="18" t="s">
        <v>13</v>
      </c>
      <c r="H24" s="18" t="s">
        <v>49</v>
      </c>
      <c r="I24" s="18"/>
      <c r="J24" s="18"/>
      <c r="K24" s="18"/>
      <c r="L24" s="18"/>
      <c r="M24" s="18" t="s">
        <v>373</v>
      </c>
      <c r="N24" s="18"/>
      <c r="O24" s="18" t="s">
        <v>344</v>
      </c>
      <c r="P24" s="18"/>
      <c r="Q24" s="21"/>
      <c r="R24" s="21"/>
      <c r="S24" s="21"/>
      <c r="T24" s="21"/>
      <c r="U24" s="22"/>
      <c r="V24" s="18"/>
      <c r="W24" s="18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14" t="s">
        <v>67</v>
      </c>
      <c r="B25" s="13" t="s">
        <v>68</v>
      </c>
      <c r="C25" s="13" t="s">
        <v>69</v>
      </c>
      <c r="D25" s="13" t="s">
        <v>70</v>
      </c>
      <c r="E25" s="13"/>
      <c r="F25" s="13" t="s">
        <v>71</v>
      </c>
      <c r="G25" s="13" t="s">
        <v>4</v>
      </c>
      <c r="H25" s="13" t="s">
        <v>49</v>
      </c>
      <c r="I25" s="13"/>
      <c r="J25" s="13"/>
      <c r="K25" s="13"/>
      <c r="L25" s="13"/>
      <c r="M25" s="13" t="s">
        <v>375</v>
      </c>
      <c r="N25" s="13"/>
      <c r="O25" s="13" t="s">
        <v>346</v>
      </c>
      <c r="P25" s="13"/>
      <c r="Q25" s="16"/>
      <c r="R25" s="15" t="s">
        <v>397</v>
      </c>
      <c r="S25" s="16"/>
      <c r="T25" s="16"/>
      <c r="U25" s="17"/>
      <c r="V25" s="13"/>
      <c r="W25" s="13"/>
      <c r="X25" s="23" t="str">
        <f t="shared" si="0"/>
        <v>OK</v>
      </c>
      <c r="Y25" s="23" t="str">
        <f t="shared" si="1"/>
        <v>REST OK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19" t="s">
        <v>72</v>
      </c>
      <c r="B26" s="18" t="s">
        <v>9</v>
      </c>
      <c r="C26" s="18" t="s">
        <v>24</v>
      </c>
      <c r="D26" s="18">
        <v>41597807000130</v>
      </c>
      <c r="E26" s="18"/>
      <c r="F26" s="18" t="s">
        <v>73</v>
      </c>
      <c r="G26" s="18" t="s">
        <v>4</v>
      </c>
      <c r="H26" s="18" t="s">
        <v>5</v>
      </c>
      <c r="I26" s="18"/>
      <c r="J26" s="18"/>
      <c r="K26" s="18"/>
      <c r="L26" s="18"/>
      <c r="M26" s="18" t="s">
        <v>375</v>
      </c>
      <c r="N26" s="18"/>
      <c r="O26" s="18" t="s">
        <v>344</v>
      </c>
      <c r="P26" s="18"/>
      <c r="Q26" s="21"/>
      <c r="R26" s="21"/>
      <c r="S26" s="21"/>
      <c r="T26" s="21"/>
      <c r="U26" s="22"/>
      <c r="V26" s="18"/>
      <c r="W26" s="18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14" t="s">
        <v>74</v>
      </c>
      <c r="B27" s="13" t="s">
        <v>75</v>
      </c>
      <c r="C27" s="13" t="s">
        <v>62</v>
      </c>
      <c r="D27" s="13">
        <v>21430001000146</v>
      </c>
      <c r="E27" s="13"/>
      <c r="F27" s="13" t="s">
        <v>76</v>
      </c>
      <c r="G27" s="13" t="s">
        <v>4</v>
      </c>
      <c r="H27" s="13" t="s">
        <v>5</v>
      </c>
      <c r="I27" s="13"/>
      <c r="J27" s="13"/>
      <c r="K27" s="13"/>
      <c r="L27" s="13"/>
      <c r="M27" s="13" t="s">
        <v>373</v>
      </c>
      <c r="N27" s="13"/>
      <c r="O27" s="13" t="s">
        <v>344</v>
      </c>
      <c r="P27" s="13"/>
      <c r="Q27" s="16"/>
      <c r="R27" s="16"/>
      <c r="S27" s="16"/>
      <c r="T27" s="16"/>
      <c r="U27" s="17"/>
      <c r="V27" s="13"/>
      <c r="W27" s="13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19" t="s">
        <v>77</v>
      </c>
      <c r="B28" s="18" t="s">
        <v>78</v>
      </c>
      <c r="C28" s="18" t="s">
        <v>79</v>
      </c>
      <c r="D28" s="18" t="s">
        <v>80</v>
      </c>
      <c r="E28" s="18"/>
      <c r="F28" s="18" t="s">
        <v>81</v>
      </c>
      <c r="G28" s="18" t="s">
        <v>13</v>
      </c>
      <c r="H28" s="18" t="s">
        <v>49</v>
      </c>
      <c r="I28" s="18"/>
      <c r="J28" s="18"/>
      <c r="K28" s="18"/>
      <c r="L28" s="18"/>
      <c r="M28" s="18" t="s">
        <v>373</v>
      </c>
      <c r="N28" s="18"/>
      <c r="O28" s="18" t="s">
        <v>344</v>
      </c>
      <c r="P28" s="18"/>
      <c r="Q28" s="21"/>
      <c r="R28" s="21"/>
      <c r="S28" s="21"/>
      <c r="T28" s="21"/>
      <c r="U28" s="22"/>
      <c r="V28" s="18"/>
      <c r="W28" s="18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14" t="s">
        <v>82</v>
      </c>
      <c r="B29" s="13" t="s">
        <v>78</v>
      </c>
      <c r="C29" s="13" t="s">
        <v>83</v>
      </c>
      <c r="D29" s="13">
        <v>62220305000166</v>
      </c>
      <c r="E29" s="13"/>
      <c r="F29" s="13" t="s">
        <v>81</v>
      </c>
      <c r="G29" s="13" t="s">
        <v>4</v>
      </c>
      <c r="H29" s="13" t="s">
        <v>5</v>
      </c>
      <c r="I29" s="13"/>
      <c r="J29" s="13"/>
      <c r="K29" s="13"/>
      <c r="L29" s="13"/>
      <c r="M29" s="13" t="s">
        <v>374</v>
      </c>
      <c r="N29" s="13"/>
      <c r="O29" s="13" t="s">
        <v>346</v>
      </c>
      <c r="P29" s="13"/>
      <c r="Q29" s="16"/>
      <c r="R29" s="16"/>
      <c r="S29" s="16"/>
      <c r="T29" s="16"/>
      <c r="U29" s="17"/>
      <c r="V29" s="13"/>
      <c r="W29" s="13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19" t="s">
        <v>84</v>
      </c>
      <c r="B30" s="18" t="s">
        <v>85</v>
      </c>
      <c r="C30" s="18" t="s">
        <v>46</v>
      </c>
      <c r="D30" s="18">
        <v>10712858000132</v>
      </c>
      <c r="E30" s="18"/>
      <c r="F30" s="18" t="s">
        <v>86</v>
      </c>
      <c r="G30" s="18" t="s">
        <v>13</v>
      </c>
      <c r="H30" s="18" t="s">
        <v>5</v>
      </c>
      <c r="I30" s="18"/>
      <c r="J30" s="18"/>
      <c r="K30" s="18"/>
      <c r="L30" s="18"/>
      <c r="M30" s="18" t="s">
        <v>373</v>
      </c>
      <c r="N30" s="18"/>
      <c r="O30" s="18" t="s">
        <v>346</v>
      </c>
      <c r="P30" s="18"/>
      <c r="Q30" s="21"/>
      <c r="R30" s="21"/>
      <c r="S30" s="21"/>
      <c r="T30" s="21"/>
      <c r="U30" s="22"/>
      <c r="V30" s="18"/>
      <c r="W30" s="18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14" t="s">
        <v>87</v>
      </c>
      <c r="B31" s="13" t="s">
        <v>61</v>
      </c>
      <c r="C31" s="13" t="s">
        <v>62</v>
      </c>
      <c r="D31" s="13">
        <v>53665434000177</v>
      </c>
      <c r="E31" s="13"/>
      <c r="F31" s="13" t="s">
        <v>63</v>
      </c>
      <c r="G31" s="13" t="s">
        <v>4</v>
      </c>
      <c r="H31" s="13" t="s">
        <v>5</v>
      </c>
      <c r="I31" s="13"/>
      <c r="J31" s="13"/>
      <c r="K31" s="13"/>
      <c r="L31" s="13"/>
      <c r="M31" s="13" t="s">
        <v>375</v>
      </c>
      <c r="N31" s="13"/>
      <c r="O31" s="13" t="s">
        <v>346</v>
      </c>
      <c r="P31" s="13"/>
      <c r="Q31" s="16"/>
      <c r="R31" s="16"/>
      <c r="S31" s="16"/>
      <c r="T31" s="16"/>
      <c r="U31" s="17"/>
      <c r="V31" s="13"/>
      <c r="W31" s="13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19" t="s">
        <v>88</v>
      </c>
      <c r="B32" s="18" t="s">
        <v>61</v>
      </c>
      <c r="C32" s="18" t="s">
        <v>62</v>
      </c>
      <c r="D32" s="18">
        <v>53665515000177</v>
      </c>
      <c r="E32" s="18"/>
      <c r="F32" s="18" t="s">
        <v>63</v>
      </c>
      <c r="G32" s="18" t="s">
        <v>4</v>
      </c>
      <c r="H32" s="18" t="s">
        <v>5</v>
      </c>
      <c r="I32" s="18"/>
      <c r="J32" s="18"/>
      <c r="K32" s="18"/>
      <c r="L32" s="18"/>
      <c r="M32" s="18" t="s">
        <v>375</v>
      </c>
      <c r="N32" s="18"/>
      <c r="O32" s="18" t="s">
        <v>346</v>
      </c>
      <c r="P32" s="18"/>
      <c r="Q32" s="21"/>
      <c r="R32" s="21"/>
      <c r="S32" s="21"/>
      <c r="T32" s="21"/>
      <c r="U32" s="22"/>
      <c r="V32" s="18"/>
      <c r="W32" s="18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14" t="s">
        <v>89</v>
      </c>
      <c r="B33" s="13" t="s">
        <v>61</v>
      </c>
      <c r="C33" s="13" t="s">
        <v>62</v>
      </c>
      <c r="D33" s="13">
        <v>53666225000148</v>
      </c>
      <c r="E33" s="13"/>
      <c r="F33" s="13" t="s">
        <v>63</v>
      </c>
      <c r="G33" s="13" t="s">
        <v>4</v>
      </c>
      <c r="H33" s="13" t="s">
        <v>5</v>
      </c>
      <c r="I33" s="13"/>
      <c r="J33" s="13"/>
      <c r="K33" s="13"/>
      <c r="L33" s="13"/>
      <c r="M33" s="13" t="s">
        <v>375</v>
      </c>
      <c r="N33" s="13"/>
      <c r="O33" s="13" t="s">
        <v>346</v>
      </c>
      <c r="P33" s="13"/>
      <c r="Q33" s="16"/>
      <c r="R33" s="16"/>
      <c r="S33" s="16"/>
      <c r="T33" s="16"/>
      <c r="U33" s="17"/>
      <c r="V33" s="13"/>
      <c r="W33" s="13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19" t="s">
        <v>90</v>
      </c>
      <c r="B34" s="18" t="s">
        <v>61</v>
      </c>
      <c r="C34" s="18" t="s">
        <v>62</v>
      </c>
      <c r="D34" s="18">
        <v>17845752000156</v>
      </c>
      <c r="E34" s="18"/>
      <c r="F34" s="18" t="s">
        <v>63</v>
      </c>
      <c r="G34" s="18" t="s">
        <v>41</v>
      </c>
      <c r="H34" s="18" t="s">
        <v>5</v>
      </c>
      <c r="I34" s="18"/>
      <c r="J34" s="18"/>
      <c r="K34" s="18"/>
      <c r="L34" s="18"/>
      <c r="M34" s="18" t="s">
        <v>376</v>
      </c>
      <c r="N34" s="18"/>
      <c r="O34" s="18" t="s">
        <v>346</v>
      </c>
      <c r="P34" s="18"/>
      <c r="Q34" s="21"/>
      <c r="R34" s="21"/>
      <c r="S34" s="21"/>
      <c r="T34" s="21"/>
      <c r="U34" s="22"/>
      <c r="V34" s="18"/>
      <c r="W34" s="18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14" t="s">
        <v>91</v>
      </c>
      <c r="B35" s="13" t="s">
        <v>61</v>
      </c>
      <c r="C35" s="13" t="s">
        <v>62</v>
      </c>
      <c r="D35" s="13">
        <v>17813257000165</v>
      </c>
      <c r="E35" s="13"/>
      <c r="F35" s="13" t="s">
        <v>63</v>
      </c>
      <c r="G35" s="13" t="s">
        <v>13</v>
      </c>
      <c r="H35" s="13" t="s">
        <v>5</v>
      </c>
      <c r="I35" s="13"/>
      <c r="J35" s="13"/>
      <c r="K35" s="13"/>
      <c r="L35" s="13"/>
      <c r="M35" s="13" t="s">
        <v>377</v>
      </c>
      <c r="N35" s="13"/>
      <c r="O35" s="13" t="s">
        <v>346</v>
      </c>
      <c r="P35" s="13"/>
      <c r="Q35" s="16"/>
      <c r="R35" s="16"/>
      <c r="S35" s="16"/>
      <c r="T35" s="16"/>
      <c r="U35" s="17"/>
      <c r="V35" s="13"/>
      <c r="W35" s="13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19" t="s">
        <v>92</v>
      </c>
      <c r="B36" s="18" t="s">
        <v>1</v>
      </c>
      <c r="C36" s="18" t="s">
        <v>93</v>
      </c>
      <c r="D36" s="18" t="s">
        <v>94</v>
      </c>
      <c r="E36" s="18"/>
      <c r="F36" s="18" t="s">
        <v>3</v>
      </c>
      <c r="G36" s="18" t="s">
        <v>4</v>
      </c>
      <c r="H36" s="18" t="s">
        <v>5</v>
      </c>
      <c r="I36" s="18"/>
      <c r="J36" s="18"/>
      <c r="K36" s="18"/>
      <c r="L36" s="18"/>
      <c r="M36" s="18" t="s">
        <v>373</v>
      </c>
      <c r="N36" s="18"/>
      <c r="O36" s="18" t="s">
        <v>346</v>
      </c>
      <c r="P36" s="18"/>
      <c r="Q36" s="21"/>
      <c r="R36" s="20" t="s">
        <v>398</v>
      </c>
      <c r="S36" s="21"/>
      <c r="T36" s="21"/>
      <c r="U36" s="22"/>
      <c r="V36" s="18"/>
      <c r="W36" s="18"/>
      <c r="X36" s="23" t="str">
        <f t="shared" si="6"/>
        <v>OK</v>
      </c>
      <c r="Y36" s="23" t="str">
        <f t="shared" si="7"/>
        <v>REST OK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14" t="s">
        <v>95</v>
      </c>
      <c r="B37" s="13" t="s">
        <v>96</v>
      </c>
      <c r="C37" s="13" t="s">
        <v>97</v>
      </c>
      <c r="D37" s="13" t="s">
        <v>98</v>
      </c>
      <c r="E37" s="13"/>
      <c r="F37" s="13" t="s">
        <v>99</v>
      </c>
      <c r="G37" s="13" t="s">
        <v>41</v>
      </c>
      <c r="H37" s="13" t="s">
        <v>14</v>
      </c>
      <c r="I37" s="13"/>
      <c r="J37" s="13"/>
      <c r="K37" s="13"/>
      <c r="L37" s="13"/>
      <c r="M37" s="13" t="s">
        <v>379</v>
      </c>
      <c r="N37" s="13" t="s">
        <v>358</v>
      </c>
      <c r="O37" s="13" t="s">
        <v>346</v>
      </c>
      <c r="P37" s="13"/>
      <c r="Q37" s="16"/>
      <c r="R37" s="16"/>
      <c r="S37" s="16"/>
      <c r="T37" s="16"/>
      <c r="U37" s="17"/>
      <c r="V37" s="13"/>
      <c r="W37" s="13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19" t="s">
        <v>95</v>
      </c>
      <c r="B38" s="18" t="s">
        <v>96</v>
      </c>
      <c r="C38" s="18" t="s">
        <v>97</v>
      </c>
      <c r="D38" s="18" t="s">
        <v>100</v>
      </c>
      <c r="E38" s="18"/>
      <c r="F38" s="18" t="s">
        <v>99</v>
      </c>
      <c r="G38" s="18" t="s">
        <v>13</v>
      </c>
      <c r="H38" s="18" t="s">
        <v>14</v>
      </c>
      <c r="I38" s="18"/>
      <c r="J38" s="18"/>
      <c r="K38" s="18"/>
      <c r="L38" s="18"/>
      <c r="M38" s="18" t="s">
        <v>378</v>
      </c>
      <c r="N38" s="18" t="s">
        <v>358</v>
      </c>
      <c r="O38" s="18" t="s">
        <v>346</v>
      </c>
      <c r="P38" s="18"/>
      <c r="Q38" s="21"/>
      <c r="R38" s="21"/>
      <c r="S38" s="21"/>
      <c r="T38" s="21"/>
      <c r="U38" s="22"/>
      <c r="V38" s="18"/>
      <c r="W38" s="18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14" t="s">
        <v>95</v>
      </c>
      <c r="B39" s="13" t="s">
        <v>96</v>
      </c>
      <c r="C39" s="13" t="s">
        <v>97</v>
      </c>
      <c r="D39" s="13" t="s">
        <v>101</v>
      </c>
      <c r="E39" s="13"/>
      <c r="F39" s="13" t="s">
        <v>99</v>
      </c>
      <c r="G39" s="13" t="s">
        <v>13</v>
      </c>
      <c r="H39" s="13" t="s">
        <v>14</v>
      </c>
      <c r="I39" s="13"/>
      <c r="J39" s="13"/>
      <c r="K39" s="13"/>
      <c r="L39" s="13"/>
      <c r="M39" s="13" t="s">
        <v>378</v>
      </c>
      <c r="N39" s="13" t="s">
        <v>358</v>
      </c>
      <c r="O39" s="13" t="s">
        <v>346</v>
      </c>
      <c r="P39" s="13"/>
      <c r="Q39" s="16"/>
      <c r="R39" s="16"/>
      <c r="S39" s="16"/>
      <c r="T39" s="16"/>
      <c r="U39" s="17"/>
      <c r="V39" s="13"/>
      <c r="W39" s="13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19" t="s">
        <v>95</v>
      </c>
      <c r="B40" s="18" t="s">
        <v>96</v>
      </c>
      <c r="C40" s="18" t="s">
        <v>97</v>
      </c>
      <c r="D40" s="18" t="s">
        <v>102</v>
      </c>
      <c r="E40" s="18"/>
      <c r="F40" s="18" t="s">
        <v>99</v>
      </c>
      <c r="G40" s="18" t="s">
        <v>13</v>
      </c>
      <c r="H40" s="18" t="s">
        <v>14</v>
      </c>
      <c r="I40" s="18"/>
      <c r="J40" s="18"/>
      <c r="K40" s="18"/>
      <c r="L40" s="18"/>
      <c r="M40" s="18" t="s">
        <v>378</v>
      </c>
      <c r="N40" s="18" t="s">
        <v>358</v>
      </c>
      <c r="O40" s="18" t="s">
        <v>346</v>
      </c>
      <c r="P40" s="18"/>
      <c r="Q40" s="21"/>
      <c r="R40" s="21"/>
      <c r="S40" s="21"/>
      <c r="T40" s="21"/>
      <c r="U40" s="22"/>
      <c r="V40" s="18"/>
      <c r="W40" s="18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14" t="s">
        <v>95</v>
      </c>
      <c r="B41" s="13" t="s">
        <v>96</v>
      </c>
      <c r="C41" s="13" t="s">
        <v>97</v>
      </c>
      <c r="D41" s="13" t="s">
        <v>103</v>
      </c>
      <c r="E41" s="13"/>
      <c r="F41" s="13" t="s">
        <v>99</v>
      </c>
      <c r="G41" s="13" t="s">
        <v>13</v>
      </c>
      <c r="H41" s="13" t="s">
        <v>14</v>
      </c>
      <c r="I41" s="13"/>
      <c r="J41" s="13"/>
      <c r="K41" s="13"/>
      <c r="L41" s="13"/>
      <c r="M41" s="13" t="s">
        <v>378</v>
      </c>
      <c r="N41" s="13" t="s">
        <v>358</v>
      </c>
      <c r="O41" s="13" t="s">
        <v>346</v>
      </c>
      <c r="P41" s="13"/>
      <c r="Q41" s="16"/>
      <c r="R41" s="16"/>
      <c r="S41" s="16"/>
      <c r="T41" s="16"/>
      <c r="U41" s="17"/>
      <c r="V41" s="13"/>
      <c r="W41" s="13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19" t="s">
        <v>95</v>
      </c>
      <c r="B42" s="18" t="s">
        <v>96</v>
      </c>
      <c r="C42" s="18" t="s">
        <v>104</v>
      </c>
      <c r="D42" s="18" t="s">
        <v>105</v>
      </c>
      <c r="E42" s="18"/>
      <c r="F42" s="18" t="s">
        <v>99</v>
      </c>
      <c r="G42" s="18" t="s">
        <v>13</v>
      </c>
      <c r="H42" s="18" t="s">
        <v>14</v>
      </c>
      <c r="I42" s="18"/>
      <c r="J42" s="18"/>
      <c r="K42" s="18"/>
      <c r="L42" s="18"/>
      <c r="M42" s="18" t="s">
        <v>378</v>
      </c>
      <c r="N42" s="18" t="s">
        <v>358</v>
      </c>
      <c r="O42" s="18" t="s">
        <v>346</v>
      </c>
      <c r="P42" s="18"/>
      <c r="Q42" s="21"/>
      <c r="R42" s="21"/>
      <c r="S42" s="21"/>
      <c r="T42" s="21"/>
      <c r="U42" s="22"/>
      <c r="V42" s="18"/>
      <c r="W42" s="18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14" t="s">
        <v>95</v>
      </c>
      <c r="B43" s="13" t="s">
        <v>96</v>
      </c>
      <c r="C43" s="13" t="s">
        <v>104</v>
      </c>
      <c r="D43" s="13" t="s">
        <v>106</v>
      </c>
      <c r="E43" s="13"/>
      <c r="F43" s="13" t="s">
        <v>99</v>
      </c>
      <c r="G43" s="13" t="s">
        <v>13</v>
      </c>
      <c r="H43" s="13" t="s">
        <v>14</v>
      </c>
      <c r="I43" s="13"/>
      <c r="J43" s="13"/>
      <c r="K43" s="13"/>
      <c r="L43" s="13"/>
      <c r="M43" s="13" t="s">
        <v>378</v>
      </c>
      <c r="N43" s="13" t="s">
        <v>358</v>
      </c>
      <c r="O43" s="13" t="s">
        <v>346</v>
      </c>
      <c r="P43" s="13"/>
      <c r="Q43" s="16"/>
      <c r="R43" s="16"/>
      <c r="S43" s="16"/>
      <c r="T43" s="16"/>
      <c r="U43" s="17"/>
      <c r="V43" s="13"/>
      <c r="W43" s="13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19" t="s">
        <v>107</v>
      </c>
      <c r="B44" s="18" t="s">
        <v>108</v>
      </c>
      <c r="C44" s="18" t="s">
        <v>62</v>
      </c>
      <c r="D44" s="18">
        <v>50056304000149</v>
      </c>
      <c r="E44" s="18"/>
      <c r="F44" s="18" t="s">
        <v>109</v>
      </c>
      <c r="G44" s="18" t="s">
        <v>4</v>
      </c>
      <c r="H44" s="18" t="s">
        <v>49</v>
      </c>
      <c r="I44" s="18"/>
      <c r="J44" s="18"/>
      <c r="K44" s="18"/>
      <c r="L44" s="18"/>
      <c r="M44" s="18" t="s">
        <v>375</v>
      </c>
      <c r="N44" s="18"/>
      <c r="O44" s="18" t="s">
        <v>346</v>
      </c>
      <c r="P44" s="18"/>
      <c r="Q44" s="21"/>
      <c r="R44" s="21"/>
      <c r="S44" s="21"/>
      <c r="T44" s="21"/>
      <c r="U44" s="22"/>
      <c r="V44" s="18"/>
      <c r="W44" s="18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14" t="s">
        <v>110</v>
      </c>
      <c r="B45" s="13" t="s">
        <v>108</v>
      </c>
      <c r="C45" s="13" t="s">
        <v>62</v>
      </c>
      <c r="D45" s="13">
        <v>59971731000127</v>
      </c>
      <c r="E45" s="13"/>
      <c r="F45" s="13" t="s">
        <v>109</v>
      </c>
      <c r="G45" s="13" t="s">
        <v>4</v>
      </c>
      <c r="H45" s="13" t="s">
        <v>49</v>
      </c>
      <c r="I45" s="13"/>
      <c r="J45" s="13"/>
      <c r="K45" s="13"/>
      <c r="L45" s="13"/>
      <c r="M45" s="13" t="s">
        <v>375</v>
      </c>
      <c r="N45" s="13"/>
      <c r="O45" s="13" t="s">
        <v>346</v>
      </c>
      <c r="P45" s="13"/>
      <c r="Q45" s="16"/>
      <c r="R45" s="16"/>
      <c r="S45" s="16"/>
      <c r="T45" s="16"/>
      <c r="U45" s="17"/>
      <c r="V45" s="13"/>
      <c r="W45" s="13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19" t="s">
        <v>111</v>
      </c>
      <c r="B46" s="18" t="s">
        <v>108</v>
      </c>
      <c r="C46" s="18" t="s">
        <v>69</v>
      </c>
      <c r="D46" s="18" t="s">
        <v>112</v>
      </c>
      <c r="E46" s="18"/>
      <c r="F46" s="18" t="s">
        <v>113</v>
      </c>
      <c r="G46" s="18" t="s">
        <v>13</v>
      </c>
      <c r="H46" s="18" t="s">
        <v>49</v>
      </c>
      <c r="I46" s="18"/>
      <c r="J46" s="18"/>
      <c r="K46" s="18"/>
      <c r="L46" s="18"/>
      <c r="M46" s="18" t="s">
        <v>373</v>
      </c>
      <c r="N46" s="18"/>
      <c r="O46" s="18" t="s">
        <v>344</v>
      </c>
      <c r="P46" s="18"/>
      <c r="Q46" s="21"/>
      <c r="R46" s="21"/>
      <c r="S46" s="21"/>
      <c r="T46" s="21"/>
      <c r="U46" s="22"/>
      <c r="V46" s="18"/>
      <c r="W46" s="18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14" t="s">
        <v>114</v>
      </c>
      <c r="B47" s="13" t="s">
        <v>115</v>
      </c>
      <c r="C47" s="13" t="s">
        <v>116</v>
      </c>
      <c r="D47" s="13" t="s">
        <v>117</v>
      </c>
      <c r="E47" s="13"/>
      <c r="F47" s="13" t="s">
        <v>118</v>
      </c>
      <c r="G47" s="13" t="s">
        <v>13</v>
      </c>
      <c r="H47" s="13" t="s">
        <v>14</v>
      </c>
      <c r="I47" s="13"/>
      <c r="J47" s="13"/>
      <c r="K47" s="13"/>
      <c r="L47" s="13"/>
      <c r="M47" s="13" t="s">
        <v>373</v>
      </c>
      <c r="N47" s="13"/>
      <c r="O47" s="13" t="s">
        <v>347</v>
      </c>
      <c r="P47" s="13"/>
      <c r="Q47" s="16"/>
      <c r="R47" s="16"/>
      <c r="S47" s="16"/>
      <c r="T47" s="16"/>
      <c r="U47" s="17"/>
      <c r="V47" s="13"/>
      <c r="W47" s="13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19" t="s">
        <v>119</v>
      </c>
      <c r="B48" s="18" t="s">
        <v>115</v>
      </c>
      <c r="C48" s="18" t="s">
        <v>116</v>
      </c>
      <c r="D48" s="18" t="s">
        <v>120</v>
      </c>
      <c r="E48" s="18"/>
      <c r="F48" s="18" t="s">
        <v>118</v>
      </c>
      <c r="G48" s="18" t="s">
        <v>13</v>
      </c>
      <c r="H48" s="18" t="s">
        <v>14</v>
      </c>
      <c r="I48" s="18"/>
      <c r="J48" s="18"/>
      <c r="K48" s="18"/>
      <c r="L48" s="18"/>
      <c r="M48" s="18" t="s">
        <v>372</v>
      </c>
      <c r="N48" s="18"/>
      <c r="O48" s="18" t="s">
        <v>344</v>
      </c>
      <c r="P48" s="18"/>
      <c r="Q48" s="21"/>
      <c r="R48" s="21"/>
      <c r="S48" s="21"/>
      <c r="T48" s="21"/>
      <c r="U48" s="22"/>
      <c r="V48" s="18"/>
      <c r="W48" s="18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14" t="s">
        <v>121</v>
      </c>
      <c r="B49" s="13" t="s">
        <v>115</v>
      </c>
      <c r="C49" s="13" t="s">
        <v>122</v>
      </c>
      <c r="D49" s="13">
        <v>44742752000101</v>
      </c>
      <c r="E49" s="13"/>
      <c r="F49" s="13" t="s">
        <v>118</v>
      </c>
      <c r="G49" s="13" t="s">
        <v>4</v>
      </c>
      <c r="H49" s="13" t="s">
        <v>5</v>
      </c>
      <c r="I49" s="13"/>
      <c r="J49" s="13"/>
      <c r="K49" s="13"/>
      <c r="L49" s="13"/>
      <c r="M49" s="13" t="s">
        <v>372</v>
      </c>
      <c r="N49" s="13"/>
      <c r="O49" s="13" t="s">
        <v>346</v>
      </c>
      <c r="P49" s="13"/>
      <c r="Q49" s="16"/>
      <c r="R49" s="16"/>
      <c r="S49" s="16"/>
      <c r="T49" s="16"/>
      <c r="U49" s="17"/>
      <c r="V49" s="13"/>
      <c r="W49" s="13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19" t="s">
        <v>123</v>
      </c>
      <c r="B50" s="18" t="s">
        <v>115</v>
      </c>
      <c r="C50" s="18" t="s">
        <v>116</v>
      </c>
      <c r="D50" s="18" t="s">
        <v>124</v>
      </c>
      <c r="E50" s="18"/>
      <c r="F50" s="18" t="s">
        <v>125</v>
      </c>
      <c r="G50" s="18" t="s">
        <v>13</v>
      </c>
      <c r="H50" s="18" t="s">
        <v>14</v>
      </c>
      <c r="I50" s="18"/>
      <c r="J50" s="18"/>
      <c r="K50" s="18"/>
      <c r="L50" s="18"/>
      <c r="M50" s="18" t="s">
        <v>375</v>
      </c>
      <c r="N50" s="18"/>
      <c r="O50" s="18" t="s">
        <v>346</v>
      </c>
      <c r="P50" s="18"/>
      <c r="Q50" s="21"/>
      <c r="R50" s="21"/>
      <c r="S50" s="21"/>
      <c r="T50" s="21"/>
      <c r="U50" s="22"/>
      <c r="V50" s="18"/>
      <c r="W50" s="18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14" t="s">
        <v>126</v>
      </c>
      <c r="B51" s="13" t="s">
        <v>115</v>
      </c>
      <c r="C51" s="13" t="s">
        <v>122</v>
      </c>
      <c r="D51" s="13">
        <v>44777527000100</v>
      </c>
      <c r="E51" s="13"/>
      <c r="F51" s="13" t="s">
        <v>125</v>
      </c>
      <c r="G51" s="13" t="s">
        <v>4</v>
      </c>
      <c r="H51" s="13" t="s">
        <v>5</v>
      </c>
      <c r="I51" s="13"/>
      <c r="J51" s="13"/>
      <c r="K51" s="13"/>
      <c r="L51" s="13"/>
      <c r="M51" s="13" t="s">
        <v>375</v>
      </c>
      <c r="N51" s="13"/>
      <c r="O51" s="13" t="s">
        <v>346</v>
      </c>
      <c r="P51" s="13"/>
      <c r="Q51" s="16"/>
      <c r="R51" s="16"/>
      <c r="S51" s="16"/>
      <c r="T51" s="16"/>
      <c r="U51" s="17"/>
      <c r="V51" s="13"/>
      <c r="W51" s="13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19" t="s">
        <v>127</v>
      </c>
      <c r="B52" s="18" t="s">
        <v>115</v>
      </c>
      <c r="C52" s="18" t="s">
        <v>122</v>
      </c>
      <c r="D52" s="18">
        <v>44796284000140</v>
      </c>
      <c r="E52" s="18"/>
      <c r="F52" s="18" t="s">
        <v>125</v>
      </c>
      <c r="G52" s="18" t="s">
        <v>4</v>
      </c>
      <c r="H52" s="18" t="s">
        <v>5</v>
      </c>
      <c r="I52" s="18"/>
      <c r="J52" s="18"/>
      <c r="K52" s="18"/>
      <c r="L52" s="18"/>
      <c r="M52" s="18" t="s">
        <v>375</v>
      </c>
      <c r="N52" s="18"/>
      <c r="O52" s="18" t="s">
        <v>346</v>
      </c>
      <c r="P52" s="18"/>
      <c r="Q52" s="21"/>
      <c r="R52" s="21"/>
      <c r="S52" s="21"/>
      <c r="T52" s="21"/>
      <c r="U52" s="22"/>
      <c r="V52" s="18"/>
      <c r="W52" s="18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14" t="s">
        <v>128</v>
      </c>
      <c r="B53" s="13" t="s">
        <v>129</v>
      </c>
      <c r="C53" s="13" t="s">
        <v>16</v>
      </c>
      <c r="D53" s="13" t="s">
        <v>130</v>
      </c>
      <c r="E53" s="13"/>
      <c r="F53" s="13" t="s">
        <v>109</v>
      </c>
      <c r="G53" s="13" t="s">
        <v>13</v>
      </c>
      <c r="H53" s="13" t="s">
        <v>14</v>
      </c>
      <c r="I53" s="13"/>
      <c r="J53" s="13"/>
      <c r="K53" s="13"/>
      <c r="L53" s="13"/>
      <c r="M53" s="13" t="s">
        <v>380</v>
      </c>
      <c r="N53" s="13"/>
      <c r="O53" s="13"/>
      <c r="P53" s="13"/>
      <c r="Q53" s="16"/>
      <c r="R53" s="15" t="s">
        <v>402</v>
      </c>
      <c r="S53" s="16"/>
      <c r="T53" s="16"/>
      <c r="U53" s="17"/>
      <c r="V53" s="13"/>
      <c r="W53" s="13"/>
      <c r="X53" s="23" t="str">
        <f t="shared" si="6"/>
        <v>OK</v>
      </c>
      <c r="Y53" s="23" t="str">
        <f t="shared" si="7"/>
        <v>REST OK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19" t="s">
        <v>131</v>
      </c>
      <c r="B54" s="18" t="s">
        <v>132</v>
      </c>
      <c r="C54" s="18" t="s">
        <v>62</v>
      </c>
      <c r="D54" s="18">
        <v>19318532000108</v>
      </c>
      <c r="E54" s="18"/>
      <c r="F54" s="18" t="s">
        <v>66</v>
      </c>
      <c r="G54" s="18" t="s">
        <v>4</v>
      </c>
      <c r="H54" s="18" t="s">
        <v>5</v>
      </c>
      <c r="I54" s="18"/>
      <c r="J54" s="18"/>
      <c r="K54" s="18"/>
      <c r="L54" s="18"/>
      <c r="M54" s="18" t="s">
        <v>373</v>
      </c>
      <c r="N54" s="18"/>
      <c r="O54" s="18" t="s">
        <v>344</v>
      </c>
      <c r="P54" s="18"/>
      <c r="Q54" s="21"/>
      <c r="R54" s="21"/>
      <c r="S54" s="21"/>
      <c r="T54" s="21"/>
      <c r="U54" s="22"/>
      <c r="V54" s="18"/>
      <c r="W54" s="18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14" t="s">
        <v>133</v>
      </c>
      <c r="B55" s="13" t="s">
        <v>134</v>
      </c>
      <c r="C55" s="13" t="s">
        <v>116</v>
      </c>
      <c r="D55" s="13" t="s">
        <v>135</v>
      </c>
      <c r="E55" s="13"/>
      <c r="F55" s="13" t="s">
        <v>136</v>
      </c>
      <c r="G55" s="13" t="s">
        <v>41</v>
      </c>
      <c r="H55" s="13" t="s">
        <v>5</v>
      </c>
      <c r="I55" s="13"/>
      <c r="J55" s="13"/>
      <c r="K55" s="13"/>
      <c r="L55" s="13"/>
      <c r="M55" s="13" t="s">
        <v>375</v>
      </c>
      <c r="N55" s="13"/>
      <c r="O55" s="13" t="s">
        <v>348</v>
      </c>
      <c r="P55" s="13"/>
      <c r="Q55" s="16"/>
      <c r="R55" s="16"/>
      <c r="S55" s="16"/>
      <c r="T55" s="16"/>
      <c r="U55" s="17"/>
      <c r="V55" s="13"/>
      <c r="W55" s="13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19" t="s">
        <v>137</v>
      </c>
      <c r="B56" s="18" t="s">
        <v>134</v>
      </c>
      <c r="C56" s="18" t="s">
        <v>122</v>
      </c>
      <c r="D56" s="18">
        <v>34046667000147</v>
      </c>
      <c r="E56" s="18"/>
      <c r="F56" s="18" t="s">
        <v>138</v>
      </c>
      <c r="G56" s="18" t="s">
        <v>4</v>
      </c>
      <c r="H56" s="18" t="s">
        <v>5</v>
      </c>
      <c r="I56" s="18"/>
      <c r="J56" s="18"/>
      <c r="K56" s="18"/>
      <c r="L56" s="18"/>
      <c r="M56" s="18" t="s">
        <v>381</v>
      </c>
      <c r="N56" s="18"/>
      <c r="O56" s="18" t="s">
        <v>348</v>
      </c>
      <c r="P56" s="18"/>
      <c r="Q56" s="21"/>
      <c r="R56" s="21"/>
      <c r="S56" s="21"/>
      <c r="T56" s="21"/>
      <c r="U56" s="22"/>
      <c r="V56" s="18"/>
      <c r="W56" s="18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14" t="s">
        <v>139</v>
      </c>
      <c r="B57" s="13" t="s">
        <v>134</v>
      </c>
      <c r="C57" s="13" t="s">
        <v>122</v>
      </c>
      <c r="D57" s="13">
        <v>40932575000167</v>
      </c>
      <c r="E57" s="13"/>
      <c r="F57" s="13" t="s">
        <v>140</v>
      </c>
      <c r="G57" s="13" t="s">
        <v>4</v>
      </c>
      <c r="H57" s="13" t="s">
        <v>5</v>
      </c>
      <c r="I57" s="13"/>
      <c r="J57" s="13"/>
      <c r="K57" s="13"/>
      <c r="L57" s="13"/>
      <c r="M57" s="13" t="s">
        <v>375</v>
      </c>
      <c r="N57" s="13"/>
      <c r="O57" s="13" t="s">
        <v>348</v>
      </c>
      <c r="P57" s="13"/>
      <c r="Q57" s="16"/>
      <c r="R57" s="16"/>
      <c r="S57" s="16"/>
      <c r="T57" s="16"/>
      <c r="U57" s="17"/>
      <c r="V57" s="13"/>
      <c r="W57" s="13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19" t="s">
        <v>141</v>
      </c>
      <c r="B58" s="18" t="s">
        <v>142</v>
      </c>
      <c r="C58" s="18" t="s">
        <v>62</v>
      </c>
      <c r="D58" s="18" t="s">
        <v>143</v>
      </c>
      <c r="E58" s="18"/>
      <c r="F58" s="18" t="s">
        <v>144</v>
      </c>
      <c r="G58" s="18" t="s">
        <v>13</v>
      </c>
      <c r="H58" s="18" t="s">
        <v>49</v>
      </c>
      <c r="I58" s="18"/>
      <c r="J58" s="18"/>
      <c r="K58" s="18"/>
      <c r="L58" s="18"/>
      <c r="M58" s="18" t="s">
        <v>381</v>
      </c>
      <c r="N58" s="18"/>
      <c r="O58" s="18" t="s">
        <v>344</v>
      </c>
      <c r="P58" s="18"/>
      <c r="Q58" s="21"/>
      <c r="R58" s="21"/>
      <c r="S58" s="21"/>
      <c r="T58" s="21"/>
      <c r="U58" s="22"/>
      <c r="V58" s="18"/>
      <c r="W58" s="18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14" t="s">
        <v>145</v>
      </c>
      <c r="B59" s="13" t="s">
        <v>142</v>
      </c>
      <c r="C59" s="13" t="s">
        <v>62</v>
      </c>
      <c r="D59" s="13">
        <v>60906391000130</v>
      </c>
      <c r="E59" s="13"/>
      <c r="F59" s="13" t="s">
        <v>144</v>
      </c>
      <c r="G59" s="13" t="s">
        <v>4</v>
      </c>
      <c r="H59" s="13" t="s">
        <v>49</v>
      </c>
      <c r="I59" s="13"/>
      <c r="J59" s="13"/>
      <c r="K59" s="13"/>
      <c r="L59" s="13"/>
      <c r="M59" s="13" t="s">
        <v>381</v>
      </c>
      <c r="N59" s="13"/>
      <c r="O59" s="13" t="s">
        <v>348</v>
      </c>
      <c r="P59" s="13"/>
      <c r="Q59" s="16"/>
      <c r="R59" s="16"/>
      <c r="S59" s="16"/>
      <c r="T59" s="16"/>
      <c r="U59" s="17"/>
      <c r="V59" s="13"/>
      <c r="W59" s="13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19" t="s">
        <v>146</v>
      </c>
      <c r="B60" s="18" t="s">
        <v>75</v>
      </c>
      <c r="C60" s="18" t="s">
        <v>62</v>
      </c>
      <c r="D60" s="18">
        <v>41762299000107</v>
      </c>
      <c r="E60" s="18"/>
      <c r="F60" s="18" t="s">
        <v>147</v>
      </c>
      <c r="G60" s="18" t="s">
        <v>4</v>
      </c>
      <c r="H60" s="18" t="s">
        <v>5</v>
      </c>
      <c r="I60" s="18"/>
      <c r="J60" s="18"/>
      <c r="K60" s="18"/>
      <c r="L60" s="18"/>
      <c r="M60" s="18" t="s">
        <v>375</v>
      </c>
      <c r="N60" s="18"/>
      <c r="O60" s="18" t="s">
        <v>349</v>
      </c>
      <c r="P60" s="18"/>
      <c r="Q60" s="21"/>
      <c r="R60" s="21"/>
      <c r="S60" s="21"/>
      <c r="T60" s="21"/>
      <c r="U60" s="22"/>
      <c r="V60" s="18"/>
      <c r="W60" s="18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14" t="s">
        <v>148</v>
      </c>
      <c r="B61" s="13" t="s">
        <v>149</v>
      </c>
      <c r="C61" s="13" t="s">
        <v>59</v>
      </c>
      <c r="D61" s="13">
        <v>52090662000101</v>
      </c>
      <c r="E61" s="13"/>
      <c r="F61" s="13" t="s">
        <v>150</v>
      </c>
      <c r="G61" s="13" t="s">
        <v>4</v>
      </c>
      <c r="H61" s="13" t="s">
        <v>5</v>
      </c>
      <c r="I61" s="13"/>
      <c r="J61" s="13"/>
      <c r="K61" s="13"/>
      <c r="L61" s="13"/>
      <c r="M61" s="13" t="s">
        <v>375</v>
      </c>
      <c r="N61" s="13"/>
      <c r="O61" s="13" t="s">
        <v>348</v>
      </c>
      <c r="P61" s="13"/>
      <c r="Q61" s="16"/>
      <c r="R61" s="16"/>
      <c r="S61" s="16"/>
      <c r="T61" s="16"/>
      <c r="U61" s="17"/>
      <c r="V61" s="13"/>
      <c r="W61" s="13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19" t="s">
        <v>151</v>
      </c>
      <c r="B62" s="18" t="s">
        <v>149</v>
      </c>
      <c r="C62" s="18" t="s">
        <v>46</v>
      </c>
      <c r="D62" s="18" t="s">
        <v>152</v>
      </c>
      <c r="E62" s="18"/>
      <c r="F62" s="18" t="s">
        <v>150</v>
      </c>
      <c r="G62" s="18" t="s">
        <v>13</v>
      </c>
      <c r="H62" s="18" t="s">
        <v>49</v>
      </c>
      <c r="I62" s="18"/>
      <c r="J62" s="18"/>
      <c r="K62" s="18"/>
      <c r="L62" s="18"/>
      <c r="M62" s="18" t="s">
        <v>373</v>
      </c>
      <c r="N62" s="18"/>
      <c r="O62" s="18" t="s">
        <v>344</v>
      </c>
      <c r="P62" s="18"/>
      <c r="Q62" s="21"/>
      <c r="R62" s="21"/>
      <c r="S62" s="21"/>
      <c r="T62" s="21"/>
      <c r="U62" s="22"/>
      <c r="V62" s="18"/>
      <c r="W62" s="18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14" t="s">
        <v>153</v>
      </c>
      <c r="B63" s="13" t="s">
        <v>149</v>
      </c>
      <c r="C63" s="13" t="s">
        <v>46</v>
      </c>
      <c r="D63" s="13" t="s">
        <v>154</v>
      </c>
      <c r="E63" s="13"/>
      <c r="F63" s="13" t="s">
        <v>150</v>
      </c>
      <c r="G63" s="13" t="s">
        <v>13</v>
      </c>
      <c r="H63" s="13" t="s">
        <v>49</v>
      </c>
      <c r="I63" s="13"/>
      <c r="J63" s="13"/>
      <c r="K63" s="13"/>
      <c r="L63" s="13"/>
      <c r="M63" s="13" t="s">
        <v>373</v>
      </c>
      <c r="N63" s="13"/>
      <c r="O63" s="13" t="s">
        <v>344</v>
      </c>
      <c r="P63" s="13"/>
      <c r="Q63" s="16"/>
      <c r="R63" s="16"/>
      <c r="S63" s="16"/>
      <c r="T63" s="16"/>
      <c r="U63" s="17"/>
      <c r="V63" s="13"/>
      <c r="W63" s="13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19" t="s">
        <v>155</v>
      </c>
      <c r="B64" s="18" t="s">
        <v>61</v>
      </c>
      <c r="C64" s="18" t="s">
        <v>62</v>
      </c>
      <c r="D64" s="18">
        <v>8587897000103</v>
      </c>
      <c r="E64" s="18"/>
      <c r="F64" s="18" t="s">
        <v>63</v>
      </c>
      <c r="G64" s="18" t="s">
        <v>41</v>
      </c>
      <c r="H64" s="18" t="s">
        <v>5</v>
      </c>
      <c r="I64" s="18"/>
      <c r="J64" s="18"/>
      <c r="K64" s="18"/>
      <c r="L64" s="18"/>
      <c r="M64" s="18" t="s">
        <v>375</v>
      </c>
      <c r="N64" s="18"/>
      <c r="O64" s="18" t="s">
        <v>348</v>
      </c>
      <c r="P64" s="18"/>
      <c r="Q64" s="21"/>
      <c r="R64" s="21"/>
      <c r="S64" s="21"/>
      <c r="T64" s="21"/>
      <c r="U64" s="22"/>
      <c r="V64" s="18"/>
      <c r="W64" s="18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14" t="s">
        <v>156</v>
      </c>
      <c r="B65" s="13" t="s">
        <v>61</v>
      </c>
      <c r="C65" s="13" t="s">
        <v>62</v>
      </c>
      <c r="D65" s="13">
        <v>17845713000159</v>
      </c>
      <c r="E65" s="13"/>
      <c r="F65" s="13" t="s">
        <v>63</v>
      </c>
      <c r="G65" s="13" t="s">
        <v>41</v>
      </c>
      <c r="H65" s="13" t="s">
        <v>5</v>
      </c>
      <c r="I65" s="13"/>
      <c r="J65" s="13"/>
      <c r="K65" s="13"/>
      <c r="L65" s="13"/>
      <c r="M65" s="13" t="s">
        <v>375</v>
      </c>
      <c r="N65" s="13"/>
      <c r="O65" s="13" t="s">
        <v>348</v>
      </c>
      <c r="P65" s="13"/>
      <c r="Q65" s="16"/>
      <c r="R65" s="16"/>
      <c r="S65" s="16"/>
      <c r="T65" s="16"/>
      <c r="U65" s="17"/>
      <c r="V65" s="13"/>
      <c r="W65" s="13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19" t="s">
        <v>157</v>
      </c>
      <c r="B66" s="18" t="s">
        <v>61</v>
      </c>
      <c r="C66" s="18" t="s">
        <v>62</v>
      </c>
      <c r="D66" s="18">
        <v>37646098000169</v>
      </c>
      <c r="E66" s="18"/>
      <c r="F66" s="18" t="s">
        <v>63</v>
      </c>
      <c r="G66" s="18" t="s">
        <v>41</v>
      </c>
      <c r="H66" s="18" t="s">
        <v>5</v>
      </c>
      <c r="I66" s="18"/>
      <c r="J66" s="18"/>
      <c r="K66" s="18"/>
      <c r="L66" s="18"/>
      <c r="M66" s="18" t="s">
        <v>375</v>
      </c>
      <c r="N66" s="18"/>
      <c r="O66" s="18" t="s">
        <v>350</v>
      </c>
      <c r="P66" s="18"/>
      <c r="Q66" s="21"/>
      <c r="R66" s="21"/>
      <c r="S66" s="21"/>
      <c r="T66" s="21"/>
      <c r="U66" s="22"/>
      <c r="V66" s="18"/>
      <c r="W66" s="18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14" t="s">
        <v>158</v>
      </c>
      <c r="B67" s="13" t="s">
        <v>159</v>
      </c>
      <c r="C67" s="13" t="s">
        <v>62</v>
      </c>
      <c r="D67" s="13">
        <v>44470328000147</v>
      </c>
      <c r="E67" s="13"/>
      <c r="F67" s="13" t="s">
        <v>160</v>
      </c>
      <c r="G67" s="13" t="s">
        <v>4</v>
      </c>
      <c r="H67" s="13" t="s">
        <v>5</v>
      </c>
      <c r="I67" s="13"/>
      <c r="J67" s="13"/>
      <c r="K67" s="13"/>
      <c r="L67" s="13"/>
      <c r="M67" s="13" t="s">
        <v>373</v>
      </c>
      <c r="N67" s="13"/>
      <c r="O67" s="13" t="s">
        <v>344</v>
      </c>
      <c r="P67" s="13"/>
      <c r="Q67" s="16"/>
      <c r="R67" s="16"/>
      <c r="S67" s="16"/>
      <c r="T67" s="16"/>
      <c r="U67" s="17"/>
      <c r="V67" s="13"/>
      <c r="W67" s="13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19" t="s">
        <v>161</v>
      </c>
      <c r="B68" s="18" t="s">
        <v>162</v>
      </c>
      <c r="C68" s="18" t="s">
        <v>163</v>
      </c>
      <c r="D68" s="18" t="s">
        <v>164</v>
      </c>
      <c r="E68" s="18"/>
      <c r="F68" s="18"/>
      <c r="G68" s="18" t="s">
        <v>41</v>
      </c>
      <c r="H68" s="18" t="s">
        <v>14</v>
      </c>
      <c r="I68" s="18"/>
      <c r="J68" s="18"/>
      <c r="K68" s="18"/>
      <c r="L68" s="18"/>
      <c r="M68" s="18" t="s">
        <v>381</v>
      </c>
      <c r="N68" s="18" t="s">
        <v>358</v>
      </c>
      <c r="O68" s="18" t="s">
        <v>358</v>
      </c>
      <c r="P68" s="18"/>
      <c r="Q68" s="21"/>
      <c r="R68" s="21"/>
      <c r="S68" s="21"/>
      <c r="T68" s="21"/>
      <c r="U68" s="22"/>
      <c r="V68" s="18"/>
      <c r="W68" s="18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14" t="s">
        <v>165</v>
      </c>
      <c r="B69" s="13" t="s">
        <v>162</v>
      </c>
      <c r="C69" s="13" t="s">
        <v>163</v>
      </c>
      <c r="D69" s="13" t="s">
        <v>166</v>
      </c>
      <c r="E69" s="13"/>
      <c r="F69" s="13" t="s">
        <v>167</v>
      </c>
      <c r="G69" s="13" t="s">
        <v>13</v>
      </c>
      <c r="H69" s="13" t="s">
        <v>14</v>
      </c>
      <c r="I69" s="13"/>
      <c r="J69" s="13"/>
      <c r="K69" s="13"/>
      <c r="L69" s="13"/>
      <c r="M69" s="13" t="s">
        <v>381</v>
      </c>
      <c r="N69" s="13" t="s">
        <v>358</v>
      </c>
      <c r="O69" s="13" t="s">
        <v>358</v>
      </c>
      <c r="P69" s="13"/>
      <c r="Q69" s="16"/>
      <c r="R69" s="16"/>
      <c r="S69" s="16"/>
      <c r="T69" s="16"/>
      <c r="U69" s="17"/>
      <c r="V69" s="13"/>
      <c r="W69" s="13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19" t="s">
        <v>168</v>
      </c>
      <c r="B70" s="18" t="s">
        <v>162</v>
      </c>
      <c r="C70" s="18" t="s">
        <v>163</v>
      </c>
      <c r="D70" s="18" t="s">
        <v>169</v>
      </c>
      <c r="E70" s="18"/>
      <c r="F70" s="18" t="s">
        <v>167</v>
      </c>
      <c r="G70" s="18" t="s">
        <v>13</v>
      </c>
      <c r="H70" s="18" t="s">
        <v>14</v>
      </c>
      <c r="I70" s="18"/>
      <c r="J70" s="18"/>
      <c r="K70" s="18"/>
      <c r="L70" s="18"/>
      <c r="M70" s="18" t="s">
        <v>381</v>
      </c>
      <c r="N70" s="18" t="s">
        <v>358</v>
      </c>
      <c r="O70" s="18" t="s">
        <v>358</v>
      </c>
      <c r="P70" s="18"/>
      <c r="Q70" s="21"/>
      <c r="R70" s="21"/>
      <c r="S70" s="21"/>
      <c r="T70" s="21"/>
      <c r="U70" s="22"/>
      <c r="V70" s="18"/>
      <c r="W70" s="18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14" t="s">
        <v>170</v>
      </c>
      <c r="B71" s="13" t="s">
        <v>162</v>
      </c>
      <c r="C71" s="13" t="s">
        <v>163</v>
      </c>
      <c r="D71" s="13" t="s">
        <v>171</v>
      </c>
      <c r="E71" s="13"/>
      <c r="F71" s="13" t="s">
        <v>167</v>
      </c>
      <c r="G71" s="13" t="s">
        <v>13</v>
      </c>
      <c r="H71" s="13" t="s">
        <v>14</v>
      </c>
      <c r="I71" s="13"/>
      <c r="J71" s="13"/>
      <c r="K71" s="13"/>
      <c r="L71" s="13"/>
      <c r="M71" s="13" t="s">
        <v>381</v>
      </c>
      <c r="N71" s="13" t="s">
        <v>358</v>
      </c>
      <c r="O71" s="13" t="s">
        <v>358</v>
      </c>
      <c r="P71" s="13"/>
      <c r="Q71" s="16"/>
      <c r="R71" s="16"/>
      <c r="S71" s="16"/>
      <c r="T71" s="16"/>
      <c r="U71" s="17"/>
      <c r="V71" s="13"/>
      <c r="W71" s="13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19" t="s">
        <v>172</v>
      </c>
      <c r="B72" s="18" t="s">
        <v>162</v>
      </c>
      <c r="C72" s="18" t="s">
        <v>163</v>
      </c>
      <c r="D72" s="18" t="s">
        <v>173</v>
      </c>
      <c r="E72" s="18"/>
      <c r="F72" s="18" t="s">
        <v>167</v>
      </c>
      <c r="G72" s="18" t="s">
        <v>13</v>
      </c>
      <c r="H72" s="18" t="s">
        <v>14</v>
      </c>
      <c r="I72" s="18"/>
      <c r="J72" s="18"/>
      <c r="K72" s="18"/>
      <c r="L72" s="18"/>
      <c r="M72" s="18" t="s">
        <v>381</v>
      </c>
      <c r="N72" s="18" t="s">
        <v>358</v>
      </c>
      <c r="O72" s="18" t="s">
        <v>358</v>
      </c>
      <c r="P72" s="18"/>
      <c r="Q72" s="21"/>
      <c r="R72" s="21"/>
      <c r="S72" s="21"/>
      <c r="T72" s="21"/>
      <c r="U72" s="22"/>
      <c r="V72" s="18"/>
      <c r="W72" s="18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14" t="s">
        <v>174</v>
      </c>
      <c r="B73" s="13" t="s">
        <v>162</v>
      </c>
      <c r="C73" s="13" t="s">
        <v>163</v>
      </c>
      <c r="D73" s="13" t="s">
        <v>175</v>
      </c>
      <c r="E73" s="13"/>
      <c r="F73" s="13" t="s">
        <v>167</v>
      </c>
      <c r="G73" s="13" t="s">
        <v>13</v>
      </c>
      <c r="H73" s="13" t="s">
        <v>14</v>
      </c>
      <c r="I73" s="13"/>
      <c r="J73" s="13"/>
      <c r="K73" s="13"/>
      <c r="L73" s="13"/>
      <c r="M73" s="13" t="s">
        <v>381</v>
      </c>
      <c r="N73" s="13" t="s">
        <v>358</v>
      </c>
      <c r="O73" s="13" t="s">
        <v>358</v>
      </c>
      <c r="P73" s="13"/>
      <c r="Q73" s="16"/>
      <c r="R73" s="16"/>
      <c r="S73" s="16"/>
      <c r="T73" s="16"/>
      <c r="U73" s="17"/>
      <c r="V73" s="13"/>
      <c r="W73" s="13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19" t="s">
        <v>176</v>
      </c>
      <c r="B74" s="18" t="s">
        <v>162</v>
      </c>
      <c r="C74" s="18" t="s">
        <v>163</v>
      </c>
      <c r="D74" s="18" t="s">
        <v>177</v>
      </c>
      <c r="E74" s="18"/>
      <c r="F74" s="18"/>
      <c r="G74" s="18" t="s">
        <v>4</v>
      </c>
      <c r="H74" s="18" t="s">
        <v>14</v>
      </c>
      <c r="I74" s="18"/>
      <c r="J74" s="18"/>
      <c r="K74" s="18"/>
      <c r="L74" s="18"/>
      <c r="M74" s="18" t="s">
        <v>381</v>
      </c>
      <c r="N74" s="18" t="s">
        <v>358</v>
      </c>
      <c r="O74" s="18" t="s">
        <v>347</v>
      </c>
      <c r="P74" s="18"/>
      <c r="Q74" s="21"/>
      <c r="R74" s="21"/>
      <c r="S74" s="21"/>
      <c r="T74" s="21"/>
      <c r="U74" s="22"/>
      <c r="V74" s="18"/>
      <c r="W74" s="18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14" t="s">
        <v>178</v>
      </c>
      <c r="B75" s="13" t="s">
        <v>162</v>
      </c>
      <c r="C75" s="13" t="s">
        <v>163</v>
      </c>
      <c r="D75" s="13" t="s">
        <v>179</v>
      </c>
      <c r="E75" s="13"/>
      <c r="F75" s="13"/>
      <c r="G75" s="13" t="s">
        <v>4</v>
      </c>
      <c r="H75" s="13" t="s">
        <v>14</v>
      </c>
      <c r="I75" s="13"/>
      <c r="J75" s="13"/>
      <c r="K75" s="13"/>
      <c r="L75" s="13"/>
      <c r="M75" s="13" t="s">
        <v>381</v>
      </c>
      <c r="N75" s="13" t="s">
        <v>358</v>
      </c>
      <c r="O75" s="13" t="s">
        <v>347</v>
      </c>
      <c r="P75" s="13"/>
      <c r="Q75" s="16"/>
      <c r="R75" s="16"/>
      <c r="S75" s="16"/>
      <c r="T75" s="16"/>
      <c r="U75" s="17"/>
      <c r="V75" s="13"/>
      <c r="W75" s="13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19" t="s">
        <v>180</v>
      </c>
      <c r="B76" s="18" t="s">
        <v>9</v>
      </c>
      <c r="C76" s="18" t="s">
        <v>24</v>
      </c>
      <c r="D76" s="18">
        <v>10977876000146</v>
      </c>
      <c r="E76" s="18"/>
      <c r="F76" s="18" t="s">
        <v>12</v>
      </c>
      <c r="G76" s="18" t="s">
        <v>4</v>
      </c>
      <c r="H76" s="18" t="s">
        <v>5</v>
      </c>
      <c r="I76" s="18"/>
      <c r="J76" s="18"/>
      <c r="K76" s="18"/>
      <c r="L76" s="18"/>
      <c r="M76" s="18" t="s">
        <v>381</v>
      </c>
      <c r="N76" s="18"/>
      <c r="O76" s="18" t="s">
        <v>348</v>
      </c>
      <c r="P76" s="18"/>
      <c r="Q76" s="21"/>
      <c r="R76" s="21"/>
      <c r="S76" s="21"/>
      <c r="T76" s="21"/>
      <c r="U76" s="22"/>
      <c r="V76" s="18"/>
      <c r="W76" s="18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14" t="s">
        <v>181</v>
      </c>
      <c r="B77" s="13" t="s">
        <v>182</v>
      </c>
      <c r="C77" s="13" t="s">
        <v>79</v>
      </c>
      <c r="D77" s="13" t="s">
        <v>183</v>
      </c>
      <c r="E77" s="13"/>
      <c r="F77" s="13" t="s">
        <v>184</v>
      </c>
      <c r="G77" s="13" t="s">
        <v>13</v>
      </c>
      <c r="H77" s="13" t="s">
        <v>5</v>
      </c>
      <c r="I77" s="13"/>
      <c r="J77" s="13"/>
      <c r="K77" s="13"/>
      <c r="L77" s="13"/>
      <c r="M77" s="13" t="s">
        <v>371</v>
      </c>
      <c r="N77" s="13"/>
      <c r="O77" s="13" t="s">
        <v>348</v>
      </c>
      <c r="P77" s="13"/>
      <c r="Q77" s="16"/>
      <c r="R77" s="16"/>
      <c r="S77" s="16"/>
      <c r="T77" s="16"/>
      <c r="U77" s="17"/>
      <c r="V77" s="13"/>
      <c r="W77" s="13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19" t="s">
        <v>185</v>
      </c>
      <c r="B78" s="18" t="s">
        <v>182</v>
      </c>
      <c r="C78" s="18" t="s">
        <v>79</v>
      </c>
      <c r="D78" s="18" t="s">
        <v>186</v>
      </c>
      <c r="E78" s="18"/>
      <c r="F78" s="18" t="s">
        <v>184</v>
      </c>
      <c r="G78" s="18" t="s">
        <v>13</v>
      </c>
      <c r="H78" s="18" t="s">
        <v>14</v>
      </c>
      <c r="I78" s="18"/>
      <c r="J78" s="18"/>
      <c r="K78" s="18"/>
      <c r="L78" s="18"/>
      <c r="M78" s="18" t="s">
        <v>352</v>
      </c>
      <c r="N78" s="18"/>
      <c r="O78" s="18" t="s">
        <v>351</v>
      </c>
      <c r="P78" s="18"/>
      <c r="Q78" s="21"/>
      <c r="R78" s="20" t="s">
        <v>400</v>
      </c>
      <c r="S78" s="21"/>
      <c r="T78" s="21"/>
      <c r="U78" s="22"/>
      <c r="V78" s="18"/>
      <c r="W78" s="18"/>
      <c r="X78" s="23" t="str">
        <f t="shared" si="12"/>
        <v>OK</v>
      </c>
      <c r="Y78" s="23" t="str">
        <f t="shared" si="13"/>
        <v>REST OK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14" t="s">
        <v>187</v>
      </c>
      <c r="B79" s="13" t="s">
        <v>188</v>
      </c>
      <c r="C79" s="13" t="s">
        <v>62</v>
      </c>
      <c r="D79" s="13">
        <v>40920539000183</v>
      </c>
      <c r="E79" s="13"/>
      <c r="F79" s="13" t="s">
        <v>189</v>
      </c>
      <c r="G79" s="13" t="s">
        <v>4</v>
      </c>
      <c r="H79" s="13" t="s">
        <v>5</v>
      </c>
      <c r="I79" s="13"/>
      <c r="J79" s="13"/>
      <c r="K79" s="13"/>
      <c r="L79" s="13"/>
      <c r="M79" s="13" t="s">
        <v>381</v>
      </c>
      <c r="N79" s="13"/>
      <c r="O79" s="13"/>
      <c r="P79" s="13"/>
      <c r="Q79" s="16"/>
      <c r="R79" s="16"/>
      <c r="S79" s="16"/>
      <c r="T79" s="16"/>
      <c r="U79" s="17"/>
      <c r="V79" s="13"/>
      <c r="W79" s="13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19" t="s">
        <v>190</v>
      </c>
      <c r="B80" s="18" t="s">
        <v>188</v>
      </c>
      <c r="C80" s="18" t="s">
        <v>69</v>
      </c>
      <c r="D80" s="18" t="s">
        <v>191</v>
      </c>
      <c r="E80" s="18"/>
      <c r="F80" s="18" t="s">
        <v>189</v>
      </c>
      <c r="G80" s="18" t="s">
        <v>41</v>
      </c>
      <c r="H80" s="18" t="s">
        <v>5</v>
      </c>
      <c r="I80" s="18"/>
      <c r="J80" s="18"/>
      <c r="K80" s="18"/>
      <c r="L80" s="18"/>
      <c r="M80" s="18" t="s">
        <v>375</v>
      </c>
      <c r="N80" s="18"/>
      <c r="O80" s="18" t="s">
        <v>347</v>
      </c>
      <c r="P80" s="18"/>
      <c r="Q80" s="21"/>
      <c r="R80" s="21"/>
      <c r="S80" s="21"/>
      <c r="T80" s="21"/>
      <c r="U80" s="22"/>
      <c r="V80" s="18"/>
      <c r="W80" s="18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14" t="s">
        <v>192</v>
      </c>
      <c r="B81" s="13" t="s">
        <v>188</v>
      </c>
      <c r="C81" s="13" t="s">
        <v>69</v>
      </c>
      <c r="D81" s="13" t="s">
        <v>193</v>
      </c>
      <c r="E81" s="13"/>
      <c r="F81" s="13" t="s">
        <v>189</v>
      </c>
      <c r="G81" s="13" t="s">
        <v>13</v>
      </c>
      <c r="H81" s="13" t="s">
        <v>14</v>
      </c>
      <c r="I81" s="13"/>
      <c r="J81" s="13"/>
      <c r="K81" s="13"/>
      <c r="L81" s="13"/>
      <c r="M81" s="13" t="s">
        <v>382</v>
      </c>
      <c r="N81" s="13"/>
      <c r="O81" s="13" t="s">
        <v>344</v>
      </c>
      <c r="P81" s="13"/>
      <c r="Q81" s="16"/>
      <c r="R81" s="16"/>
      <c r="S81" s="16"/>
      <c r="T81" s="16"/>
      <c r="U81" s="17"/>
      <c r="V81" s="13"/>
      <c r="W81" s="13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19" t="s">
        <v>194</v>
      </c>
      <c r="B82" s="18" t="s">
        <v>1</v>
      </c>
      <c r="C82" s="18" t="s">
        <v>195</v>
      </c>
      <c r="D82" s="18" t="s">
        <v>196</v>
      </c>
      <c r="E82" s="18"/>
      <c r="F82" s="18" t="s">
        <v>3</v>
      </c>
      <c r="G82" s="18" t="s">
        <v>197</v>
      </c>
      <c r="H82" s="18" t="s">
        <v>49</v>
      </c>
      <c r="I82" s="18"/>
      <c r="J82" s="18"/>
      <c r="K82" s="18"/>
      <c r="L82" s="18"/>
      <c r="M82" s="18" t="s">
        <v>372</v>
      </c>
      <c r="N82" s="18" t="s">
        <v>357</v>
      </c>
      <c r="O82" s="18" t="s">
        <v>348</v>
      </c>
      <c r="P82" s="18"/>
      <c r="Q82" s="21"/>
      <c r="R82" s="21"/>
      <c r="S82" s="21"/>
      <c r="T82" s="21"/>
      <c r="U82" s="22"/>
      <c r="V82" s="18"/>
      <c r="W82" s="18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14" t="s">
        <v>198</v>
      </c>
      <c r="B83" s="13" t="s">
        <v>1</v>
      </c>
      <c r="C83" s="13" t="s">
        <v>195</v>
      </c>
      <c r="D83" s="13" t="s">
        <v>199</v>
      </c>
      <c r="E83" s="13"/>
      <c r="F83" s="13" t="s">
        <v>3</v>
      </c>
      <c r="G83" s="13" t="s">
        <v>4</v>
      </c>
      <c r="H83" s="13" t="s">
        <v>49</v>
      </c>
      <c r="I83" s="13"/>
      <c r="J83" s="13"/>
      <c r="K83" s="13"/>
      <c r="L83" s="13"/>
      <c r="M83" s="13" t="s">
        <v>372</v>
      </c>
      <c r="N83" s="13" t="s">
        <v>357</v>
      </c>
      <c r="O83" s="13" t="s">
        <v>348</v>
      </c>
      <c r="P83" s="13"/>
      <c r="Q83" s="16"/>
      <c r="R83" s="16"/>
      <c r="S83" s="16"/>
      <c r="T83" s="16"/>
      <c r="U83" s="17"/>
      <c r="V83" s="13"/>
      <c r="W83" s="13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19" t="s">
        <v>200</v>
      </c>
      <c r="B84" s="18" t="s">
        <v>1</v>
      </c>
      <c r="C84" s="18" t="s">
        <v>195</v>
      </c>
      <c r="D84" s="18" t="s">
        <v>201</v>
      </c>
      <c r="E84" s="18"/>
      <c r="F84" s="18" t="s">
        <v>3</v>
      </c>
      <c r="G84" s="18" t="s">
        <v>4</v>
      </c>
      <c r="H84" s="18" t="s">
        <v>49</v>
      </c>
      <c r="I84" s="18"/>
      <c r="J84" s="18"/>
      <c r="K84" s="18"/>
      <c r="L84" s="18"/>
      <c r="M84" s="18" t="s">
        <v>372</v>
      </c>
      <c r="N84" s="18" t="s">
        <v>357</v>
      </c>
      <c r="O84" s="18" t="s">
        <v>348</v>
      </c>
      <c r="P84" s="18"/>
      <c r="Q84" s="21"/>
      <c r="R84" s="21"/>
      <c r="S84" s="21"/>
      <c r="T84" s="21"/>
      <c r="U84" s="22"/>
      <c r="V84" s="18"/>
      <c r="W84" s="18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14" t="s">
        <v>202</v>
      </c>
      <c r="B85" s="13" t="s">
        <v>203</v>
      </c>
      <c r="C85" s="13" t="s">
        <v>204</v>
      </c>
      <c r="D85" s="13">
        <v>48579725000102</v>
      </c>
      <c r="E85" s="13"/>
      <c r="F85" s="13" t="s">
        <v>205</v>
      </c>
      <c r="G85" s="13" t="s">
        <v>13</v>
      </c>
      <c r="H85" s="13" t="s">
        <v>5</v>
      </c>
      <c r="I85" s="13"/>
      <c r="J85" s="13"/>
      <c r="K85" s="13"/>
      <c r="L85" s="13"/>
      <c r="M85" s="13" t="s">
        <v>375</v>
      </c>
      <c r="N85" s="13"/>
      <c r="O85" s="13" t="s">
        <v>353</v>
      </c>
      <c r="P85" s="13"/>
      <c r="Q85" s="16"/>
      <c r="R85" s="16"/>
      <c r="S85" s="16"/>
      <c r="T85" s="16"/>
      <c r="U85" s="17"/>
      <c r="V85" s="13"/>
      <c r="W85" s="13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19" t="s">
        <v>206</v>
      </c>
      <c r="B86" s="18" t="s">
        <v>207</v>
      </c>
      <c r="C86" s="18" t="s">
        <v>62</v>
      </c>
      <c r="D86" s="18">
        <v>21879417000146</v>
      </c>
      <c r="E86" s="18"/>
      <c r="F86" s="18" t="s">
        <v>208</v>
      </c>
      <c r="G86" s="18" t="s">
        <v>41</v>
      </c>
      <c r="H86" s="18" t="s">
        <v>5</v>
      </c>
      <c r="I86" s="18"/>
      <c r="J86" s="18"/>
      <c r="K86" s="18"/>
      <c r="L86" s="18"/>
      <c r="M86" s="18" t="s">
        <v>375</v>
      </c>
      <c r="N86" s="18"/>
      <c r="O86" s="18" t="s">
        <v>346</v>
      </c>
      <c r="P86" s="18"/>
      <c r="Q86" s="21"/>
      <c r="R86" s="21"/>
      <c r="S86" s="21"/>
      <c r="T86" s="21"/>
      <c r="U86" s="22"/>
      <c r="V86" s="18"/>
      <c r="W86" s="18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14" t="s">
        <v>209</v>
      </c>
      <c r="B87" s="13" t="s">
        <v>207</v>
      </c>
      <c r="C87" s="13" t="s">
        <v>62</v>
      </c>
      <c r="D87" s="13" t="s">
        <v>384</v>
      </c>
      <c r="E87" s="13"/>
      <c r="F87" s="13" t="s">
        <v>208</v>
      </c>
      <c r="G87" s="13" t="s">
        <v>4</v>
      </c>
      <c r="H87" s="13" t="s">
        <v>5</v>
      </c>
      <c r="I87" s="13"/>
      <c r="J87" s="13"/>
      <c r="K87" s="13"/>
      <c r="L87" s="13"/>
      <c r="M87" s="13" t="s">
        <v>375</v>
      </c>
      <c r="N87" s="13"/>
      <c r="O87" s="13" t="s">
        <v>346</v>
      </c>
      <c r="P87" s="13"/>
      <c r="Q87" s="16"/>
      <c r="R87" s="16"/>
      <c r="S87" s="16"/>
      <c r="T87" s="16"/>
      <c r="U87" s="17"/>
      <c r="V87" s="13"/>
      <c r="W87" s="13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19" t="s">
        <v>210</v>
      </c>
      <c r="B88" s="18" t="s">
        <v>211</v>
      </c>
      <c r="C88" s="18" t="s">
        <v>69</v>
      </c>
      <c r="D88" s="18" t="s">
        <v>383</v>
      </c>
      <c r="E88" s="18"/>
      <c r="F88" s="18"/>
      <c r="G88" s="18" t="s">
        <v>4</v>
      </c>
      <c r="H88" s="18" t="s">
        <v>49</v>
      </c>
      <c r="I88" s="18"/>
      <c r="J88" s="18"/>
      <c r="K88" s="18"/>
      <c r="L88" s="18"/>
      <c r="M88" s="18" t="s">
        <v>375</v>
      </c>
      <c r="N88" s="18"/>
      <c r="O88" s="18" t="s">
        <v>346</v>
      </c>
      <c r="P88" s="18"/>
      <c r="Q88" s="21"/>
      <c r="R88" s="21"/>
      <c r="S88" s="21"/>
      <c r="T88" s="21"/>
      <c r="U88" s="22"/>
      <c r="V88" s="18"/>
      <c r="W88" s="18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14" t="s">
        <v>212</v>
      </c>
      <c r="B89" s="13" t="s">
        <v>211</v>
      </c>
      <c r="C89" s="13" t="s">
        <v>69</v>
      </c>
      <c r="D89" s="1"/>
      <c r="E89" s="13"/>
      <c r="F89" s="13"/>
      <c r="G89" s="13" t="s">
        <v>4</v>
      </c>
      <c r="H89" s="13" t="s">
        <v>49</v>
      </c>
      <c r="I89" s="13"/>
      <c r="J89" s="13"/>
      <c r="K89" s="13"/>
      <c r="L89" s="13"/>
      <c r="M89" s="13" t="s">
        <v>375</v>
      </c>
      <c r="N89" s="13"/>
      <c r="O89" s="13" t="s">
        <v>346</v>
      </c>
      <c r="P89" s="13"/>
      <c r="Q89" s="16"/>
      <c r="R89" s="16"/>
      <c r="S89" s="16"/>
      <c r="T89" s="16"/>
      <c r="U89" s="17"/>
      <c r="V89" s="13"/>
      <c r="W89" s="13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19" t="s">
        <v>213</v>
      </c>
      <c r="B90" s="18" t="s">
        <v>214</v>
      </c>
      <c r="C90" s="18" t="s">
        <v>62</v>
      </c>
      <c r="D90" s="18">
        <v>44868733000118</v>
      </c>
      <c r="E90" s="18"/>
      <c r="F90" s="18" t="s">
        <v>215</v>
      </c>
      <c r="G90" s="18" t="s">
        <v>4</v>
      </c>
      <c r="H90" s="18" t="s">
        <v>5</v>
      </c>
      <c r="I90" s="18"/>
      <c r="J90" s="18"/>
      <c r="K90" s="18"/>
      <c r="L90" s="18"/>
      <c r="M90" s="18" t="s">
        <v>375</v>
      </c>
      <c r="N90" s="18"/>
      <c r="O90" s="18" t="s">
        <v>347</v>
      </c>
      <c r="P90" s="18"/>
      <c r="Q90" s="21"/>
      <c r="R90" s="21"/>
      <c r="S90" s="21"/>
      <c r="T90" s="21"/>
      <c r="U90" s="22"/>
      <c r="V90" s="18"/>
      <c r="W90" s="18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14" t="s">
        <v>216</v>
      </c>
      <c r="B91" s="13" t="s">
        <v>9</v>
      </c>
      <c r="C91" s="13" t="s">
        <v>69</v>
      </c>
      <c r="D91" s="13" t="s">
        <v>217</v>
      </c>
      <c r="E91" s="13"/>
      <c r="F91" s="13" t="s">
        <v>12</v>
      </c>
      <c r="G91" s="13" t="s">
        <v>13</v>
      </c>
      <c r="H91" s="13" t="s">
        <v>49</v>
      </c>
      <c r="I91" s="13"/>
      <c r="J91" s="13"/>
      <c r="K91" s="13"/>
      <c r="L91" s="13"/>
      <c r="M91" s="13" t="s">
        <v>375</v>
      </c>
      <c r="N91" s="13"/>
      <c r="O91" s="13" t="s">
        <v>346</v>
      </c>
      <c r="P91" s="13"/>
      <c r="Q91" s="16"/>
      <c r="R91" s="16"/>
      <c r="S91" s="16"/>
      <c r="T91" s="16"/>
      <c r="U91" s="17"/>
      <c r="V91" s="13"/>
      <c r="W91" s="13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19" t="s">
        <v>218</v>
      </c>
      <c r="B92" s="18" t="s">
        <v>219</v>
      </c>
      <c r="C92" s="18" t="s">
        <v>62</v>
      </c>
      <c r="D92" s="18">
        <v>51987426000111</v>
      </c>
      <c r="E92" s="18"/>
      <c r="F92" s="18" t="s">
        <v>220</v>
      </c>
      <c r="G92" s="18" t="s">
        <v>4</v>
      </c>
      <c r="H92" s="18" t="s">
        <v>5</v>
      </c>
      <c r="I92" s="18"/>
      <c r="J92" s="18"/>
      <c r="K92" s="18"/>
      <c r="L92" s="18"/>
      <c r="M92" s="18" t="s">
        <v>385</v>
      </c>
      <c r="N92" s="18"/>
      <c r="O92" s="18" t="s">
        <v>347</v>
      </c>
      <c r="P92" s="18"/>
      <c r="Q92" s="21"/>
      <c r="R92" s="21"/>
      <c r="S92" s="21"/>
      <c r="T92" s="21"/>
      <c r="U92" s="22"/>
      <c r="V92" s="18"/>
      <c r="W92" s="18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14" t="s">
        <v>221</v>
      </c>
      <c r="B93" s="13" t="s">
        <v>222</v>
      </c>
      <c r="C93" s="13" t="s">
        <v>62</v>
      </c>
      <c r="D93" s="13" t="s">
        <v>386</v>
      </c>
      <c r="E93" s="13"/>
      <c r="F93" s="13" t="s">
        <v>223</v>
      </c>
      <c r="G93" s="13" t="s">
        <v>13</v>
      </c>
      <c r="H93" s="13" t="s">
        <v>49</v>
      </c>
      <c r="I93" s="13"/>
      <c r="J93" s="13"/>
      <c r="K93" s="13"/>
      <c r="L93" s="13"/>
      <c r="M93" s="13" t="s">
        <v>385</v>
      </c>
      <c r="N93" s="13"/>
      <c r="O93" s="13" t="s">
        <v>347</v>
      </c>
      <c r="P93" s="13"/>
      <c r="Q93" s="16"/>
      <c r="R93" s="16"/>
      <c r="S93" s="16"/>
      <c r="T93" s="16"/>
      <c r="U93" s="17"/>
      <c r="V93" s="13"/>
      <c r="W93" s="13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19" t="s">
        <v>224</v>
      </c>
      <c r="B94" s="18" t="s">
        <v>182</v>
      </c>
      <c r="C94" s="18" t="s">
        <v>83</v>
      </c>
      <c r="D94" s="18">
        <v>21371431000134</v>
      </c>
      <c r="E94" s="18"/>
      <c r="F94" s="18" t="s">
        <v>225</v>
      </c>
      <c r="G94" s="18" t="s">
        <v>4</v>
      </c>
      <c r="H94" s="18" t="s">
        <v>5</v>
      </c>
      <c r="I94" s="18"/>
      <c r="J94" s="18"/>
      <c r="K94" s="18"/>
      <c r="L94" s="18"/>
      <c r="M94" s="18" t="s">
        <v>371</v>
      </c>
      <c r="N94" s="18"/>
      <c r="O94" s="18" t="s">
        <v>354</v>
      </c>
      <c r="P94" s="18"/>
      <c r="Q94" s="21"/>
      <c r="R94" s="21"/>
      <c r="S94" s="21"/>
      <c r="T94" s="21"/>
      <c r="U94" s="22"/>
      <c r="V94" s="18"/>
      <c r="W94" s="18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14" t="s">
        <v>226</v>
      </c>
      <c r="B95" s="13" t="s">
        <v>227</v>
      </c>
      <c r="C95" s="13" t="s">
        <v>122</v>
      </c>
      <c r="D95" s="13">
        <v>9421791000106</v>
      </c>
      <c r="E95" s="13"/>
      <c r="F95" s="13" t="s">
        <v>228</v>
      </c>
      <c r="G95" s="13" t="s">
        <v>4</v>
      </c>
      <c r="H95" s="13" t="s">
        <v>5</v>
      </c>
      <c r="I95" s="13"/>
      <c r="J95" s="13"/>
      <c r="K95" s="13"/>
      <c r="L95" s="13"/>
      <c r="M95" s="13" t="s">
        <v>375</v>
      </c>
      <c r="N95" s="13"/>
      <c r="O95" s="13" t="s">
        <v>346</v>
      </c>
      <c r="P95" s="13"/>
      <c r="Q95" s="16"/>
      <c r="R95" s="16"/>
      <c r="S95" s="16"/>
      <c r="T95" s="16"/>
      <c r="U95" s="17"/>
      <c r="V95" s="13"/>
      <c r="W95" s="13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19" t="s">
        <v>229</v>
      </c>
      <c r="B96" s="18" t="s">
        <v>96</v>
      </c>
      <c r="C96" s="18" t="s">
        <v>230</v>
      </c>
      <c r="D96" s="18" t="s">
        <v>387</v>
      </c>
      <c r="E96" s="18"/>
      <c r="F96" s="18" t="s">
        <v>99</v>
      </c>
      <c r="G96" s="18" t="s">
        <v>4</v>
      </c>
      <c r="H96" s="18" t="s">
        <v>14</v>
      </c>
      <c r="I96" s="18"/>
      <c r="J96" s="18"/>
      <c r="K96" s="18"/>
      <c r="L96" s="18"/>
      <c r="M96" s="18" t="s">
        <v>372</v>
      </c>
      <c r="N96" s="18"/>
      <c r="O96" s="18" t="s">
        <v>346</v>
      </c>
      <c r="P96" s="18"/>
      <c r="Q96" s="21"/>
      <c r="R96" s="21"/>
      <c r="S96" s="21"/>
      <c r="T96" s="21"/>
      <c r="U96" s="22"/>
      <c r="V96" s="18"/>
      <c r="W96" s="18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14" t="s">
        <v>231</v>
      </c>
      <c r="B97" s="13" t="s">
        <v>211</v>
      </c>
      <c r="C97" s="13" t="s">
        <v>69</v>
      </c>
      <c r="D97" s="13" t="s">
        <v>232</v>
      </c>
      <c r="E97" s="13"/>
      <c r="F97" s="13"/>
      <c r="G97" s="13" t="s">
        <v>4</v>
      </c>
      <c r="H97" s="13" t="s">
        <v>49</v>
      </c>
      <c r="I97" s="13"/>
      <c r="J97" s="13"/>
      <c r="K97" s="13"/>
      <c r="L97" s="13"/>
      <c r="M97" s="13" t="s">
        <v>375</v>
      </c>
      <c r="N97" s="13"/>
      <c r="O97" s="13" t="s">
        <v>346</v>
      </c>
      <c r="P97" s="13"/>
      <c r="Q97" s="16"/>
      <c r="R97" s="16"/>
      <c r="S97" s="16"/>
      <c r="T97" s="16"/>
      <c r="U97" s="17"/>
      <c r="V97" s="13"/>
      <c r="W97" s="13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19" t="s">
        <v>233</v>
      </c>
      <c r="B98" s="18" t="s">
        <v>134</v>
      </c>
      <c r="C98" s="18" t="s">
        <v>116</v>
      </c>
      <c r="D98" s="18" t="s">
        <v>234</v>
      </c>
      <c r="E98" s="18"/>
      <c r="F98" s="18" t="s">
        <v>138</v>
      </c>
      <c r="G98" s="18" t="s">
        <v>13</v>
      </c>
      <c r="H98" s="18" t="s">
        <v>14</v>
      </c>
      <c r="I98" s="18"/>
      <c r="J98" s="18"/>
      <c r="K98" s="18"/>
      <c r="L98" s="18"/>
      <c r="M98" s="18" t="s">
        <v>356</v>
      </c>
      <c r="N98" s="18"/>
      <c r="O98" s="18" t="s">
        <v>355</v>
      </c>
      <c r="P98" s="18"/>
      <c r="Q98" s="21"/>
      <c r="R98" s="21"/>
      <c r="S98" s="21"/>
      <c r="T98" s="21"/>
      <c r="U98" s="22"/>
      <c r="V98" s="18"/>
      <c r="W98" s="18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14" t="s">
        <v>235</v>
      </c>
      <c r="B99" s="13" t="s">
        <v>134</v>
      </c>
      <c r="C99" s="13" t="s">
        <v>116</v>
      </c>
      <c r="D99" s="13" t="s">
        <v>236</v>
      </c>
      <c r="E99" s="13"/>
      <c r="F99" s="13" t="s">
        <v>138</v>
      </c>
      <c r="G99" s="13" t="s">
        <v>13</v>
      </c>
      <c r="H99" s="13" t="s">
        <v>14</v>
      </c>
      <c r="I99" s="13"/>
      <c r="J99" s="13"/>
      <c r="K99" s="13"/>
      <c r="L99" s="13"/>
      <c r="M99" s="13" t="s">
        <v>356</v>
      </c>
      <c r="N99" s="13"/>
      <c r="O99" s="13" t="s">
        <v>355</v>
      </c>
      <c r="P99" s="13"/>
      <c r="Q99" s="16"/>
      <c r="R99" s="16"/>
      <c r="S99" s="16"/>
      <c r="T99" s="16"/>
      <c r="U99" s="17"/>
      <c r="V99" s="13"/>
      <c r="W99" s="13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19" t="s">
        <v>237</v>
      </c>
      <c r="B100" s="18" t="s">
        <v>134</v>
      </c>
      <c r="C100" s="18" t="s">
        <v>116</v>
      </c>
      <c r="D100" s="18" t="s">
        <v>238</v>
      </c>
      <c r="E100" s="18"/>
      <c r="F100" s="18" t="s">
        <v>138</v>
      </c>
      <c r="G100" s="18" t="s">
        <v>13</v>
      </c>
      <c r="H100" s="18" t="s">
        <v>14</v>
      </c>
      <c r="I100" s="18"/>
      <c r="J100" s="18"/>
      <c r="K100" s="18"/>
      <c r="L100" s="18"/>
      <c r="M100" s="18" t="s">
        <v>356</v>
      </c>
      <c r="N100" s="18"/>
      <c r="O100" s="18" t="s">
        <v>355</v>
      </c>
      <c r="P100" s="18"/>
      <c r="Q100" s="21"/>
      <c r="R100" s="21"/>
      <c r="S100" s="21"/>
      <c r="T100" s="21"/>
      <c r="U100" s="22"/>
      <c r="V100" s="18"/>
      <c r="W100" s="18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14" t="s">
        <v>239</v>
      </c>
      <c r="B101" s="13" t="s">
        <v>55</v>
      </c>
      <c r="C101" s="13" t="s">
        <v>56</v>
      </c>
      <c r="D101" s="13" t="s">
        <v>240</v>
      </c>
      <c r="E101" s="13"/>
      <c r="F101" s="13" t="s">
        <v>57</v>
      </c>
      <c r="G101" s="13" t="s">
        <v>13</v>
      </c>
      <c r="H101" s="13" t="s">
        <v>5</v>
      </c>
      <c r="I101" s="13"/>
      <c r="J101" s="13"/>
      <c r="K101" s="13"/>
      <c r="L101" s="13"/>
      <c r="M101" s="13" t="s">
        <v>372</v>
      </c>
      <c r="N101" s="13" t="s">
        <v>357</v>
      </c>
      <c r="O101" s="13" t="s">
        <v>346</v>
      </c>
      <c r="P101" s="13"/>
      <c r="Q101" s="16"/>
      <c r="R101" s="16"/>
      <c r="S101" s="16"/>
      <c r="T101" s="16"/>
      <c r="U101" s="17"/>
      <c r="V101" s="13"/>
      <c r="W101" s="13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19" t="s">
        <v>241</v>
      </c>
      <c r="B102" s="18" t="s">
        <v>55</v>
      </c>
      <c r="C102" s="18" t="s">
        <v>242</v>
      </c>
      <c r="D102" s="18" t="s">
        <v>243</v>
      </c>
      <c r="E102" s="18"/>
      <c r="F102" s="18" t="s">
        <v>57</v>
      </c>
      <c r="G102" s="18" t="s">
        <v>13</v>
      </c>
      <c r="H102" s="18" t="s">
        <v>5</v>
      </c>
      <c r="I102" s="18"/>
      <c r="J102" s="18"/>
      <c r="K102" s="18"/>
      <c r="L102" s="18"/>
      <c r="M102" s="18" t="s">
        <v>372</v>
      </c>
      <c r="N102" s="18" t="s">
        <v>368</v>
      </c>
      <c r="O102" s="18" t="s">
        <v>346</v>
      </c>
      <c r="P102" s="18"/>
      <c r="Q102" s="21"/>
      <c r="R102" s="21"/>
      <c r="S102" s="21"/>
      <c r="T102" s="21"/>
      <c r="U102" s="22"/>
      <c r="V102" s="18"/>
      <c r="W102" s="18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14" t="s">
        <v>244</v>
      </c>
      <c r="B103" s="13" t="s">
        <v>55</v>
      </c>
      <c r="C103" s="13" t="s">
        <v>245</v>
      </c>
      <c r="D103" s="13" t="s">
        <v>246</v>
      </c>
      <c r="E103" s="13"/>
      <c r="F103" s="13" t="s">
        <v>57</v>
      </c>
      <c r="G103" s="13" t="s">
        <v>13</v>
      </c>
      <c r="H103" s="13" t="s">
        <v>5</v>
      </c>
      <c r="I103" s="13"/>
      <c r="J103" s="13"/>
      <c r="K103" s="13"/>
      <c r="L103" s="13"/>
      <c r="M103" s="13" t="s">
        <v>372</v>
      </c>
      <c r="N103" s="13" t="s">
        <v>357</v>
      </c>
      <c r="O103" s="13" t="s">
        <v>346</v>
      </c>
      <c r="P103" s="13"/>
      <c r="Q103" s="16"/>
      <c r="R103" s="16"/>
      <c r="S103" s="16"/>
      <c r="T103" s="16"/>
      <c r="U103" s="17"/>
      <c r="V103" s="13"/>
      <c r="W103" s="13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19" t="s">
        <v>247</v>
      </c>
      <c r="B104" s="18" t="s">
        <v>55</v>
      </c>
      <c r="C104" s="18" t="s">
        <v>248</v>
      </c>
      <c r="D104" s="18" t="s">
        <v>249</v>
      </c>
      <c r="E104" s="18"/>
      <c r="F104" s="18" t="s">
        <v>57</v>
      </c>
      <c r="G104" s="18" t="s">
        <v>13</v>
      </c>
      <c r="H104" s="18" t="s">
        <v>49</v>
      </c>
      <c r="I104" s="18"/>
      <c r="J104" s="18"/>
      <c r="K104" s="18"/>
      <c r="L104" s="18"/>
      <c r="M104" s="18" t="s">
        <v>372</v>
      </c>
      <c r="N104" s="18" t="s">
        <v>369</v>
      </c>
      <c r="O104" s="18" t="s">
        <v>346</v>
      </c>
      <c r="P104" s="18"/>
      <c r="Q104" s="21"/>
      <c r="R104" s="20" t="s">
        <v>401</v>
      </c>
      <c r="S104" s="21"/>
      <c r="T104" s="21"/>
      <c r="U104" s="22"/>
      <c r="V104" s="18"/>
      <c r="W104" s="18"/>
      <c r="X104" s="23" t="str">
        <f t="shared" si="18"/>
        <v>OK</v>
      </c>
      <c r="Y104" s="23" t="str">
        <f t="shared" si="19"/>
        <v>REST OK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14" t="s">
        <v>250</v>
      </c>
      <c r="B105" s="13" t="s">
        <v>1</v>
      </c>
      <c r="C105" s="13" t="s">
        <v>2</v>
      </c>
      <c r="D105" s="13" t="s">
        <v>251</v>
      </c>
      <c r="E105" s="13"/>
      <c r="F105" s="13" t="s">
        <v>252</v>
      </c>
      <c r="G105" s="13" t="s">
        <v>4</v>
      </c>
      <c r="H105" s="13" t="s">
        <v>49</v>
      </c>
      <c r="I105" s="13"/>
      <c r="J105" s="13"/>
      <c r="K105" s="13"/>
      <c r="L105" s="13"/>
      <c r="M105" s="13" t="s">
        <v>367</v>
      </c>
      <c r="N105" s="13" t="s">
        <v>357</v>
      </c>
      <c r="O105" s="13" t="s">
        <v>346</v>
      </c>
      <c r="P105" s="13"/>
      <c r="Q105" s="16"/>
      <c r="R105" s="16"/>
      <c r="S105" s="16"/>
      <c r="T105" s="16"/>
      <c r="U105" s="17"/>
      <c r="V105" s="13"/>
      <c r="W105" s="13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19" t="s">
        <v>253</v>
      </c>
      <c r="B106" s="18" t="s">
        <v>214</v>
      </c>
      <c r="C106" s="18" t="s">
        <v>62</v>
      </c>
      <c r="D106" s="1" t="s">
        <v>388</v>
      </c>
      <c r="E106" s="18"/>
      <c r="F106" s="18" t="s">
        <v>254</v>
      </c>
      <c r="G106" s="18" t="s">
        <v>13</v>
      </c>
      <c r="H106" s="18" t="s">
        <v>5</v>
      </c>
      <c r="I106" s="18"/>
      <c r="J106" s="18"/>
      <c r="K106" s="18"/>
      <c r="L106" s="18"/>
      <c r="M106" s="18" t="s">
        <v>372</v>
      </c>
      <c r="N106" s="18"/>
      <c r="O106" s="18" t="s">
        <v>346</v>
      </c>
      <c r="P106" s="18"/>
      <c r="Q106" s="21"/>
      <c r="R106" s="21"/>
      <c r="S106" s="21"/>
      <c r="T106" s="21"/>
      <c r="U106" s="22"/>
      <c r="V106" s="18"/>
      <c r="W106" s="18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14" t="s">
        <v>255</v>
      </c>
      <c r="B107" s="13" t="s">
        <v>214</v>
      </c>
      <c r="C107" s="13" t="s">
        <v>62</v>
      </c>
      <c r="D107" s="13" t="s">
        <v>389</v>
      </c>
      <c r="E107" s="13"/>
      <c r="F107" s="13" t="s">
        <v>254</v>
      </c>
      <c r="G107" s="13" t="s">
        <v>13</v>
      </c>
      <c r="H107" s="13" t="s">
        <v>49</v>
      </c>
      <c r="I107" s="13"/>
      <c r="J107" s="13"/>
      <c r="K107" s="13"/>
      <c r="L107" s="13"/>
      <c r="M107" s="13" t="s">
        <v>385</v>
      </c>
      <c r="N107" s="13"/>
      <c r="O107" s="13" t="s">
        <v>346</v>
      </c>
      <c r="P107" s="13"/>
      <c r="Q107" s="16"/>
      <c r="R107" s="16"/>
      <c r="S107" s="16"/>
      <c r="T107" s="16"/>
      <c r="U107" s="17"/>
      <c r="V107" s="13"/>
      <c r="W107" s="13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19" t="s">
        <v>256</v>
      </c>
      <c r="B108" s="18" t="s">
        <v>214</v>
      </c>
      <c r="C108" s="18" t="s">
        <v>62</v>
      </c>
      <c r="D108" s="18" t="s">
        <v>390</v>
      </c>
      <c r="E108" s="18"/>
      <c r="F108" s="18" t="s">
        <v>257</v>
      </c>
      <c r="G108" s="18" t="s">
        <v>4</v>
      </c>
      <c r="H108" s="18" t="s">
        <v>5</v>
      </c>
      <c r="I108" s="18"/>
      <c r="J108" s="18"/>
      <c r="K108" s="18"/>
      <c r="L108" s="18"/>
      <c r="M108" s="18" t="s">
        <v>375</v>
      </c>
      <c r="N108" s="18"/>
      <c r="O108" s="18" t="s">
        <v>346</v>
      </c>
      <c r="P108" s="18"/>
      <c r="Q108" s="21"/>
      <c r="R108" s="21"/>
      <c r="S108" s="21"/>
      <c r="T108" s="21"/>
      <c r="U108" s="22"/>
      <c r="V108" s="18"/>
      <c r="W108" s="18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14" t="s">
        <v>258</v>
      </c>
      <c r="B109" s="13" t="s">
        <v>259</v>
      </c>
      <c r="C109" s="13" t="s">
        <v>69</v>
      </c>
      <c r="D109" s="13" t="s">
        <v>260</v>
      </c>
      <c r="E109" s="13"/>
      <c r="F109" s="13" t="s">
        <v>261</v>
      </c>
      <c r="G109" s="13" t="s">
        <v>4</v>
      </c>
      <c r="H109" s="13" t="s">
        <v>5</v>
      </c>
      <c r="I109" s="13"/>
      <c r="J109" s="13"/>
      <c r="K109" s="13"/>
      <c r="L109" s="13"/>
      <c r="M109" s="13" t="s">
        <v>367</v>
      </c>
      <c r="N109" s="13"/>
      <c r="O109" s="13"/>
      <c r="P109" s="13"/>
      <c r="Q109" s="16"/>
      <c r="R109" s="16"/>
      <c r="S109" s="16"/>
      <c r="T109" s="16"/>
      <c r="U109" s="17"/>
      <c r="V109" s="13"/>
      <c r="W109" s="13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19" t="s">
        <v>262</v>
      </c>
      <c r="B110" s="18" t="s">
        <v>259</v>
      </c>
      <c r="C110" s="18" t="s">
        <v>69</v>
      </c>
      <c r="D110" s="18" t="s">
        <v>263</v>
      </c>
      <c r="E110" s="18"/>
      <c r="F110" s="18" t="s">
        <v>261</v>
      </c>
      <c r="G110" s="18" t="s">
        <v>13</v>
      </c>
      <c r="H110" s="18" t="s">
        <v>5</v>
      </c>
      <c r="I110" s="18"/>
      <c r="J110" s="18"/>
      <c r="K110" s="18"/>
      <c r="L110" s="18"/>
      <c r="M110" s="18" t="s">
        <v>367</v>
      </c>
      <c r="N110" s="18"/>
      <c r="O110" s="18"/>
      <c r="P110" s="18"/>
      <c r="Q110" s="21"/>
      <c r="R110" s="21"/>
      <c r="S110" s="21"/>
      <c r="T110" s="21"/>
      <c r="U110" s="22"/>
      <c r="V110" s="18"/>
      <c r="W110" s="18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14" t="s">
        <v>264</v>
      </c>
      <c r="B111" s="13" t="s">
        <v>159</v>
      </c>
      <c r="C111" s="13" t="s">
        <v>69</v>
      </c>
      <c r="D111" s="13" t="s">
        <v>265</v>
      </c>
      <c r="E111" s="13"/>
      <c r="F111" s="13" t="s">
        <v>266</v>
      </c>
      <c r="G111" s="13" t="s">
        <v>13</v>
      </c>
      <c r="H111" s="13" t="s">
        <v>5</v>
      </c>
      <c r="I111" s="13"/>
      <c r="J111" s="13"/>
      <c r="K111" s="13"/>
      <c r="L111" s="13"/>
      <c r="M111" s="13" t="s">
        <v>385</v>
      </c>
      <c r="N111" s="13"/>
      <c r="O111" s="13" t="s">
        <v>359</v>
      </c>
      <c r="P111" s="13"/>
      <c r="Q111" s="16"/>
      <c r="R111" s="16"/>
      <c r="S111" s="16"/>
      <c r="T111" s="16"/>
      <c r="U111" s="17"/>
      <c r="V111" s="13"/>
      <c r="W111" s="13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19" t="s">
        <v>267</v>
      </c>
      <c r="B112" s="18" t="s">
        <v>159</v>
      </c>
      <c r="C112" s="18" t="s">
        <v>268</v>
      </c>
      <c r="D112" s="18" t="s">
        <v>269</v>
      </c>
      <c r="E112" s="18"/>
      <c r="F112" s="18" t="s">
        <v>266</v>
      </c>
      <c r="G112" s="18" t="s">
        <v>13</v>
      </c>
      <c r="H112" s="18" t="s">
        <v>14</v>
      </c>
      <c r="I112" s="18"/>
      <c r="J112" s="18"/>
      <c r="K112" s="18"/>
      <c r="L112" s="18"/>
      <c r="M112" s="18" t="s">
        <v>372</v>
      </c>
      <c r="N112" s="18"/>
      <c r="O112" s="18" t="s">
        <v>346</v>
      </c>
      <c r="P112" s="18"/>
      <c r="Q112" s="21"/>
      <c r="R112" s="21"/>
      <c r="S112" s="21"/>
      <c r="T112" s="21"/>
      <c r="U112" s="22"/>
      <c r="V112" s="18"/>
      <c r="W112" s="18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14" t="s">
        <v>270</v>
      </c>
      <c r="B113" s="13" t="s">
        <v>271</v>
      </c>
      <c r="C113" s="13"/>
      <c r="D113" s="13" t="s">
        <v>272</v>
      </c>
      <c r="E113" s="13"/>
      <c r="F113" s="13" t="s">
        <v>273</v>
      </c>
      <c r="G113" s="13" t="s">
        <v>41</v>
      </c>
      <c r="H113" s="13" t="s">
        <v>49</v>
      </c>
      <c r="I113" s="13"/>
      <c r="J113" s="13"/>
      <c r="K113" s="13"/>
      <c r="L113" s="13"/>
      <c r="M113" s="13" t="s">
        <v>375</v>
      </c>
      <c r="N113" s="13"/>
      <c r="O113" s="13" t="s">
        <v>360</v>
      </c>
      <c r="P113" s="13"/>
      <c r="Q113" s="16"/>
      <c r="R113" s="16"/>
      <c r="S113" s="16"/>
      <c r="T113" s="16"/>
      <c r="U113" s="17"/>
      <c r="V113" s="13"/>
      <c r="W113" s="13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19" t="s">
        <v>274</v>
      </c>
      <c r="B114" s="18" t="s">
        <v>134</v>
      </c>
      <c r="C114" s="18" t="s">
        <v>122</v>
      </c>
      <c r="D114" s="18" t="s">
        <v>391</v>
      </c>
      <c r="E114" s="18"/>
      <c r="F114" s="18" t="s">
        <v>275</v>
      </c>
      <c r="G114" s="18" t="s">
        <v>4</v>
      </c>
      <c r="H114" s="18" t="s">
        <v>5</v>
      </c>
      <c r="I114" s="18"/>
      <c r="J114" s="18"/>
      <c r="K114" s="18"/>
      <c r="L114" s="18"/>
      <c r="M114" s="18" t="s">
        <v>375</v>
      </c>
      <c r="N114" s="18"/>
      <c r="O114" s="18" t="s">
        <v>361</v>
      </c>
      <c r="P114" s="18"/>
      <c r="Q114" s="21"/>
      <c r="R114" s="21"/>
      <c r="S114" s="21"/>
      <c r="T114" s="21"/>
      <c r="U114" s="22"/>
      <c r="V114" s="18"/>
      <c r="W114" s="18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14" t="s">
        <v>276</v>
      </c>
      <c r="B115" s="13" t="s">
        <v>182</v>
      </c>
      <c r="C115" s="13" t="s">
        <v>83</v>
      </c>
      <c r="D115" s="13" t="s">
        <v>392</v>
      </c>
      <c r="E115" s="13"/>
      <c r="F115" s="13" t="s">
        <v>225</v>
      </c>
      <c r="G115" s="13" t="s">
        <v>4</v>
      </c>
      <c r="H115" s="13" t="s">
        <v>5</v>
      </c>
      <c r="I115" s="13"/>
      <c r="J115" s="13"/>
      <c r="K115" s="13"/>
      <c r="L115" s="13"/>
      <c r="M115" s="13" t="s">
        <v>372</v>
      </c>
      <c r="N115" s="13"/>
      <c r="O115" s="13" t="s">
        <v>361</v>
      </c>
      <c r="P115" s="13"/>
      <c r="Q115" s="16"/>
      <c r="R115" s="16"/>
      <c r="S115" s="16"/>
      <c r="T115" s="16"/>
      <c r="U115" s="17"/>
      <c r="V115" s="13"/>
      <c r="W115" s="13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19" t="s">
        <v>277</v>
      </c>
      <c r="B116" s="18" t="s">
        <v>211</v>
      </c>
      <c r="C116" s="18" t="s">
        <v>69</v>
      </c>
      <c r="D116" s="18" t="s">
        <v>278</v>
      </c>
      <c r="E116" s="18"/>
      <c r="F116" s="18" t="s">
        <v>279</v>
      </c>
      <c r="G116" s="18" t="s">
        <v>13</v>
      </c>
      <c r="H116" s="18" t="s">
        <v>49</v>
      </c>
      <c r="I116" s="18">
        <v>46147</v>
      </c>
      <c r="J116" s="18"/>
      <c r="K116" s="18"/>
      <c r="L116" s="18"/>
      <c r="M116" s="18" t="s">
        <v>362</v>
      </c>
      <c r="N116" s="18"/>
      <c r="O116" s="18" t="s">
        <v>359</v>
      </c>
      <c r="P116" s="18"/>
      <c r="Q116" s="21"/>
      <c r="R116" s="21"/>
      <c r="S116" s="21"/>
      <c r="T116" s="21"/>
      <c r="U116" s="22"/>
      <c r="V116" s="18"/>
      <c r="W116" s="18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14" t="s">
        <v>280</v>
      </c>
      <c r="B117" s="13" t="s">
        <v>162</v>
      </c>
      <c r="C117" s="13" t="s">
        <v>281</v>
      </c>
      <c r="D117" s="13" t="s">
        <v>282</v>
      </c>
      <c r="E117" s="13"/>
      <c r="F117" s="13"/>
      <c r="G117" s="13" t="s">
        <v>4</v>
      </c>
      <c r="H117" s="13" t="s">
        <v>49</v>
      </c>
      <c r="I117" s="13"/>
      <c r="J117" s="13"/>
      <c r="K117" s="13"/>
      <c r="L117" s="13"/>
      <c r="M117" s="13" t="s">
        <v>372</v>
      </c>
      <c r="N117" s="13" t="s">
        <v>358</v>
      </c>
      <c r="O117" s="13" t="s">
        <v>361</v>
      </c>
      <c r="P117" s="13"/>
      <c r="Q117" s="16"/>
      <c r="R117" s="16"/>
      <c r="S117" s="16"/>
      <c r="T117" s="16"/>
      <c r="U117" s="17"/>
      <c r="V117" s="13"/>
      <c r="W117" s="13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19" t="s">
        <v>283</v>
      </c>
      <c r="B118" s="18" t="s">
        <v>75</v>
      </c>
      <c r="C118" s="18" t="s">
        <v>62</v>
      </c>
      <c r="D118" s="18" t="s">
        <v>393</v>
      </c>
      <c r="E118" s="18"/>
      <c r="F118" s="18" t="s">
        <v>284</v>
      </c>
      <c r="G118" s="18" t="s">
        <v>4</v>
      </c>
      <c r="H118" s="18" t="s">
        <v>14</v>
      </c>
      <c r="I118" s="18"/>
      <c r="J118" s="18"/>
      <c r="K118" s="18"/>
      <c r="L118" s="18"/>
      <c r="M118" s="18" t="s">
        <v>385</v>
      </c>
      <c r="N118" s="18"/>
      <c r="O118" s="18" t="s">
        <v>361</v>
      </c>
      <c r="P118" s="18"/>
      <c r="Q118" s="21"/>
      <c r="R118" s="20" t="s">
        <v>399</v>
      </c>
      <c r="S118" s="21"/>
      <c r="T118" s="21"/>
      <c r="U118" s="22"/>
      <c r="V118" s="18"/>
      <c r="W118" s="18"/>
      <c r="X118" s="23" t="str">
        <f t="shared" si="18"/>
        <v>OK</v>
      </c>
      <c r="Y118" s="23" t="str">
        <f t="shared" si="19"/>
        <v>REST OK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14" t="s">
        <v>285</v>
      </c>
      <c r="B119" s="13" t="s">
        <v>286</v>
      </c>
      <c r="C119" s="13"/>
      <c r="D119" s="13" t="s">
        <v>394</v>
      </c>
      <c r="E119" s="13"/>
      <c r="F119" s="13" t="s">
        <v>287</v>
      </c>
      <c r="G119" s="13" t="s">
        <v>4</v>
      </c>
      <c r="H119" s="13" t="s">
        <v>49</v>
      </c>
      <c r="I119" s="13"/>
      <c r="J119" s="13"/>
      <c r="K119" s="13"/>
      <c r="L119" s="13"/>
      <c r="M119" s="13" t="s">
        <v>375</v>
      </c>
      <c r="N119" s="13"/>
      <c r="O119" s="13" t="s">
        <v>361</v>
      </c>
      <c r="P119" s="13"/>
      <c r="Q119" s="16"/>
      <c r="R119" s="16"/>
      <c r="S119" s="16"/>
      <c r="T119" s="16"/>
      <c r="U119" s="17"/>
      <c r="V119" s="13"/>
      <c r="W119" s="13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19" t="s">
        <v>288</v>
      </c>
      <c r="B120" s="18" t="s">
        <v>286</v>
      </c>
      <c r="C120" s="18" t="s">
        <v>69</v>
      </c>
      <c r="D120" s="1" t="s">
        <v>289</v>
      </c>
      <c r="E120" s="18"/>
      <c r="F120" s="18" t="s">
        <v>290</v>
      </c>
      <c r="G120" s="18" t="s">
        <v>13</v>
      </c>
      <c r="H120" s="18" t="s">
        <v>49</v>
      </c>
      <c r="I120" s="18"/>
      <c r="J120" s="18"/>
      <c r="K120" s="18"/>
      <c r="L120" s="18"/>
      <c r="M120" s="18" t="s">
        <v>372</v>
      </c>
      <c r="N120" s="18"/>
      <c r="O120" s="18" t="s">
        <v>361</v>
      </c>
      <c r="P120" s="18"/>
      <c r="Q120" s="21"/>
      <c r="R120" s="21"/>
      <c r="S120" s="21"/>
      <c r="T120" s="21"/>
      <c r="U120" s="22"/>
      <c r="V120" s="18"/>
      <c r="W120" s="18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14" t="s">
        <v>291</v>
      </c>
      <c r="B121" s="13" t="s">
        <v>75</v>
      </c>
      <c r="C121" s="13" t="s">
        <v>69</v>
      </c>
      <c r="D121" s="13" t="s">
        <v>292</v>
      </c>
      <c r="E121" s="13"/>
      <c r="F121" s="13"/>
      <c r="G121" s="13"/>
      <c r="H121" s="13"/>
      <c r="I121" s="13"/>
      <c r="J121" s="13"/>
      <c r="K121" s="13"/>
      <c r="L121" s="13"/>
      <c r="M121" s="13" t="s">
        <v>367</v>
      </c>
      <c r="N121" s="13"/>
      <c r="O121" s="13"/>
      <c r="P121" s="13"/>
      <c r="Q121" s="16"/>
      <c r="R121" s="16"/>
      <c r="S121" s="16"/>
      <c r="T121" s="16"/>
      <c r="U121" s="17"/>
      <c r="V121" s="13"/>
      <c r="W121" s="13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19" t="s">
        <v>293</v>
      </c>
      <c r="B122" s="18" t="s">
        <v>227</v>
      </c>
      <c r="C122" s="18" t="s">
        <v>116</v>
      </c>
      <c r="D122" s="18" t="s">
        <v>294</v>
      </c>
      <c r="E122" s="18"/>
      <c r="F122" s="18" t="s">
        <v>228</v>
      </c>
      <c r="G122" s="18" t="s">
        <v>13</v>
      </c>
      <c r="H122" s="18" t="s">
        <v>14</v>
      </c>
      <c r="I122" s="18"/>
      <c r="J122" s="18"/>
      <c r="K122" s="18"/>
      <c r="L122" s="18"/>
      <c r="M122" s="18" t="s">
        <v>364</v>
      </c>
      <c r="N122" s="18"/>
      <c r="O122" s="18" t="s">
        <v>365</v>
      </c>
      <c r="P122" s="18"/>
      <c r="Q122" s="21"/>
      <c r="R122" s="21"/>
      <c r="S122" s="21"/>
      <c r="T122" s="21"/>
      <c r="U122" s="22"/>
      <c r="V122" s="18"/>
      <c r="W122" s="18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14" t="s">
        <v>295</v>
      </c>
      <c r="B123" s="13" t="s">
        <v>45</v>
      </c>
      <c r="C123" s="13" t="s">
        <v>296</v>
      </c>
      <c r="D123" s="13" t="s">
        <v>297</v>
      </c>
      <c r="E123" s="13"/>
      <c r="F123" s="13" t="s">
        <v>48</v>
      </c>
      <c r="G123" s="13" t="s">
        <v>13</v>
      </c>
      <c r="H123" s="13" t="s">
        <v>14</v>
      </c>
      <c r="I123" s="13"/>
      <c r="J123" s="13"/>
      <c r="K123" s="13"/>
      <c r="L123" s="13"/>
      <c r="M123" s="13" t="s">
        <v>367</v>
      </c>
      <c r="N123" s="13"/>
      <c r="O123" s="13" t="s">
        <v>363</v>
      </c>
      <c r="P123" s="13"/>
      <c r="Q123" s="16"/>
      <c r="R123" s="16"/>
      <c r="S123" s="16"/>
      <c r="T123" s="16"/>
      <c r="U123" s="17"/>
      <c r="V123" s="13"/>
      <c r="W123" s="13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19" t="s">
        <v>298</v>
      </c>
      <c r="B124" s="18" t="s">
        <v>299</v>
      </c>
      <c r="C124" s="18" t="s">
        <v>16</v>
      </c>
      <c r="D124" s="18" t="s">
        <v>300</v>
      </c>
      <c r="E124" s="18"/>
      <c r="F124" s="18" t="s">
        <v>109</v>
      </c>
      <c r="G124" s="18" t="s">
        <v>4</v>
      </c>
      <c r="H124" s="18" t="s">
        <v>49</v>
      </c>
      <c r="I124" s="18"/>
      <c r="J124" s="18"/>
      <c r="K124" s="18"/>
      <c r="L124" s="18"/>
      <c r="M124" s="18" t="s">
        <v>375</v>
      </c>
      <c r="N124" s="18"/>
      <c r="O124" s="18" t="s">
        <v>361</v>
      </c>
      <c r="P124" s="18"/>
      <c r="Q124" s="21"/>
      <c r="R124" s="21"/>
      <c r="S124" s="21"/>
      <c r="T124" s="21"/>
      <c r="U124" s="22"/>
      <c r="V124" s="18"/>
      <c r="W124" s="18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14" t="s">
        <v>301</v>
      </c>
      <c r="B125" s="13" t="s">
        <v>302</v>
      </c>
      <c r="C125" s="13" t="s">
        <v>69</v>
      </c>
      <c r="D125" s="13" t="s">
        <v>303</v>
      </c>
      <c r="E125" s="13"/>
      <c r="F125" s="13"/>
      <c r="G125" s="13" t="s">
        <v>4</v>
      </c>
      <c r="H125" s="13" t="s">
        <v>49</v>
      </c>
      <c r="I125" s="13"/>
      <c r="J125" s="13"/>
      <c r="K125" s="13"/>
      <c r="L125" s="13"/>
      <c r="M125" s="13" t="s">
        <v>375</v>
      </c>
      <c r="N125" s="13"/>
      <c r="O125" s="13" t="s">
        <v>361</v>
      </c>
      <c r="P125" s="13"/>
      <c r="Q125" s="16"/>
      <c r="R125" s="16"/>
      <c r="S125" s="16"/>
      <c r="T125" s="16"/>
      <c r="U125" s="17"/>
      <c r="V125" s="13"/>
      <c r="W125" s="13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19" t="s">
        <v>304</v>
      </c>
      <c r="B126" s="18" t="s">
        <v>305</v>
      </c>
      <c r="C126" s="18"/>
      <c r="D126" s="1"/>
      <c r="E126" s="18"/>
      <c r="F126" s="18" t="s">
        <v>306</v>
      </c>
      <c r="G126" s="18" t="s">
        <v>13</v>
      </c>
      <c r="H126" s="18"/>
      <c r="I126" s="18"/>
      <c r="J126" s="18"/>
      <c r="K126" s="18"/>
      <c r="L126" s="18"/>
      <c r="M126" s="18" t="s">
        <v>367</v>
      </c>
      <c r="N126" s="18"/>
      <c r="O126" s="18" t="s">
        <v>359</v>
      </c>
      <c r="P126" s="18"/>
      <c r="Q126" s="21"/>
      <c r="R126" s="21"/>
      <c r="S126" s="21"/>
      <c r="T126" s="21"/>
      <c r="U126" s="22"/>
      <c r="V126" s="18"/>
      <c r="W126" s="18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14" t="s">
        <v>307</v>
      </c>
      <c r="B127" s="13" t="s">
        <v>305</v>
      </c>
      <c r="C127" s="13"/>
      <c r="D127" s="1"/>
      <c r="E127" s="13"/>
      <c r="F127" s="13" t="s">
        <v>306</v>
      </c>
      <c r="G127" s="13" t="s">
        <v>308</v>
      </c>
      <c r="H127" s="13"/>
      <c r="I127" s="13"/>
      <c r="J127" s="13"/>
      <c r="K127" s="13"/>
      <c r="L127" s="13"/>
      <c r="M127" s="13" t="s">
        <v>367</v>
      </c>
      <c r="N127" s="13"/>
      <c r="O127" s="13" t="s">
        <v>359</v>
      </c>
      <c r="P127" s="13"/>
      <c r="Q127" s="16"/>
      <c r="R127" s="16"/>
      <c r="S127" s="16"/>
      <c r="T127" s="16"/>
      <c r="U127" s="17"/>
      <c r="V127" s="13"/>
      <c r="W127" s="13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19" t="s">
        <v>309</v>
      </c>
      <c r="B128" s="18" t="s">
        <v>9</v>
      </c>
      <c r="C128" s="18" t="s">
        <v>69</v>
      </c>
      <c r="D128" s="18" t="s">
        <v>310</v>
      </c>
      <c r="E128" s="18"/>
      <c r="F128" s="18" t="s">
        <v>311</v>
      </c>
      <c r="G128" s="18" t="s">
        <v>13</v>
      </c>
      <c r="H128" s="18" t="s">
        <v>49</v>
      </c>
      <c r="I128" s="18"/>
      <c r="J128" s="18"/>
      <c r="K128" s="18"/>
      <c r="L128" s="18"/>
      <c r="M128" s="18" t="s">
        <v>372</v>
      </c>
      <c r="N128" s="18"/>
      <c r="O128" s="18" t="s">
        <v>361</v>
      </c>
      <c r="P128" s="18"/>
      <c r="Q128" s="21"/>
      <c r="R128" s="21"/>
      <c r="S128" s="21"/>
      <c r="T128" s="21"/>
      <c r="U128" s="22"/>
      <c r="V128" s="18"/>
      <c r="W128" s="18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14" t="s">
        <v>312</v>
      </c>
      <c r="B129" s="13" t="s">
        <v>75</v>
      </c>
      <c r="C129" s="13" t="s">
        <v>69</v>
      </c>
      <c r="D129" s="13" t="s">
        <v>313</v>
      </c>
      <c r="E129" s="13"/>
      <c r="F129" s="13" t="s">
        <v>314</v>
      </c>
      <c r="G129" s="13" t="s">
        <v>4</v>
      </c>
      <c r="H129" s="13" t="s">
        <v>49</v>
      </c>
      <c r="I129" s="13"/>
      <c r="J129" s="13"/>
      <c r="K129" s="13"/>
      <c r="L129" s="13"/>
      <c r="M129" s="13" t="s">
        <v>375</v>
      </c>
      <c r="N129" s="13"/>
      <c r="O129" s="13" t="s">
        <v>366</v>
      </c>
      <c r="P129" s="13"/>
      <c r="Q129" s="16"/>
      <c r="R129" s="16"/>
      <c r="S129" s="16"/>
      <c r="T129" s="16"/>
      <c r="U129" s="17"/>
      <c r="V129" s="13"/>
      <c r="W129" s="13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19" t="s">
        <v>315</v>
      </c>
      <c r="B130" s="18" t="s">
        <v>45</v>
      </c>
      <c r="C130" s="18" t="s">
        <v>316</v>
      </c>
      <c r="D130" s="18" t="s">
        <v>317</v>
      </c>
      <c r="E130" s="18"/>
      <c r="F130" s="18"/>
      <c r="G130" s="18" t="s">
        <v>13</v>
      </c>
      <c r="H130" s="18"/>
      <c r="I130" s="18"/>
      <c r="J130" s="18"/>
      <c r="K130" s="18"/>
      <c r="L130" s="18"/>
      <c r="M130" s="18" t="s">
        <v>395</v>
      </c>
      <c r="N130" s="18" t="s">
        <v>370</v>
      </c>
      <c r="O130" s="18" t="s">
        <v>363</v>
      </c>
      <c r="P130" s="18"/>
      <c r="Q130" s="21"/>
      <c r="R130" s="21"/>
      <c r="S130" s="21"/>
      <c r="T130" s="21"/>
      <c r="U130" s="22"/>
      <c r="V130" s="18"/>
      <c r="W130" s="18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14" t="s">
        <v>318</v>
      </c>
      <c r="B131" s="13" t="s">
        <v>45</v>
      </c>
      <c r="C131" s="13" t="s">
        <v>316</v>
      </c>
      <c r="D131" s="13" t="s">
        <v>319</v>
      </c>
      <c r="E131" s="13"/>
      <c r="F131" s="13" t="s">
        <v>48</v>
      </c>
      <c r="G131" s="13" t="s">
        <v>320</v>
      </c>
      <c r="H131" s="13"/>
      <c r="I131" s="13"/>
      <c r="J131" s="13"/>
      <c r="K131" s="13"/>
      <c r="L131" s="13"/>
      <c r="M131" s="13" t="s">
        <v>395</v>
      </c>
      <c r="N131" s="13" t="s">
        <v>370</v>
      </c>
      <c r="O131" s="13" t="s">
        <v>367</v>
      </c>
      <c r="P131" s="13"/>
      <c r="Q131" s="16"/>
      <c r="R131" s="16"/>
      <c r="S131" s="16"/>
      <c r="T131" s="16"/>
      <c r="U131" s="17"/>
      <c r="V131" s="13"/>
      <c r="W131" s="13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19" t="s">
        <v>321</v>
      </c>
      <c r="B132" s="18" t="s">
        <v>45</v>
      </c>
      <c r="C132" s="18" t="s">
        <v>316</v>
      </c>
      <c r="D132" s="18" t="s">
        <v>322</v>
      </c>
      <c r="E132" s="18"/>
      <c r="F132" s="18" t="s">
        <v>48</v>
      </c>
      <c r="G132" s="18" t="s">
        <v>320</v>
      </c>
      <c r="H132" s="18"/>
      <c r="I132" s="18"/>
      <c r="J132" s="18"/>
      <c r="K132" s="18"/>
      <c r="L132" s="18"/>
      <c r="M132" s="18" t="s">
        <v>375</v>
      </c>
      <c r="N132" s="18" t="s">
        <v>370</v>
      </c>
      <c r="O132" s="18" t="s">
        <v>366</v>
      </c>
      <c r="P132" s="18"/>
      <c r="Q132" s="21"/>
      <c r="R132" s="21"/>
      <c r="S132" s="21"/>
      <c r="T132" s="21"/>
      <c r="U132" s="22"/>
      <c r="V132" s="18"/>
      <c r="W132" s="18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14" t="s">
        <v>323</v>
      </c>
      <c r="B133" s="13" t="s">
        <v>305</v>
      </c>
      <c r="C133" s="13"/>
      <c r="D133" s="1"/>
      <c r="E133" s="13"/>
      <c r="F133" s="13" t="s">
        <v>306</v>
      </c>
      <c r="G133" s="13" t="s">
        <v>4</v>
      </c>
      <c r="H133" s="13"/>
      <c r="I133" s="13"/>
      <c r="J133" s="13"/>
      <c r="K133" s="13"/>
      <c r="L133" s="13"/>
      <c r="M133" s="13" t="s">
        <v>367</v>
      </c>
      <c r="N133" s="13"/>
      <c r="O133" s="13" t="s">
        <v>361</v>
      </c>
      <c r="P133" s="13"/>
      <c r="Q133" s="16"/>
      <c r="R133" s="16"/>
      <c r="S133" s="16"/>
      <c r="T133" s="16"/>
      <c r="U133" s="17"/>
      <c r="V133" s="13"/>
      <c r="W133" s="13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19" t="s">
        <v>324</v>
      </c>
      <c r="B134" s="18" t="s">
        <v>75</v>
      </c>
      <c r="C134" s="18"/>
      <c r="D134" s="1"/>
      <c r="E134" s="18"/>
      <c r="F134" s="18"/>
      <c r="G134" s="18"/>
      <c r="H134" s="18"/>
      <c r="I134" s="18"/>
      <c r="J134" s="18"/>
      <c r="K134" s="18"/>
      <c r="L134" s="18"/>
      <c r="M134" s="18" t="s">
        <v>367</v>
      </c>
      <c r="N134" s="18"/>
      <c r="O134" s="18" t="s">
        <v>367</v>
      </c>
      <c r="P134" s="18"/>
      <c r="Q134" s="21"/>
      <c r="R134" s="21"/>
      <c r="S134" s="21"/>
      <c r="T134" s="21"/>
      <c r="U134" s="22"/>
      <c r="V134" s="18"/>
      <c r="W134" s="18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14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6"/>
      <c r="R135" s="16"/>
      <c r="S135" s="16"/>
      <c r="T135" s="16"/>
      <c r="U135" s="17"/>
      <c r="V135" s="13"/>
      <c r="W135" s="13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19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21"/>
      <c r="R136" s="21"/>
      <c r="S136" s="21"/>
      <c r="T136" s="21"/>
      <c r="U136" s="22"/>
      <c r="V136" s="18"/>
      <c r="W136" s="18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14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6"/>
      <c r="R137" s="16"/>
      <c r="S137" s="16"/>
      <c r="T137" s="16"/>
      <c r="U137" s="17"/>
      <c r="V137" s="13"/>
      <c r="W137" s="13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19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21"/>
      <c r="R138" s="21"/>
      <c r="S138" s="21"/>
      <c r="T138" s="21"/>
      <c r="U138" s="22"/>
      <c r="V138" s="18"/>
      <c r="W138" s="18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14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6"/>
      <c r="R139" s="16"/>
      <c r="S139" s="16"/>
      <c r="T139" s="16"/>
      <c r="U139" s="17"/>
      <c r="V139" s="13"/>
      <c r="W139" s="13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19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21"/>
      <c r="R140" s="21"/>
      <c r="S140" s="21"/>
      <c r="T140" s="21"/>
      <c r="U140" s="22"/>
      <c r="V140" s="18"/>
      <c r="W140" s="18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14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6"/>
      <c r="R141" s="16"/>
      <c r="S141" s="16"/>
      <c r="T141" s="16"/>
      <c r="U141" s="17"/>
      <c r="V141" s="13"/>
      <c r="W141" s="13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19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21"/>
      <c r="R142" s="21"/>
      <c r="S142" s="21"/>
      <c r="T142" s="21"/>
      <c r="U142" s="22"/>
      <c r="V142" s="18"/>
      <c r="W142" s="18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14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6"/>
      <c r="R143" s="16"/>
      <c r="S143" s="16"/>
      <c r="T143" s="16"/>
      <c r="U143" s="17"/>
      <c r="V143" s="13"/>
      <c r="W143" s="13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19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21"/>
      <c r="R144" s="21"/>
      <c r="S144" s="21"/>
      <c r="T144" s="21"/>
      <c r="U144" s="22"/>
      <c r="V144" s="18"/>
      <c r="W144" s="18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14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6"/>
      <c r="R145" s="16"/>
      <c r="S145" s="16"/>
      <c r="T145" s="16"/>
      <c r="U145" s="17"/>
      <c r="V145" s="13"/>
      <c r="W145" s="13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19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21"/>
      <c r="R146" s="21"/>
      <c r="S146" s="21"/>
      <c r="T146" s="21"/>
      <c r="U146" s="22"/>
      <c r="V146" s="18"/>
      <c r="W146" s="18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14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6"/>
      <c r="R147" s="16"/>
      <c r="S147" s="16"/>
      <c r="T147" s="16"/>
      <c r="U147" s="17"/>
      <c r="V147" s="13"/>
      <c r="W147" s="13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19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21"/>
      <c r="R148" s="21"/>
      <c r="S148" s="21"/>
      <c r="T148" s="21"/>
      <c r="U148" s="22"/>
      <c r="V148" s="18"/>
      <c r="W148" s="18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14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6"/>
      <c r="R149" s="16"/>
      <c r="S149" s="16"/>
      <c r="T149" s="16"/>
      <c r="U149" s="17"/>
      <c r="V149" s="13"/>
      <c r="W149" s="13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19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21"/>
      <c r="R150" s="21"/>
      <c r="S150" s="21"/>
      <c r="T150" s="21"/>
      <c r="U150" s="22"/>
      <c r="V150" s="18"/>
      <c r="W150" s="18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14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6"/>
      <c r="R151" s="16"/>
      <c r="S151" s="16"/>
      <c r="T151" s="16"/>
      <c r="U151" s="17"/>
      <c r="V151" s="13"/>
      <c r="W151" s="13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19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21"/>
      <c r="R152" s="21"/>
      <c r="S152" s="21"/>
      <c r="T152" s="21"/>
      <c r="U152" s="22"/>
      <c r="V152" s="18"/>
      <c r="W152" s="18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14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6"/>
      <c r="R153" s="16"/>
      <c r="S153" s="16"/>
      <c r="T153" s="16"/>
      <c r="U153" s="17"/>
      <c r="V153" s="13"/>
      <c r="W153" s="13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19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21"/>
      <c r="R154" s="21"/>
      <c r="S154" s="21"/>
      <c r="T154" s="21"/>
      <c r="U154" s="22"/>
      <c r="V154" s="18"/>
      <c r="W154" s="18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14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6"/>
      <c r="R155" s="16"/>
      <c r="S155" s="16"/>
      <c r="T155" s="16"/>
      <c r="U155" s="17"/>
      <c r="V155" s="13"/>
      <c r="W155" s="13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19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21"/>
      <c r="R156" s="21"/>
      <c r="S156" s="21"/>
      <c r="T156" s="21"/>
      <c r="U156" s="22"/>
      <c r="V156" s="18"/>
      <c r="W156" s="18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14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6"/>
      <c r="R157" s="16"/>
      <c r="S157" s="16"/>
      <c r="T157" s="16"/>
      <c r="U157" s="17"/>
      <c r="V157" s="13"/>
      <c r="W157" s="13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19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21"/>
      <c r="R158" s="21"/>
      <c r="S158" s="21"/>
      <c r="T158" s="21"/>
      <c r="U158" s="22"/>
      <c r="V158" s="18"/>
      <c r="W158" s="18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14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6"/>
      <c r="R159" s="16"/>
      <c r="S159" s="16"/>
      <c r="T159" s="16"/>
      <c r="U159" s="17"/>
      <c r="V159" s="13"/>
      <c r="W159" s="13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19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21"/>
      <c r="R160" s="21"/>
      <c r="S160" s="21"/>
      <c r="T160" s="21"/>
      <c r="U160" s="22"/>
      <c r="V160" s="18"/>
      <c r="W160" s="18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14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6"/>
      <c r="R161" s="16"/>
      <c r="S161" s="16"/>
      <c r="T161" s="16"/>
      <c r="U161" s="17"/>
      <c r="V161" s="13"/>
      <c r="W161" s="13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19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21"/>
      <c r="R162" s="21"/>
      <c r="S162" s="21"/>
      <c r="T162" s="21"/>
      <c r="U162" s="22"/>
      <c r="V162" s="18"/>
      <c r="W162" s="18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14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6"/>
      <c r="R163" s="16"/>
      <c r="S163" s="16"/>
      <c r="T163" s="16"/>
      <c r="U163" s="17"/>
      <c r="V163" s="13"/>
      <c r="W163" s="13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19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21"/>
      <c r="R164" s="21"/>
      <c r="S164" s="21"/>
      <c r="T164" s="21"/>
      <c r="U164" s="22"/>
      <c r="V164" s="18"/>
      <c r="W164" s="18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1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4B74-0EDA-4B87-B249-9565204879C1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25" t="s">
        <v>0</v>
      </c>
      <c r="B3" s="24" t="s">
        <v>1</v>
      </c>
      <c r="C3" s="24" t="s">
        <v>2</v>
      </c>
      <c r="D3" s="24">
        <v>35381421000194</v>
      </c>
      <c r="E3" s="24"/>
      <c r="F3" s="24" t="s">
        <v>3</v>
      </c>
      <c r="G3" s="24" t="s">
        <v>4</v>
      </c>
      <c r="H3" s="24" t="s">
        <v>5</v>
      </c>
      <c r="I3" s="24" t="s">
        <v>341</v>
      </c>
      <c r="J3" s="24"/>
      <c r="K3" s="24"/>
      <c r="L3" s="24"/>
      <c r="M3" s="24"/>
      <c r="N3" s="24"/>
      <c r="O3" s="24"/>
      <c r="P3" s="24"/>
      <c r="Q3" s="26"/>
      <c r="R3" s="26"/>
      <c r="S3" s="26"/>
      <c r="T3" s="26"/>
      <c r="U3" s="27"/>
      <c r="V3" s="24"/>
      <c r="W3" s="24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29" t="s">
        <v>6</v>
      </c>
      <c r="B4" s="28" t="s">
        <v>1</v>
      </c>
      <c r="C4" s="28" t="s">
        <v>2</v>
      </c>
      <c r="D4" s="28" t="s">
        <v>7</v>
      </c>
      <c r="E4" s="28"/>
      <c r="F4" s="28" t="s">
        <v>3</v>
      </c>
      <c r="G4" s="28" t="s">
        <v>4</v>
      </c>
      <c r="H4" s="28" t="s">
        <v>5</v>
      </c>
      <c r="I4" s="28" t="s">
        <v>341</v>
      </c>
      <c r="J4" s="28"/>
      <c r="K4" s="28"/>
      <c r="L4" s="28"/>
      <c r="M4" s="28"/>
      <c r="N4" s="28"/>
      <c r="O4" s="28"/>
      <c r="P4" s="28"/>
      <c r="Q4" s="30"/>
      <c r="R4" s="30"/>
      <c r="S4" s="30"/>
      <c r="T4" s="30"/>
      <c r="U4" s="31"/>
      <c r="V4" s="28"/>
      <c r="W4" s="28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25" t="s">
        <v>8</v>
      </c>
      <c r="B5" s="24" t="s">
        <v>9</v>
      </c>
      <c r="C5" s="24" t="s">
        <v>10</v>
      </c>
      <c r="D5" s="24" t="s">
        <v>11</v>
      </c>
      <c r="E5" s="24"/>
      <c r="F5" s="24" t="s">
        <v>12</v>
      </c>
      <c r="G5" s="24" t="s">
        <v>13</v>
      </c>
      <c r="H5" s="24" t="s">
        <v>14</v>
      </c>
      <c r="I5" s="24" t="s">
        <v>341</v>
      </c>
      <c r="J5" s="24"/>
      <c r="K5" s="24"/>
      <c r="L5" s="24"/>
      <c r="M5" s="24"/>
      <c r="N5" s="24"/>
      <c r="O5" s="24"/>
      <c r="P5" s="24"/>
      <c r="Q5" s="26"/>
      <c r="R5" s="26"/>
      <c r="S5" s="26"/>
      <c r="T5" s="26"/>
      <c r="U5" s="27"/>
      <c r="V5" s="24"/>
      <c r="W5" s="24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29" t="s">
        <v>15</v>
      </c>
      <c r="B6" s="28" t="s">
        <v>9</v>
      </c>
      <c r="C6" s="28" t="s">
        <v>16</v>
      </c>
      <c r="D6" s="28" t="s">
        <v>17</v>
      </c>
      <c r="E6" s="28"/>
      <c r="F6" s="28" t="s">
        <v>12</v>
      </c>
      <c r="G6" s="28" t="s">
        <v>13</v>
      </c>
      <c r="H6" s="28" t="s">
        <v>14</v>
      </c>
      <c r="I6" s="28" t="s">
        <v>341</v>
      </c>
      <c r="J6" s="28" t="s">
        <v>341</v>
      </c>
      <c r="K6" s="28" t="s">
        <v>341</v>
      </c>
      <c r="L6" s="28" t="s">
        <v>341</v>
      </c>
      <c r="M6" s="28" t="s">
        <v>341</v>
      </c>
      <c r="N6" s="28" t="s">
        <v>341</v>
      </c>
      <c r="O6" s="28" t="s">
        <v>341</v>
      </c>
      <c r="P6" s="28" t="s">
        <v>341</v>
      </c>
      <c r="Q6" s="30"/>
      <c r="R6" s="30"/>
      <c r="S6" s="30"/>
      <c r="T6" s="30"/>
      <c r="U6" s="31"/>
      <c r="V6" s="28"/>
      <c r="W6" s="28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25" t="s">
        <v>18</v>
      </c>
      <c r="B7" s="24" t="s">
        <v>9</v>
      </c>
      <c r="C7" s="24" t="s">
        <v>19</v>
      </c>
      <c r="D7" s="24" t="s">
        <v>20</v>
      </c>
      <c r="E7" s="24"/>
      <c r="F7" s="24" t="s">
        <v>12</v>
      </c>
      <c r="G7" s="24" t="s">
        <v>13</v>
      </c>
      <c r="H7" s="24" t="s">
        <v>14</v>
      </c>
      <c r="I7" s="24" t="s">
        <v>341</v>
      </c>
      <c r="J7" s="24" t="s">
        <v>341</v>
      </c>
      <c r="K7" s="24" t="s">
        <v>341</v>
      </c>
      <c r="L7" s="24" t="s">
        <v>341</v>
      </c>
      <c r="M7" s="24" t="s">
        <v>341</v>
      </c>
      <c r="N7" s="24" t="s">
        <v>341</v>
      </c>
      <c r="O7" s="24" t="s">
        <v>341</v>
      </c>
      <c r="P7" s="24" t="s">
        <v>341</v>
      </c>
      <c r="Q7" s="26"/>
      <c r="R7" s="26"/>
      <c r="S7" s="26"/>
      <c r="T7" s="26"/>
      <c r="U7" s="27"/>
      <c r="V7" s="24"/>
      <c r="W7" s="24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29" t="s">
        <v>21</v>
      </c>
      <c r="B8" s="28" t="s">
        <v>9</v>
      </c>
      <c r="C8" s="28" t="s">
        <v>19</v>
      </c>
      <c r="D8" s="28" t="s">
        <v>22</v>
      </c>
      <c r="E8" s="28"/>
      <c r="F8" s="28" t="s">
        <v>12</v>
      </c>
      <c r="G8" s="28" t="s">
        <v>13</v>
      </c>
      <c r="H8" s="28" t="s">
        <v>14</v>
      </c>
      <c r="I8" s="28" t="s">
        <v>341</v>
      </c>
      <c r="J8" s="28" t="s">
        <v>341</v>
      </c>
      <c r="K8" s="28" t="s">
        <v>341</v>
      </c>
      <c r="L8" s="28" t="s">
        <v>341</v>
      </c>
      <c r="M8" s="28" t="s">
        <v>341</v>
      </c>
      <c r="N8" s="28" t="s">
        <v>341</v>
      </c>
      <c r="O8" s="28" t="s">
        <v>341</v>
      </c>
      <c r="P8" s="28" t="s">
        <v>341</v>
      </c>
      <c r="Q8" s="30"/>
      <c r="R8" s="30"/>
      <c r="S8" s="30"/>
      <c r="T8" s="30"/>
      <c r="U8" s="31"/>
      <c r="V8" s="28"/>
      <c r="W8" s="28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25" t="s">
        <v>23</v>
      </c>
      <c r="B9" s="24" t="s">
        <v>9</v>
      </c>
      <c r="C9" s="24" t="s">
        <v>24</v>
      </c>
      <c r="D9" s="24" t="s">
        <v>25</v>
      </c>
      <c r="E9" s="24"/>
      <c r="F9" s="24" t="s">
        <v>12</v>
      </c>
      <c r="G9" s="24" t="s">
        <v>13</v>
      </c>
      <c r="H9" s="24" t="s">
        <v>14</v>
      </c>
      <c r="I9" s="24" t="s">
        <v>341</v>
      </c>
      <c r="J9" s="24" t="s">
        <v>341</v>
      </c>
      <c r="K9" s="24" t="s">
        <v>341</v>
      </c>
      <c r="L9" s="24" t="s">
        <v>341</v>
      </c>
      <c r="M9" s="24" t="s">
        <v>341</v>
      </c>
      <c r="N9" s="24" t="s">
        <v>341</v>
      </c>
      <c r="O9" s="24" t="s">
        <v>341</v>
      </c>
      <c r="P9" s="24" t="s">
        <v>341</v>
      </c>
      <c r="Q9" s="26"/>
      <c r="R9" s="26"/>
      <c r="S9" s="26"/>
      <c r="T9" s="26"/>
      <c r="U9" s="27"/>
      <c r="V9" s="24"/>
      <c r="W9" s="24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29" t="s">
        <v>26</v>
      </c>
      <c r="B10" s="28" t="s">
        <v>9</v>
      </c>
      <c r="C10" s="28" t="s">
        <v>27</v>
      </c>
      <c r="D10" s="28" t="s">
        <v>28</v>
      </c>
      <c r="E10" s="28"/>
      <c r="F10" s="28" t="s">
        <v>12</v>
      </c>
      <c r="G10" s="28" t="s">
        <v>13</v>
      </c>
      <c r="H10" s="28" t="s">
        <v>14</v>
      </c>
      <c r="I10" s="28" t="s">
        <v>341</v>
      </c>
      <c r="J10" s="28" t="s">
        <v>341</v>
      </c>
      <c r="K10" s="28" t="s">
        <v>341</v>
      </c>
      <c r="L10" s="28" t="s">
        <v>341</v>
      </c>
      <c r="M10" s="28" t="s">
        <v>341</v>
      </c>
      <c r="N10" s="28" t="s">
        <v>341</v>
      </c>
      <c r="O10" s="28" t="s">
        <v>341</v>
      </c>
      <c r="P10" s="28" t="s">
        <v>341</v>
      </c>
      <c r="Q10" s="30"/>
      <c r="R10" s="30"/>
      <c r="S10" s="30"/>
      <c r="T10" s="30"/>
      <c r="U10" s="31"/>
      <c r="V10" s="28"/>
      <c r="W10" s="28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25" t="s">
        <v>29</v>
      </c>
      <c r="B11" s="24" t="s">
        <v>9</v>
      </c>
      <c r="C11" s="24" t="s">
        <v>16</v>
      </c>
      <c r="D11" s="24" t="s">
        <v>30</v>
      </c>
      <c r="E11" s="24"/>
      <c r="F11" s="24" t="s">
        <v>12</v>
      </c>
      <c r="G11" s="24" t="s">
        <v>13</v>
      </c>
      <c r="H11" s="24" t="s">
        <v>14</v>
      </c>
      <c r="I11" s="24" t="s">
        <v>341</v>
      </c>
      <c r="J11" s="24" t="s">
        <v>341</v>
      </c>
      <c r="K11" s="24" t="s">
        <v>341</v>
      </c>
      <c r="L11" s="24" t="s">
        <v>341</v>
      </c>
      <c r="M11" s="24" t="s">
        <v>341</v>
      </c>
      <c r="N11" s="24" t="s">
        <v>341</v>
      </c>
      <c r="O11" s="24" t="s">
        <v>341</v>
      </c>
      <c r="P11" s="24" t="s">
        <v>341</v>
      </c>
      <c r="Q11" s="26"/>
      <c r="R11" s="26"/>
      <c r="S11" s="26"/>
      <c r="T11" s="26"/>
      <c r="U11" s="27"/>
      <c r="V11" s="24"/>
      <c r="W11" s="24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29" t="s">
        <v>31</v>
      </c>
      <c r="B12" s="28" t="s">
        <v>9</v>
      </c>
      <c r="C12" s="28" t="s">
        <v>24</v>
      </c>
      <c r="D12" s="28" t="s">
        <v>32</v>
      </c>
      <c r="E12" s="28"/>
      <c r="F12" s="28" t="s">
        <v>12</v>
      </c>
      <c r="G12" s="28" t="s">
        <v>13</v>
      </c>
      <c r="H12" s="28" t="s">
        <v>14</v>
      </c>
      <c r="I12" s="28" t="s">
        <v>341</v>
      </c>
      <c r="J12" s="28" t="s">
        <v>341</v>
      </c>
      <c r="K12" s="28" t="s">
        <v>341</v>
      </c>
      <c r="L12" s="28" t="s">
        <v>341</v>
      </c>
      <c r="M12" s="28" t="s">
        <v>341</v>
      </c>
      <c r="N12" s="28" t="s">
        <v>341</v>
      </c>
      <c r="O12" s="28" t="s">
        <v>341</v>
      </c>
      <c r="P12" s="28" t="s">
        <v>341</v>
      </c>
      <c r="Q12" s="30"/>
      <c r="R12" s="30"/>
      <c r="S12" s="30"/>
      <c r="T12" s="30"/>
      <c r="U12" s="31"/>
      <c r="V12" s="28"/>
      <c r="W12" s="28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25" t="s">
        <v>33</v>
      </c>
      <c r="B13" s="24" t="s">
        <v>9</v>
      </c>
      <c r="C13" s="24" t="s">
        <v>24</v>
      </c>
      <c r="D13" s="24" t="s">
        <v>34</v>
      </c>
      <c r="E13" s="24"/>
      <c r="F13" s="24" t="s">
        <v>12</v>
      </c>
      <c r="G13" s="24" t="s">
        <v>13</v>
      </c>
      <c r="H13" s="24" t="s">
        <v>14</v>
      </c>
      <c r="I13" s="24" t="s">
        <v>341</v>
      </c>
      <c r="J13" s="24" t="s">
        <v>341</v>
      </c>
      <c r="K13" s="24" t="s">
        <v>341</v>
      </c>
      <c r="L13" s="24" t="s">
        <v>341</v>
      </c>
      <c r="M13" s="24" t="s">
        <v>341</v>
      </c>
      <c r="N13" s="24" t="s">
        <v>341</v>
      </c>
      <c r="O13" s="24" t="s">
        <v>341</v>
      </c>
      <c r="P13" s="24" t="s">
        <v>341</v>
      </c>
      <c r="Q13" s="26"/>
      <c r="R13" s="26"/>
      <c r="S13" s="26"/>
      <c r="T13" s="26"/>
      <c r="U13" s="27"/>
      <c r="V13" s="24"/>
      <c r="W13" s="24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29" t="s">
        <v>35</v>
      </c>
      <c r="B14" s="28" t="s">
        <v>9</v>
      </c>
      <c r="C14" s="28" t="s">
        <v>24</v>
      </c>
      <c r="D14" s="28" t="s">
        <v>36</v>
      </c>
      <c r="E14" s="28"/>
      <c r="F14" s="28" t="s">
        <v>37</v>
      </c>
      <c r="G14" s="28" t="s">
        <v>13</v>
      </c>
      <c r="H14" s="28" t="s">
        <v>14</v>
      </c>
      <c r="I14" s="28" t="s">
        <v>341</v>
      </c>
      <c r="J14" s="28" t="s">
        <v>341</v>
      </c>
      <c r="K14" s="28" t="s">
        <v>341</v>
      </c>
      <c r="L14" s="28" t="s">
        <v>341</v>
      </c>
      <c r="M14" s="28" t="s">
        <v>341</v>
      </c>
      <c r="N14" s="28" t="s">
        <v>341</v>
      </c>
      <c r="O14" s="28" t="s">
        <v>341</v>
      </c>
      <c r="P14" s="28" t="s">
        <v>341</v>
      </c>
      <c r="Q14" s="30"/>
      <c r="R14" s="30"/>
      <c r="S14" s="30"/>
      <c r="T14" s="30"/>
      <c r="U14" s="31"/>
      <c r="V14" s="28"/>
      <c r="W14" s="28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25" t="s">
        <v>38</v>
      </c>
      <c r="B15" s="24" t="s">
        <v>9</v>
      </c>
      <c r="C15" s="24" t="s">
        <v>16</v>
      </c>
      <c r="D15" s="24" t="s">
        <v>39</v>
      </c>
      <c r="E15" s="24"/>
      <c r="F15" s="24" t="s">
        <v>37</v>
      </c>
      <c r="G15" s="24" t="s">
        <v>13</v>
      </c>
      <c r="H15" s="24" t="s">
        <v>14</v>
      </c>
      <c r="I15" s="24" t="s">
        <v>341</v>
      </c>
      <c r="J15" s="24" t="s">
        <v>341</v>
      </c>
      <c r="K15" s="24" t="s">
        <v>341</v>
      </c>
      <c r="L15" s="24" t="s">
        <v>341</v>
      </c>
      <c r="M15" s="24" t="s">
        <v>341</v>
      </c>
      <c r="N15" s="24" t="s">
        <v>341</v>
      </c>
      <c r="O15" s="24" t="s">
        <v>341</v>
      </c>
      <c r="P15" s="24" t="s">
        <v>341</v>
      </c>
      <c r="Q15" s="26"/>
      <c r="R15" s="26"/>
      <c r="S15" s="26"/>
      <c r="T15" s="26"/>
      <c r="U15" s="27"/>
      <c r="V15" s="24"/>
      <c r="W15" s="24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29" t="s">
        <v>40</v>
      </c>
      <c r="B16" s="28" t="s">
        <v>9</v>
      </c>
      <c r="C16" s="28" t="s">
        <v>24</v>
      </c>
      <c r="D16" s="28">
        <v>17608570000161</v>
      </c>
      <c r="E16" s="28"/>
      <c r="F16" s="28" t="s">
        <v>12</v>
      </c>
      <c r="G16" s="28" t="s">
        <v>41</v>
      </c>
      <c r="H16" s="28" t="s">
        <v>5</v>
      </c>
      <c r="I16" s="28" t="s">
        <v>341</v>
      </c>
      <c r="J16" s="28" t="s">
        <v>341</v>
      </c>
      <c r="K16" s="28" t="s">
        <v>341</v>
      </c>
      <c r="L16" s="28" t="s">
        <v>341</v>
      </c>
      <c r="M16" s="28" t="s">
        <v>341</v>
      </c>
      <c r="N16" s="28" t="s">
        <v>341</v>
      </c>
      <c r="O16" s="28" t="s">
        <v>341</v>
      </c>
      <c r="P16" s="28" t="s">
        <v>341</v>
      </c>
      <c r="Q16" s="30"/>
      <c r="R16" s="30"/>
      <c r="S16" s="30"/>
      <c r="T16" s="30"/>
      <c r="U16" s="31"/>
      <c r="V16" s="28"/>
      <c r="W16" s="28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25" t="s">
        <v>42</v>
      </c>
      <c r="B17" s="24" t="s">
        <v>9</v>
      </c>
      <c r="C17" s="24" t="s">
        <v>24</v>
      </c>
      <c r="D17" s="24" t="s">
        <v>43</v>
      </c>
      <c r="E17" s="24"/>
      <c r="F17" s="24" t="s">
        <v>12</v>
      </c>
      <c r="G17" s="24" t="s">
        <v>41</v>
      </c>
      <c r="H17" s="24" t="s">
        <v>5</v>
      </c>
      <c r="I17" s="24"/>
      <c r="J17" s="24"/>
      <c r="K17" s="24"/>
      <c r="L17" s="24"/>
      <c r="M17" s="24" t="s">
        <v>372</v>
      </c>
      <c r="N17" s="24"/>
      <c r="O17" s="24" t="s">
        <v>342</v>
      </c>
      <c r="P17" s="24" t="s">
        <v>343</v>
      </c>
      <c r="Q17" s="26"/>
      <c r="R17" s="26"/>
      <c r="S17" s="26"/>
      <c r="T17" s="26"/>
      <c r="U17" s="27"/>
      <c r="V17" s="24"/>
      <c r="W17" s="24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29" t="s">
        <v>44</v>
      </c>
      <c r="B18" s="28" t="s">
        <v>45</v>
      </c>
      <c r="C18" s="28" t="s">
        <v>46</v>
      </c>
      <c r="D18" s="28" t="s">
        <v>47</v>
      </c>
      <c r="E18" s="28"/>
      <c r="F18" s="28" t="s">
        <v>48</v>
      </c>
      <c r="G18" s="28" t="s">
        <v>13</v>
      </c>
      <c r="H18" s="28" t="s">
        <v>49</v>
      </c>
      <c r="I18" s="28"/>
      <c r="J18" s="28"/>
      <c r="K18" s="28"/>
      <c r="L18" s="28"/>
      <c r="M18" s="28" t="s">
        <v>373</v>
      </c>
      <c r="N18" s="28"/>
      <c r="O18" s="28" t="s">
        <v>344</v>
      </c>
      <c r="P18" s="28"/>
      <c r="Q18" s="30"/>
      <c r="R18" s="30"/>
      <c r="S18" s="30"/>
      <c r="T18" s="30"/>
      <c r="U18" s="31"/>
      <c r="V18" s="28"/>
      <c r="W18" s="28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25" t="s">
        <v>50</v>
      </c>
      <c r="B19" s="24" t="s">
        <v>45</v>
      </c>
      <c r="C19" s="24" t="s">
        <v>46</v>
      </c>
      <c r="D19" s="24" t="s">
        <v>51</v>
      </c>
      <c r="E19" s="24"/>
      <c r="F19" s="24" t="s">
        <v>48</v>
      </c>
      <c r="G19" s="24" t="s">
        <v>13</v>
      </c>
      <c r="H19" s="24" t="s">
        <v>49</v>
      </c>
      <c r="I19" s="24"/>
      <c r="J19" s="24"/>
      <c r="K19" s="24"/>
      <c r="L19" s="24"/>
      <c r="M19" s="24" t="s">
        <v>373</v>
      </c>
      <c r="N19" s="24"/>
      <c r="O19" s="24" t="s">
        <v>344</v>
      </c>
      <c r="P19" s="24"/>
      <c r="Q19" s="26"/>
      <c r="R19" s="26"/>
      <c r="S19" s="26"/>
      <c r="T19" s="26"/>
      <c r="U19" s="27"/>
      <c r="V19" s="24"/>
      <c r="W19" s="24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29" t="s">
        <v>52</v>
      </c>
      <c r="B20" s="28" t="s">
        <v>45</v>
      </c>
      <c r="C20" s="28" t="s">
        <v>46</v>
      </c>
      <c r="D20" s="28" t="s">
        <v>53</v>
      </c>
      <c r="E20" s="28"/>
      <c r="F20" s="28" t="s">
        <v>48</v>
      </c>
      <c r="G20" s="28" t="s">
        <v>13</v>
      </c>
      <c r="H20" s="28" t="s">
        <v>14</v>
      </c>
      <c r="I20" s="28"/>
      <c r="J20" s="28"/>
      <c r="K20" s="28"/>
      <c r="L20" s="28"/>
      <c r="M20" s="28" t="s">
        <v>373</v>
      </c>
      <c r="N20" s="28"/>
      <c r="O20" s="28" t="s">
        <v>344</v>
      </c>
      <c r="P20" s="28"/>
      <c r="Q20" s="30"/>
      <c r="R20" s="30"/>
      <c r="S20" s="30"/>
      <c r="T20" s="30"/>
      <c r="U20" s="31"/>
      <c r="V20" s="28"/>
      <c r="W20" s="28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25" t="s">
        <v>54</v>
      </c>
      <c r="B21" s="24" t="s">
        <v>55</v>
      </c>
      <c r="C21" s="24" t="s">
        <v>56</v>
      </c>
      <c r="D21" s="24">
        <v>57123358000129</v>
      </c>
      <c r="E21" s="24"/>
      <c r="F21" s="24" t="s">
        <v>57</v>
      </c>
      <c r="G21" s="24" t="s">
        <v>4</v>
      </c>
      <c r="H21" s="24" t="s">
        <v>14</v>
      </c>
      <c r="I21" s="24"/>
      <c r="J21" s="24"/>
      <c r="K21" s="24"/>
      <c r="L21" s="24"/>
      <c r="M21" s="24" t="s">
        <v>372</v>
      </c>
      <c r="N21" s="24"/>
      <c r="O21" s="24" t="s">
        <v>346</v>
      </c>
      <c r="P21" s="24"/>
      <c r="Q21" s="26"/>
      <c r="R21" s="26"/>
      <c r="S21" s="26"/>
      <c r="T21" s="26"/>
      <c r="U21" s="27"/>
      <c r="V21" s="24"/>
      <c r="W21" s="24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29" t="s">
        <v>58</v>
      </c>
      <c r="B22" s="28" t="s">
        <v>45</v>
      </c>
      <c r="C22" s="28" t="s">
        <v>59</v>
      </c>
      <c r="D22" s="28">
        <v>40870380000130</v>
      </c>
      <c r="E22" s="28"/>
      <c r="F22" s="28" t="s">
        <v>48</v>
      </c>
      <c r="G22" s="28" t="s">
        <v>4</v>
      </c>
      <c r="H22" s="28" t="s">
        <v>14</v>
      </c>
      <c r="I22" s="28"/>
      <c r="J22" s="28"/>
      <c r="K22" s="28"/>
      <c r="L22" s="28"/>
      <c r="M22" s="28" t="s">
        <v>374</v>
      </c>
      <c r="N22" s="28"/>
      <c r="O22" s="28" t="s">
        <v>345</v>
      </c>
      <c r="P22" s="28"/>
      <c r="Q22" s="30"/>
      <c r="R22" s="30"/>
      <c r="S22" s="30"/>
      <c r="T22" s="30"/>
      <c r="U22" s="31"/>
      <c r="V22" s="28"/>
      <c r="W22" s="28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25" t="s">
        <v>60</v>
      </c>
      <c r="B23" s="24" t="s">
        <v>61</v>
      </c>
      <c r="C23" s="24" t="s">
        <v>62</v>
      </c>
      <c r="D23" s="24">
        <v>26837949000134</v>
      </c>
      <c r="E23" s="24"/>
      <c r="F23" s="24" t="s">
        <v>63</v>
      </c>
      <c r="G23" s="24" t="s">
        <v>41</v>
      </c>
      <c r="H23" s="24" t="s">
        <v>5</v>
      </c>
      <c r="I23" s="24"/>
      <c r="J23" s="24"/>
      <c r="K23" s="24"/>
      <c r="L23" s="24"/>
      <c r="M23" s="24" t="s">
        <v>375</v>
      </c>
      <c r="N23" s="24"/>
      <c r="O23" s="24"/>
      <c r="P23" s="24"/>
      <c r="Q23" s="26"/>
      <c r="R23" s="26"/>
      <c r="S23" s="26"/>
      <c r="T23" s="26"/>
      <c r="U23" s="27"/>
      <c r="V23" s="24"/>
      <c r="W23" s="24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29" t="s">
        <v>64</v>
      </c>
      <c r="B24" s="28" t="s">
        <v>65</v>
      </c>
      <c r="C24" s="28" t="s">
        <v>62</v>
      </c>
      <c r="D24" s="28">
        <v>12923820000134</v>
      </c>
      <c r="E24" s="28"/>
      <c r="F24" s="28" t="s">
        <v>66</v>
      </c>
      <c r="G24" s="28" t="s">
        <v>13</v>
      </c>
      <c r="H24" s="28" t="s">
        <v>49</v>
      </c>
      <c r="I24" s="28"/>
      <c r="J24" s="28"/>
      <c r="K24" s="28"/>
      <c r="L24" s="28"/>
      <c r="M24" s="28" t="s">
        <v>373</v>
      </c>
      <c r="N24" s="28"/>
      <c r="O24" s="28" t="s">
        <v>344</v>
      </c>
      <c r="P24" s="28"/>
      <c r="Q24" s="30"/>
      <c r="R24" s="30"/>
      <c r="S24" s="30"/>
      <c r="T24" s="30"/>
      <c r="U24" s="31"/>
      <c r="V24" s="28"/>
      <c r="W24" s="28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25" t="s">
        <v>67</v>
      </c>
      <c r="B25" s="24" t="s">
        <v>68</v>
      </c>
      <c r="C25" s="24" t="s">
        <v>69</v>
      </c>
      <c r="D25" s="24" t="s">
        <v>70</v>
      </c>
      <c r="E25" s="24"/>
      <c r="F25" s="24" t="s">
        <v>71</v>
      </c>
      <c r="G25" s="24" t="s">
        <v>4</v>
      </c>
      <c r="H25" s="24" t="s">
        <v>49</v>
      </c>
      <c r="I25" s="24"/>
      <c r="J25" s="24"/>
      <c r="K25" s="24"/>
      <c r="L25" s="24"/>
      <c r="M25" s="24" t="s">
        <v>375</v>
      </c>
      <c r="N25" s="24"/>
      <c r="O25" s="24" t="s">
        <v>346</v>
      </c>
      <c r="P25" s="24"/>
      <c r="Q25" s="26"/>
      <c r="R25" s="26"/>
      <c r="S25" s="26"/>
      <c r="T25" s="26"/>
      <c r="U25" s="27"/>
      <c r="V25" s="24"/>
      <c r="W25" s="24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29" t="s">
        <v>72</v>
      </c>
      <c r="B26" s="28" t="s">
        <v>9</v>
      </c>
      <c r="C26" s="28" t="s">
        <v>24</v>
      </c>
      <c r="D26" s="28">
        <v>41597807000130</v>
      </c>
      <c r="E26" s="28"/>
      <c r="F26" s="28" t="s">
        <v>73</v>
      </c>
      <c r="G26" s="28" t="s">
        <v>4</v>
      </c>
      <c r="H26" s="28" t="s">
        <v>5</v>
      </c>
      <c r="I26" s="28"/>
      <c r="J26" s="28"/>
      <c r="K26" s="28"/>
      <c r="L26" s="28"/>
      <c r="M26" s="28" t="s">
        <v>375</v>
      </c>
      <c r="N26" s="28"/>
      <c r="O26" s="28" t="s">
        <v>344</v>
      </c>
      <c r="P26" s="28"/>
      <c r="Q26" s="30"/>
      <c r="R26" s="30"/>
      <c r="S26" s="30"/>
      <c r="T26" s="30"/>
      <c r="U26" s="31"/>
      <c r="V26" s="28"/>
      <c r="W26" s="28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25" t="s">
        <v>74</v>
      </c>
      <c r="B27" s="24" t="s">
        <v>75</v>
      </c>
      <c r="C27" s="24" t="s">
        <v>62</v>
      </c>
      <c r="D27" s="24">
        <v>21430001000146</v>
      </c>
      <c r="E27" s="24"/>
      <c r="F27" s="24" t="s">
        <v>76</v>
      </c>
      <c r="G27" s="24" t="s">
        <v>4</v>
      </c>
      <c r="H27" s="24" t="s">
        <v>5</v>
      </c>
      <c r="I27" s="24"/>
      <c r="J27" s="24"/>
      <c r="K27" s="24"/>
      <c r="L27" s="24"/>
      <c r="M27" s="24" t="s">
        <v>373</v>
      </c>
      <c r="N27" s="24"/>
      <c r="O27" s="24" t="s">
        <v>344</v>
      </c>
      <c r="P27" s="24"/>
      <c r="Q27" s="26"/>
      <c r="R27" s="26"/>
      <c r="S27" s="26"/>
      <c r="T27" s="26"/>
      <c r="U27" s="27"/>
      <c r="V27" s="24"/>
      <c r="W27" s="24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29" t="s">
        <v>77</v>
      </c>
      <c r="B28" s="28" t="s">
        <v>78</v>
      </c>
      <c r="C28" s="28" t="s">
        <v>79</v>
      </c>
      <c r="D28" s="28" t="s">
        <v>80</v>
      </c>
      <c r="E28" s="28"/>
      <c r="F28" s="28" t="s">
        <v>81</v>
      </c>
      <c r="G28" s="28" t="s">
        <v>13</v>
      </c>
      <c r="H28" s="28" t="s">
        <v>49</v>
      </c>
      <c r="I28" s="28"/>
      <c r="J28" s="28"/>
      <c r="K28" s="28"/>
      <c r="L28" s="28"/>
      <c r="M28" s="28" t="s">
        <v>373</v>
      </c>
      <c r="N28" s="28"/>
      <c r="O28" s="28" t="s">
        <v>344</v>
      </c>
      <c r="P28" s="28"/>
      <c r="Q28" s="30"/>
      <c r="R28" s="30"/>
      <c r="S28" s="30"/>
      <c r="T28" s="30"/>
      <c r="U28" s="31"/>
      <c r="V28" s="28"/>
      <c r="W28" s="28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25" t="s">
        <v>82</v>
      </c>
      <c r="B29" s="24" t="s">
        <v>78</v>
      </c>
      <c r="C29" s="24" t="s">
        <v>83</v>
      </c>
      <c r="D29" s="24">
        <v>62220305000166</v>
      </c>
      <c r="E29" s="24"/>
      <c r="F29" s="24" t="s">
        <v>81</v>
      </c>
      <c r="G29" s="24" t="s">
        <v>4</v>
      </c>
      <c r="H29" s="24" t="s">
        <v>5</v>
      </c>
      <c r="I29" s="24"/>
      <c r="J29" s="24"/>
      <c r="K29" s="24"/>
      <c r="L29" s="24"/>
      <c r="M29" s="24" t="s">
        <v>374</v>
      </c>
      <c r="N29" s="24"/>
      <c r="O29" s="24" t="s">
        <v>346</v>
      </c>
      <c r="P29" s="24"/>
      <c r="Q29" s="26"/>
      <c r="R29" s="26"/>
      <c r="S29" s="26"/>
      <c r="T29" s="26"/>
      <c r="U29" s="27"/>
      <c r="V29" s="24"/>
      <c r="W29" s="24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29" t="s">
        <v>84</v>
      </c>
      <c r="B30" s="28" t="s">
        <v>85</v>
      </c>
      <c r="C30" s="28" t="s">
        <v>46</v>
      </c>
      <c r="D30" s="28">
        <v>10712858000132</v>
      </c>
      <c r="E30" s="28"/>
      <c r="F30" s="28" t="s">
        <v>86</v>
      </c>
      <c r="G30" s="28" t="s">
        <v>13</v>
      </c>
      <c r="H30" s="28" t="s">
        <v>5</v>
      </c>
      <c r="I30" s="28"/>
      <c r="J30" s="28"/>
      <c r="K30" s="28"/>
      <c r="L30" s="28"/>
      <c r="M30" s="28" t="s">
        <v>373</v>
      </c>
      <c r="N30" s="28"/>
      <c r="O30" s="28" t="s">
        <v>346</v>
      </c>
      <c r="P30" s="28"/>
      <c r="Q30" s="30"/>
      <c r="R30" s="30"/>
      <c r="S30" s="30"/>
      <c r="T30" s="30"/>
      <c r="U30" s="31"/>
      <c r="V30" s="28"/>
      <c r="W30" s="28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25" t="s">
        <v>87</v>
      </c>
      <c r="B31" s="24" t="s">
        <v>61</v>
      </c>
      <c r="C31" s="24" t="s">
        <v>62</v>
      </c>
      <c r="D31" s="24">
        <v>53665434000177</v>
      </c>
      <c r="E31" s="24"/>
      <c r="F31" s="24" t="s">
        <v>63</v>
      </c>
      <c r="G31" s="24" t="s">
        <v>4</v>
      </c>
      <c r="H31" s="24" t="s">
        <v>5</v>
      </c>
      <c r="I31" s="24"/>
      <c r="J31" s="24"/>
      <c r="K31" s="24"/>
      <c r="L31" s="24"/>
      <c r="M31" s="24" t="s">
        <v>375</v>
      </c>
      <c r="N31" s="24"/>
      <c r="O31" s="24" t="s">
        <v>346</v>
      </c>
      <c r="P31" s="24"/>
      <c r="Q31" s="26"/>
      <c r="R31" s="26"/>
      <c r="S31" s="26"/>
      <c r="T31" s="26"/>
      <c r="U31" s="27"/>
      <c r="V31" s="24"/>
      <c r="W31" s="24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29" t="s">
        <v>88</v>
      </c>
      <c r="B32" s="28" t="s">
        <v>61</v>
      </c>
      <c r="C32" s="28" t="s">
        <v>62</v>
      </c>
      <c r="D32" s="28">
        <v>53665515000177</v>
      </c>
      <c r="E32" s="28"/>
      <c r="F32" s="28" t="s">
        <v>63</v>
      </c>
      <c r="G32" s="28" t="s">
        <v>4</v>
      </c>
      <c r="H32" s="28" t="s">
        <v>5</v>
      </c>
      <c r="I32" s="28"/>
      <c r="J32" s="28"/>
      <c r="K32" s="28"/>
      <c r="L32" s="28"/>
      <c r="M32" s="28" t="s">
        <v>375</v>
      </c>
      <c r="N32" s="28"/>
      <c r="O32" s="28" t="s">
        <v>346</v>
      </c>
      <c r="P32" s="28"/>
      <c r="Q32" s="30"/>
      <c r="R32" s="30"/>
      <c r="S32" s="30"/>
      <c r="T32" s="30"/>
      <c r="U32" s="31"/>
      <c r="V32" s="28"/>
      <c r="W32" s="28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25" t="s">
        <v>89</v>
      </c>
      <c r="B33" s="24" t="s">
        <v>61</v>
      </c>
      <c r="C33" s="24" t="s">
        <v>62</v>
      </c>
      <c r="D33" s="24">
        <v>53666225000148</v>
      </c>
      <c r="E33" s="24"/>
      <c r="F33" s="24" t="s">
        <v>63</v>
      </c>
      <c r="G33" s="24" t="s">
        <v>4</v>
      </c>
      <c r="H33" s="24" t="s">
        <v>5</v>
      </c>
      <c r="I33" s="24"/>
      <c r="J33" s="24"/>
      <c r="K33" s="24"/>
      <c r="L33" s="24"/>
      <c r="M33" s="24" t="s">
        <v>375</v>
      </c>
      <c r="N33" s="24"/>
      <c r="O33" s="24" t="s">
        <v>346</v>
      </c>
      <c r="P33" s="24"/>
      <c r="Q33" s="26"/>
      <c r="R33" s="26"/>
      <c r="S33" s="26"/>
      <c r="T33" s="26"/>
      <c r="U33" s="27"/>
      <c r="V33" s="24"/>
      <c r="W33" s="24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29" t="s">
        <v>90</v>
      </c>
      <c r="B34" s="28" t="s">
        <v>61</v>
      </c>
      <c r="C34" s="28" t="s">
        <v>62</v>
      </c>
      <c r="D34" s="28">
        <v>17845752000156</v>
      </c>
      <c r="E34" s="28"/>
      <c r="F34" s="28" t="s">
        <v>63</v>
      </c>
      <c r="G34" s="28" t="s">
        <v>41</v>
      </c>
      <c r="H34" s="28" t="s">
        <v>5</v>
      </c>
      <c r="I34" s="28"/>
      <c r="J34" s="28"/>
      <c r="K34" s="28"/>
      <c r="L34" s="28"/>
      <c r="M34" s="28" t="s">
        <v>376</v>
      </c>
      <c r="N34" s="28"/>
      <c r="O34" s="28" t="s">
        <v>346</v>
      </c>
      <c r="P34" s="28"/>
      <c r="Q34" s="30"/>
      <c r="R34" s="30"/>
      <c r="S34" s="30"/>
      <c r="T34" s="30"/>
      <c r="U34" s="31"/>
      <c r="V34" s="28"/>
      <c r="W34" s="28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25" t="s">
        <v>91</v>
      </c>
      <c r="B35" s="24" t="s">
        <v>61</v>
      </c>
      <c r="C35" s="24" t="s">
        <v>62</v>
      </c>
      <c r="D35" s="24">
        <v>17813257000165</v>
      </c>
      <c r="E35" s="24"/>
      <c r="F35" s="24" t="s">
        <v>63</v>
      </c>
      <c r="G35" s="24" t="s">
        <v>13</v>
      </c>
      <c r="H35" s="24" t="s">
        <v>5</v>
      </c>
      <c r="I35" s="24"/>
      <c r="J35" s="24"/>
      <c r="K35" s="24"/>
      <c r="L35" s="24"/>
      <c r="M35" s="24" t="s">
        <v>377</v>
      </c>
      <c r="N35" s="24"/>
      <c r="O35" s="24" t="s">
        <v>346</v>
      </c>
      <c r="P35" s="24"/>
      <c r="Q35" s="26"/>
      <c r="R35" s="26"/>
      <c r="S35" s="26"/>
      <c r="T35" s="26"/>
      <c r="U35" s="27"/>
      <c r="V35" s="24"/>
      <c r="W35" s="24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29" t="s">
        <v>92</v>
      </c>
      <c r="B36" s="28" t="s">
        <v>1</v>
      </c>
      <c r="C36" s="28" t="s">
        <v>93</v>
      </c>
      <c r="D36" s="28" t="s">
        <v>94</v>
      </c>
      <c r="E36" s="28"/>
      <c r="F36" s="28" t="s">
        <v>3</v>
      </c>
      <c r="G36" s="28" t="s">
        <v>4</v>
      </c>
      <c r="H36" s="28" t="s">
        <v>5</v>
      </c>
      <c r="I36" s="28"/>
      <c r="J36" s="28"/>
      <c r="K36" s="28"/>
      <c r="L36" s="28"/>
      <c r="M36" s="28" t="s">
        <v>373</v>
      </c>
      <c r="N36" s="28"/>
      <c r="O36" s="28" t="s">
        <v>346</v>
      </c>
      <c r="P36" s="28"/>
      <c r="Q36" s="30"/>
      <c r="R36" s="30"/>
      <c r="S36" s="30"/>
      <c r="T36" s="30"/>
      <c r="U36" s="31"/>
      <c r="V36" s="28"/>
      <c r="W36" s="28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25" t="s">
        <v>95</v>
      </c>
      <c r="B37" s="24" t="s">
        <v>96</v>
      </c>
      <c r="C37" s="24" t="s">
        <v>97</v>
      </c>
      <c r="D37" s="24" t="s">
        <v>98</v>
      </c>
      <c r="E37" s="24"/>
      <c r="F37" s="24" t="s">
        <v>99</v>
      </c>
      <c r="G37" s="24" t="s">
        <v>41</v>
      </c>
      <c r="H37" s="24" t="s">
        <v>14</v>
      </c>
      <c r="I37" s="24"/>
      <c r="J37" s="24"/>
      <c r="K37" s="24"/>
      <c r="L37" s="24"/>
      <c r="M37" s="24" t="s">
        <v>379</v>
      </c>
      <c r="N37" s="24" t="s">
        <v>358</v>
      </c>
      <c r="O37" s="24" t="s">
        <v>346</v>
      </c>
      <c r="P37" s="24"/>
      <c r="Q37" s="26"/>
      <c r="R37" s="26"/>
      <c r="S37" s="26"/>
      <c r="T37" s="26"/>
      <c r="U37" s="27"/>
      <c r="V37" s="24"/>
      <c r="W37" s="24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29" t="s">
        <v>95</v>
      </c>
      <c r="B38" s="28" t="s">
        <v>96</v>
      </c>
      <c r="C38" s="28" t="s">
        <v>97</v>
      </c>
      <c r="D38" s="28" t="s">
        <v>100</v>
      </c>
      <c r="E38" s="28"/>
      <c r="F38" s="28" t="s">
        <v>99</v>
      </c>
      <c r="G38" s="28" t="s">
        <v>13</v>
      </c>
      <c r="H38" s="28" t="s">
        <v>14</v>
      </c>
      <c r="I38" s="28"/>
      <c r="J38" s="28"/>
      <c r="K38" s="28"/>
      <c r="L38" s="28"/>
      <c r="M38" s="28" t="s">
        <v>378</v>
      </c>
      <c r="N38" s="28" t="s">
        <v>358</v>
      </c>
      <c r="O38" s="28" t="s">
        <v>346</v>
      </c>
      <c r="P38" s="28"/>
      <c r="Q38" s="30"/>
      <c r="R38" s="30"/>
      <c r="S38" s="30"/>
      <c r="T38" s="30"/>
      <c r="U38" s="31"/>
      <c r="V38" s="28"/>
      <c r="W38" s="28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25" t="s">
        <v>95</v>
      </c>
      <c r="B39" s="24" t="s">
        <v>96</v>
      </c>
      <c r="C39" s="24" t="s">
        <v>97</v>
      </c>
      <c r="D39" s="24" t="s">
        <v>101</v>
      </c>
      <c r="E39" s="24"/>
      <c r="F39" s="24" t="s">
        <v>99</v>
      </c>
      <c r="G39" s="24" t="s">
        <v>13</v>
      </c>
      <c r="H39" s="24" t="s">
        <v>14</v>
      </c>
      <c r="I39" s="24"/>
      <c r="J39" s="24"/>
      <c r="K39" s="24"/>
      <c r="L39" s="24"/>
      <c r="M39" s="24" t="s">
        <v>378</v>
      </c>
      <c r="N39" s="24" t="s">
        <v>358</v>
      </c>
      <c r="O39" s="24" t="s">
        <v>346</v>
      </c>
      <c r="P39" s="24"/>
      <c r="Q39" s="26"/>
      <c r="R39" s="26"/>
      <c r="S39" s="26"/>
      <c r="T39" s="26"/>
      <c r="U39" s="27"/>
      <c r="V39" s="24"/>
      <c r="W39" s="24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29" t="s">
        <v>95</v>
      </c>
      <c r="B40" s="28" t="s">
        <v>96</v>
      </c>
      <c r="C40" s="28" t="s">
        <v>97</v>
      </c>
      <c r="D40" s="28" t="s">
        <v>102</v>
      </c>
      <c r="E40" s="28"/>
      <c r="F40" s="28" t="s">
        <v>99</v>
      </c>
      <c r="G40" s="28" t="s">
        <v>13</v>
      </c>
      <c r="H40" s="28" t="s">
        <v>14</v>
      </c>
      <c r="I40" s="28"/>
      <c r="J40" s="28"/>
      <c r="K40" s="28"/>
      <c r="L40" s="28"/>
      <c r="M40" s="28" t="s">
        <v>378</v>
      </c>
      <c r="N40" s="28" t="s">
        <v>358</v>
      </c>
      <c r="O40" s="28" t="s">
        <v>346</v>
      </c>
      <c r="P40" s="28"/>
      <c r="Q40" s="30"/>
      <c r="R40" s="30"/>
      <c r="S40" s="30"/>
      <c r="T40" s="30"/>
      <c r="U40" s="31"/>
      <c r="V40" s="28"/>
      <c r="W40" s="28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25" t="s">
        <v>95</v>
      </c>
      <c r="B41" s="24" t="s">
        <v>96</v>
      </c>
      <c r="C41" s="24" t="s">
        <v>97</v>
      </c>
      <c r="D41" s="24" t="s">
        <v>103</v>
      </c>
      <c r="E41" s="24"/>
      <c r="F41" s="24" t="s">
        <v>99</v>
      </c>
      <c r="G41" s="24" t="s">
        <v>13</v>
      </c>
      <c r="H41" s="24" t="s">
        <v>14</v>
      </c>
      <c r="I41" s="24"/>
      <c r="J41" s="24"/>
      <c r="K41" s="24"/>
      <c r="L41" s="24"/>
      <c r="M41" s="24" t="s">
        <v>378</v>
      </c>
      <c r="N41" s="24" t="s">
        <v>358</v>
      </c>
      <c r="O41" s="24" t="s">
        <v>346</v>
      </c>
      <c r="P41" s="24"/>
      <c r="Q41" s="26"/>
      <c r="R41" s="26"/>
      <c r="S41" s="26"/>
      <c r="T41" s="26"/>
      <c r="U41" s="27"/>
      <c r="V41" s="24"/>
      <c r="W41" s="24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29" t="s">
        <v>95</v>
      </c>
      <c r="B42" s="28" t="s">
        <v>96</v>
      </c>
      <c r="C42" s="28" t="s">
        <v>104</v>
      </c>
      <c r="D42" s="28" t="s">
        <v>105</v>
      </c>
      <c r="E42" s="28"/>
      <c r="F42" s="28" t="s">
        <v>99</v>
      </c>
      <c r="G42" s="28" t="s">
        <v>13</v>
      </c>
      <c r="H42" s="28" t="s">
        <v>14</v>
      </c>
      <c r="I42" s="28"/>
      <c r="J42" s="28"/>
      <c r="K42" s="28"/>
      <c r="L42" s="28"/>
      <c r="M42" s="28" t="s">
        <v>378</v>
      </c>
      <c r="N42" s="28" t="s">
        <v>358</v>
      </c>
      <c r="O42" s="28" t="s">
        <v>346</v>
      </c>
      <c r="P42" s="28"/>
      <c r="Q42" s="30"/>
      <c r="R42" s="30"/>
      <c r="S42" s="30"/>
      <c r="T42" s="30"/>
      <c r="U42" s="31"/>
      <c r="V42" s="28"/>
      <c r="W42" s="28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25" t="s">
        <v>95</v>
      </c>
      <c r="B43" s="24" t="s">
        <v>96</v>
      </c>
      <c r="C43" s="24" t="s">
        <v>104</v>
      </c>
      <c r="D43" s="24" t="s">
        <v>106</v>
      </c>
      <c r="E43" s="24"/>
      <c r="F43" s="24" t="s">
        <v>99</v>
      </c>
      <c r="G43" s="24" t="s">
        <v>13</v>
      </c>
      <c r="H43" s="24" t="s">
        <v>14</v>
      </c>
      <c r="I43" s="24"/>
      <c r="J43" s="24"/>
      <c r="K43" s="24"/>
      <c r="L43" s="24"/>
      <c r="M43" s="24" t="s">
        <v>378</v>
      </c>
      <c r="N43" s="24" t="s">
        <v>358</v>
      </c>
      <c r="O43" s="24" t="s">
        <v>346</v>
      </c>
      <c r="P43" s="24"/>
      <c r="Q43" s="26"/>
      <c r="R43" s="26"/>
      <c r="S43" s="26"/>
      <c r="T43" s="26"/>
      <c r="U43" s="27"/>
      <c r="V43" s="24"/>
      <c r="W43" s="24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29" t="s">
        <v>107</v>
      </c>
      <c r="B44" s="28" t="s">
        <v>108</v>
      </c>
      <c r="C44" s="28" t="s">
        <v>62</v>
      </c>
      <c r="D44" s="28">
        <v>50056304000149</v>
      </c>
      <c r="E44" s="28"/>
      <c r="F44" s="28" t="s">
        <v>109</v>
      </c>
      <c r="G44" s="28" t="s">
        <v>4</v>
      </c>
      <c r="H44" s="28" t="s">
        <v>49</v>
      </c>
      <c r="I44" s="28"/>
      <c r="J44" s="28"/>
      <c r="K44" s="28"/>
      <c r="L44" s="28"/>
      <c r="M44" s="28" t="s">
        <v>375</v>
      </c>
      <c r="N44" s="28"/>
      <c r="O44" s="28" t="s">
        <v>346</v>
      </c>
      <c r="P44" s="28"/>
      <c r="Q44" s="30"/>
      <c r="R44" s="30"/>
      <c r="S44" s="30"/>
      <c r="T44" s="30"/>
      <c r="U44" s="31"/>
      <c r="V44" s="28"/>
      <c r="W44" s="28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25" t="s">
        <v>110</v>
      </c>
      <c r="B45" s="24" t="s">
        <v>108</v>
      </c>
      <c r="C45" s="24" t="s">
        <v>62</v>
      </c>
      <c r="D45" s="24">
        <v>59971731000127</v>
      </c>
      <c r="E45" s="24"/>
      <c r="F45" s="24" t="s">
        <v>109</v>
      </c>
      <c r="G45" s="24" t="s">
        <v>4</v>
      </c>
      <c r="H45" s="24" t="s">
        <v>49</v>
      </c>
      <c r="I45" s="24"/>
      <c r="J45" s="24"/>
      <c r="K45" s="24"/>
      <c r="L45" s="24"/>
      <c r="M45" s="24" t="s">
        <v>375</v>
      </c>
      <c r="N45" s="24"/>
      <c r="O45" s="24" t="s">
        <v>346</v>
      </c>
      <c r="P45" s="24"/>
      <c r="Q45" s="26"/>
      <c r="R45" s="26"/>
      <c r="S45" s="26"/>
      <c r="T45" s="26"/>
      <c r="U45" s="27"/>
      <c r="V45" s="24"/>
      <c r="W45" s="24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29" t="s">
        <v>111</v>
      </c>
      <c r="B46" s="28" t="s">
        <v>108</v>
      </c>
      <c r="C46" s="28" t="s">
        <v>69</v>
      </c>
      <c r="D46" s="28" t="s">
        <v>112</v>
      </c>
      <c r="E46" s="28"/>
      <c r="F46" s="28" t="s">
        <v>113</v>
      </c>
      <c r="G46" s="28" t="s">
        <v>13</v>
      </c>
      <c r="H46" s="28" t="s">
        <v>49</v>
      </c>
      <c r="I46" s="28"/>
      <c r="J46" s="28"/>
      <c r="K46" s="28"/>
      <c r="L46" s="28"/>
      <c r="M46" s="28" t="s">
        <v>373</v>
      </c>
      <c r="N46" s="28"/>
      <c r="O46" s="28" t="s">
        <v>344</v>
      </c>
      <c r="P46" s="28"/>
      <c r="Q46" s="30"/>
      <c r="R46" s="30"/>
      <c r="S46" s="30"/>
      <c r="T46" s="30"/>
      <c r="U46" s="31"/>
      <c r="V46" s="28"/>
      <c r="W46" s="28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25" t="s">
        <v>114</v>
      </c>
      <c r="B47" s="24" t="s">
        <v>115</v>
      </c>
      <c r="C47" s="24" t="s">
        <v>116</v>
      </c>
      <c r="D47" s="24" t="s">
        <v>117</v>
      </c>
      <c r="E47" s="24"/>
      <c r="F47" s="24" t="s">
        <v>118</v>
      </c>
      <c r="G47" s="24" t="s">
        <v>13</v>
      </c>
      <c r="H47" s="24" t="s">
        <v>14</v>
      </c>
      <c r="I47" s="24"/>
      <c r="J47" s="24"/>
      <c r="K47" s="24"/>
      <c r="L47" s="24"/>
      <c r="M47" s="24" t="s">
        <v>373</v>
      </c>
      <c r="N47" s="24"/>
      <c r="O47" s="24" t="s">
        <v>347</v>
      </c>
      <c r="P47" s="24"/>
      <c r="Q47" s="26"/>
      <c r="R47" s="26"/>
      <c r="S47" s="26"/>
      <c r="T47" s="26"/>
      <c r="U47" s="27"/>
      <c r="V47" s="24"/>
      <c r="W47" s="24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29" t="s">
        <v>119</v>
      </c>
      <c r="B48" s="28" t="s">
        <v>115</v>
      </c>
      <c r="C48" s="28" t="s">
        <v>116</v>
      </c>
      <c r="D48" s="28" t="s">
        <v>120</v>
      </c>
      <c r="E48" s="28"/>
      <c r="F48" s="28" t="s">
        <v>118</v>
      </c>
      <c r="G48" s="28" t="s">
        <v>13</v>
      </c>
      <c r="H48" s="28" t="s">
        <v>14</v>
      </c>
      <c r="I48" s="28"/>
      <c r="J48" s="28"/>
      <c r="K48" s="28"/>
      <c r="L48" s="28"/>
      <c r="M48" s="28" t="s">
        <v>372</v>
      </c>
      <c r="N48" s="28"/>
      <c r="O48" s="28" t="s">
        <v>344</v>
      </c>
      <c r="P48" s="28"/>
      <c r="Q48" s="30"/>
      <c r="R48" s="30"/>
      <c r="S48" s="30"/>
      <c r="T48" s="30"/>
      <c r="U48" s="31"/>
      <c r="V48" s="28"/>
      <c r="W48" s="28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25" t="s">
        <v>121</v>
      </c>
      <c r="B49" s="24" t="s">
        <v>115</v>
      </c>
      <c r="C49" s="24" t="s">
        <v>122</v>
      </c>
      <c r="D49" s="24">
        <v>44742752000101</v>
      </c>
      <c r="E49" s="24"/>
      <c r="F49" s="24" t="s">
        <v>118</v>
      </c>
      <c r="G49" s="24" t="s">
        <v>4</v>
      </c>
      <c r="H49" s="24" t="s">
        <v>5</v>
      </c>
      <c r="I49" s="24"/>
      <c r="J49" s="24"/>
      <c r="K49" s="24"/>
      <c r="L49" s="24"/>
      <c r="M49" s="24" t="s">
        <v>372</v>
      </c>
      <c r="N49" s="24"/>
      <c r="O49" s="24" t="s">
        <v>346</v>
      </c>
      <c r="P49" s="24"/>
      <c r="Q49" s="26"/>
      <c r="R49" s="26"/>
      <c r="S49" s="26"/>
      <c r="T49" s="26"/>
      <c r="U49" s="27"/>
      <c r="V49" s="24"/>
      <c r="W49" s="24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29" t="s">
        <v>123</v>
      </c>
      <c r="B50" s="28" t="s">
        <v>115</v>
      </c>
      <c r="C50" s="28" t="s">
        <v>116</v>
      </c>
      <c r="D50" s="28" t="s">
        <v>124</v>
      </c>
      <c r="E50" s="28"/>
      <c r="F50" s="28" t="s">
        <v>125</v>
      </c>
      <c r="G50" s="28" t="s">
        <v>13</v>
      </c>
      <c r="H50" s="28" t="s">
        <v>14</v>
      </c>
      <c r="I50" s="28"/>
      <c r="J50" s="28"/>
      <c r="K50" s="28"/>
      <c r="L50" s="28"/>
      <c r="M50" s="28" t="s">
        <v>375</v>
      </c>
      <c r="N50" s="28"/>
      <c r="O50" s="28" t="s">
        <v>346</v>
      </c>
      <c r="P50" s="28"/>
      <c r="Q50" s="30"/>
      <c r="R50" s="30"/>
      <c r="S50" s="30"/>
      <c r="T50" s="30"/>
      <c r="U50" s="31"/>
      <c r="V50" s="28"/>
      <c r="W50" s="28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25" t="s">
        <v>126</v>
      </c>
      <c r="B51" s="24" t="s">
        <v>115</v>
      </c>
      <c r="C51" s="24" t="s">
        <v>122</v>
      </c>
      <c r="D51" s="24">
        <v>44777527000100</v>
      </c>
      <c r="E51" s="24"/>
      <c r="F51" s="24" t="s">
        <v>125</v>
      </c>
      <c r="G51" s="24" t="s">
        <v>4</v>
      </c>
      <c r="H51" s="24" t="s">
        <v>5</v>
      </c>
      <c r="I51" s="24"/>
      <c r="J51" s="24"/>
      <c r="K51" s="24"/>
      <c r="L51" s="24"/>
      <c r="M51" s="24" t="s">
        <v>375</v>
      </c>
      <c r="N51" s="24"/>
      <c r="O51" s="24" t="s">
        <v>346</v>
      </c>
      <c r="P51" s="24"/>
      <c r="Q51" s="26"/>
      <c r="R51" s="26"/>
      <c r="S51" s="26"/>
      <c r="T51" s="26"/>
      <c r="U51" s="27"/>
      <c r="V51" s="24"/>
      <c r="W51" s="24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29" t="s">
        <v>127</v>
      </c>
      <c r="B52" s="28" t="s">
        <v>115</v>
      </c>
      <c r="C52" s="28" t="s">
        <v>122</v>
      </c>
      <c r="D52" s="28">
        <v>44796284000140</v>
      </c>
      <c r="E52" s="28"/>
      <c r="F52" s="28" t="s">
        <v>125</v>
      </c>
      <c r="G52" s="28" t="s">
        <v>4</v>
      </c>
      <c r="H52" s="28" t="s">
        <v>5</v>
      </c>
      <c r="I52" s="28"/>
      <c r="J52" s="28"/>
      <c r="K52" s="28"/>
      <c r="L52" s="28"/>
      <c r="M52" s="28" t="s">
        <v>375</v>
      </c>
      <c r="N52" s="28"/>
      <c r="O52" s="28" t="s">
        <v>346</v>
      </c>
      <c r="P52" s="28"/>
      <c r="Q52" s="30"/>
      <c r="R52" s="30"/>
      <c r="S52" s="30"/>
      <c r="T52" s="30"/>
      <c r="U52" s="31"/>
      <c r="V52" s="28"/>
      <c r="W52" s="28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25" t="s">
        <v>128</v>
      </c>
      <c r="B53" s="24" t="s">
        <v>129</v>
      </c>
      <c r="C53" s="24" t="s">
        <v>16</v>
      </c>
      <c r="D53" s="24" t="s">
        <v>130</v>
      </c>
      <c r="E53" s="24"/>
      <c r="F53" s="24" t="s">
        <v>109</v>
      </c>
      <c r="G53" s="24" t="s">
        <v>13</v>
      </c>
      <c r="H53" s="24" t="s">
        <v>14</v>
      </c>
      <c r="I53" s="24"/>
      <c r="J53" s="24"/>
      <c r="K53" s="24"/>
      <c r="L53" s="24"/>
      <c r="M53" s="24" t="s">
        <v>380</v>
      </c>
      <c r="N53" s="24"/>
      <c r="O53" s="24"/>
      <c r="P53" s="24"/>
      <c r="Q53" s="26"/>
      <c r="R53" s="26"/>
      <c r="S53" s="26"/>
      <c r="T53" s="26"/>
      <c r="U53" s="27"/>
      <c r="V53" s="24"/>
      <c r="W53" s="24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29" t="s">
        <v>131</v>
      </c>
      <c r="B54" s="28" t="s">
        <v>132</v>
      </c>
      <c r="C54" s="28" t="s">
        <v>62</v>
      </c>
      <c r="D54" s="28">
        <v>19318532000108</v>
      </c>
      <c r="E54" s="28"/>
      <c r="F54" s="28" t="s">
        <v>66</v>
      </c>
      <c r="G54" s="28" t="s">
        <v>4</v>
      </c>
      <c r="H54" s="28" t="s">
        <v>5</v>
      </c>
      <c r="I54" s="28"/>
      <c r="J54" s="28"/>
      <c r="K54" s="28"/>
      <c r="L54" s="28"/>
      <c r="M54" s="28" t="s">
        <v>373</v>
      </c>
      <c r="N54" s="28"/>
      <c r="O54" s="28" t="s">
        <v>344</v>
      </c>
      <c r="P54" s="28"/>
      <c r="Q54" s="30"/>
      <c r="R54" s="30"/>
      <c r="S54" s="30"/>
      <c r="T54" s="30"/>
      <c r="U54" s="31"/>
      <c r="V54" s="28"/>
      <c r="W54" s="28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25" t="s">
        <v>133</v>
      </c>
      <c r="B55" s="24" t="s">
        <v>134</v>
      </c>
      <c r="C55" s="24" t="s">
        <v>116</v>
      </c>
      <c r="D55" s="24" t="s">
        <v>135</v>
      </c>
      <c r="E55" s="24"/>
      <c r="F55" s="24" t="s">
        <v>136</v>
      </c>
      <c r="G55" s="24" t="s">
        <v>41</v>
      </c>
      <c r="H55" s="24" t="s">
        <v>5</v>
      </c>
      <c r="I55" s="24"/>
      <c r="J55" s="24"/>
      <c r="K55" s="24"/>
      <c r="L55" s="24"/>
      <c r="M55" s="24" t="s">
        <v>375</v>
      </c>
      <c r="N55" s="24"/>
      <c r="O55" s="24" t="s">
        <v>348</v>
      </c>
      <c r="P55" s="24"/>
      <c r="Q55" s="26"/>
      <c r="R55" s="26"/>
      <c r="S55" s="26"/>
      <c r="T55" s="26"/>
      <c r="U55" s="27"/>
      <c r="V55" s="24"/>
      <c r="W55" s="24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29" t="s">
        <v>137</v>
      </c>
      <c r="B56" s="28" t="s">
        <v>134</v>
      </c>
      <c r="C56" s="28" t="s">
        <v>122</v>
      </c>
      <c r="D56" s="28">
        <v>34046667000147</v>
      </c>
      <c r="E56" s="28"/>
      <c r="F56" s="28" t="s">
        <v>138</v>
      </c>
      <c r="G56" s="28" t="s">
        <v>4</v>
      </c>
      <c r="H56" s="28" t="s">
        <v>5</v>
      </c>
      <c r="I56" s="28"/>
      <c r="J56" s="28"/>
      <c r="K56" s="28"/>
      <c r="L56" s="28"/>
      <c r="M56" s="28" t="s">
        <v>381</v>
      </c>
      <c r="N56" s="28"/>
      <c r="O56" s="28" t="s">
        <v>348</v>
      </c>
      <c r="P56" s="28"/>
      <c r="Q56" s="30"/>
      <c r="R56" s="30"/>
      <c r="S56" s="30"/>
      <c r="T56" s="30"/>
      <c r="U56" s="31"/>
      <c r="V56" s="28"/>
      <c r="W56" s="28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25" t="s">
        <v>139</v>
      </c>
      <c r="B57" s="24" t="s">
        <v>134</v>
      </c>
      <c r="C57" s="24" t="s">
        <v>122</v>
      </c>
      <c r="D57" s="24">
        <v>40932575000167</v>
      </c>
      <c r="E57" s="24"/>
      <c r="F57" s="24" t="s">
        <v>140</v>
      </c>
      <c r="G57" s="24" t="s">
        <v>4</v>
      </c>
      <c r="H57" s="24" t="s">
        <v>5</v>
      </c>
      <c r="I57" s="24"/>
      <c r="J57" s="24"/>
      <c r="K57" s="24"/>
      <c r="L57" s="24"/>
      <c r="M57" s="24" t="s">
        <v>375</v>
      </c>
      <c r="N57" s="24"/>
      <c r="O57" s="24" t="s">
        <v>348</v>
      </c>
      <c r="P57" s="24"/>
      <c r="Q57" s="26"/>
      <c r="R57" s="26"/>
      <c r="S57" s="26"/>
      <c r="T57" s="26"/>
      <c r="U57" s="27"/>
      <c r="V57" s="24"/>
      <c r="W57" s="24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29" t="s">
        <v>141</v>
      </c>
      <c r="B58" s="28" t="s">
        <v>142</v>
      </c>
      <c r="C58" s="28" t="s">
        <v>62</v>
      </c>
      <c r="D58" s="28" t="s">
        <v>143</v>
      </c>
      <c r="E58" s="28"/>
      <c r="F58" s="28" t="s">
        <v>144</v>
      </c>
      <c r="G58" s="28" t="s">
        <v>13</v>
      </c>
      <c r="H58" s="28" t="s">
        <v>49</v>
      </c>
      <c r="I58" s="28"/>
      <c r="J58" s="28"/>
      <c r="K58" s="28"/>
      <c r="L58" s="28"/>
      <c r="M58" s="28" t="s">
        <v>381</v>
      </c>
      <c r="N58" s="28"/>
      <c r="O58" s="28" t="s">
        <v>344</v>
      </c>
      <c r="P58" s="28"/>
      <c r="Q58" s="30"/>
      <c r="R58" s="30"/>
      <c r="S58" s="30"/>
      <c r="T58" s="30"/>
      <c r="U58" s="31"/>
      <c r="V58" s="28"/>
      <c r="W58" s="28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25" t="s">
        <v>145</v>
      </c>
      <c r="B59" s="24" t="s">
        <v>142</v>
      </c>
      <c r="C59" s="24" t="s">
        <v>62</v>
      </c>
      <c r="D59" s="24">
        <v>60906391000130</v>
      </c>
      <c r="E59" s="24"/>
      <c r="F59" s="24" t="s">
        <v>144</v>
      </c>
      <c r="G59" s="24" t="s">
        <v>4</v>
      </c>
      <c r="H59" s="24" t="s">
        <v>49</v>
      </c>
      <c r="I59" s="24"/>
      <c r="J59" s="24"/>
      <c r="K59" s="24"/>
      <c r="L59" s="24"/>
      <c r="M59" s="24" t="s">
        <v>381</v>
      </c>
      <c r="N59" s="24"/>
      <c r="O59" s="24" t="s">
        <v>348</v>
      </c>
      <c r="P59" s="24"/>
      <c r="Q59" s="26"/>
      <c r="R59" s="26"/>
      <c r="S59" s="26"/>
      <c r="T59" s="26"/>
      <c r="U59" s="27"/>
      <c r="V59" s="24"/>
      <c r="W59" s="24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29" t="s">
        <v>146</v>
      </c>
      <c r="B60" s="28" t="s">
        <v>75</v>
      </c>
      <c r="C60" s="28" t="s">
        <v>62</v>
      </c>
      <c r="D60" s="28">
        <v>41762299000107</v>
      </c>
      <c r="E60" s="28"/>
      <c r="F60" s="28" t="s">
        <v>147</v>
      </c>
      <c r="G60" s="28" t="s">
        <v>4</v>
      </c>
      <c r="H60" s="28" t="s">
        <v>5</v>
      </c>
      <c r="I60" s="28"/>
      <c r="J60" s="28"/>
      <c r="K60" s="28"/>
      <c r="L60" s="28"/>
      <c r="M60" s="28" t="s">
        <v>375</v>
      </c>
      <c r="N60" s="28"/>
      <c r="O60" s="28" t="s">
        <v>349</v>
      </c>
      <c r="P60" s="28"/>
      <c r="Q60" s="30"/>
      <c r="R60" s="30"/>
      <c r="S60" s="30"/>
      <c r="T60" s="30"/>
      <c r="U60" s="31"/>
      <c r="V60" s="28"/>
      <c r="W60" s="28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25" t="s">
        <v>148</v>
      </c>
      <c r="B61" s="24" t="s">
        <v>149</v>
      </c>
      <c r="C61" s="24" t="s">
        <v>59</v>
      </c>
      <c r="D61" s="24">
        <v>52090662000101</v>
      </c>
      <c r="E61" s="24"/>
      <c r="F61" s="24" t="s">
        <v>150</v>
      </c>
      <c r="G61" s="24" t="s">
        <v>4</v>
      </c>
      <c r="H61" s="24" t="s">
        <v>5</v>
      </c>
      <c r="I61" s="24"/>
      <c r="J61" s="24"/>
      <c r="K61" s="24"/>
      <c r="L61" s="24"/>
      <c r="M61" s="24" t="s">
        <v>375</v>
      </c>
      <c r="N61" s="24"/>
      <c r="O61" s="24" t="s">
        <v>348</v>
      </c>
      <c r="P61" s="24"/>
      <c r="Q61" s="26"/>
      <c r="R61" s="26"/>
      <c r="S61" s="26"/>
      <c r="T61" s="26"/>
      <c r="U61" s="27"/>
      <c r="V61" s="24"/>
      <c r="W61" s="24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29" t="s">
        <v>151</v>
      </c>
      <c r="B62" s="28" t="s">
        <v>149</v>
      </c>
      <c r="C62" s="28" t="s">
        <v>46</v>
      </c>
      <c r="D62" s="28" t="s">
        <v>152</v>
      </c>
      <c r="E62" s="28"/>
      <c r="F62" s="28" t="s">
        <v>150</v>
      </c>
      <c r="G62" s="28" t="s">
        <v>13</v>
      </c>
      <c r="H62" s="28" t="s">
        <v>49</v>
      </c>
      <c r="I62" s="28"/>
      <c r="J62" s="28"/>
      <c r="K62" s="28"/>
      <c r="L62" s="28"/>
      <c r="M62" s="28" t="s">
        <v>373</v>
      </c>
      <c r="N62" s="28"/>
      <c r="O62" s="28" t="s">
        <v>344</v>
      </c>
      <c r="P62" s="28"/>
      <c r="Q62" s="30"/>
      <c r="R62" s="30"/>
      <c r="S62" s="30"/>
      <c r="T62" s="30"/>
      <c r="U62" s="31"/>
      <c r="V62" s="28"/>
      <c r="W62" s="28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25" t="s">
        <v>153</v>
      </c>
      <c r="B63" s="24" t="s">
        <v>149</v>
      </c>
      <c r="C63" s="24" t="s">
        <v>46</v>
      </c>
      <c r="D63" s="24" t="s">
        <v>154</v>
      </c>
      <c r="E63" s="24"/>
      <c r="F63" s="24" t="s">
        <v>150</v>
      </c>
      <c r="G63" s="24" t="s">
        <v>13</v>
      </c>
      <c r="H63" s="24" t="s">
        <v>49</v>
      </c>
      <c r="I63" s="24"/>
      <c r="J63" s="24"/>
      <c r="K63" s="24"/>
      <c r="L63" s="24"/>
      <c r="M63" s="24" t="s">
        <v>373</v>
      </c>
      <c r="N63" s="24"/>
      <c r="O63" s="24" t="s">
        <v>344</v>
      </c>
      <c r="P63" s="24"/>
      <c r="Q63" s="26"/>
      <c r="R63" s="26"/>
      <c r="S63" s="26"/>
      <c r="T63" s="26"/>
      <c r="U63" s="27"/>
      <c r="V63" s="24"/>
      <c r="W63" s="24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29" t="s">
        <v>155</v>
      </c>
      <c r="B64" s="28" t="s">
        <v>61</v>
      </c>
      <c r="C64" s="28" t="s">
        <v>62</v>
      </c>
      <c r="D64" s="28">
        <v>8587897000103</v>
      </c>
      <c r="E64" s="28"/>
      <c r="F64" s="28" t="s">
        <v>63</v>
      </c>
      <c r="G64" s="28" t="s">
        <v>41</v>
      </c>
      <c r="H64" s="28" t="s">
        <v>5</v>
      </c>
      <c r="I64" s="28"/>
      <c r="J64" s="28"/>
      <c r="K64" s="28"/>
      <c r="L64" s="28"/>
      <c r="M64" s="28" t="s">
        <v>375</v>
      </c>
      <c r="N64" s="28"/>
      <c r="O64" s="28" t="s">
        <v>348</v>
      </c>
      <c r="P64" s="28"/>
      <c r="Q64" s="30"/>
      <c r="R64" s="30"/>
      <c r="S64" s="30"/>
      <c r="T64" s="30"/>
      <c r="U64" s="31"/>
      <c r="V64" s="28"/>
      <c r="W64" s="28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25" t="s">
        <v>156</v>
      </c>
      <c r="B65" s="24" t="s">
        <v>61</v>
      </c>
      <c r="C65" s="24" t="s">
        <v>62</v>
      </c>
      <c r="D65" s="24">
        <v>17845713000159</v>
      </c>
      <c r="E65" s="24"/>
      <c r="F65" s="24" t="s">
        <v>63</v>
      </c>
      <c r="G65" s="24" t="s">
        <v>41</v>
      </c>
      <c r="H65" s="24" t="s">
        <v>5</v>
      </c>
      <c r="I65" s="24"/>
      <c r="J65" s="24"/>
      <c r="K65" s="24"/>
      <c r="L65" s="24"/>
      <c r="M65" s="24" t="s">
        <v>375</v>
      </c>
      <c r="N65" s="24"/>
      <c r="O65" s="24" t="s">
        <v>348</v>
      </c>
      <c r="P65" s="24"/>
      <c r="Q65" s="26"/>
      <c r="R65" s="26"/>
      <c r="S65" s="26"/>
      <c r="T65" s="26"/>
      <c r="U65" s="27"/>
      <c r="V65" s="24"/>
      <c r="W65" s="24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29" t="s">
        <v>157</v>
      </c>
      <c r="B66" s="28" t="s">
        <v>61</v>
      </c>
      <c r="C66" s="28" t="s">
        <v>62</v>
      </c>
      <c r="D66" s="28">
        <v>37646098000169</v>
      </c>
      <c r="E66" s="28"/>
      <c r="F66" s="28" t="s">
        <v>63</v>
      </c>
      <c r="G66" s="28" t="s">
        <v>41</v>
      </c>
      <c r="H66" s="28" t="s">
        <v>5</v>
      </c>
      <c r="I66" s="28"/>
      <c r="J66" s="28"/>
      <c r="K66" s="28"/>
      <c r="L66" s="28"/>
      <c r="M66" s="28" t="s">
        <v>375</v>
      </c>
      <c r="N66" s="28"/>
      <c r="O66" s="28" t="s">
        <v>350</v>
      </c>
      <c r="P66" s="28"/>
      <c r="Q66" s="30"/>
      <c r="R66" s="30"/>
      <c r="S66" s="30"/>
      <c r="T66" s="30"/>
      <c r="U66" s="31"/>
      <c r="V66" s="28"/>
      <c r="W66" s="28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25" t="s">
        <v>158</v>
      </c>
      <c r="B67" s="24" t="s">
        <v>159</v>
      </c>
      <c r="C67" s="24" t="s">
        <v>62</v>
      </c>
      <c r="D67" s="24">
        <v>44470328000147</v>
      </c>
      <c r="E67" s="24"/>
      <c r="F67" s="24" t="s">
        <v>160</v>
      </c>
      <c r="G67" s="24" t="s">
        <v>4</v>
      </c>
      <c r="H67" s="24" t="s">
        <v>5</v>
      </c>
      <c r="I67" s="24"/>
      <c r="J67" s="24"/>
      <c r="K67" s="24"/>
      <c r="L67" s="24"/>
      <c r="M67" s="24" t="s">
        <v>373</v>
      </c>
      <c r="N67" s="24"/>
      <c r="O67" s="24" t="s">
        <v>344</v>
      </c>
      <c r="P67" s="24"/>
      <c r="Q67" s="26"/>
      <c r="R67" s="26"/>
      <c r="S67" s="26"/>
      <c r="T67" s="26"/>
      <c r="U67" s="27"/>
      <c r="V67" s="24"/>
      <c r="W67" s="24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29" t="s">
        <v>161</v>
      </c>
      <c r="B68" s="28" t="s">
        <v>162</v>
      </c>
      <c r="C68" s="28" t="s">
        <v>163</v>
      </c>
      <c r="D68" s="28" t="s">
        <v>164</v>
      </c>
      <c r="E68" s="28"/>
      <c r="F68" s="28"/>
      <c r="G68" s="28" t="s">
        <v>41</v>
      </c>
      <c r="H68" s="28" t="s">
        <v>14</v>
      </c>
      <c r="I68" s="28"/>
      <c r="J68" s="28"/>
      <c r="K68" s="28"/>
      <c r="L68" s="28"/>
      <c r="M68" s="28" t="s">
        <v>381</v>
      </c>
      <c r="N68" s="28" t="s">
        <v>358</v>
      </c>
      <c r="O68" s="28" t="s">
        <v>358</v>
      </c>
      <c r="P68" s="28"/>
      <c r="Q68" s="30"/>
      <c r="R68" s="30"/>
      <c r="S68" s="30"/>
      <c r="T68" s="30"/>
      <c r="U68" s="31"/>
      <c r="V68" s="28"/>
      <c r="W68" s="28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25" t="s">
        <v>165</v>
      </c>
      <c r="B69" s="24" t="s">
        <v>162</v>
      </c>
      <c r="C69" s="24" t="s">
        <v>163</v>
      </c>
      <c r="D69" s="24" t="s">
        <v>166</v>
      </c>
      <c r="E69" s="24"/>
      <c r="F69" s="24" t="s">
        <v>167</v>
      </c>
      <c r="G69" s="24" t="s">
        <v>13</v>
      </c>
      <c r="H69" s="24" t="s">
        <v>14</v>
      </c>
      <c r="I69" s="24"/>
      <c r="J69" s="24"/>
      <c r="K69" s="24"/>
      <c r="L69" s="24"/>
      <c r="M69" s="24" t="s">
        <v>381</v>
      </c>
      <c r="N69" s="24" t="s">
        <v>358</v>
      </c>
      <c r="O69" s="24" t="s">
        <v>358</v>
      </c>
      <c r="P69" s="24"/>
      <c r="Q69" s="26"/>
      <c r="R69" s="26"/>
      <c r="S69" s="26"/>
      <c r="T69" s="26"/>
      <c r="U69" s="27"/>
      <c r="V69" s="24"/>
      <c r="W69" s="24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29" t="s">
        <v>168</v>
      </c>
      <c r="B70" s="28" t="s">
        <v>162</v>
      </c>
      <c r="C70" s="28" t="s">
        <v>163</v>
      </c>
      <c r="D70" s="28" t="s">
        <v>169</v>
      </c>
      <c r="E70" s="28"/>
      <c r="F70" s="28" t="s">
        <v>167</v>
      </c>
      <c r="G70" s="28" t="s">
        <v>13</v>
      </c>
      <c r="H70" s="28" t="s">
        <v>14</v>
      </c>
      <c r="I70" s="28"/>
      <c r="J70" s="28"/>
      <c r="K70" s="28"/>
      <c r="L70" s="28"/>
      <c r="M70" s="28" t="s">
        <v>381</v>
      </c>
      <c r="N70" s="28" t="s">
        <v>358</v>
      </c>
      <c r="O70" s="28" t="s">
        <v>358</v>
      </c>
      <c r="P70" s="28"/>
      <c r="Q70" s="30"/>
      <c r="R70" s="30"/>
      <c r="S70" s="30"/>
      <c r="T70" s="30"/>
      <c r="U70" s="31"/>
      <c r="V70" s="28"/>
      <c r="W70" s="28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25" t="s">
        <v>170</v>
      </c>
      <c r="B71" s="24" t="s">
        <v>162</v>
      </c>
      <c r="C71" s="24" t="s">
        <v>163</v>
      </c>
      <c r="D71" s="24" t="s">
        <v>171</v>
      </c>
      <c r="E71" s="24"/>
      <c r="F71" s="24" t="s">
        <v>167</v>
      </c>
      <c r="G71" s="24" t="s">
        <v>13</v>
      </c>
      <c r="H71" s="24" t="s">
        <v>14</v>
      </c>
      <c r="I71" s="24"/>
      <c r="J71" s="24"/>
      <c r="K71" s="24"/>
      <c r="L71" s="24"/>
      <c r="M71" s="24" t="s">
        <v>381</v>
      </c>
      <c r="N71" s="24" t="s">
        <v>358</v>
      </c>
      <c r="O71" s="24" t="s">
        <v>358</v>
      </c>
      <c r="P71" s="24"/>
      <c r="Q71" s="26"/>
      <c r="R71" s="26"/>
      <c r="S71" s="26"/>
      <c r="T71" s="26"/>
      <c r="U71" s="27"/>
      <c r="V71" s="24"/>
      <c r="W71" s="24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29" t="s">
        <v>172</v>
      </c>
      <c r="B72" s="28" t="s">
        <v>162</v>
      </c>
      <c r="C72" s="28" t="s">
        <v>163</v>
      </c>
      <c r="D72" s="28" t="s">
        <v>173</v>
      </c>
      <c r="E72" s="28"/>
      <c r="F72" s="28" t="s">
        <v>167</v>
      </c>
      <c r="G72" s="28" t="s">
        <v>13</v>
      </c>
      <c r="H72" s="28" t="s">
        <v>14</v>
      </c>
      <c r="I72" s="28"/>
      <c r="J72" s="28"/>
      <c r="K72" s="28"/>
      <c r="L72" s="28"/>
      <c r="M72" s="28" t="s">
        <v>381</v>
      </c>
      <c r="N72" s="28" t="s">
        <v>358</v>
      </c>
      <c r="O72" s="28" t="s">
        <v>358</v>
      </c>
      <c r="P72" s="28"/>
      <c r="Q72" s="30"/>
      <c r="R72" s="30"/>
      <c r="S72" s="30"/>
      <c r="T72" s="30"/>
      <c r="U72" s="31"/>
      <c r="V72" s="28"/>
      <c r="W72" s="28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25" t="s">
        <v>174</v>
      </c>
      <c r="B73" s="24" t="s">
        <v>162</v>
      </c>
      <c r="C73" s="24" t="s">
        <v>163</v>
      </c>
      <c r="D73" s="24" t="s">
        <v>175</v>
      </c>
      <c r="E73" s="24"/>
      <c r="F73" s="24" t="s">
        <v>167</v>
      </c>
      <c r="G73" s="24" t="s">
        <v>13</v>
      </c>
      <c r="H73" s="24" t="s">
        <v>14</v>
      </c>
      <c r="I73" s="24"/>
      <c r="J73" s="24"/>
      <c r="K73" s="24"/>
      <c r="L73" s="24"/>
      <c r="M73" s="24" t="s">
        <v>381</v>
      </c>
      <c r="N73" s="24" t="s">
        <v>358</v>
      </c>
      <c r="O73" s="24" t="s">
        <v>358</v>
      </c>
      <c r="P73" s="24"/>
      <c r="Q73" s="26"/>
      <c r="R73" s="26"/>
      <c r="S73" s="26"/>
      <c r="T73" s="26"/>
      <c r="U73" s="27"/>
      <c r="V73" s="24"/>
      <c r="W73" s="24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29" t="s">
        <v>176</v>
      </c>
      <c r="B74" s="28" t="s">
        <v>162</v>
      </c>
      <c r="C74" s="28" t="s">
        <v>163</v>
      </c>
      <c r="D74" s="28" t="s">
        <v>177</v>
      </c>
      <c r="E74" s="28"/>
      <c r="F74" s="28"/>
      <c r="G74" s="28" t="s">
        <v>4</v>
      </c>
      <c r="H74" s="28" t="s">
        <v>14</v>
      </c>
      <c r="I74" s="28"/>
      <c r="J74" s="28"/>
      <c r="K74" s="28"/>
      <c r="L74" s="28"/>
      <c r="M74" s="28" t="s">
        <v>381</v>
      </c>
      <c r="N74" s="28" t="s">
        <v>358</v>
      </c>
      <c r="O74" s="28" t="s">
        <v>347</v>
      </c>
      <c r="P74" s="28"/>
      <c r="Q74" s="30"/>
      <c r="R74" s="30"/>
      <c r="S74" s="30"/>
      <c r="T74" s="30"/>
      <c r="U74" s="31"/>
      <c r="V74" s="28"/>
      <c r="W74" s="28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25" t="s">
        <v>178</v>
      </c>
      <c r="B75" s="24" t="s">
        <v>162</v>
      </c>
      <c r="C75" s="24" t="s">
        <v>163</v>
      </c>
      <c r="D75" s="24" t="s">
        <v>179</v>
      </c>
      <c r="E75" s="24"/>
      <c r="F75" s="24"/>
      <c r="G75" s="24" t="s">
        <v>4</v>
      </c>
      <c r="H75" s="24" t="s">
        <v>14</v>
      </c>
      <c r="I75" s="24"/>
      <c r="J75" s="24"/>
      <c r="K75" s="24"/>
      <c r="L75" s="24"/>
      <c r="M75" s="24" t="s">
        <v>381</v>
      </c>
      <c r="N75" s="24" t="s">
        <v>358</v>
      </c>
      <c r="O75" s="24" t="s">
        <v>347</v>
      </c>
      <c r="P75" s="24"/>
      <c r="Q75" s="26"/>
      <c r="R75" s="26"/>
      <c r="S75" s="26"/>
      <c r="T75" s="26"/>
      <c r="U75" s="27"/>
      <c r="V75" s="24"/>
      <c r="W75" s="24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29" t="s">
        <v>180</v>
      </c>
      <c r="B76" s="28" t="s">
        <v>9</v>
      </c>
      <c r="C76" s="28" t="s">
        <v>24</v>
      </c>
      <c r="D76" s="28">
        <v>10977876000146</v>
      </c>
      <c r="E76" s="28"/>
      <c r="F76" s="28" t="s">
        <v>12</v>
      </c>
      <c r="G76" s="28" t="s">
        <v>4</v>
      </c>
      <c r="H76" s="28" t="s">
        <v>5</v>
      </c>
      <c r="I76" s="28"/>
      <c r="J76" s="28"/>
      <c r="K76" s="28"/>
      <c r="L76" s="28"/>
      <c r="M76" s="28" t="s">
        <v>381</v>
      </c>
      <c r="N76" s="28"/>
      <c r="O76" s="28" t="s">
        <v>348</v>
      </c>
      <c r="P76" s="28"/>
      <c r="Q76" s="30"/>
      <c r="R76" s="30"/>
      <c r="S76" s="30"/>
      <c r="T76" s="30"/>
      <c r="U76" s="31"/>
      <c r="V76" s="28"/>
      <c r="W76" s="28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25" t="s">
        <v>181</v>
      </c>
      <c r="B77" s="24" t="s">
        <v>182</v>
      </c>
      <c r="C77" s="24" t="s">
        <v>79</v>
      </c>
      <c r="D77" s="24" t="s">
        <v>183</v>
      </c>
      <c r="E77" s="24"/>
      <c r="F77" s="24" t="s">
        <v>184</v>
      </c>
      <c r="G77" s="24" t="s">
        <v>13</v>
      </c>
      <c r="H77" s="24" t="s">
        <v>5</v>
      </c>
      <c r="I77" s="24"/>
      <c r="J77" s="24"/>
      <c r="K77" s="24"/>
      <c r="L77" s="24"/>
      <c r="M77" s="24" t="s">
        <v>371</v>
      </c>
      <c r="N77" s="24"/>
      <c r="O77" s="24" t="s">
        <v>348</v>
      </c>
      <c r="P77" s="24"/>
      <c r="Q77" s="26"/>
      <c r="R77" s="26"/>
      <c r="S77" s="26"/>
      <c r="T77" s="26"/>
      <c r="U77" s="27"/>
      <c r="V77" s="24"/>
      <c r="W77" s="24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29" t="s">
        <v>185</v>
      </c>
      <c r="B78" s="28" t="s">
        <v>182</v>
      </c>
      <c r="C78" s="28" t="s">
        <v>79</v>
      </c>
      <c r="D78" s="28" t="s">
        <v>186</v>
      </c>
      <c r="E78" s="28"/>
      <c r="F78" s="28" t="s">
        <v>184</v>
      </c>
      <c r="G78" s="28" t="s">
        <v>13</v>
      </c>
      <c r="H78" s="28" t="s">
        <v>14</v>
      </c>
      <c r="I78" s="28"/>
      <c r="J78" s="28"/>
      <c r="K78" s="28"/>
      <c r="L78" s="28"/>
      <c r="M78" s="28" t="s">
        <v>352</v>
      </c>
      <c r="N78" s="28"/>
      <c r="O78" s="28" t="s">
        <v>351</v>
      </c>
      <c r="P78" s="28"/>
      <c r="Q78" s="30"/>
      <c r="R78" s="30"/>
      <c r="S78" s="30"/>
      <c r="T78" s="30"/>
      <c r="U78" s="31"/>
      <c r="V78" s="28"/>
      <c r="W78" s="28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25" t="s">
        <v>187</v>
      </c>
      <c r="B79" s="24" t="s">
        <v>188</v>
      </c>
      <c r="C79" s="24" t="s">
        <v>62</v>
      </c>
      <c r="D79" s="24">
        <v>40920539000183</v>
      </c>
      <c r="E79" s="24"/>
      <c r="F79" s="24" t="s">
        <v>189</v>
      </c>
      <c r="G79" s="24" t="s">
        <v>4</v>
      </c>
      <c r="H79" s="24" t="s">
        <v>5</v>
      </c>
      <c r="I79" s="24"/>
      <c r="J79" s="24"/>
      <c r="K79" s="24"/>
      <c r="L79" s="24"/>
      <c r="M79" s="24" t="s">
        <v>381</v>
      </c>
      <c r="N79" s="24"/>
      <c r="O79" s="24"/>
      <c r="P79" s="24"/>
      <c r="Q79" s="26"/>
      <c r="R79" s="26"/>
      <c r="S79" s="26"/>
      <c r="T79" s="26"/>
      <c r="U79" s="27"/>
      <c r="V79" s="24"/>
      <c r="W79" s="24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29" t="s">
        <v>190</v>
      </c>
      <c r="B80" s="28" t="s">
        <v>188</v>
      </c>
      <c r="C80" s="28" t="s">
        <v>69</v>
      </c>
      <c r="D80" s="28" t="s">
        <v>191</v>
      </c>
      <c r="E80" s="28"/>
      <c r="F80" s="28" t="s">
        <v>189</v>
      </c>
      <c r="G80" s="28" t="s">
        <v>41</v>
      </c>
      <c r="H80" s="28" t="s">
        <v>5</v>
      </c>
      <c r="I80" s="28"/>
      <c r="J80" s="28"/>
      <c r="K80" s="28"/>
      <c r="L80" s="28"/>
      <c r="M80" s="28" t="s">
        <v>375</v>
      </c>
      <c r="N80" s="28"/>
      <c r="O80" s="28" t="s">
        <v>347</v>
      </c>
      <c r="P80" s="28"/>
      <c r="Q80" s="30"/>
      <c r="R80" s="30"/>
      <c r="S80" s="30"/>
      <c r="T80" s="30"/>
      <c r="U80" s="31"/>
      <c r="V80" s="28"/>
      <c r="W80" s="28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25" t="s">
        <v>192</v>
      </c>
      <c r="B81" s="24" t="s">
        <v>188</v>
      </c>
      <c r="C81" s="24" t="s">
        <v>69</v>
      </c>
      <c r="D81" s="24" t="s">
        <v>193</v>
      </c>
      <c r="E81" s="24"/>
      <c r="F81" s="24" t="s">
        <v>189</v>
      </c>
      <c r="G81" s="24" t="s">
        <v>13</v>
      </c>
      <c r="H81" s="24" t="s">
        <v>14</v>
      </c>
      <c r="I81" s="24"/>
      <c r="J81" s="24"/>
      <c r="K81" s="24"/>
      <c r="L81" s="24"/>
      <c r="M81" s="24" t="s">
        <v>382</v>
      </c>
      <c r="N81" s="24"/>
      <c r="O81" s="24" t="s">
        <v>344</v>
      </c>
      <c r="P81" s="24"/>
      <c r="Q81" s="26"/>
      <c r="R81" s="26"/>
      <c r="S81" s="26"/>
      <c r="T81" s="26"/>
      <c r="U81" s="27"/>
      <c r="V81" s="24"/>
      <c r="W81" s="24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29" t="s">
        <v>194</v>
      </c>
      <c r="B82" s="28" t="s">
        <v>1</v>
      </c>
      <c r="C82" s="28" t="s">
        <v>195</v>
      </c>
      <c r="D82" s="28" t="s">
        <v>196</v>
      </c>
      <c r="E82" s="28"/>
      <c r="F82" s="28" t="s">
        <v>3</v>
      </c>
      <c r="G82" s="28" t="s">
        <v>197</v>
      </c>
      <c r="H82" s="28" t="s">
        <v>49</v>
      </c>
      <c r="I82" s="28"/>
      <c r="J82" s="28"/>
      <c r="K82" s="28"/>
      <c r="L82" s="28"/>
      <c r="M82" s="28" t="s">
        <v>372</v>
      </c>
      <c r="N82" s="28" t="s">
        <v>357</v>
      </c>
      <c r="O82" s="28" t="s">
        <v>348</v>
      </c>
      <c r="P82" s="28"/>
      <c r="Q82" s="30"/>
      <c r="R82" s="30"/>
      <c r="S82" s="30"/>
      <c r="T82" s="30"/>
      <c r="U82" s="31"/>
      <c r="V82" s="28"/>
      <c r="W82" s="28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25" t="s">
        <v>198</v>
      </c>
      <c r="B83" s="24" t="s">
        <v>1</v>
      </c>
      <c r="C83" s="24" t="s">
        <v>195</v>
      </c>
      <c r="D83" s="24" t="s">
        <v>199</v>
      </c>
      <c r="E83" s="24"/>
      <c r="F83" s="24" t="s">
        <v>3</v>
      </c>
      <c r="G83" s="24" t="s">
        <v>4</v>
      </c>
      <c r="H83" s="24" t="s">
        <v>49</v>
      </c>
      <c r="I83" s="24"/>
      <c r="J83" s="24"/>
      <c r="K83" s="24"/>
      <c r="L83" s="24"/>
      <c r="M83" s="24" t="s">
        <v>372</v>
      </c>
      <c r="N83" s="24" t="s">
        <v>357</v>
      </c>
      <c r="O83" s="24" t="s">
        <v>348</v>
      </c>
      <c r="P83" s="24"/>
      <c r="Q83" s="26"/>
      <c r="R83" s="26"/>
      <c r="S83" s="26"/>
      <c r="T83" s="26"/>
      <c r="U83" s="27"/>
      <c r="V83" s="24"/>
      <c r="W83" s="24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29" t="s">
        <v>200</v>
      </c>
      <c r="B84" s="28" t="s">
        <v>1</v>
      </c>
      <c r="C84" s="28" t="s">
        <v>195</v>
      </c>
      <c r="D84" s="28" t="s">
        <v>201</v>
      </c>
      <c r="E84" s="28"/>
      <c r="F84" s="28" t="s">
        <v>3</v>
      </c>
      <c r="G84" s="28" t="s">
        <v>4</v>
      </c>
      <c r="H84" s="28" t="s">
        <v>49</v>
      </c>
      <c r="I84" s="28"/>
      <c r="J84" s="28"/>
      <c r="K84" s="28"/>
      <c r="L84" s="28"/>
      <c r="M84" s="28" t="s">
        <v>372</v>
      </c>
      <c r="N84" s="28" t="s">
        <v>357</v>
      </c>
      <c r="O84" s="28" t="s">
        <v>348</v>
      </c>
      <c r="P84" s="28"/>
      <c r="Q84" s="30"/>
      <c r="R84" s="30"/>
      <c r="S84" s="30"/>
      <c r="T84" s="30"/>
      <c r="U84" s="31"/>
      <c r="V84" s="28"/>
      <c r="W84" s="28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25" t="s">
        <v>202</v>
      </c>
      <c r="B85" s="24" t="s">
        <v>203</v>
      </c>
      <c r="C85" s="24" t="s">
        <v>204</v>
      </c>
      <c r="D85" s="24">
        <v>48579725000102</v>
      </c>
      <c r="E85" s="24"/>
      <c r="F85" s="24" t="s">
        <v>205</v>
      </c>
      <c r="G85" s="24" t="s">
        <v>13</v>
      </c>
      <c r="H85" s="24" t="s">
        <v>5</v>
      </c>
      <c r="I85" s="24"/>
      <c r="J85" s="24"/>
      <c r="K85" s="24"/>
      <c r="L85" s="24"/>
      <c r="M85" s="24" t="s">
        <v>375</v>
      </c>
      <c r="N85" s="24"/>
      <c r="O85" s="24" t="s">
        <v>353</v>
      </c>
      <c r="P85" s="24"/>
      <c r="Q85" s="26"/>
      <c r="R85" s="26"/>
      <c r="S85" s="26"/>
      <c r="T85" s="26"/>
      <c r="U85" s="27"/>
      <c r="V85" s="24"/>
      <c r="W85" s="24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29" t="s">
        <v>206</v>
      </c>
      <c r="B86" s="28" t="s">
        <v>207</v>
      </c>
      <c r="C86" s="28" t="s">
        <v>62</v>
      </c>
      <c r="D86" s="28">
        <v>21879417000146</v>
      </c>
      <c r="E86" s="28"/>
      <c r="F86" s="28" t="s">
        <v>208</v>
      </c>
      <c r="G86" s="28" t="s">
        <v>41</v>
      </c>
      <c r="H86" s="28" t="s">
        <v>5</v>
      </c>
      <c r="I86" s="28"/>
      <c r="J86" s="28"/>
      <c r="K86" s="28"/>
      <c r="L86" s="28"/>
      <c r="M86" s="28" t="s">
        <v>375</v>
      </c>
      <c r="N86" s="28"/>
      <c r="O86" s="28" t="s">
        <v>346</v>
      </c>
      <c r="P86" s="28"/>
      <c r="Q86" s="30"/>
      <c r="R86" s="30"/>
      <c r="S86" s="30"/>
      <c r="T86" s="30"/>
      <c r="U86" s="31"/>
      <c r="V86" s="28"/>
      <c r="W86" s="28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25" t="s">
        <v>209</v>
      </c>
      <c r="B87" s="24" t="s">
        <v>207</v>
      </c>
      <c r="C87" s="24" t="s">
        <v>62</v>
      </c>
      <c r="D87" s="24" t="s">
        <v>384</v>
      </c>
      <c r="E87" s="24"/>
      <c r="F87" s="24" t="s">
        <v>208</v>
      </c>
      <c r="G87" s="24" t="s">
        <v>4</v>
      </c>
      <c r="H87" s="24" t="s">
        <v>5</v>
      </c>
      <c r="I87" s="24"/>
      <c r="J87" s="24"/>
      <c r="K87" s="24"/>
      <c r="L87" s="24"/>
      <c r="M87" s="24" t="s">
        <v>375</v>
      </c>
      <c r="N87" s="24"/>
      <c r="O87" s="24" t="s">
        <v>346</v>
      </c>
      <c r="P87" s="24"/>
      <c r="Q87" s="26"/>
      <c r="R87" s="26"/>
      <c r="S87" s="26"/>
      <c r="T87" s="26"/>
      <c r="U87" s="27"/>
      <c r="V87" s="24"/>
      <c r="W87" s="24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29" t="s">
        <v>210</v>
      </c>
      <c r="B88" s="28" t="s">
        <v>211</v>
      </c>
      <c r="C88" s="28" t="s">
        <v>69</v>
      </c>
      <c r="D88" s="28" t="s">
        <v>383</v>
      </c>
      <c r="E88" s="28"/>
      <c r="F88" s="28"/>
      <c r="G88" s="28" t="s">
        <v>4</v>
      </c>
      <c r="H88" s="28" t="s">
        <v>49</v>
      </c>
      <c r="I88" s="28"/>
      <c r="J88" s="28"/>
      <c r="K88" s="28"/>
      <c r="L88" s="28"/>
      <c r="M88" s="28" t="s">
        <v>375</v>
      </c>
      <c r="N88" s="28"/>
      <c r="O88" s="28" t="s">
        <v>346</v>
      </c>
      <c r="P88" s="28"/>
      <c r="Q88" s="30"/>
      <c r="R88" s="30"/>
      <c r="S88" s="30"/>
      <c r="T88" s="30"/>
      <c r="U88" s="31"/>
      <c r="V88" s="28"/>
      <c r="W88" s="28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25" t="s">
        <v>212</v>
      </c>
      <c r="B89" s="24" t="s">
        <v>211</v>
      </c>
      <c r="C89" s="24" t="s">
        <v>69</v>
      </c>
      <c r="D89" s="24"/>
      <c r="E89" s="24"/>
      <c r="F89" s="24"/>
      <c r="G89" s="24" t="s">
        <v>4</v>
      </c>
      <c r="H89" s="24" t="s">
        <v>49</v>
      </c>
      <c r="I89" s="24"/>
      <c r="J89" s="24"/>
      <c r="K89" s="24"/>
      <c r="L89" s="24"/>
      <c r="M89" s="24" t="s">
        <v>375</v>
      </c>
      <c r="N89" s="24"/>
      <c r="O89" s="24" t="s">
        <v>346</v>
      </c>
      <c r="P89" s="24"/>
      <c r="Q89" s="26"/>
      <c r="R89" s="26"/>
      <c r="S89" s="26"/>
      <c r="T89" s="26"/>
      <c r="U89" s="27"/>
      <c r="V89" s="24"/>
      <c r="W89" s="24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29" t="s">
        <v>213</v>
      </c>
      <c r="B90" s="28" t="s">
        <v>214</v>
      </c>
      <c r="C90" s="28" t="s">
        <v>62</v>
      </c>
      <c r="D90" s="28">
        <v>44868733000118</v>
      </c>
      <c r="E90" s="28"/>
      <c r="F90" s="28" t="s">
        <v>215</v>
      </c>
      <c r="G90" s="28" t="s">
        <v>4</v>
      </c>
      <c r="H90" s="28" t="s">
        <v>5</v>
      </c>
      <c r="I90" s="28"/>
      <c r="J90" s="28"/>
      <c r="K90" s="28"/>
      <c r="L90" s="28"/>
      <c r="M90" s="28" t="s">
        <v>375</v>
      </c>
      <c r="N90" s="28"/>
      <c r="O90" s="28" t="s">
        <v>347</v>
      </c>
      <c r="P90" s="28"/>
      <c r="Q90" s="30"/>
      <c r="R90" s="30"/>
      <c r="S90" s="30"/>
      <c r="T90" s="30"/>
      <c r="U90" s="31"/>
      <c r="V90" s="28"/>
      <c r="W90" s="28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25" t="s">
        <v>216</v>
      </c>
      <c r="B91" s="24" t="s">
        <v>9</v>
      </c>
      <c r="C91" s="24" t="s">
        <v>69</v>
      </c>
      <c r="D91" s="24" t="s">
        <v>217</v>
      </c>
      <c r="E91" s="24"/>
      <c r="F91" s="24" t="s">
        <v>12</v>
      </c>
      <c r="G91" s="24" t="s">
        <v>13</v>
      </c>
      <c r="H91" s="24" t="s">
        <v>49</v>
      </c>
      <c r="I91" s="24"/>
      <c r="J91" s="24"/>
      <c r="K91" s="24"/>
      <c r="L91" s="24"/>
      <c r="M91" s="24" t="s">
        <v>375</v>
      </c>
      <c r="N91" s="24"/>
      <c r="O91" s="24" t="s">
        <v>346</v>
      </c>
      <c r="P91" s="24"/>
      <c r="Q91" s="26"/>
      <c r="R91" s="26"/>
      <c r="S91" s="26"/>
      <c r="T91" s="26"/>
      <c r="U91" s="27"/>
      <c r="V91" s="24"/>
      <c r="W91" s="24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29" t="s">
        <v>218</v>
      </c>
      <c r="B92" s="28" t="s">
        <v>219</v>
      </c>
      <c r="C92" s="28" t="s">
        <v>62</v>
      </c>
      <c r="D92" s="28">
        <v>51987426000111</v>
      </c>
      <c r="E92" s="28"/>
      <c r="F92" s="28" t="s">
        <v>220</v>
      </c>
      <c r="G92" s="28" t="s">
        <v>4</v>
      </c>
      <c r="H92" s="28" t="s">
        <v>5</v>
      </c>
      <c r="I92" s="28"/>
      <c r="J92" s="28"/>
      <c r="K92" s="28"/>
      <c r="L92" s="28"/>
      <c r="M92" s="28" t="s">
        <v>385</v>
      </c>
      <c r="N92" s="28"/>
      <c r="O92" s="28" t="s">
        <v>347</v>
      </c>
      <c r="P92" s="28"/>
      <c r="Q92" s="30"/>
      <c r="R92" s="30"/>
      <c r="S92" s="30"/>
      <c r="T92" s="30"/>
      <c r="U92" s="31"/>
      <c r="V92" s="28"/>
      <c r="W92" s="28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25" t="s">
        <v>221</v>
      </c>
      <c r="B93" s="24" t="s">
        <v>222</v>
      </c>
      <c r="C93" s="24" t="s">
        <v>62</v>
      </c>
      <c r="D93" s="24" t="s">
        <v>386</v>
      </c>
      <c r="E93" s="24"/>
      <c r="F93" s="24" t="s">
        <v>223</v>
      </c>
      <c r="G93" s="24" t="s">
        <v>13</v>
      </c>
      <c r="H93" s="24" t="s">
        <v>49</v>
      </c>
      <c r="I93" s="24"/>
      <c r="J93" s="24"/>
      <c r="K93" s="24"/>
      <c r="L93" s="24"/>
      <c r="M93" s="24" t="s">
        <v>385</v>
      </c>
      <c r="N93" s="24"/>
      <c r="O93" s="24" t="s">
        <v>347</v>
      </c>
      <c r="P93" s="24"/>
      <c r="Q93" s="26"/>
      <c r="R93" s="26"/>
      <c r="S93" s="26"/>
      <c r="T93" s="26"/>
      <c r="U93" s="27"/>
      <c r="V93" s="24"/>
      <c r="W93" s="24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29" t="s">
        <v>224</v>
      </c>
      <c r="B94" s="28" t="s">
        <v>182</v>
      </c>
      <c r="C94" s="28" t="s">
        <v>83</v>
      </c>
      <c r="D94" s="28">
        <v>21371431000134</v>
      </c>
      <c r="E94" s="28"/>
      <c r="F94" s="28" t="s">
        <v>225</v>
      </c>
      <c r="G94" s="28" t="s">
        <v>4</v>
      </c>
      <c r="H94" s="28" t="s">
        <v>5</v>
      </c>
      <c r="I94" s="28"/>
      <c r="J94" s="28"/>
      <c r="K94" s="28"/>
      <c r="L94" s="28"/>
      <c r="M94" s="28" t="s">
        <v>371</v>
      </c>
      <c r="N94" s="28"/>
      <c r="O94" s="28" t="s">
        <v>354</v>
      </c>
      <c r="P94" s="28"/>
      <c r="Q94" s="30"/>
      <c r="R94" s="30"/>
      <c r="S94" s="30"/>
      <c r="T94" s="30"/>
      <c r="U94" s="31"/>
      <c r="V94" s="28"/>
      <c r="W94" s="28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25" t="s">
        <v>226</v>
      </c>
      <c r="B95" s="24" t="s">
        <v>227</v>
      </c>
      <c r="C95" s="24" t="s">
        <v>122</v>
      </c>
      <c r="D95" s="24">
        <v>9421791000106</v>
      </c>
      <c r="E95" s="24"/>
      <c r="F95" s="24" t="s">
        <v>228</v>
      </c>
      <c r="G95" s="24" t="s">
        <v>4</v>
      </c>
      <c r="H95" s="24" t="s">
        <v>5</v>
      </c>
      <c r="I95" s="24"/>
      <c r="J95" s="24"/>
      <c r="K95" s="24"/>
      <c r="L95" s="24"/>
      <c r="M95" s="24" t="s">
        <v>375</v>
      </c>
      <c r="N95" s="24"/>
      <c r="O95" s="24" t="s">
        <v>346</v>
      </c>
      <c r="P95" s="24"/>
      <c r="Q95" s="26"/>
      <c r="R95" s="26"/>
      <c r="S95" s="26"/>
      <c r="T95" s="26"/>
      <c r="U95" s="27"/>
      <c r="V95" s="24"/>
      <c r="W95" s="24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29" t="s">
        <v>229</v>
      </c>
      <c r="B96" s="28" t="s">
        <v>96</v>
      </c>
      <c r="C96" s="28" t="s">
        <v>230</v>
      </c>
      <c r="D96" s="28" t="s">
        <v>387</v>
      </c>
      <c r="E96" s="28"/>
      <c r="F96" s="28" t="s">
        <v>99</v>
      </c>
      <c r="G96" s="28" t="s">
        <v>4</v>
      </c>
      <c r="H96" s="28" t="s">
        <v>14</v>
      </c>
      <c r="I96" s="28"/>
      <c r="J96" s="28"/>
      <c r="K96" s="28"/>
      <c r="L96" s="28"/>
      <c r="M96" s="28" t="s">
        <v>372</v>
      </c>
      <c r="N96" s="28"/>
      <c r="O96" s="28" t="s">
        <v>346</v>
      </c>
      <c r="P96" s="28"/>
      <c r="Q96" s="30"/>
      <c r="R96" s="30"/>
      <c r="S96" s="30"/>
      <c r="T96" s="30"/>
      <c r="U96" s="31"/>
      <c r="V96" s="28"/>
      <c r="W96" s="28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25" t="s">
        <v>231</v>
      </c>
      <c r="B97" s="24" t="s">
        <v>211</v>
      </c>
      <c r="C97" s="24" t="s">
        <v>69</v>
      </c>
      <c r="D97" s="24" t="s">
        <v>232</v>
      </c>
      <c r="E97" s="24"/>
      <c r="F97" s="24"/>
      <c r="G97" s="24" t="s">
        <v>4</v>
      </c>
      <c r="H97" s="24" t="s">
        <v>49</v>
      </c>
      <c r="I97" s="24"/>
      <c r="J97" s="24"/>
      <c r="K97" s="24"/>
      <c r="L97" s="24"/>
      <c r="M97" s="24" t="s">
        <v>375</v>
      </c>
      <c r="N97" s="24"/>
      <c r="O97" s="24" t="s">
        <v>346</v>
      </c>
      <c r="P97" s="24"/>
      <c r="Q97" s="26"/>
      <c r="R97" s="26"/>
      <c r="S97" s="26"/>
      <c r="T97" s="26"/>
      <c r="U97" s="27"/>
      <c r="V97" s="24"/>
      <c r="W97" s="24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29" t="s">
        <v>233</v>
      </c>
      <c r="B98" s="28" t="s">
        <v>134</v>
      </c>
      <c r="C98" s="28" t="s">
        <v>116</v>
      </c>
      <c r="D98" s="28" t="s">
        <v>234</v>
      </c>
      <c r="E98" s="28"/>
      <c r="F98" s="28" t="s">
        <v>138</v>
      </c>
      <c r="G98" s="28" t="s">
        <v>13</v>
      </c>
      <c r="H98" s="28" t="s">
        <v>14</v>
      </c>
      <c r="I98" s="28"/>
      <c r="J98" s="28"/>
      <c r="K98" s="28"/>
      <c r="L98" s="28"/>
      <c r="M98" s="28" t="s">
        <v>356</v>
      </c>
      <c r="N98" s="28"/>
      <c r="O98" s="28" t="s">
        <v>355</v>
      </c>
      <c r="P98" s="28"/>
      <c r="Q98" s="30"/>
      <c r="R98" s="30"/>
      <c r="S98" s="30"/>
      <c r="T98" s="30"/>
      <c r="U98" s="31"/>
      <c r="V98" s="28"/>
      <c r="W98" s="28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25" t="s">
        <v>235</v>
      </c>
      <c r="B99" s="24" t="s">
        <v>134</v>
      </c>
      <c r="C99" s="24" t="s">
        <v>116</v>
      </c>
      <c r="D99" s="24" t="s">
        <v>236</v>
      </c>
      <c r="E99" s="24"/>
      <c r="F99" s="24" t="s">
        <v>138</v>
      </c>
      <c r="G99" s="24" t="s">
        <v>13</v>
      </c>
      <c r="H99" s="24" t="s">
        <v>14</v>
      </c>
      <c r="I99" s="24"/>
      <c r="J99" s="24"/>
      <c r="K99" s="24"/>
      <c r="L99" s="24"/>
      <c r="M99" s="24" t="s">
        <v>356</v>
      </c>
      <c r="N99" s="24"/>
      <c r="O99" s="24" t="s">
        <v>355</v>
      </c>
      <c r="P99" s="24"/>
      <c r="Q99" s="26"/>
      <c r="R99" s="26"/>
      <c r="S99" s="26"/>
      <c r="T99" s="26"/>
      <c r="U99" s="27"/>
      <c r="V99" s="24"/>
      <c r="W99" s="24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29" t="s">
        <v>237</v>
      </c>
      <c r="B100" s="28" t="s">
        <v>134</v>
      </c>
      <c r="C100" s="28" t="s">
        <v>116</v>
      </c>
      <c r="D100" s="28" t="s">
        <v>238</v>
      </c>
      <c r="E100" s="28"/>
      <c r="F100" s="28" t="s">
        <v>138</v>
      </c>
      <c r="G100" s="28" t="s">
        <v>13</v>
      </c>
      <c r="H100" s="28" t="s">
        <v>14</v>
      </c>
      <c r="I100" s="28"/>
      <c r="J100" s="28"/>
      <c r="K100" s="28"/>
      <c r="L100" s="28"/>
      <c r="M100" s="28" t="s">
        <v>356</v>
      </c>
      <c r="N100" s="28"/>
      <c r="O100" s="28" t="s">
        <v>355</v>
      </c>
      <c r="P100" s="28"/>
      <c r="Q100" s="30"/>
      <c r="R100" s="30"/>
      <c r="S100" s="30"/>
      <c r="T100" s="30"/>
      <c r="U100" s="31"/>
      <c r="V100" s="28"/>
      <c r="W100" s="28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25" t="s">
        <v>239</v>
      </c>
      <c r="B101" s="24" t="s">
        <v>55</v>
      </c>
      <c r="C101" s="24" t="s">
        <v>56</v>
      </c>
      <c r="D101" s="24" t="s">
        <v>240</v>
      </c>
      <c r="E101" s="24"/>
      <c r="F101" s="24" t="s">
        <v>57</v>
      </c>
      <c r="G101" s="24" t="s">
        <v>13</v>
      </c>
      <c r="H101" s="24" t="s">
        <v>5</v>
      </c>
      <c r="I101" s="24"/>
      <c r="J101" s="24"/>
      <c r="K101" s="24"/>
      <c r="L101" s="24"/>
      <c r="M101" s="24" t="s">
        <v>372</v>
      </c>
      <c r="N101" s="24" t="s">
        <v>357</v>
      </c>
      <c r="O101" s="24" t="s">
        <v>346</v>
      </c>
      <c r="P101" s="24"/>
      <c r="Q101" s="26"/>
      <c r="R101" s="26"/>
      <c r="S101" s="26"/>
      <c r="T101" s="26"/>
      <c r="U101" s="27"/>
      <c r="V101" s="24"/>
      <c r="W101" s="24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29" t="s">
        <v>241</v>
      </c>
      <c r="B102" s="28" t="s">
        <v>55</v>
      </c>
      <c r="C102" s="28" t="s">
        <v>242</v>
      </c>
      <c r="D102" s="28" t="s">
        <v>243</v>
      </c>
      <c r="E102" s="28"/>
      <c r="F102" s="28" t="s">
        <v>57</v>
      </c>
      <c r="G102" s="28" t="s">
        <v>13</v>
      </c>
      <c r="H102" s="28" t="s">
        <v>5</v>
      </c>
      <c r="I102" s="28"/>
      <c r="J102" s="28"/>
      <c r="K102" s="28"/>
      <c r="L102" s="28"/>
      <c r="M102" s="28" t="s">
        <v>372</v>
      </c>
      <c r="N102" s="28" t="s">
        <v>368</v>
      </c>
      <c r="O102" s="28" t="s">
        <v>346</v>
      </c>
      <c r="P102" s="28"/>
      <c r="Q102" s="30"/>
      <c r="R102" s="30"/>
      <c r="S102" s="30"/>
      <c r="T102" s="30"/>
      <c r="U102" s="31"/>
      <c r="V102" s="28"/>
      <c r="W102" s="28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25" t="s">
        <v>244</v>
      </c>
      <c r="B103" s="24" t="s">
        <v>55</v>
      </c>
      <c r="C103" s="24" t="s">
        <v>245</v>
      </c>
      <c r="D103" s="24" t="s">
        <v>246</v>
      </c>
      <c r="E103" s="24"/>
      <c r="F103" s="24" t="s">
        <v>57</v>
      </c>
      <c r="G103" s="24" t="s">
        <v>13</v>
      </c>
      <c r="H103" s="24" t="s">
        <v>5</v>
      </c>
      <c r="I103" s="24"/>
      <c r="J103" s="24"/>
      <c r="K103" s="24"/>
      <c r="L103" s="24"/>
      <c r="M103" s="24" t="s">
        <v>372</v>
      </c>
      <c r="N103" s="24" t="s">
        <v>357</v>
      </c>
      <c r="O103" s="24" t="s">
        <v>346</v>
      </c>
      <c r="P103" s="24"/>
      <c r="Q103" s="26"/>
      <c r="R103" s="26"/>
      <c r="S103" s="26"/>
      <c r="T103" s="26"/>
      <c r="U103" s="27"/>
      <c r="V103" s="24"/>
      <c r="W103" s="24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29" t="s">
        <v>247</v>
      </c>
      <c r="B104" s="28" t="s">
        <v>55</v>
      </c>
      <c r="C104" s="28" t="s">
        <v>248</v>
      </c>
      <c r="D104" s="28" t="s">
        <v>249</v>
      </c>
      <c r="E104" s="28"/>
      <c r="F104" s="28" t="s">
        <v>57</v>
      </c>
      <c r="G104" s="28" t="s">
        <v>13</v>
      </c>
      <c r="H104" s="28" t="s">
        <v>49</v>
      </c>
      <c r="I104" s="28"/>
      <c r="J104" s="28"/>
      <c r="K104" s="28"/>
      <c r="L104" s="28"/>
      <c r="M104" s="28" t="s">
        <v>372</v>
      </c>
      <c r="N104" s="28" t="s">
        <v>369</v>
      </c>
      <c r="O104" s="28" t="s">
        <v>346</v>
      </c>
      <c r="P104" s="28"/>
      <c r="Q104" s="30"/>
      <c r="R104" s="30"/>
      <c r="S104" s="30"/>
      <c r="T104" s="30"/>
      <c r="U104" s="31"/>
      <c r="V104" s="28"/>
      <c r="W104" s="28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25" t="s">
        <v>250</v>
      </c>
      <c r="B105" s="24" t="s">
        <v>1</v>
      </c>
      <c r="C105" s="24" t="s">
        <v>2</v>
      </c>
      <c r="D105" s="24" t="s">
        <v>251</v>
      </c>
      <c r="E105" s="24"/>
      <c r="F105" s="24" t="s">
        <v>252</v>
      </c>
      <c r="G105" s="24" t="s">
        <v>4</v>
      </c>
      <c r="H105" s="24" t="s">
        <v>49</v>
      </c>
      <c r="I105" s="24"/>
      <c r="J105" s="24"/>
      <c r="K105" s="24"/>
      <c r="L105" s="24"/>
      <c r="M105" s="24" t="s">
        <v>367</v>
      </c>
      <c r="N105" s="24" t="s">
        <v>357</v>
      </c>
      <c r="O105" s="24" t="s">
        <v>346</v>
      </c>
      <c r="P105" s="24"/>
      <c r="Q105" s="26"/>
      <c r="R105" s="26"/>
      <c r="S105" s="26"/>
      <c r="T105" s="26"/>
      <c r="U105" s="27"/>
      <c r="V105" s="24"/>
      <c r="W105" s="24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29" t="s">
        <v>253</v>
      </c>
      <c r="B106" s="28" t="s">
        <v>214</v>
      </c>
      <c r="C106" s="28" t="s">
        <v>62</v>
      </c>
      <c r="D106" s="28" t="s">
        <v>388</v>
      </c>
      <c r="E106" s="28"/>
      <c r="F106" s="28" t="s">
        <v>254</v>
      </c>
      <c r="G106" s="28" t="s">
        <v>13</v>
      </c>
      <c r="H106" s="28" t="s">
        <v>5</v>
      </c>
      <c r="I106" s="28"/>
      <c r="J106" s="28"/>
      <c r="K106" s="28"/>
      <c r="L106" s="28"/>
      <c r="M106" s="28" t="s">
        <v>372</v>
      </c>
      <c r="N106" s="28"/>
      <c r="O106" s="28" t="s">
        <v>346</v>
      </c>
      <c r="P106" s="28"/>
      <c r="Q106" s="30"/>
      <c r="R106" s="30"/>
      <c r="S106" s="30"/>
      <c r="T106" s="30"/>
      <c r="U106" s="31"/>
      <c r="V106" s="28"/>
      <c r="W106" s="28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25" t="s">
        <v>255</v>
      </c>
      <c r="B107" s="24" t="s">
        <v>214</v>
      </c>
      <c r="C107" s="24" t="s">
        <v>62</v>
      </c>
      <c r="D107" s="24" t="s">
        <v>389</v>
      </c>
      <c r="E107" s="24"/>
      <c r="F107" s="24" t="s">
        <v>254</v>
      </c>
      <c r="G107" s="24" t="s">
        <v>13</v>
      </c>
      <c r="H107" s="24" t="s">
        <v>49</v>
      </c>
      <c r="I107" s="24"/>
      <c r="J107" s="24"/>
      <c r="K107" s="24"/>
      <c r="L107" s="24"/>
      <c r="M107" s="24" t="s">
        <v>385</v>
      </c>
      <c r="N107" s="24"/>
      <c r="O107" s="24" t="s">
        <v>346</v>
      </c>
      <c r="P107" s="24"/>
      <c r="Q107" s="26"/>
      <c r="R107" s="26"/>
      <c r="S107" s="26"/>
      <c r="T107" s="26"/>
      <c r="U107" s="27"/>
      <c r="V107" s="24"/>
      <c r="W107" s="24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29" t="s">
        <v>256</v>
      </c>
      <c r="B108" s="28" t="s">
        <v>214</v>
      </c>
      <c r="C108" s="28" t="s">
        <v>62</v>
      </c>
      <c r="D108" s="28" t="s">
        <v>390</v>
      </c>
      <c r="E108" s="28"/>
      <c r="F108" s="28" t="s">
        <v>257</v>
      </c>
      <c r="G108" s="28" t="s">
        <v>4</v>
      </c>
      <c r="H108" s="28" t="s">
        <v>5</v>
      </c>
      <c r="I108" s="28"/>
      <c r="J108" s="28"/>
      <c r="K108" s="28"/>
      <c r="L108" s="28"/>
      <c r="M108" s="28" t="s">
        <v>375</v>
      </c>
      <c r="N108" s="28"/>
      <c r="O108" s="28" t="s">
        <v>346</v>
      </c>
      <c r="P108" s="28"/>
      <c r="Q108" s="30"/>
      <c r="R108" s="30"/>
      <c r="S108" s="30"/>
      <c r="T108" s="30"/>
      <c r="U108" s="31"/>
      <c r="V108" s="28"/>
      <c r="W108" s="28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25" t="s">
        <v>258</v>
      </c>
      <c r="B109" s="24" t="s">
        <v>259</v>
      </c>
      <c r="C109" s="24" t="s">
        <v>69</v>
      </c>
      <c r="D109" s="24" t="s">
        <v>260</v>
      </c>
      <c r="E109" s="24"/>
      <c r="F109" s="24" t="s">
        <v>261</v>
      </c>
      <c r="G109" s="24" t="s">
        <v>4</v>
      </c>
      <c r="H109" s="24" t="s">
        <v>5</v>
      </c>
      <c r="I109" s="24"/>
      <c r="J109" s="24"/>
      <c r="K109" s="24"/>
      <c r="L109" s="24"/>
      <c r="M109" s="24" t="s">
        <v>367</v>
      </c>
      <c r="N109" s="24"/>
      <c r="O109" s="24"/>
      <c r="P109" s="24"/>
      <c r="Q109" s="26"/>
      <c r="R109" s="26"/>
      <c r="S109" s="26"/>
      <c r="T109" s="26"/>
      <c r="U109" s="27"/>
      <c r="V109" s="24"/>
      <c r="W109" s="24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29" t="s">
        <v>262</v>
      </c>
      <c r="B110" s="28" t="s">
        <v>259</v>
      </c>
      <c r="C110" s="28" t="s">
        <v>69</v>
      </c>
      <c r="D110" s="28" t="s">
        <v>263</v>
      </c>
      <c r="E110" s="28"/>
      <c r="F110" s="28" t="s">
        <v>261</v>
      </c>
      <c r="G110" s="28" t="s">
        <v>13</v>
      </c>
      <c r="H110" s="28" t="s">
        <v>5</v>
      </c>
      <c r="I110" s="28"/>
      <c r="J110" s="28"/>
      <c r="K110" s="28"/>
      <c r="L110" s="28"/>
      <c r="M110" s="28" t="s">
        <v>367</v>
      </c>
      <c r="N110" s="28"/>
      <c r="O110" s="28"/>
      <c r="P110" s="28"/>
      <c r="Q110" s="30"/>
      <c r="R110" s="30"/>
      <c r="S110" s="30"/>
      <c r="T110" s="30"/>
      <c r="U110" s="31"/>
      <c r="V110" s="28"/>
      <c r="W110" s="28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25" t="s">
        <v>264</v>
      </c>
      <c r="B111" s="24" t="s">
        <v>159</v>
      </c>
      <c r="C111" s="24" t="s">
        <v>69</v>
      </c>
      <c r="D111" s="24" t="s">
        <v>265</v>
      </c>
      <c r="E111" s="24"/>
      <c r="F111" s="24" t="s">
        <v>266</v>
      </c>
      <c r="G111" s="24" t="s">
        <v>13</v>
      </c>
      <c r="H111" s="24" t="s">
        <v>5</v>
      </c>
      <c r="I111" s="24"/>
      <c r="J111" s="24"/>
      <c r="K111" s="24"/>
      <c r="L111" s="24"/>
      <c r="M111" s="24" t="s">
        <v>385</v>
      </c>
      <c r="N111" s="24"/>
      <c r="O111" s="24" t="s">
        <v>359</v>
      </c>
      <c r="P111" s="24"/>
      <c r="Q111" s="26"/>
      <c r="R111" s="26"/>
      <c r="S111" s="26"/>
      <c r="T111" s="26"/>
      <c r="U111" s="27"/>
      <c r="V111" s="24"/>
      <c r="W111" s="24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29" t="s">
        <v>267</v>
      </c>
      <c r="B112" s="28" t="s">
        <v>159</v>
      </c>
      <c r="C112" s="28" t="s">
        <v>268</v>
      </c>
      <c r="D112" s="28" t="s">
        <v>269</v>
      </c>
      <c r="E112" s="28"/>
      <c r="F112" s="28" t="s">
        <v>266</v>
      </c>
      <c r="G112" s="28" t="s">
        <v>13</v>
      </c>
      <c r="H112" s="28" t="s">
        <v>14</v>
      </c>
      <c r="I112" s="28"/>
      <c r="J112" s="28"/>
      <c r="K112" s="28"/>
      <c r="L112" s="28"/>
      <c r="M112" s="28" t="s">
        <v>372</v>
      </c>
      <c r="N112" s="28"/>
      <c r="O112" s="28" t="s">
        <v>346</v>
      </c>
      <c r="P112" s="28"/>
      <c r="Q112" s="30"/>
      <c r="R112" s="30"/>
      <c r="S112" s="30"/>
      <c r="T112" s="30"/>
      <c r="U112" s="31"/>
      <c r="V112" s="28"/>
      <c r="W112" s="28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25" t="s">
        <v>270</v>
      </c>
      <c r="B113" s="24" t="s">
        <v>271</v>
      </c>
      <c r="C113" s="24"/>
      <c r="D113" s="24" t="s">
        <v>272</v>
      </c>
      <c r="E113" s="24"/>
      <c r="F113" s="24" t="s">
        <v>273</v>
      </c>
      <c r="G113" s="24" t="s">
        <v>41</v>
      </c>
      <c r="H113" s="24" t="s">
        <v>49</v>
      </c>
      <c r="I113" s="24"/>
      <c r="J113" s="24"/>
      <c r="K113" s="24"/>
      <c r="L113" s="24"/>
      <c r="M113" s="24" t="s">
        <v>375</v>
      </c>
      <c r="N113" s="24"/>
      <c r="O113" s="24" t="s">
        <v>360</v>
      </c>
      <c r="P113" s="24"/>
      <c r="Q113" s="26"/>
      <c r="R113" s="26"/>
      <c r="S113" s="26"/>
      <c r="T113" s="26"/>
      <c r="U113" s="27"/>
      <c r="V113" s="24"/>
      <c r="W113" s="24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29" t="s">
        <v>274</v>
      </c>
      <c r="B114" s="28" t="s">
        <v>134</v>
      </c>
      <c r="C114" s="28" t="s">
        <v>122</v>
      </c>
      <c r="D114" s="28" t="s">
        <v>391</v>
      </c>
      <c r="E114" s="28"/>
      <c r="F114" s="28" t="s">
        <v>275</v>
      </c>
      <c r="G114" s="28" t="s">
        <v>4</v>
      </c>
      <c r="H114" s="28" t="s">
        <v>5</v>
      </c>
      <c r="I114" s="28"/>
      <c r="J114" s="28"/>
      <c r="K114" s="28"/>
      <c r="L114" s="28"/>
      <c r="M114" s="28" t="s">
        <v>375</v>
      </c>
      <c r="N114" s="28"/>
      <c r="O114" s="28" t="s">
        <v>361</v>
      </c>
      <c r="P114" s="28"/>
      <c r="Q114" s="30"/>
      <c r="R114" s="30"/>
      <c r="S114" s="30"/>
      <c r="T114" s="30"/>
      <c r="U114" s="31"/>
      <c r="V114" s="28"/>
      <c r="W114" s="28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25" t="s">
        <v>276</v>
      </c>
      <c r="B115" s="24" t="s">
        <v>182</v>
      </c>
      <c r="C115" s="24" t="s">
        <v>83</v>
      </c>
      <c r="D115" s="24" t="s">
        <v>392</v>
      </c>
      <c r="E115" s="24"/>
      <c r="F115" s="24" t="s">
        <v>225</v>
      </c>
      <c r="G115" s="24" t="s">
        <v>4</v>
      </c>
      <c r="H115" s="24" t="s">
        <v>5</v>
      </c>
      <c r="I115" s="24"/>
      <c r="J115" s="24"/>
      <c r="K115" s="24"/>
      <c r="L115" s="24"/>
      <c r="M115" s="24" t="s">
        <v>372</v>
      </c>
      <c r="N115" s="24"/>
      <c r="O115" s="24" t="s">
        <v>361</v>
      </c>
      <c r="P115" s="24"/>
      <c r="Q115" s="26"/>
      <c r="R115" s="26"/>
      <c r="S115" s="26"/>
      <c r="T115" s="26"/>
      <c r="U115" s="27"/>
      <c r="V115" s="24"/>
      <c r="W115" s="24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29" t="s">
        <v>277</v>
      </c>
      <c r="B116" s="28" t="s">
        <v>211</v>
      </c>
      <c r="C116" s="28" t="s">
        <v>69</v>
      </c>
      <c r="D116" s="28" t="s">
        <v>278</v>
      </c>
      <c r="E116" s="28"/>
      <c r="F116" s="28" t="s">
        <v>279</v>
      </c>
      <c r="G116" s="28" t="s">
        <v>13</v>
      </c>
      <c r="H116" s="28" t="s">
        <v>49</v>
      </c>
      <c r="I116" s="28">
        <v>46147</v>
      </c>
      <c r="J116" s="28"/>
      <c r="K116" s="28"/>
      <c r="L116" s="28"/>
      <c r="M116" s="28" t="s">
        <v>362</v>
      </c>
      <c r="N116" s="28"/>
      <c r="O116" s="28" t="s">
        <v>359</v>
      </c>
      <c r="P116" s="28"/>
      <c r="Q116" s="30"/>
      <c r="R116" s="30"/>
      <c r="S116" s="30"/>
      <c r="T116" s="30"/>
      <c r="U116" s="31"/>
      <c r="V116" s="28"/>
      <c r="W116" s="28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25" t="s">
        <v>280</v>
      </c>
      <c r="B117" s="24" t="s">
        <v>162</v>
      </c>
      <c r="C117" s="24" t="s">
        <v>281</v>
      </c>
      <c r="D117" s="24" t="s">
        <v>282</v>
      </c>
      <c r="E117" s="24"/>
      <c r="F117" s="24"/>
      <c r="G117" s="24" t="s">
        <v>4</v>
      </c>
      <c r="H117" s="24" t="s">
        <v>49</v>
      </c>
      <c r="I117" s="24"/>
      <c r="J117" s="24"/>
      <c r="K117" s="24"/>
      <c r="L117" s="24"/>
      <c r="M117" s="24" t="s">
        <v>372</v>
      </c>
      <c r="N117" s="24" t="s">
        <v>358</v>
      </c>
      <c r="O117" s="24" t="s">
        <v>361</v>
      </c>
      <c r="P117" s="24"/>
      <c r="Q117" s="26"/>
      <c r="R117" s="26"/>
      <c r="S117" s="26"/>
      <c r="T117" s="26"/>
      <c r="U117" s="27"/>
      <c r="V117" s="24"/>
      <c r="W117" s="24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29" t="s">
        <v>283</v>
      </c>
      <c r="B118" s="28" t="s">
        <v>75</v>
      </c>
      <c r="C118" s="28" t="s">
        <v>62</v>
      </c>
      <c r="D118" s="28" t="s">
        <v>393</v>
      </c>
      <c r="E118" s="28"/>
      <c r="F118" s="28" t="s">
        <v>284</v>
      </c>
      <c r="G118" s="28" t="s">
        <v>4</v>
      </c>
      <c r="H118" s="28" t="s">
        <v>14</v>
      </c>
      <c r="I118" s="28"/>
      <c r="J118" s="28"/>
      <c r="K118" s="28"/>
      <c r="L118" s="28"/>
      <c r="M118" s="28" t="s">
        <v>385</v>
      </c>
      <c r="N118" s="28"/>
      <c r="O118" s="28" t="s">
        <v>361</v>
      </c>
      <c r="P118" s="28"/>
      <c r="Q118" s="30"/>
      <c r="R118" s="30"/>
      <c r="S118" s="30"/>
      <c r="T118" s="30"/>
      <c r="U118" s="31"/>
      <c r="V118" s="28"/>
      <c r="W118" s="28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25" t="s">
        <v>285</v>
      </c>
      <c r="B119" s="24" t="s">
        <v>286</v>
      </c>
      <c r="C119" s="24"/>
      <c r="D119" s="24" t="s">
        <v>394</v>
      </c>
      <c r="E119" s="24"/>
      <c r="F119" s="24" t="s">
        <v>287</v>
      </c>
      <c r="G119" s="24" t="s">
        <v>4</v>
      </c>
      <c r="H119" s="24" t="s">
        <v>49</v>
      </c>
      <c r="I119" s="24"/>
      <c r="J119" s="24"/>
      <c r="K119" s="24"/>
      <c r="L119" s="24"/>
      <c r="M119" s="24" t="s">
        <v>375</v>
      </c>
      <c r="N119" s="24"/>
      <c r="O119" s="24" t="s">
        <v>361</v>
      </c>
      <c r="P119" s="24"/>
      <c r="Q119" s="26"/>
      <c r="R119" s="26"/>
      <c r="S119" s="26"/>
      <c r="T119" s="26"/>
      <c r="U119" s="27"/>
      <c r="V119" s="24"/>
      <c r="W119" s="24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29" t="s">
        <v>288</v>
      </c>
      <c r="B120" s="28" t="s">
        <v>286</v>
      </c>
      <c r="C120" s="28" t="s">
        <v>69</v>
      </c>
      <c r="D120" s="28" t="s">
        <v>289</v>
      </c>
      <c r="E120" s="28"/>
      <c r="F120" s="28" t="s">
        <v>290</v>
      </c>
      <c r="G120" s="28" t="s">
        <v>13</v>
      </c>
      <c r="H120" s="28" t="s">
        <v>49</v>
      </c>
      <c r="I120" s="28"/>
      <c r="J120" s="28"/>
      <c r="K120" s="28"/>
      <c r="L120" s="28"/>
      <c r="M120" s="28" t="s">
        <v>372</v>
      </c>
      <c r="N120" s="28"/>
      <c r="O120" s="28" t="s">
        <v>361</v>
      </c>
      <c r="P120" s="28"/>
      <c r="Q120" s="30"/>
      <c r="R120" s="30"/>
      <c r="S120" s="30"/>
      <c r="T120" s="30"/>
      <c r="U120" s="31"/>
      <c r="V120" s="28"/>
      <c r="W120" s="28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25" t="s">
        <v>291</v>
      </c>
      <c r="B121" s="24" t="s">
        <v>75</v>
      </c>
      <c r="C121" s="24" t="s">
        <v>69</v>
      </c>
      <c r="D121" s="24" t="s">
        <v>292</v>
      </c>
      <c r="E121" s="24"/>
      <c r="F121" s="24"/>
      <c r="G121" s="24"/>
      <c r="H121" s="24"/>
      <c r="I121" s="24"/>
      <c r="J121" s="24"/>
      <c r="K121" s="24"/>
      <c r="L121" s="24"/>
      <c r="M121" s="24" t="s">
        <v>367</v>
      </c>
      <c r="N121" s="24"/>
      <c r="O121" s="24"/>
      <c r="P121" s="24"/>
      <c r="Q121" s="26"/>
      <c r="R121" s="26"/>
      <c r="S121" s="26"/>
      <c r="T121" s="26"/>
      <c r="U121" s="27"/>
      <c r="V121" s="24"/>
      <c r="W121" s="24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29" t="s">
        <v>293</v>
      </c>
      <c r="B122" s="28" t="s">
        <v>227</v>
      </c>
      <c r="C122" s="28" t="s">
        <v>116</v>
      </c>
      <c r="D122" s="28" t="s">
        <v>294</v>
      </c>
      <c r="E122" s="28"/>
      <c r="F122" s="28" t="s">
        <v>228</v>
      </c>
      <c r="G122" s="28" t="s">
        <v>13</v>
      </c>
      <c r="H122" s="28" t="s">
        <v>14</v>
      </c>
      <c r="I122" s="28"/>
      <c r="J122" s="28"/>
      <c r="K122" s="28"/>
      <c r="L122" s="28"/>
      <c r="M122" s="28" t="s">
        <v>364</v>
      </c>
      <c r="N122" s="28"/>
      <c r="O122" s="28" t="s">
        <v>365</v>
      </c>
      <c r="P122" s="28"/>
      <c r="Q122" s="30"/>
      <c r="R122" s="30"/>
      <c r="S122" s="30"/>
      <c r="T122" s="30"/>
      <c r="U122" s="31"/>
      <c r="V122" s="28"/>
      <c r="W122" s="28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25" t="s">
        <v>295</v>
      </c>
      <c r="B123" s="24" t="s">
        <v>45</v>
      </c>
      <c r="C123" s="24" t="s">
        <v>296</v>
      </c>
      <c r="D123" s="24" t="s">
        <v>297</v>
      </c>
      <c r="E123" s="24"/>
      <c r="F123" s="24" t="s">
        <v>48</v>
      </c>
      <c r="G123" s="24" t="s">
        <v>13</v>
      </c>
      <c r="H123" s="24" t="s">
        <v>14</v>
      </c>
      <c r="I123" s="24"/>
      <c r="J123" s="24"/>
      <c r="K123" s="24"/>
      <c r="L123" s="24"/>
      <c r="M123" s="24" t="s">
        <v>367</v>
      </c>
      <c r="N123" s="24"/>
      <c r="O123" s="24" t="s">
        <v>363</v>
      </c>
      <c r="P123" s="24"/>
      <c r="Q123" s="26"/>
      <c r="R123" s="26"/>
      <c r="S123" s="26"/>
      <c r="T123" s="26"/>
      <c r="U123" s="27"/>
      <c r="V123" s="24"/>
      <c r="W123" s="24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29" t="s">
        <v>298</v>
      </c>
      <c r="B124" s="28" t="s">
        <v>299</v>
      </c>
      <c r="C124" s="28" t="s">
        <v>16</v>
      </c>
      <c r="D124" s="28" t="s">
        <v>300</v>
      </c>
      <c r="E124" s="28"/>
      <c r="F124" s="28" t="s">
        <v>109</v>
      </c>
      <c r="G124" s="28" t="s">
        <v>4</v>
      </c>
      <c r="H124" s="28" t="s">
        <v>49</v>
      </c>
      <c r="I124" s="28"/>
      <c r="J124" s="28"/>
      <c r="K124" s="28"/>
      <c r="L124" s="28"/>
      <c r="M124" s="28" t="s">
        <v>375</v>
      </c>
      <c r="N124" s="28"/>
      <c r="O124" s="28" t="s">
        <v>361</v>
      </c>
      <c r="P124" s="28"/>
      <c r="Q124" s="30"/>
      <c r="R124" s="30"/>
      <c r="S124" s="30"/>
      <c r="T124" s="30"/>
      <c r="U124" s="31"/>
      <c r="V124" s="28"/>
      <c r="W124" s="28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25" t="s">
        <v>301</v>
      </c>
      <c r="B125" s="24" t="s">
        <v>302</v>
      </c>
      <c r="C125" s="24" t="s">
        <v>69</v>
      </c>
      <c r="D125" s="24" t="s">
        <v>303</v>
      </c>
      <c r="E125" s="24"/>
      <c r="F125" s="24"/>
      <c r="G125" s="24" t="s">
        <v>4</v>
      </c>
      <c r="H125" s="24" t="s">
        <v>49</v>
      </c>
      <c r="I125" s="24"/>
      <c r="J125" s="24"/>
      <c r="K125" s="24"/>
      <c r="L125" s="24"/>
      <c r="M125" s="24" t="s">
        <v>375</v>
      </c>
      <c r="N125" s="24"/>
      <c r="O125" s="24" t="s">
        <v>361</v>
      </c>
      <c r="P125" s="24"/>
      <c r="Q125" s="26"/>
      <c r="R125" s="26"/>
      <c r="S125" s="26"/>
      <c r="T125" s="26"/>
      <c r="U125" s="27"/>
      <c r="V125" s="24"/>
      <c r="W125" s="24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29" t="s">
        <v>304</v>
      </c>
      <c r="B126" s="28" t="s">
        <v>305</v>
      </c>
      <c r="C126" s="28"/>
      <c r="D126" s="28"/>
      <c r="E126" s="28"/>
      <c r="F126" s="28" t="s">
        <v>306</v>
      </c>
      <c r="G126" s="28" t="s">
        <v>13</v>
      </c>
      <c r="H126" s="28"/>
      <c r="I126" s="28"/>
      <c r="J126" s="28"/>
      <c r="K126" s="28"/>
      <c r="L126" s="28"/>
      <c r="M126" s="28" t="s">
        <v>367</v>
      </c>
      <c r="N126" s="28"/>
      <c r="O126" s="28" t="s">
        <v>359</v>
      </c>
      <c r="P126" s="28"/>
      <c r="Q126" s="30"/>
      <c r="R126" s="30"/>
      <c r="S126" s="30"/>
      <c r="T126" s="30"/>
      <c r="U126" s="31"/>
      <c r="V126" s="28"/>
      <c r="W126" s="28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25" t="s">
        <v>307</v>
      </c>
      <c r="B127" s="24" t="s">
        <v>305</v>
      </c>
      <c r="C127" s="24"/>
      <c r="D127" s="24"/>
      <c r="E127" s="24"/>
      <c r="F127" s="24" t="s">
        <v>306</v>
      </c>
      <c r="G127" s="24" t="s">
        <v>308</v>
      </c>
      <c r="H127" s="24"/>
      <c r="I127" s="24"/>
      <c r="J127" s="24"/>
      <c r="K127" s="24"/>
      <c r="L127" s="24"/>
      <c r="M127" s="24" t="s">
        <v>367</v>
      </c>
      <c r="N127" s="24"/>
      <c r="O127" s="24" t="s">
        <v>359</v>
      </c>
      <c r="P127" s="24"/>
      <c r="Q127" s="26"/>
      <c r="R127" s="26"/>
      <c r="S127" s="26"/>
      <c r="T127" s="26"/>
      <c r="U127" s="27"/>
      <c r="V127" s="24"/>
      <c r="W127" s="24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29" t="s">
        <v>309</v>
      </c>
      <c r="B128" s="28" t="s">
        <v>9</v>
      </c>
      <c r="C128" s="28" t="s">
        <v>69</v>
      </c>
      <c r="D128" s="28" t="s">
        <v>310</v>
      </c>
      <c r="E128" s="28"/>
      <c r="F128" s="28" t="s">
        <v>311</v>
      </c>
      <c r="G128" s="28" t="s">
        <v>13</v>
      </c>
      <c r="H128" s="28" t="s">
        <v>49</v>
      </c>
      <c r="I128" s="28"/>
      <c r="J128" s="28"/>
      <c r="K128" s="28"/>
      <c r="L128" s="28"/>
      <c r="M128" s="28" t="s">
        <v>372</v>
      </c>
      <c r="N128" s="28"/>
      <c r="O128" s="28" t="s">
        <v>361</v>
      </c>
      <c r="P128" s="28"/>
      <c r="Q128" s="30"/>
      <c r="R128" s="30"/>
      <c r="S128" s="30"/>
      <c r="T128" s="30"/>
      <c r="U128" s="31"/>
      <c r="V128" s="28"/>
      <c r="W128" s="28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25" t="s">
        <v>312</v>
      </c>
      <c r="B129" s="24" t="s">
        <v>75</v>
      </c>
      <c r="C129" s="24" t="s">
        <v>69</v>
      </c>
      <c r="D129" s="24" t="s">
        <v>313</v>
      </c>
      <c r="E129" s="24"/>
      <c r="F129" s="24" t="s">
        <v>314</v>
      </c>
      <c r="G129" s="24" t="s">
        <v>4</v>
      </c>
      <c r="H129" s="24" t="s">
        <v>49</v>
      </c>
      <c r="I129" s="24"/>
      <c r="J129" s="24"/>
      <c r="K129" s="24"/>
      <c r="L129" s="24"/>
      <c r="M129" s="24" t="s">
        <v>375</v>
      </c>
      <c r="N129" s="24"/>
      <c r="O129" s="24" t="s">
        <v>366</v>
      </c>
      <c r="P129" s="24"/>
      <c r="Q129" s="26"/>
      <c r="R129" s="26"/>
      <c r="S129" s="26"/>
      <c r="T129" s="26"/>
      <c r="U129" s="27"/>
      <c r="V129" s="24"/>
      <c r="W129" s="24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29" t="s">
        <v>315</v>
      </c>
      <c r="B130" s="28" t="s">
        <v>45</v>
      </c>
      <c r="C130" s="28" t="s">
        <v>316</v>
      </c>
      <c r="D130" s="28" t="s">
        <v>317</v>
      </c>
      <c r="E130" s="28"/>
      <c r="F130" s="28"/>
      <c r="G130" s="28" t="s">
        <v>13</v>
      </c>
      <c r="H130" s="28"/>
      <c r="I130" s="28"/>
      <c r="J130" s="28"/>
      <c r="K130" s="28"/>
      <c r="L130" s="28"/>
      <c r="M130" s="28" t="s">
        <v>395</v>
      </c>
      <c r="N130" s="28" t="s">
        <v>370</v>
      </c>
      <c r="O130" s="28" t="s">
        <v>363</v>
      </c>
      <c r="P130" s="28"/>
      <c r="Q130" s="30"/>
      <c r="R130" s="30"/>
      <c r="S130" s="30"/>
      <c r="T130" s="30"/>
      <c r="U130" s="31"/>
      <c r="V130" s="28"/>
      <c r="W130" s="28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25" t="s">
        <v>318</v>
      </c>
      <c r="B131" s="24" t="s">
        <v>45</v>
      </c>
      <c r="C131" s="24" t="s">
        <v>316</v>
      </c>
      <c r="D131" s="24" t="s">
        <v>319</v>
      </c>
      <c r="E131" s="24"/>
      <c r="F131" s="24" t="s">
        <v>48</v>
      </c>
      <c r="G131" s="24" t="s">
        <v>320</v>
      </c>
      <c r="H131" s="24"/>
      <c r="I131" s="24"/>
      <c r="J131" s="24"/>
      <c r="K131" s="24"/>
      <c r="L131" s="24"/>
      <c r="M131" s="24" t="s">
        <v>395</v>
      </c>
      <c r="N131" s="24" t="s">
        <v>370</v>
      </c>
      <c r="O131" s="24" t="s">
        <v>367</v>
      </c>
      <c r="P131" s="24"/>
      <c r="Q131" s="26"/>
      <c r="R131" s="26"/>
      <c r="S131" s="26"/>
      <c r="T131" s="26"/>
      <c r="U131" s="27"/>
      <c r="V131" s="24"/>
      <c r="W131" s="24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29" t="s">
        <v>321</v>
      </c>
      <c r="B132" s="28" t="s">
        <v>45</v>
      </c>
      <c r="C132" s="28" t="s">
        <v>316</v>
      </c>
      <c r="D132" s="28" t="s">
        <v>322</v>
      </c>
      <c r="E132" s="28"/>
      <c r="F132" s="28" t="s">
        <v>48</v>
      </c>
      <c r="G132" s="28" t="s">
        <v>320</v>
      </c>
      <c r="H132" s="28"/>
      <c r="I132" s="28"/>
      <c r="J132" s="28"/>
      <c r="K132" s="28"/>
      <c r="L132" s="28"/>
      <c r="M132" s="28" t="s">
        <v>375</v>
      </c>
      <c r="N132" s="28" t="s">
        <v>370</v>
      </c>
      <c r="O132" s="28" t="s">
        <v>366</v>
      </c>
      <c r="P132" s="28"/>
      <c r="Q132" s="30"/>
      <c r="R132" s="30"/>
      <c r="S132" s="30"/>
      <c r="T132" s="30"/>
      <c r="U132" s="31"/>
      <c r="V132" s="28"/>
      <c r="W132" s="28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25" t="s">
        <v>323</v>
      </c>
      <c r="B133" s="24" t="s">
        <v>305</v>
      </c>
      <c r="C133" s="24"/>
      <c r="D133" s="24"/>
      <c r="E133" s="24"/>
      <c r="F133" s="24" t="s">
        <v>306</v>
      </c>
      <c r="G133" s="24" t="s">
        <v>4</v>
      </c>
      <c r="H133" s="24"/>
      <c r="I133" s="24"/>
      <c r="J133" s="24"/>
      <c r="K133" s="24"/>
      <c r="L133" s="24"/>
      <c r="M133" s="24" t="s">
        <v>367</v>
      </c>
      <c r="N133" s="24"/>
      <c r="O133" s="24" t="s">
        <v>361</v>
      </c>
      <c r="P133" s="24"/>
      <c r="Q133" s="26"/>
      <c r="R133" s="26"/>
      <c r="S133" s="26"/>
      <c r="T133" s="26"/>
      <c r="U133" s="27"/>
      <c r="V133" s="24"/>
      <c r="W133" s="24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29" t="s">
        <v>324</v>
      </c>
      <c r="B134" s="28" t="s">
        <v>75</v>
      </c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 t="s">
        <v>367</v>
      </c>
      <c r="N134" s="28"/>
      <c r="O134" s="28" t="s">
        <v>367</v>
      </c>
      <c r="P134" s="28"/>
      <c r="Q134" s="30"/>
      <c r="R134" s="30"/>
      <c r="S134" s="30"/>
      <c r="T134" s="30"/>
      <c r="U134" s="31"/>
      <c r="V134" s="28"/>
      <c r="W134" s="28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25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6"/>
      <c r="R135" s="26"/>
      <c r="S135" s="26"/>
      <c r="T135" s="26"/>
      <c r="U135" s="27"/>
      <c r="V135" s="24"/>
      <c r="W135" s="24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29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30"/>
      <c r="R136" s="30"/>
      <c r="S136" s="30"/>
      <c r="T136" s="30"/>
      <c r="U136" s="31"/>
      <c r="V136" s="28"/>
      <c r="W136" s="28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25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6"/>
      <c r="R137" s="26"/>
      <c r="S137" s="26"/>
      <c r="T137" s="26"/>
      <c r="U137" s="27"/>
      <c r="V137" s="24"/>
      <c r="W137" s="24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29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30"/>
      <c r="R138" s="30"/>
      <c r="S138" s="30"/>
      <c r="T138" s="30"/>
      <c r="U138" s="31"/>
      <c r="V138" s="28"/>
      <c r="W138" s="28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25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6"/>
      <c r="R139" s="26"/>
      <c r="S139" s="26"/>
      <c r="T139" s="26"/>
      <c r="U139" s="27"/>
      <c r="V139" s="24"/>
      <c r="W139" s="24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29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30"/>
      <c r="R140" s="30"/>
      <c r="S140" s="30"/>
      <c r="T140" s="30"/>
      <c r="U140" s="31"/>
      <c r="V140" s="28"/>
      <c r="W140" s="28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25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6"/>
      <c r="R141" s="26"/>
      <c r="S141" s="26"/>
      <c r="T141" s="26"/>
      <c r="U141" s="27"/>
      <c r="V141" s="24"/>
      <c r="W141" s="24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29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30"/>
      <c r="R142" s="30"/>
      <c r="S142" s="30"/>
      <c r="T142" s="30"/>
      <c r="U142" s="31"/>
      <c r="V142" s="28"/>
      <c r="W142" s="28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25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6"/>
      <c r="R143" s="26"/>
      <c r="S143" s="26"/>
      <c r="T143" s="26"/>
      <c r="U143" s="27"/>
      <c r="V143" s="24"/>
      <c r="W143" s="24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29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30"/>
      <c r="R144" s="30"/>
      <c r="S144" s="30"/>
      <c r="T144" s="30"/>
      <c r="U144" s="31"/>
      <c r="V144" s="28"/>
      <c r="W144" s="28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25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6"/>
      <c r="R145" s="26"/>
      <c r="S145" s="26"/>
      <c r="T145" s="26"/>
      <c r="U145" s="27"/>
      <c r="V145" s="24"/>
      <c r="W145" s="24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29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30"/>
      <c r="R146" s="30"/>
      <c r="S146" s="30"/>
      <c r="T146" s="30"/>
      <c r="U146" s="31"/>
      <c r="V146" s="28"/>
      <c r="W146" s="28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25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6"/>
      <c r="R147" s="26"/>
      <c r="S147" s="26"/>
      <c r="T147" s="26"/>
      <c r="U147" s="27"/>
      <c r="V147" s="24"/>
      <c r="W147" s="24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29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30"/>
      <c r="R148" s="30"/>
      <c r="S148" s="30"/>
      <c r="T148" s="30"/>
      <c r="U148" s="31"/>
      <c r="V148" s="28"/>
      <c r="W148" s="28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25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6"/>
      <c r="R149" s="26"/>
      <c r="S149" s="26"/>
      <c r="T149" s="26"/>
      <c r="U149" s="27"/>
      <c r="V149" s="24"/>
      <c r="W149" s="24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29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30"/>
      <c r="R150" s="30"/>
      <c r="S150" s="30"/>
      <c r="T150" s="30"/>
      <c r="U150" s="31"/>
      <c r="V150" s="28"/>
      <c r="W150" s="28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25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6"/>
      <c r="R151" s="26"/>
      <c r="S151" s="26"/>
      <c r="T151" s="26"/>
      <c r="U151" s="27"/>
      <c r="V151" s="24"/>
      <c r="W151" s="24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29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30"/>
      <c r="R152" s="30"/>
      <c r="S152" s="30"/>
      <c r="T152" s="30"/>
      <c r="U152" s="31"/>
      <c r="V152" s="28"/>
      <c r="W152" s="28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25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6"/>
      <c r="R153" s="26"/>
      <c r="S153" s="26"/>
      <c r="T153" s="26"/>
      <c r="U153" s="27"/>
      <c r="V153" s="24"/>
      <c r="W153" s="24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29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30"/>
      <c r="R154" s="30"/>
      <c r="S154" s="30"/>
      <c r="T154" s="30"/>
      <c r="U154" s="31"/>
      <c r="V154" s="28"/>
      <c r="W154" s="28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25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6"/>
      <c r="R155" s="26"/>
      <c r="S155" s="26"/>
      <c r="T155" s="26"/>
      <c r="U155" s="27"/>
      <c r="V155" s="24"/>
      <c r="W155" s="24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29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30"/>
      <c r="R156" s="30"/>
      <c r="S156" s="30"/>
      <c r="T156" s="30"/>
      <c r="U156" s="31"/>
      <c r="V156" s="28"/>
      <c r="W156" s="28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25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6"/>
      <c r="R157" s="26"/>
      <c r="S157" s="26"/>
      <c r="T157" s="26"/>
      <c r="U157" s="27"/>
      <c r="V157" s="24"/>
      <c r="W157" s="24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29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30"/>
      <c r="R158" s="30"/>
      <c r="S158" s="30"/>
      <c r="T158" s="30"/>
      <c r="U158" s="31"/>
      <c r="V158" s="28"/>
      <c r="W158" s="28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25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6"/>
      <c r="R159" s="26"/>
      <c r="S159" s="26"/>
      <c r="T159" s="26"/>
      <c r="U159" s="27"/>
      <c r="V159" s="24"/>
      <c r="W159" s="24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29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30"/>
      <c r="R160" s="30"/>
      <c r="S160" s="30"/>
      <c r="T160" s="30"/>
      <c r="U160" s="31"/>
      <c r="V160" s="28"/>
      <c r="W160" s="28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25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6"/>
      <c r="R161" s="26"/>
      <c r="S161" s="26"/>
      <c r="T161" s="26"/>
      <c r="U161" s="27"/>
      <c r="V161" s="24"/>
      <c r="W161" s="24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29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30"/>
      <c r="R162" s="30"/>
      <c r="S162" s="30"/>
      <c r="T162" s="30"/>
      <c r="U162" s="31"/>
      <c r="V162" s="28"/>
      <c r="W162" s="28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25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6"/>
      <c r="R163" s="26"/>
      <c r="S163" s="26"/>
      <c r="T163" s="26"/>
      <c r="U163" s="27"/>
      <c r="V163" s="24"/>
      <c r="W163" s="24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29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30"/>
      <c r="R164" s="30"/>
      <c r="S164" s="30"/>
      <c r="T164" s="30"/>
      <c r="U164" s="31"/>
      <c r="V164" s="28"/>
      <c r="W164" s="28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2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ED208-76F4-4016-9A3A-25E8C3F70EF9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33" t="s">
        <v>0</v>
      </c>
      <c r="B3" s="32" t="s">
        <v>1</v>
      </c>
      <c r="C3" s="32" t="s">
        <v>2</v>
      </c>
      <c r="D3" s="32">
        <v>35381421000194</v>
      </c>
      <c r="E3" s="32"/>
      <c r="F3" s="32" t="s">
        <v>3</v>
      </c>
      <c r="G3" s="32" t="s">
        <v>4</v>
      </c>
      <c r="H3" s="32" t="s">
        <v>5</v>
      </c>
      <c r="I3" s="32" t="s">
        <v>341</v>
      </c>
      <c r="J3" s="32"/>
      <c r="K3" s="32"/>
      <c r="L3" s="32"/>
      <c r="M3" s="32"/>
      <c r="N3" s="32"/>
      <c r="O3" s="32"/>
      <c r="P3" s="32"/>
      <c r="Q3" s="34"/>
      <c r="R3" s="34"/>
      <c r="S3" s="34"/>
      <c r="T3" s="34"/>
      <c r="U3" s="35"/>
      <c r="V3" s="32"/>
      <c r="W3" s="32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37" t="s">
        <v>6</v>
      </c>
      <c r="B4" s="36" t="s">
        <v>1</v>
      </c>
      <c r="C4" s="36" t="s">
        <v>2</v>
      </c>
      <c r="D4" s="36" t="s">
        <v>7</v>
      </c>
      <c r="E4" s="36"/>
      <c r="F4" s="36" t="s">
        <v>3</v>
      </c>
      <c r="G4" s="36" t="s">
        <v>4</v>
      </c>
      <c r="H4" s="36" t="s">
        <v>5</v>
      </c>
      <c r="I4" s="36" t="s">
        <v>341</v>
      </c>
      <c r="J4" s="36"/>
      <c r="K4" s="36"/>
      <c r="L4" s="36"/>
      <c r="M4" s="36"/>
      <c r="N4" s="36"/>
      <c r="O4" s="36"/>
      <c r="P4" s="36"/>
      <c r="Q4" s="38"/>
      <c r="R4" s="38"/>
      <c r="S4" s="38"/>
      <c r="T4" s="38"/>
      <c r="U4" s="39"/>
      <c r="V4" s="36"/>
      <c r="W4" s="36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33" t="s">
        <v>8</v>
      </c>
      <c r="B5" s="32" t="s">
        <v>9</v>
      </c>
      <c r="C5" s="32" t="s">
        <v>10</v>
      </c>
      <c r="D5" s="32" t="s">
        <v>11</v>
      </c>
      <c r="E5" s="32"/>
      <c r="F5" s="32" t="s">
        <v>12</v>
      </c>
      <c r="G5" s="32" t="s">
        <v>13</v>
      </c>
      <c r="H5" s="32" t="s">
        <v>14</v>
      </c>
      <c r="I5" s="32" t="s">
        <v>341</v>
      </c>
      <c r="J5" s="32"/>
      <c r="K5" s="32"/>
      <c r="L5" s="32"/>
      <c r="M5" s="32"/>
      <c r="N5" s="32"/>
      <c r="O5" s="32"/>
      <c r="P5" s="32"/>
      <c r="Q5" s="34"/>
      <c r="R5" s="34"/>
      <c r="S5" s="34"/>
      <c r="T5" s="34"/>
      <c r="U5" s="35"/>
      <c r="V5" s="32"/>
      <c r="W5" s="32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37" t="s">
        <v>15</v>
      </c>
      <c r="B6" s="36" t="s">
        <v>9</v>
      </c>
      <c r="C6" s="36" t="s">
        <v>16</v>
      </c>
      <c r="D6" s="36" t="s">
        <v>17</v>
      </c>
      <c r="E6" s="36"/>
      <c r="F6" s="36" t="s">
        <v>12</v>
      </c>
      <c r="G6" s="36" t="s">
        <v>13</v>
      </c>
      <c r="H6" s="36" t="s">
        <v>14</v>
      </c>
      <c r="I6" s="36" t="s">
        <v>341</v>
      </c>
      <c r="J6" s="36" t="s">
        <v>341</v>
      </c>
      <c r="K6" s="36" t="s">
        <v>341</v>
      </c>
      <c r="L6" s="36" t="s">
        <v>341</v>
      </c>
      <c r="M6" s="36" t="s">
        <v>341</v>
      </c>
      <c r="N6" s="36" t="s">
        <v>341</v>
      </c>
      <c r="O6" s="36" t="s">
        <v>341</v>
      </c>
      <c r="P6" s="36" t="s">
        <v>341</v>
      </c>
      <c r="Q6" s="38"/>
      <c r="R6" s="38"/>
      <c r="S6" s="38"/>
      <c r="T6" s="38"/>
      <c r="U6" s="39"/>
      <c r="V6" s="36"/>
      <c r="W6" s="36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33" t="s">
        <v>18</v>
      </c>
      <c r="B7" s="32" t="s">
        <v>9</v>
      </c>
      <c r="C7" s="32" t="s">
        <v>19</v>
      </c>
      <c r="D7" s="32" t="s">
        <v>20</v>
      </c>
      <c r="E7" s="32"/>
      <c r="F7" s="32" t="s">
        <v>12</v>
      </c>
      <c r="G7" s="32" t="s">
        <v>13</v>
      </c>
      <c r="H7" s="32" t="s">
        <v>14</v>
      </c>
      <c r="I7" s="32" t="s">
        <v>341</v>
      </c>
      <c r="J7" s="32" t="s">
        <v>341</v>
      </c>
      <c r="K7" s="32" t="s">
        <v>341</v>
      </c>
      <c r="L7" s="32" t="s">
        <v>341</v>
      </c>
      <c r="M7" s="32" t="s">
        <v>341</v>
      </c>
      <c r="N7" s="32" t="s">
        <v>341</v>
      </c>
      <c r="O7" s="32" t="s">
        <v>341</v>
      </c>
      <c r="P7" s="32" t="s">
        <v>341</v>
      </c>
      <c r="Q7" s="34"/>
      <c r="R7" s="34"/>
      <c r="S7" s="34"/>
      <c r="T7" s="34"/>
      <c r="U7" s="35"/>
      <c r="V7" s="32"/>
      <c r="W7" s="32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37" t="s">
        <v>21</v>
      </c>
      <c r="B8" s="36" t="s">
        <v>9</v>
      </c>
      <c r="C8" s="36" t="s">
        <v>19</v>
      </c>
      <c r="D8" s="36" t="s">
        <v>22</v>
      </c>
      <c r="E8" s="36"/>
      <c r="F8" s="36" t="s">
        <v>12</v>
      </c>
      <c r="G8" s="36" t="s">
        <v>13</v>
      </c>
      <c r="H8" s="36" t="s">
        <v>14</v>
      </c>
      <c r="I8" s="36" t="s">
        <v>341</v>
      </c>
      <c r="J8" s="36" t="s">
        <v>341</v>
      </c>
      <c r="K8" s="36" t="s">
        <v>341</v>
      </c>
      <c r="L8" s="36" t="s">
        <v>341</v>
      </c>
      <c r="M8" s="36" t="s">
        <v>341</v>
      </c>
      <c r="N8" s="36" t="s">
        <v>341</v>
      </c>
      <c r="O8" s="36" t="s">
        <v>341</v>
      </c>
      <c r="P8" s="36" t="s">
        <v>341</v>
      </c>
      <c r="Q8" s="38"/>
      <c r="R8" s="38"/>
      <c r="S8" s="38"/>
      <c r="T8" s="38"/>
      <c r="U8" s="39"/>
      <c r="V8" s="36"/>
      <c r="W8" s="36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33" t="s">
        <v>23</v>
      </c>
      <c r="B9" s="32" t="s">
        <v>9</v>
      </c>
      <c r="C9" s="32" t="s">
        <v>24</v>
      </c>
      <c r="D9" s="32" t="s">
        <v>25</v>
      </c>
      <c r="E9" s="32"/>
      <c r="F9" s="32" t="s">
        <v>12</v>
      </c>
      <c r="G9" s="32" t="s">
        <v>13</v>
      </c>
      <c r="H9" s="32" t="s">
        <v>14</v>
      </c>
      <c r="I9" s="32" t="s">
        <v>341</v>
      </c>
      <c r="J9" s="32" t="s">
        <v>341</v>
      </c>
      <c r="K9" s="32" t="s">
        <v>341</v>
      </c>
      <c r="L9" s="32" t="s">
        <v>341</v>
      </c>
      <c r="M9" s="32" t="s">
        <v>341</v>
      </c>
      <c r="N9" s="32" t="s">
        <v>341</v>
      </c>
      <c r="O9" s="32" t="s">
        <v>341</v>
      </c>
      <c r="P9" s="32" t="s">
        <v>341</v>
      </c>
      <c r="Q9" s="34"/>
      <c r="R9" s="34"/>
      <c r="S9" s="34"/>
      <c r="T9" s="34"/>
      <c r="U9" s="35"/>
      <c r="V9" s="32"/>
      <c r="W9" s="32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37" t="s">
        <v>26</v>
      </c>
      <c r="B10" s="36" t="s">
        <v>9</v>
      </c>
      <c r="C10" s="36" t="s">
        <v>27</v>
      </c>
      <c r="D10" s="36" t="s">
        <v>28</v>
      </c>
      <c r="E10" s="36"/>
      <c r="F10" s="36" t="s">
        <v>12</v>
      </c>
      <c r="G10" s="36" t="s">
        <v>13</v>
      </c>
      <c r="H10" s="36" t="s">
        <v>14</v>
      </c>
      <c r="I10" s="36" t="s">
        <v>341</v>
      </c>
      <c r="J10" s="36" t="s">
        <v>341</v>
      </c>
      <c r="K10" s="36" t="s">
        <v>341</v>
      </c>
      <c r="L10" s="36" t="s">
        <v>341</v>
      </c>
      <c r="M10" s="36" t="s">
        <v>341</v>
      </c>
      <c r="N10" s="36" t="s">
        <v>341</v>
      </c>
      <c r="O10" s="36" t="s">
        <v>341</v>
      </c>
      <c r="P10" s="36" t="s">
        <v>341</v>
      </c>
      <c r="Q10" s="38"/>
      <c r="R10" s="38"/>
      <c r="S10" s="38"/>
      <c r="T10" s="38"/>
      <c r="U10" s="39"/>
      <c r="V10" s="36"/>
      <c r="W10" s="36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33" t="s">
        <v>29</v>
      </c>
      <c r="B11" s="32" t="s">
        <v>9</v>
      </c>
      <c r="C11" s="32" t="s">
        <v>16</v>
      </c>
      <c r="D11" s="32" t="s">
        <v>30</v>
      </c>
      <c r="E11" s="32"/>
      <c r="F11" s="32" t="s">
        <v>12</v>
      </c>
      <c r="G11" s="32" t="s">
        <v>13</v>
      </c>
      <c r="H11" s="32" t="s">
        <v>14</v>
      </c>
      <c r="I11" s="32" t="s">
        <v>341</v>
      </c>
      <c r="J11" s="32" t="s">
        <v>341</v>
      </c>
      <c r="K11" s="32" t="s">
        <v>341</v>
      </c>
      <c r="L11" s="32" t="s">
        <v>341</v>
      </c>
      <c r="M11" s="32" t="s">
        <v>341</v>
      </c>
      <c r="N11" s="32" t="s">
        <v>341</v>
      </c>
      <c r="O11" s="32" t="s">
        <v>341</v>
      </c>
      <c r="P11" s="32" t="s">
        <v>341</v>
      </c>
      <c r="Q11" s="34"/>
      <c r="R11" s="34"/>
      <c r="S11" s="34"/>
      <c r="T11" s="34"/>
      <c r="U11" s="35"/>
      <c r="V11" s="32"/>
      <c r="W11" s="32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37" t="s">
        <v>31</v>
      </c>
      <c r="B12" s="36" t="s">
        <v>9</v>
      </c>
      <c r="C12" s="36" t="s">
        <v>24</v>
      </c>
      <c r="D12" s="36" t="s">
        <v>32</v>
      </c>
      <c r="E12" s="36"/>
      <c r="F12" s="36" t="s">
        <v>12</v>
      </c>
      <c r="G12" s="36" t="s">
        <v>13</v>
      </c>
      <c r="H12" s="36" t="s">
        <v>14</v>
      </c>
      <c r="I12" s="36" t="s">
        <v>341</v>
      </c>
      <c r="J12" s="36" t="s">
        <v>341</v>
      </c>
      <c r="K12" s="36" t="s">
        <v>341</v>
      </c>
      <c r="L12" s="36" t="s">
        <v>341</v>
      </c>
      <c r="M12" s="36" t="s">
        <v>341</v>
      </c>
      <c r="N12" s="36" t="s">
        <v>341</v>
      </c>
      <c r="O12" s="36" t="s">
        <v>341</v>
      </c>
      <c r="P12" s="36" t="s">
        <v>341</v>
      </c>
      <c r="Q12" s="38"/>
      <c r="R12" s="38"/>
      <c r="S12" s="38"/>
      <c r="T12" s="38"/>
      <c r="U12" s="39"/>
      <c r="V12" s="36"/>
      <c r="W12" s="36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33" t="s">
        <v>33</v>
      </c>
      <c r="B13" s="32" t="s">
        <v>9</v>
      </c>
      <c r="C13" s="32" t="s">
        <v>24</v>
      </c>
      <c r="D13" s="32" t="s">
        <v>34</v>
      </c>
      <c r="E13" s="32"/>
      <c r="F13" s="32" t="s">
        <v>12</v>
      </c>
      <c r="G13" s="32" t="s">
        <v>13</v>
      </c>
      <c r="H13" s="32" t="s">
        <v>14</v>
      </c>
      <c r="I13" s="32" t="s">
        <v>341</v>
      </c>
      <c r="J13" s="32" t="s">
        <v>341</v>
      </c>
      <c r="K13" s="32" t="s">
        <v>341</v>
      </c>
      <c r="L13" s="32" t="s">
        <v>341</v>
      </c>
      <c r="M13" s="32" t="s">
        <v>341</v>
      </c>
      <c r="N13" s="32" t="s">
        <v>341</v>
      </c>
      <c r="O13" s="32" t="s">
        <v>341</v>
      </c>
      <c r="P13" s="32" t="s">
        <v>341</v>
      </c>
      <c r="Q13" s="34"/>
      <c r="R13" s="34"/>
      <c r="S13" s="34"/>
      <c r="T13" s="34"/>
      <c r="U13" s="35"/>
      <c r="V13" s="32"/>
      <c r="W13" s="32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37" t="s">
        <v>35</v>
      </c>
      <c r="B14" s="36" t="s">
        <v>9</v>
      </c>
      <c r="C14" s="36" t="s">
        <v>24</v>
      </c>
      <c r="D14" s="36" t="s">
        <v>36</v>
      </c>
      <c r="E14" s="36"/>
      <c r="F14" s="36" t="s">
        <v>37</v>
      </c>
      <c r="G14" s="36" t="s">
        <v>13</v>
      </c>
      <c r="H14" s="36" t="s">
        <v>14</v>
      </c>
      <c r="I14" s="36" t="s">
        <v>341</v>
      </c>
      <c r="J14" s="36" t="s">
        <v>341</v>
      </c>
      <c r="K14" s="36" t="s">
        <v>341</v>
      </c>
      <c r="L14" s="36" t="s">
        <v>341</v>
      </c>
      <c r="M14" s="36" t="s">
        <v>341</v>
      </c>
      <c r="N14" s="36" t="s">
        <v>341</v>
      </c>
      <c r="O14" s="36" t="s">
        <v>341</v>
      </c>
      <c r="P14" s="36" t="s">
        <v>341</v>
      </c>
      <c r="Q14" s="38"/>
      <c r="R14" s="38"/>
      <c r="S14" s="38"/>
      <c r="T14" s="38"/>
      <c r="U14" s="39"/>
      <c r="V14" s="36"/>
      <c r="W14" s="36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33" t="s">
        <v>38</v>
      </c>
      <c r="B15" s="32" t="s">
        <v>9</v>
      </c>
      <c r="C15" s="32" t="s">
        <v>16</v>
      </c>
      <c r="D15" s="32" t="s">
        <v>39</v>
      </c>
      <c r="E15" s="32"/>
      <c r="F15" s="32" t="s">
        <v>37</v>
      </c>
      <c r="G15" s="32" t="s">
        <v>13</v>
      </c>
      <c r="H15" s="32" t="s">
        <v>14</v>
      </c>
      <c r="I15" s="32" t="s">
        <v>341</v>
      </c>
      <c r="J15" s="32" t="s">
        <v>341</v>
      </c>
      <c r="K15" s="32" t="s">
        <v>341</v>
      </c>
      <c r="L15" s="32" t="s">
        <v>341</v>
      </c>
      <c r="M15" s="32" t="s">
        <v>341</v>
      </c>
      <c r="N15" s="32" t="s">
        <v>341</v>
      </c>
      <c r="O15" s="32" t="s">
        <v>341</v>
      </c>
      <c r="P15" s="32" t="s">
        <v>341</v>
      </c>
      <c r="Q15" s="34"/>
      <c r="R15" s="34"/>
      <c r="S15" s="34"/>
      <c r="T15" s="34"/>
      <c r="U15" s="35"/>
      <c r="V15" s="32"/>
      <c r="W15" s="32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37" t="s">
        <v>40</v>
      </c>
      <c r="B16" s="36" t="s">
        <v>9</v>
      </c>
      <c r="C16" s="36" t="s">
        <v>24</v>
      </c>
      <c r="D16" s="36">
        <v>17608570000161</v>
      </c>
      <c r="E16" s="36"/>
      <c r="F16" s="36" t="s">
        <v>12</v>
      </c>
      <c r="G16" s="36" t="s">
        <v>41</v>
      </c>
      <c r="H16" s="36" t="s">
        <v>5</v>
      </c>
      <c r="I16" s="36" t="s">
        <v>341</v>
      </c>
      <c r="J16" s="36" t="s">
        <v>341</v>
      </c>
      <c r="K16" s="36" t="s">
        <v>341</v>
      </c>
      <c r="L16" s="36" t="s">
        <v>341</v>
      </c>
      <c r="M16" s="36" t="s">
        <v>341</v>
      </c>
      <c r="N16" s="36" t="s">
        <v>341</v>
      </c>
      <c r="O16" s="36" t="s">
        <v>341</v>
      </c>
      <c r="P16" s="36" t="s">
        <v>341</v>
      </c>
      <c r="Q16" s="38"/>
      <c r="R16" s="38"/>
      <c r="S16" s="38"/>
      <c r="T16" s="38"/>
      <c r="U16" s="39"/>
      <c r="V16" s="36"/>
      <c r="W16" s="36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33" t="s">
        <v>42</v>
      </c>
      <c r="B17" s="32" t="s">
        <v>9</v>
      </c>
      <c r="C17" s="32" t="s">
        <v>24</v>
      </c>
      <c r="D17" s="32" t="s">
        <v>43</v>
      </c>
      <c r="E17" s="32"/>
      <c r="F17" s="32" t="s">
        <v>12</v>
      </c>
      <c r="G17" s="32" t="s">
        <v>41</v>
      </c>
      <c r="H17" s="32" t="s">
        <v>5</v>
      </c>
      <c r="I17" s="32"/>
      <c r="J17" s="32"/>
      <c r="K17" s="32"/>
      <c r="L17" s="32"/>
      <c r="M17" s="32" t="s">
        <v>372</v>
      </c>
      <c r="N17" s="32"/>
      <c r="O17" s="32" t="s">
        <v>342</v>
      </c>
      <c r="P17" s="32" t="s">
        <v>343</v>
      </c>
      <c r="Q17" s="34"/>
      <c r="R17" s="34"/>
      <c r="S17" s="34"/>
      <c r="T17" s="34"/>
      <c r="U17" s="35"/>
      <c r="V17" s="32"/>
      <c r="W17" s="32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37" t="s">
        <v>44</v>
      </c>
      <c r="B18" s="36" t="s">
        <v>45</v>
      </c>
      <c r="C18" s="36" t="s">
        <v>46</v>
      </c>
      <c r="D18" s="36" t="s">
        <v>47</v>
      </c>
      <c r="E18" s="36"/>
      <c r="F18" s="36" t="s">
        <v>48</v>
      </c>
      <c r="G18" s="36" t="s">
        <v>13</v>
      </c>
      <c r="H18" s="36" t="s">
        <v>49</v>
      </c>
      <c r="I18" s="36"/>
      <c r="J18" s="36"/>
      <c r="K18" s="36"/>
      <c r="L18" s="36"/>
      <c r="M18" s="36" t="s">
        <v>373</v>
      </c>
      <c r="N18" s="36"/>
      <c r="O18" s="36" t="s">
        <v>344</v>
      </c>
      <c r="P18" s="36"/>
      <c r="Q18" s="38"/>
      <c r="R18" s="38"/>
      <c r="S18" s="38"/>
      <c r="T18" s="38"/>
      <c r="U18" s="39"/>
      <c r="V18" s="36"/>
      <c r="W18" s="36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33" t="s">
        <v>50</v>
      </c>
      <c r="B19" s="32" t="s">
        <v>45</v>
      </c>
      <c r="C19" s="32" t="s">
        <v>46</v>
      </c>
      <c r="D19" s="32" t="s">
        <v>51</v>
      </c>
      <c r="E19" s="32"/>
      <c r="F19" s="32" t="s">
        <v>48</v>
      </c>
      <c r="G19" s="32" t="s">
        <v>13</v>
      </c>
      <c r="H19" s="32" t="s">
        <v>49</v>
      </c>
      <c r="I19" s="32"/>
      <c r="J19" s="32"/>
      <c r="K19" s="32"/>
      <c r="L19" s="32"/>
      <c r="M19" s="32" t="s">
        <v>373</v>
      </c>
      <c r="N19" s="32"/>
      <c r="O19" s="32" t="s">
        <v>344</v>
      </c>
      <c r="P19" s="32"/>
      <c r="Q19" s="34"/>
      <c r="R19" s="34"/>
      <c r="S19" s="34"/>
      <c r="T19" s="34"/>
      <c r="U19" s="35"/>
      <c r="V19" s="32"/>
      <c r="W19" s="32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37" t="s">
        <v>52</v>
      </c>
      <c r="B20" s="36" t="s">
        <v>45</v>
      </c>
      <c r="C20" s="36" t="s">
        <v>46</v>
      </c>
      <c r="D20" s="36" t="s">
        <v>53</v>
      </c>
      <c r="E20" s="36"/>
      <c r="F20" s="36" t="s">
        <v>48</v>
      </c>
      <c r="G20" s="36" t="s">
        <v>13</v>
      </c>
      <c r="H20" s="36" t="s">
        <v>14</v>
      </c>
      <c r="I20" s="36"/>
      <c r="J20" s="36"/>
      <c r="K20" s="36"/>
      <c r="L20" s="36"/>
      <c r="M20" s="36" t="s">
        <v>373</v>
      </c>
      <c r="N20" s="36"/>
      <c r="O20" s="36" t="s">
        <v>344</v>
      </c>
      <c r="P20" s="36"/>
      <c r="Q20" s="38"/>
      <c r="R20" s="38"/>
      <c r="S20" s="38"/>
      <c r="T20" s="38"/>
      <c r="U20" s="39"/>
      <c r="V20" s="36"/>
      <c r="W20" s="36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33" t="s">
        <v>54</v>
      </c>
      <c r="B21" s="32" t="s">
        <v>55</v>
      </c>
      <c r="C21" s="32" t="s">
        <v>56</v>
      </c>
      <c r="D21" s="32">
        <v>57123358000129</v>
      </c>
      <c r="E21" s="32"/>
      <c r="F21" s="32" t="s">
        <v>57</v>
      </c>
      <c r="G21" s="32" t="s">
        <v>4</v>
      </c>
      <c r="H21" s="32" t="s">
        <v>14</v>
      </c>
      <c r="I21" s="32"/>
      <c r="J21" s="32"/>
      <c r="K21" s="32"/>
      <c r="L21" s="32"/>
      <c r="M21" s="32" t="s">
        <v>372</v>
      </c>
      <c r="N21" s="32"/>
      <c r="O21" s="32" t="s">
        <v>346</v>
      </c>
      <c r="P21" s="32"/>
      <c r="Q21" s="34"/>
      <c r="R21" s="34"/>
      <c r="S21" s="34"/>
      <c r="T21" s="34"/>
      <c r="U21" s="35"/>
      <c r="V21" s="32"/>
      <c r="W21" s="32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37" t="s">
        <v>58</v>
      </c>
      <c r="B22" s="36" t="s">
        <v>45</v>
      </c>
      <c r="C22" s="36" t="s">
        <v>59</v>
      </c>
      <c r="D22" s="36">
        <v>40870380000130</v>
      </c>
      <c r="E22" s="36"/>
      <c r="F22" s="36" t="s">
        <v>48</v>
      </c>
      <c r="G22" s="36" t="s">
        <v>4</v>
      </c>
      <c r="H22" s="36" t="s">
        <v>14</v>
      </c>
      <c r="I22" s="36"/>
      <c r="J22" s="36"/>
      <c r="K22" s="36"/>
      <c r="L22" s="36"/>
      <c r="M22" s="36" t="s">
        <v>374</v>
      </c>
      <c r="N22" s="36"/>
      <c r="O22" s="36" t="s">
        <v>345</v>
      </c>
      <c r="P22" s="36"/>
      <c r="Q22" s="38"/>
      <c r="R22" s="38"/>
      <c r="S22" s="38"/>
      <c r="T22" s="38"/>
      <c r="U22" s="39"/>
      <c r="V22" s="36"/>
      <c r="W22" s="36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33" t="s">
        <v>60</v>
      </c>
      <c r="B23" s="32" t="s">
        <v>61</v>
      </c>
      <c r="C23" s="32" t="s">
        <v>62</v>
      </c>
      <c r="D23" s="32">
        <v>26837949000134</v>
      </c>
      <c r="E23" s="32"/>
      <c r="F23" s="32" t="s">
        <v>63</v>
      </c>
      <c r="G23" s="32" t="s">
        <v>41</v>
      </c>
      <c r="H23" s="32" t="s">
        <v>5</v>
      </c>
      <c r="I23" s="32"/>
      <c r="J23" s="32"/>
      <c r="K23" s="32"/>
      <c r="L23" s="32"/>
      <c r="M23" s="32" t="s">
        <v>375</v>
      </c>
      <c r="N23" s="32"/>
      <c r="O23" s="32"/>
      <c r="P23" s="32"/>
      <c r="Q23" s="34"/>
      <c r="R23" s="34"/>
      <c r="S23" s="34"/>
      <c r="T23" s="34"/>
      <c r="U23" s="35"/>
      <c r="V23" s="32"/>
      <c r="W23" s="32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37" t="s">
        <v>64</v>
      </c>
      <c r="B24" s="36" t="s">
        <v>65</v>
      </c>
      <c r="C24" s="36" t="s">
        <v>62</v>
      </c>
      <c r="D24" s="36">
        <v>12923820000134</v>
      </c>
      <c r="E24" s="36"/>
      <c r="F24" s="36" t="s">
        <v>66</v>
      </c>
      <c r="G24" s="36" t="s">
        <v>13</v>
      </c>
      <c r="H24" s="36" t="s">
        <v>49</v>
      </c>
      <c r="I24" s="36"/>
      <c r="J24" s="36"/>
      <c r="K24" s="36"/>
      <c r="L24" s="36"/>
      <c r="M24" s="36" t="s">
        <v>373</v>
      </c>
      <c r="N24" s="36"/>
      <c r="O24" s="36" t="s">
        <v>344</v>
      </c>
      <c r="P24" s="36"/>
      <c r="Q24" s="38"/>
      <c r="R24" s="38"/>
      <c r="S24" s="38"/>
      <c r="T24" s="38"/>
      <c r="U24" s="39"/>
      <c r="V24" s="36"/>
      <c r="W24" s="36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33" t="s">
        <v>67</v>
      </c>
      <c r="B25" s="32" t="s">
        <v>68</v>
      </c>
      <c r="C25" s="32" t="s">
        <v>69</v>
      </c>
      <c r="D25" s="32" t="s">
        <v>70</v>
      </c>
      <c r="E25" s="32"/>
      <c r="F25" s="32" t="s">
        <v>71</v>
      </c>
      <c r="G25" s="32" t="s">
        <v>4</v>
      </c>
      <c r="H25" s="32" t="s">
        <v>49</v>
      </c>
      <c r="I25" s="32"/>
      <c r="J25" s="32"/>
      <c r="K25" s="32"/>
      <c r="L25" s="32"/>
      <c r="M25" s="32" t="s">
        <v>375</v>
      </c>
      <c r="N25" s="32"/>
      <c r="O25" s="32" t="s">
        <v>346</v>
      </c>
      <c r="P25" s="32"/>
      <c r="Q25" s="34"/>
      <c r="R25" s="34"/>
      <c r="S25" s="34"/>
      <c r="T25" s="34"/>
      <c r="U25" s="35"/>
      <c r="V25" s="32"/>
      <c r="W25" s="32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37" t="s">
        <v>72</v>
      </c>
      <c r="B26" s="36" t="s">
        <v>9</v>
      </c>
      <c r="C26" s="36" t="s">
        <v>24</v>
      </c>
      <c r="D26" s="36">
        <v>41597807000130</v>
      </c>
      <c r="E26" s="36"/>
      <c r="F26" s="36" t="s">
        <v>73</v>
      </c>
      <c r="G26" s="36" t="s">
        <v>4</v>
      </c>
      <c r="H26" s="36" t="s">
        <v>5</v>
      </c>
      <c r="I26" s="36"/>
      <c r="J26" s="36"/>
      <c r="K26" s="36"/>
      <c r="L26" s="36"/>
      <c r="M26" s="36" t="s">
        <v>375</v>
      </c>
      <c r="N26" s="36"/>
      <c r="O26" s="36" t="s">
        <v>344</v>
      </c>
      <c r="P26" s="36"/>
      <c r="Q26" s="38"/>
      <c r="R26" s="38"/>
      <c r="S26" s="38"/>
      <c r="T26" s="38"/>
      <c r="U26" s="39"/>
      <c r="V26" s="36"/>
      <c r="W26" s="36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33" t="s">
        <v>74</v>
      </c>
      <c r="B27" s="32" t="s">
        <v>75</v>
      </c>
      <c r="C27" s="32" t="s">
        <v>62</v>
      </c>
      <c r="D27" s="32">
        <v>21430001000146</v>
      </c>
      <c r="E27" s="32"/>
      <c r="F27" s="32" t="s">
        <v>76</v>
      </c>
      <c r="G27" s="32" t="s">
        <v>4</v>
      </c>
      <c r="H27" s="32" t="s">
        <v>5</v>
      </c>
      <c r="I27" s="32"/>
      <c r="J27" s="32"/>
      <c r="K27" s="32"/>
      <c r="L27" s="32"/>
      <c r="M27" s="32" t="s">
        <v>373</v>
      </c>
      <c r="N27" s="32"/>
      <c r="O27" s="32" t="s">
        <v>344</v>
      </c>
      <c r="P27" s="32"/>
      <c r="Q27" s="34"/>
      <c r="R27" s="34"/>
      <c r="S27" s="34"/>
      <c r="T27" s="34"/>
      <c r="U27" s="35"/>
      <c r="V27" s="32"/>
      <c r="W27" s="32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37" t="s">
        <v>77</v>
      </c>
      <c r="B28" s="36" t="s">
        <v>78</v>
      </c>
      <c r="C28" s="36" t="s">
        <v>79</v>
      </c>
      <c r="D28" s="36" t="s">
        <v>80</v>
      </c>
      <c r="E28" s="36"/>
      <c r="F28" s="36" t="s">
        <v>81</v>
      </c>
      <c r="G28" s="36" t="s">
        <v>13</v>
      </c>
      <c r="H28" s="36" t="s">
        <v>49</v>
      </c>
      <c r="I28" s="36"/>
      <c r="J28" s="36"/>
      <c r="K28" s="36"/>
      <c r="L28" s="36"/>
      <c r="M28" s="36" t="s">
        <v>373</v>
      </c>
      <c r="N28" s="36"/>
      <c r="O28" s="36" t="s">
        <v>344</v>
      </c>
      <c r="P28" s="36"/>
      <c r="Q28" s="38"/>
      <c r="R28" s="38"/>
      <c r="S28" s="38"/>
      <c r="T28" s="38"/>
      <c r="U28" s="39"/>
      <c r="V28" s="36"/>
      <c r="W28" s="36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33" t="s">
        <v>82</v>
      </c>
      <c r="B29" s="32" t="s">
        <v>78</v>
      </c>
      <c r="C29" s="32" t="s">
        <v>83</v>
      </c>
      <c r="D29" s="32">
        <v>62220305000166</v>
      </c>
      <c r="E29" s="32"/>
      <c r="F29" s="32" t="s">
        <v>81</v>
      </c>
      <c r="G29" s="32" t="s">
        <v>4</v>
      </c>
      <c r="H29" s="32" t="s">
        <v>5</v>
      </c>
      <c r="I29" s="32"/>
      <c r="J29" s="32"/>
      <c r="K29" s="32"/>
      <c r="L29" s="32"/>
      <c r="M29" s="32" t="s">
        <v>374</v>
      </c>
      <c r="N29" s="32"/>
      <c r="O29" s="32" t="s">
        <v>346</v>
      </c>
      <c r="P29" s="32"/>
      <c r="Q29" s="34"/>
      <c r="R29" s="34"/>
      <c r="S29" s="34"/>
      <c r="T29" s="34"/>
      <c r="U29" s="35"/>
      <c r="V29" s="32"/>
      <c r="W29" s="32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37" t="s">
        <v>84</v>
      </c>
      <c r="B30" s="36" t="s">
        <v>85</v>
      </c>
      <c r="C30" s="36" t="s">
        <v>46</v>
      </c>
      <c r="D30" s="36">
        <v>10712858000132</v>
      </c>
      <c r="E30" s="36"/>
      <c r="F30" s="36" t="s">
        <v>86</v>
      </c>
      <c r="G30" s="36" t="s">
        <v>13</v>
      </c>
      <c r="H30" s="36" t="s">
        <v>5</v>
      </c>
      <c r="I30" s="36"/>
      <c r="J30" s="36"/>
      <c r="K30" s="36"/>
      <c r="L30" s="36"/>
      <c r="M30" s="36" t="s">
        <v>373</v>
      </c>
      <c r="N30" s="36"/>
      <c r="O30" s="36" t="s">
        <v>346</v>
      </c>
      <c r="P30" s="36"/>
      <c r="Q30" s="38"/>
      <c r="R30" s="38"/>
      <c r="S30" s="38"/>
      <c r="T30" s="38"/>
      <c r="U30" s="39"/>
      <c r="V30" s="36"/>
      <c r="W30" s="36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33" t="s">
        <v>87</v>
      </c>
      <c r="B31" s="32" t="s">
        <v>61</v>
      </c>
      <c r="C31" s="32" t="s">
        <v>62</v>
      </c>
      <c r="D31" s="32">
        <v>53665434000177</v>
      </c>
      <c r="E31" s="32"/>
      <c r="F31" s="32" t="s">
        <v>63</v>
      </c>
      <c r="G31" s="32" t="s">
        <v>4</v>
      </c>
      <c r="H31" s="32" t="s">
        <v>5</v>
      </c>
      <c r="I31" s="32"/>
      <c r="J31" s="32"/>
      <c r="K31" s="32"/>
      <c r="L31" s="32"/>
      <c r="M31" s="32" t="s">
        <v>375</v>
      </c>
      <c r="N31" s="32"/>
      <c r="O31" s="32" t="s">
        <v>346</v>
      </c>
      <c r="P31" s="32"/>
      <c r="Q31" s="34"/>
      <c r="R31" s="34"/>
      <c r="S31" s="34"/>
      <c r="T31" s="34"/>
      <c r="U31" s="35"/>
      <c r="V31" s="32"/>
      <c r="W31" s="32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37" t="s">
        <v>88</v>
      </c>
      <c r="B32" s="36" t="s">
        <v>61</v>
      </c>
      <c r="C32" s="36" t="s">
        <v>62</v>
      </c>
      <c r="D32" s="36">
        <v>53665515000177</v>
      </c>
      <c r="E32" s="36"/>
      <c r="F32" s="36" t="s">
        <v>63</v>
      </c>
      <c r="G32" s="36" t="s">
        <v>4</v>
      </c>
      <c r="H32" s="36" t="s">
        <v>5</v>
      </c>
      <c r="I32" s="36"/>
      <c r="J32" s="36"/>
      <c r="K32" s="36"/>
      <c r="L32" s="36"/>
      <c r="M32" s="36" t="s">
        <v>375</v>
      </c>
      <c r="N32" s="36"/>
      <c r="O32" s="36" t="s">
        <v>346</v>
      </c>
      <c r="P32" s="36"/>
      <c r="Q32" s="38"/>
      <c r="R32" s="38"/>
      <c r="S32" s="38"/>
      <c r="T32" s="38"/>
      <c r="U32" s="39"/>
      <c r="V32" s="36"/>
      <c r="W32" s="36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33" t="s">
        <v>89</v>
      </c>
      <c r="B33" s="32" t="s">
        <v>61</v>
      </c>
      <c r="C33" s="32" t="s">
        <v>62</v>
      </c>
      <c r="D33" s="32">
        <v>53666225000148</v>
      </c>
      <c r="E33" s="32"/>
      <c r="F33" s="32" t="s">
        <v>63</v>
      </c>
      <c r="G33" s="32" t="s">
        <v>4</v>
      </c>
      <c r="H33" s="32" t="s">
        <v>5</v>
      </c>
      <c r="I33" s="32"/>
      <c r="J33" s="32"/>
      <c r="K33" s="32"/>
      <c r="L33" s="32"/>
      <c r="M33" s="32" t="s">
        <v>375</v>
      </c>
      <c r="N33" s="32"/>
      <c r="O33" s="32" t="s">
        <v>346</v>
      </c>
      <c r="P33" s="32"/>
      <c r="Q33" s="34"/>
      <c r="R33" s="34"/>
      <c r="S33" s="34"/>
      <c r="T33" s="34"/>
      <c r="U33" s="35"/>
      <c r="V33" s="32"/>
      <c r="W33" s="32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37" t="s">
        <v>90</v>
      </c>
      <c r="B34" s="36" t="s">
        <v>61</v>
      </c>
      <c r="C34" s="36" t="s">
        <v>62</v>
      </c>
      <c r="D34" s="36">
        <v>17845752000156</v>
      </c>
      <c r="E34" s="36"/>
      <c r="F34" s="36" t="s">
        <v>63</v>
      </c>
      <c r="G34" s="36" t="s">
        <v>41</v>
      </c>
      <c r="H34" s="36" t="s">
        <v>5</v>
      </c>
      <c r="I34" s="36"/>
      <c r="J34" s="36"/>
      <c r="K34" s="36"/>
      <c r="L34" s="36"/>
      <c r="M34" s="36" t="s">
        <v>376</v>
      </c>
      <c r="N34" s="36"/>
      <c r="O34" s="36" t="s">
        <v>346</v>
      </c>
      <c r="P34" s="36"/>
      <c r="Q34" s="38"/>
      <c r="R34" s="38"/>
      <c r="S34" s="38"/>
      <c r="T34" s="38"/>
      <c r="U34" s="39"/>
      <c r="V34" s="36"/>
      <c r="W34" s="36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33" t="s">
        <v>91</v>
      </c>
      <c r="B35" s="32" t="s">
        <v>61</v>
      </c>
      <c r="C35" s="32" t="s">
        <v>62</v>
      </c>
      <c r="D35" s="32">
        <v>17813257000165</v>
      </c>
      <c r="E35" s="32"/>
      <c r="F35" s="32" t="s">
        <v>63</v>
      </c>
      <c r="G35" s="32" t="s">
        <v>13</v>
      </c>
      <c r="H35" s="32" t="s">
        <v>5</v>
      </c>
      <c r="I35" s="32"/>
      <c r="J35" s="32"/>
      <c r="K35" s="32"/>
      <c r="L35" s="32"/>
      <c r="M35" s="32" t="s">
        <v>377</v>
      </c>
      <c r="N35" s="32"/>
      <c r="O35" s="32" t="s">
        <v>346</v>
      </c>
      <c r="P35" s="32"/>
      <c r="Q35" s="34"/>
      <c r="R35" s="34"/>
      <c r="S35" s="34"/>
      <c r="T35" s="34"/>
      <c r="U35" s="35"/>
      <c r="V35" s="32"/>
      <c r="W35" s="32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37" t="s">
        <v>92</v>
      </c>
      <c r="B36" s="36" t="s">
        <v>1</v>
      </c>
      <c r="C36" s="36" t="s">
        <v>93</v>
      </c>
      <c r="D36" s="36" t="s">
        <v>94</v>
      </c>
      <c r="E36" s="36"/>
      <c r="F36" s="36" t="s">
        <v>3</v>
      </c>
      <c r="G36" s="36" t="s">
        <v>4</v>
      </c>
      <c r="H36" s="36" t="s">
        <v>5</v>
      </c>
      <c r="I36" s="36"/>
      <c r="J36" s="36"/>
      <c r="K36" s="36"/>
      <c r="L36" s="36"/>
      <c r="M36" s="36" t="s">
        <v>373</v>
      </c>
      <c r="N36" s="36"/>
      <c r="O36" s="36" t="s">
        <v>346</v>
      </c>
      <c r="P36" s="36"/>
      <c r="Q36" s="38"/>
      <c r="R36" s="38"/>
      <c r="S36" s="38"/>
      <c r="T36" s="38"/>
      <c r="U36" s="39"/>
      <c r="V36" s="36"/>
      <c r="W36" s="36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33" t="s">
        <v>95</v>
      </c>
      <c r="B37" s="32" t="s">
        <v>96</v>
      </c>
      <c r="C37" s="32" t="s">
        <v>97</v>
      </c>
      <c r="D37" s="32" t="s">
        <v>98</v>
      </c>
      <c r="E37" s="32"/>
      <c r="F37" s="32" t="s">
        <v>99</v>
      </c>
      <c r="G37" s="32" t="s">
        <v>41</v>
      </c>
      <c r="H37" s="32" t="s">
        <v>14</v>
      </c>
      <c r="I37" s="32"/>
      <c r="J37" s="32"/>
      <c r="K37" s="32"/>
      <c r="L37" s="32"/>
      <c r="M37" s="32" t="s">
        <v>379</v>
      </c>
      <c r="N37" s="32" t="s">
        <v>358</v>
      </c>
      <c r="O37" s="32" t="s">
        <v>346</v>
      </c>
      <c r="P37" s="32"/>
      <c r="Q37" s="34"/>
      <c r="R37" s="34"/>
      <c r="S37" s="34"/>
      <c r="T37" s="34"/>
      <c r="U37" s="35"/>
      <c r="V37" s="32"/>
      <c r="W37" s="32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37" t="s">
        <v>95</v>
      </c>
      <c r="B38" s="36" t="s">
        <v>96</v>
      </c>
      <c r="C38" s="36" t="s">
        <v>97</v>
      </c>
      <c r="D38" s="36" t="s">
        <v>100</v>
      </c>
      <c r="E38" s="36"/>
      <c r="F38" s="36" t="s">
        <v>99</v>
      </c>
      <c r="G38" s="36" t="s">
        <v>13</v>
      </c>
      <c r="H38" s="36" t="s">
        <v>14</v>
      </c>
      <c r="I38" s="36"/>
      <c r="J38" s="36"/>
      <c r="K38" s="36"/>
      <c r="L38" s="36"/>
      <c r="M38" s="36" t="s">
        <v>378</v>
      </c>
      <c r="N38" s="36" t="s">
        <v>358</v>
      </c>
      <c r="O38" s="36" t="s">
        <v>346</v>
      </c>
      <c r="P38" s="36"/>
      <c r="Q38" s="38"/>
      <c r="R38" s="38"/>
      <c r="S38" s="38"/>
      <c r="T38" s="38"/>
      <c r="U38" s="39"/>
      <c r="V38" s="36"/>
      <c r="W38" s="36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33" t="s">
        <v>95</v>
      </c>
      <c r="B39" s="32" t="s">
        <v>96</v>
      </c>
      <c r="C39" s="32" t="s">
        <v>97</v>
      </c>
      <c r="D39" s="32" t="s">
        <v>101</v>
      </c>
      <c r="E39" s="32"/>
      <c r="F39" s="32" t="s">
        <v>99</v>
      </c>
      <c r="G39" s="32" t="s">
        <v>13</v>
      </c>
      <c r="H39" s="32" t="s">
        <v>14</v>
      </c>
      <c r="I39" s="32"/>
      <c r="J39" s="32"/>
      <c r="K39" s="32"/>
      <c r="L39" s="32"/>
      <c r="M39" s="32" t="s">
        <v>378</v>
      </c>
      <c r="N39" s="32" t="s">
        <v>358</v>
      </c>
      <c r="O39" s="32" t="s">
        <v>346</v>
      </c>
      <c r="P39" s="32"/>
      <c r="Q39" s="34"/>
      <c r="R39" s="34"/>
      <c r="S39" s="34"/>
      <c r="T39" s="34"/>
      <c r="U39" s="35"/>
      <c r="V39" s="32"/>
      <c r="W39" s="32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37" t="s">
        <v>95</v>
      </c>
      <c r="B40" s="36" t="s">
        <v>96</v>
      </c>
      <c r="C40" s="36" t="s">
        <v>97</v>
      </c>
      <c r="D40" s="36" t="s">
        <v>102</v>
      </c>
      <c r="E40" s="36"/>
      <c r="F40" s="36" t="s">
        <v>99</v>
      </c>
      <c r="G40" s="36" t="s">
        <v>13</v>
      </c>
      <c r="H40" s="36" t="s">
        <v>14</v>
      </c>
      <c r="I40" s="36"/>
      <c r="J40" s="36"/>
      <c r="K40" s="36"/>
      <c r="L40" s="36"/>
      <c r="M40" s="36" t="s">
        <v>378</v>
      </c>
      <c r="N40" s="36" t="s">
        <v>358</v>
      </c>
      <c r="O40" s="36" t="s">
        <v>346</v>
      </c>
      <c r="P40" s="36"/>
      <c r="Q40" s="38"/>
      <c r="R40" s="38"/>
      <c r="S40" s="38"/>
      <c r="T40" s="38"/>
      <c r="U40" s="39"/>
      <c r="V40" s="36"/>
      <c r="W40" s="36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33" t="s">
        <v>95</v>
      </c>
      <c r="B41" s="32" t="s">
        <v>96</v>
      </c>
      <c r="C41" s="32" t="s">
        <v>97</v>
      </c>
      <c r="D41" s="32" t="s">
        <v>103</v>
      </c>
      <c r="E41" s="32"/>
      <c r="F41" s="32" t="s">
        <v>99</v>
      </c>
      <c r="G41" s="32" t="s">
        <v>13</v>
      </c>
      <c r="H41" s="32" t="s">
        <v>14</v>
      </c>
      <c r="I41" s="32"/>
      <c r="J41" s="32"/>
      <c r="K41" s="32"/>
      <c r="L41" s="32"/>
      <c r="M41" s="32" t="s">
        <v>378</v>
      </c>
      <c r="N41" s="32" t="s">
        <v>358</v>
      </c>
      <c r="O41" s="32" t="s">
        <v>346</v>
      </c>
      <c r="P41" s="32"/>
      <c r="Q41" s="34"/>
      <c r="R41" s="34"/>
      <c r="S41" s="34"/>
      <c r="T41" s="34"/>
      <c r="U41" s="35"/>
      <c r="V41" s="32"/>
      <c r="W41" s="32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37" t="s">
        <v>95</v>
      </c>
      <c r="B42" s="36" t="s">
        <v>96</v>
      </c>
      <c r="C42" s="36" t="s">
        <v>104</v>
      </c>
      <c r="D42" s="36" t="s">
        <v>105</v>
      </c>
      <c r="E42" s="36"/>
      <c r="F42" s="36" t="s">
        <v>99</v>
      </c>
      <c r="G42" s="36" t="s">
        <v>13</v>
      </c>
      <c r="H42" s="36" t="s">
        <v>14</v>
      </c>
      <c r="I42" s="36"/>
      <c r="J42" s="36"/>
      <c r="K42" s="36"/>
      <c r="L42" s="36"/>
      <c r="M42" s="36" t="s">
        <v>378</v>
      </c>
      <c r="N42" s="36" t="s">
        <v>358</v>
      </c>
      <c r="O42" s="36" t="s">
        <v>346</v>
      </c>
      <c r="P42" s="36"/>
      <c r="Q42" s="38"/>
      <c r="R42" s="38"/>
      <c r="S42" s="38"/>
      <c r="T42" s="38"/>
      <c r="U42" s="39"/>
      <c r="V42" s="36"/>
      <c r="W42" s="36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33" t="s">
        <v>95</v>
      </c>
      <c r="B43" s="32" t="s">
        <v>96</v>
      </c>
      <c r="C43" s="32" t="s">
        <v>104</v>
      </c>
      <c r="D43" s="32" t="s">
        <v>106</v>
      </c>
      <c r="E43" s="32"/>
      <c r="F43" s="32" t="s">
        <v>99</v>
      </c>
      <c r="G43" s="32" t="s">
        <v>13</v>
      </c>
      <c r="H43" s="32" t="s">
        <v>14</v>
      </c>
      <c r="I43" s="32"/>
      <c r="J43" s="32"/>
      <c r="K43" s="32"/>
      <c r="L43" s="32"/>
      <c r="M43" s="32" t="s">
        <v>378</v>
      </c>
      <c r="N43" s="32" t="s">
        <v>358</v>
      </c>
      <c r="O43" s="32" t="s">
        <v>346</v>
      </c>
      <c r="P43" s="32"/>
      <c r="Q43" s="34"/>
      <c r="R43" s="34"/>
      <c r="S43" s="34"/>
      <c r="T43" s="34"/>
      <c r="U43" s="35"/>
      <c r="V43" s="32"/>
      <c r="W43" s="32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37" t="s">
        <v>107</v>
      </c>
      <c r="B44" s="36" t="s">
        <v>108</v>
      </c>
      <c r="C44" s="36" t="s">
        <v>62</v>
      </c>
      <c r="D44" s="36">
        <v>50056304000149</v>
      </c>
      <c r="E44" s="36"/>
      <c r="F44" s="36" t="s">
        <v>109</v>
      </c>
      <c r="G44" s="36" t="s">
        <v>4</v>
      </c>
      <c r="H44" s="36" t="s">
        <v>49</v>
      </c>
      <c r="I44" s="36"/>
      <c r="J44" s="36"/>
      <c r="K44" s="36"/>
      <c r="L44" s="36"/>
      <c r="M44" s="36" t="s">
        <v>375</v>
      </c>
      <c r="N44" s="36"/>
      <c r="O44" s="36" t="s">
        <v>346</v>
      </c>
      <c r="P44" s="36"/>
      <c r="Q44" s="38"/>
      <c r="R44" s="38"/>
      <c r="S44" s="38"/>
      <c r="T44" s="38"/>
      <c r="U44" s="39"/>
      <c r="V44" s="36"/>
      <c r="W44" s="36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33" t="s">
        <v>110</v>
      </c>
      <c r="B45" s="32" t="s">
        <v>108</v>
      </c>
      <c r="C45" s="32" t="s">
        <v>62</v>
      </c>
      <c r="D45" s="32">
        <v>59971731000127</v>
      </c>
      <c r="E45" s="32"/>
      <c r="F45" s="32" t="s">
        <v>109</v>
      </c>
      <c r="G45" s="32" t="s">
        <v>4</v>
      </c>
      <c r="H45" s="32" t="s">
        <v>49</v>
      </c>
      <c r="I45" s="32"/>
      <c r="J45" s="32"/>
      <c r="K45" s="32"/>
      <c r="L45" s="32"/>
      <c r="M45" s="32" t="s">
        <v>375</v>
      </c>
      <c r="N45" s="32"/>
      <c r="O45" s="32" t="s">
        <v>346</v>
      </c>
      <c r="P45" s="32"/>
      <c r="Q45" s="34"/>
      <c r="R45" s="34"/>
      <c r="S45" s="34"/>
      <c r="T45" s="34"/>
      <c r="U45" s="35"/>
      <c r="V45" s="32"/>
      <c r="W45" s="32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37" t="s">
        <v>111</v>
      </c>
      <c r="B46" s="36" t="s">
        <v>108</v>
      </c>
      <c r="C46" s="36" t="s">
        <v>69</v>
      </c>
      <c r="D46" s="36" t="s">
        <v>112</v>
      </c>
      <c r="E46" s="36"/>
      <c r="F46" s="36" t="s">
        <v>113</v>
      </c>
      <c r="G46" s="36" t="s">
        <v>13</v>
      </c>
      <c r="H46" s="36" t="s">
        <v>49</v>
      </c>
      <c r="I46" s="36"/>
      <c r="J46" s="36"/>
      <c r="K46" s="36"/>
      <c r="L46" s="36"/>
      <c r="M46" s="36" t="s">
        <v>373</v>
      </c>
      <c r="N46" s="36"/>
      <c r="O46" s="36" t="s">
        <v>344</v>
      </c>
      <c r="P46" s="36"/>
      <c r="Q46" s="38"/>
      <c r="R46" s="38"/>
      <c r="S46" s="38"/>
      <c r="T46" s="38"/>
      <c r="U46" s="39"/>
      <c r="V46" s="36"/>
      <c r="W46" s="36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33" t="s">
        <v>114</v>
      </c>
      <c r="B47" s="32" t="s">
        <v>115</v>
      </c>
      <c r="C47" s="32" t="s">
        <v>116</v>
      </c>
      <c r="D47" s="32" t="s">
        <v>117</v>
      </c>
      <c r="E47" s="32"/>
      <c r="F47" s="32" t="s">
        <v>118</v>
      </c>
      <c r="G47" s="32" t="s">
        <v>13</v>
      </c>
      <c r="H47" s="32" t="s">
        <v>14</v>
      </c>
      <c r="I47" s="32"/>
      <c r="J47" s="32"/>
      <c r="K47" s="32"/>
      <c r="L47" s="32"/>
      <c r="M47" s="32" t="s">
        <v>373</v>
      </c>
      <c r="N47" s="32"/>
      <c r="O47" s="32" t="s">
        <v>347</v>
      </c>
      <c r="P47" s="32"/>
      <c r="Q47" s="34"/>
      <c r="R47" s="34"/>
      <c r="S47" s="34"/>
      <c r="T47" s="34"/>
      <c r="U47" s="35"/>
      <c r="V47" s="32"/>
      <c r="W47" s="32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37" t="s">
        <v>119</v>
      </c>
      <c r="B48" s="36" t="s">
        <v>115</v>
      </c>
      <c r="C48" s="36" t="s">
        <v>116</v>
      </c>
      <c r="D48" s="36" t="s">
        <v>120</v>
      </c>
      <c r="E48" s="36"/>
      <c r="F48" s="36" t="s">
        <v>118</v>
      </c>
      <c r="G48" s="36" t="s">
        <v>13</v>
      </c>
      <c r="H48" s="36" t="s">
        <v>14</v>
      </c>
      <c r="I48" s="36"/>
      <c r="J48" s="36"/>
      <c r="K48" s="36"/>
      <c r="L48" s="36"/>
      <c r="M48" s="36" t="s">
        <v>372</v>
      </c>
      <c r="N48" s="36"/>
      <c r="O48" s="36" t="s">
        <v>344</v>
      </c>
      <c r="P48" s="36"/>
      <c r="Q48" s="38"/>
      <c r="R48" s="38"/>
      <c r="S48" s="38"/>
      <c r="T48" s="38"/>
      <c r="U48" s="39"/>
      <c r="V48" s="36"/>
      <c r="W48" s="36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33" t="s">
        <v>121</v>
      </c>
      <c r="B49" s="32" t="s">
        <v>115</v>
      </c>
      <c r="C49" s="32" t="s">
        <v>122</v>
      </c>
      <c r="D49" s="32">
        <v>44742752000101</v>
      </c>
      <c r="E49" s="32"/>
      <c r="F49" s="32" t="s">
        <v>118</v>
      </c>
      <c r="G49" s="32" t="s">
        <v>4</v>
      </c>
      <c r="H49" s="32" t="s">
        <v>5</v>
      </c>
      <c r="I49" s="32"/>
      <c r="J49" s="32"/>
      <c r="K49" s="32"/>
      <c r="L49" s="32"/>
      <c r="M49" s="32" t="s">
        <v>372</v>
      </c>
      <c r="N49" s="32"/>
      <c r="O49" s="32" t="s">
        <v>346</v>
      </c>
      <c r="P49" s="32"/>
      <c r="Q49" s="34"/>
      <c r="R49" s="34"/>
      <c r="S49" s="34"/>
      <c r="T49" s="34"/>
      <c r="U49" s="35"/>
      <c r="V49" s="32"/>
      <c r="W49" s="32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37" t="s">
        <v>123</v>
      </c>
      <c r="B50" s="36" t="s">
        <v>115</v>
      </c>
      <c r="C50" s="36" t="s">
        <v>116</v>
      </c>
      <c r="D50" s="36" t="s">
        <v>124</v>
      </c>
      <c r="E50" s="36"/>
      <c r="F50" s="36" t="s">
        <v>125</v>
      </c>
      <c r="G50" s="36" t="s">
        <v>13</v>
      </c>
      <c r="H50" s="36" t="s">
        <v>14</v>
      </c>
      <c r="I50" s="36"/>
      <c r="J50" s="36"/>
      <c r="K50" s="36"/>
      <c r="L50" s="36"/>
      <c r="M50" s="36" t="s">
        <v>375</v>
      </c>
      <c r="N50" s="36"/>
      <c r="O50" s="36" t="s">
        <v>346</v>
      </c>
      <c r="P50" s="36"/>
      <c r="Q50" s="38"/>
      <c r="R50" s="38"/>
      <c r="S50" s="38"/>
      <c r="T50" s="38"/>
      <c r="U50" s="39"/>
      <c r="V50" s="36"/>
      <c r="W50" s="36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33" t="s">
        <v>126</v>
      </c>
      <c r="B51" s="32" t="s">
        <v>115</v>
      </c>
      <c r="C51" s="32" t="s">
        <v>122</v>
      </c>
      <c r="D51" s="32">
        <v>44777527000100</v>
      </c>
      <c r="E51" s="32"/>
      <c r="F51" s="32" t="s">
        <v>125</v>
      </c>
      <c r="G51" s="32" t="s">
        <v>4</v>
      </c>
      <c r="H51" s="32" t="s">
        <v>5</v>
      </c>
      <c r="I51" s="32"/>
      <c r="J51" s="32"/>
      <c r="K51" s="32"/>
      <c r="L51" s="32"/>
      <c r="M51" s="32" t="s">
        <v>375</v>
      </c>
      <c r="N51" s="32"/>
      <c r="O51" s="32" t="s">
        <v>346</v>
      </c>
      <c r="P51" s="32"/>
      <c r="Q51" s="34"/>
      <c r="R51" s="34"/>
      <c r="S51" s="34"/>
      <c r="T51" s="34"/>
      <c r="U51" s="35"/>
      <c r="V51" s="32"/>
      <c r="W51" s="32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37" t="s">
        <v>127</v>
      </c>
      <c r="B52" s="36" t="s">
        <v>115</v>
      </c>
      <c r="C52" s="36" t="s">
        <v>122</v>
      </c>
      <c r="D52" s="36">
        <v>44796284000140</v>
      </c>
      <c r="E52" s="36"/>
      <c r="F52" s="36" t="s">
        <v>125</v>
      </c>
      <c r="G52" s="36" t="s">
        <v>4</v>
      </c>
      <c r="H52" s="36" t="s">
        <v>5</v>
      </c>
      <c r="I52" s="36"/>
      <c r="J52" s="36"/>
      <c r="K52" s="36"/>
      <c r="L52" s="36"/>
      <c r="M52" s="36" t="s">
        <v>375</v>
      </c>
      <c r="N52" s="36"/>
      <c r="O52" s="36" t="s">
        <v>346</v>
      </c>
      <c r="P52" s="36"/>
      <c r="Q52" s="38"/>
      <c r="R52" s="38"/>
      <c r="S52" s="38"/>
      <c r="T52" s="38"/>
      <c r="U52" s="39"/>
      <c r="V52" s="36"/>
      <c r="W52" s="36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33" t="s">
        <v>128</v>
      </c>
      <c r="B53" s="32" t="s">
        <v>129</v>
      </c>
      <c r="C53" s="32" t="s">
        <v>16</v>
      </c>
      <c r="D53" s="32" t="s">
        <v>130</v>
      </c>
      <c r="E53" s="32"/>
      <c r="F53" s="32" t="s">
        <v>109</v>
      </c>
      <c r="G53" s="32" t="s">
        <v>13</v>
      </c>
      <c r="H53" s="32" t="s">
        <v>14</v>
      </c>
      <c r="I53" s="32"/>
      <c r="J53" s="32"/>
      <c r="K53" s="32"/>
      <c r="L53" s="32"/>
      <c r="M53" s="32" t="s">
        <v>380</v>
      </c>
      <c r="N53" s="32"/>
      <c r="O53" s="32"/>
      <c r="P53" s="32"/>
      <c r="Q53" s="34"/>
      <c r="R53" s="34"/>
      <c r="S53" s="34"/>
      <c r="T53" s="34"/>
      <c r="U53" s="35"/>
      <c r="V53" s="32"/>
      <c r="W53" s="32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37" t="s">
        <v>131</v>
      </c>
      <c r="B54" s="36" t="s">
        <v>132</v>
      </c>
      <c r="C54" s="36" t="s">
        <v>62</v>
      </c>
      <c r="D54" s="36">
        <v>19318532000108</v>
      </c>
      <c r="E54" s="36"/>
      <c r="F54" s="36" t="s">
        <v>66</v>
      </c>
      <c r="G54" s="36" t="s">
        <v>4</v>
      </c>
      <c r="H54" s="36" t="s">
        <v>5</v>
      </c>
      <c r="I54" s="36"/>
      <c r="J54" s="36"/>
      <c r="K54" s="36"/>
      <c r="L54" s="36"/>
      <c r="M54" s="36" t="s">
        <v>373</v>
      </c>
      <c r="N54" s="36"/>
      <c r="O54" s="36" t="s">
        <v>344</v>
      </c>
      <c r="P54" s="36"/>
      <c r="Q54" s="38"/>
      <c r="R54" s="38"/>
      <c r="S54" s="38"/>
      <c r="T54" s="38"/>
      <c r="U54" s="39"/>
      <c r="V54" s="36"/>
      <c r="W54" s="36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33" t="s">
        <v>133</v>
      </c>
      <c r="B55" s="32" t="s">
        <v>134</v>
      </c>
      <c r="C55" s="32" t="s">
        <v>116</v>
      </c>
      <c r="D55" s="32" t="s">
        <v>135</v>
      </c>
      <c r="E55" s="32"/>
      <c r="F55" s="32" t="s">
        <v>136</v>
      </c>
      <c r="G55" s="32" t="s">
        <v>41</v>
      </c>
      <c r="H55" s="32" t="s">
        <v>5</v>
      </c>
      <c r="I55" s="32"/>
      <c r="J55" s="32"/>
      <c r="K55" s="32"/>
      <c r="L55" s="32"/>
      <c r="M55" s="32" t="s">
        <v>375</v>
      </c>
      <c r="N55" s="32"/>
      <c r="O55" s="32" t="s">
        <v>348</v>
      </c>
      <c r="P55" s="32"/>
      <c r="Q55" s="34"/>
      <c r="R55" s="34"/>
      <c r="S55" s="34"/>
      <c r="T55" s="34"/>
      <c r="U55" s="35"/>
      <c r="V55" s="32"/>
      <c r="W55" s="32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37" t="s">
        <v>137</v>
      </c>
      <c r="B56" s="36" t="s">
        <v>134</v>
      </c>
      <c r="C56" s="36" t="s">
        <v>122</v>
      </c>
      <c r="D56" s="36">
        <v>34046667000147</v>
      </c>
      <c r="E56" s="36"/>
      <c r="F56" s="36" t="s">
        <v>138</v>
      </c>
      <c r="G56" s="36" t="s">
        <v>4</v>
      </c>
      <c r="H56" s="36" t="s">
        <v>5</v>
      </c>
      <c r="I56" s="36"/>
      <c r="J56" s="36"/>
      <c r="K56" s="36"/>
      <c r="L56" s="36"/>
      <c r="M56" s="36" t="s">
        <v>381</v>
      </c>
      <c r="N56" s="36"/>
      <c r="O56" s="36" t="s">
        <v>348</v>
      </c>
      <c r="P56" s="36"/>
      <c r="Q56" s="38"/>
      <c r="R56" s="38"/>
      <c r="S56" s="38"/>
      <c r="T56" s="38"/>
      <c r="U56" s="39"/>
      <c r="V56" s="36"/>
      <c r="W56" s="36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33" t="s">
        <v>139</v>
      </c>
      <c r="B57" s="32" t="s">
        <v>134</v>
      </c>
      <c r="C57" s="32" t="s">
        <v>122</v>
      </c>
      <c r="D57" s="32">
        <v>40932575000167</v>
      </c>
      <c r="E57" s="32"/>
      <c r="F57" s="32" t="s">
        <v>140</v>
      </c>
      <c r="G57" s="32" t="s">
        <v>4</v>
      </c>
      <c r="H57" s="32" t="s">
        <v>5</v>
      </c>
      <c r="I57" s="32"/>
      <c r="J57" s="32"/>
      <c r="K57" s="32"/>
      <c r="L57" s="32"/>
      <c r="M57" s="32" t="s">
        <v>375</v>
      </c>
      <c r="N57" s="32"/>
      <c r="O57" s="32" t="s">
        <v>348</v>
      </c>
      <c r="P57" s="32"/>
      <c r="Q57" s="34"/>
      <c r="R57" s="34"/>
      <c r="S57" s="34"/>
      <c r="T57" s="34"/>
      <c r="U57" s="35"/>
      <c r="V57" s="32"/>
      <c r="W57" s="32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37" t="s">
        <v>141</v>
      </c>
      <c r="B58" s="36" t="s">
        <v>142</v>
      </c>
      <c r="C58" s="36" t="s">
        <v>62</v>
      </c>
      <c r="D58" s="36" t="s">
        <v>143</v>
      </c>
      <c r="E58" s="36"/>
      <c r="F58" s="36" t="s">
        <v>144</v>
      </c>
      <c r="G58" s="36" t="s">
        <v>13</v>
      </c>
      <c r="H58" s="36" t="s">
        <v>49</v>
      </c>
      <c r="I58" s="36"/>
      <c r="J58" s="36"/>
      <c r="K58" s="36"/>
      <c r="L58" s="36"/>
      <c r="M58" s="36" t="s">
        <v>381</v>
      </c>
      <c r="N58" s="36"/>
      <c r="O58" s="36" t="s">
        <v>344</v>
      </c>
      <c r="P58" s="36"/>
      <c r="Q58" s="38"/>
      <c r="R58" s="38"/>
      <c r="S58" s="38"/>
      <c r="T58" s="38"/>
      <c r="U58" s="39"/>
      <c r="V58" s="36"/>
      <c r="W58" s="36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33" t="s">
        <v>145</v>
      </c>
      <c r="B59" s="32" t="s">
        <v>142</v>
      </c>
      <c r="C59" s="32" t="s">
        <v>62</v>
      </c>
      <c r="D59" s="32">
        <v>60906391000130</v>
      </c>
      <c r="E59" s="32"/>
      <c r="F59" s="32" t="s">
        <v>144</v>
      </c>
      <c r="G59" s="32" t="s">
        <v>4</v>
      </c>
      <c r="H59" s="32" t="s">
        <v>49</v>
      </c>
      <c r="I59" s="32"/>
      <c r="J59" s="32"/>
      <c r="K59" s="32"/>
      <c r="L59" s="32"/>
      <c r="M59" s="32" t="s">
        <v>381</v>
      </c>
      <c r="N59" s="32"/>
      <c r="O59" s="32" t="s">
        <v>348</v>
      </c>
      <c r="P59" s="32"/>
      <c r="Q59" s="34"/>
      <c r="R59" s="34"/>
      <c r="S59" s="34"/>
      <c r="T59" s="34"/>
      <c r="U59" s="35"/>
      <c r="V59" s="32"/>
      <c r="W59" s="32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37" t="s">
        <v>146</v>
      </c>
      <c r="B60" s="36" t="s">
        <v>75</v>
      </c>
      <c r="C60" s="36" t="s">
        <v>62</v>
      </c>
      <c r="D60" s="36">
        <v>41762299000107</v>
      </c>
      <c r="E60" s="36"/>
      <c r="F60" s="36" t="s">
        <v>147</v>
      </c>
      <c r="G60" s="36" t="s">
        <v>4</v>
      </c>
      <c r="H60" s="36" t="s">
        <v>5</v>
      </c>
      <c r="I60" s="36"/>
      <c r="J60" s="36"/>
      <c r="K60" s="36"/>
      <c r="L60" s="36"/>
      <c r="M60" s="36" t="s">
        <v>375</v>
      </c>
      <c r="N60" s="36"/>
      <c r="O60" s="36" t="s">
        <v>349</v>
      </c>
      <c r="P60" s="36"/>
      <c r="Q60" s="38"/>
      <c r="R60" s="38"/>
      <c r="S60" s="38"/>
      <c r="T60" s="38"/>
      <c r="U60" s="39"/>
      <c r="V60" s="36"/>
      <c r="W60" s="36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33" t="s">
        <v>148</v>
      </c>
      <c r="B61" s="32" t="s">
        <v>149</v>
      </c>
      <c r="C61" s="32" t="s">
        <v>59</v>
      </c>
      <c r="D61" s="32">
        <v>52090662000101</v>
      </c>
      <c r="E61" s="32"/>
      <c r="F61" s="32" t="s">
        <v>150</v>
      </c>
      <c r="G61" s="32" t="s">
        <v>4</v>
      </c>
      <c r="H61" s="32" t="s">
        <v>5</v>
      </c>
      <c r="I61" s="32"/>
      <c r="J61" s="32"/>
      <c r="K61" s="32"/>
      <c r="L61" s="32"/>
      <c r="M61" s="32" t="s">
        <v>375</v>
      </c>
      <c r="N61" s="32"/>
      <c r="O61" s="32" t="s">
        <v>348</v>
      </c>
      <c r="P61" s="32"/>
      <c r="Q61" s="34"/>
      <c r="R61" s="34"/>
      <c r="S61" s="34"/>
      <c r="T61" s="34"/>
      <c r="U61" s="35"/>
      <c r="V61" s="32"/>
      <c r="W61" s="32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37" t="s">
        <v>151</v>
      </c>
      <c r="B62" s="36" t="s">
        <v>149</v>
      </c>
      <c r="C62" s="36" t="s">
        <v>46</v>
      </c>
      <c r="D62" s="36" t="s">
        <v>152</v>
      </c>
      <c r="E62" s="36"/>
      <c r="F62" s="36" t="s">
        <v>150</v>
      </c>
      <c r="G62" s="36" t="s">
        <v>13</v>
      </c>
      <c r="H62" s="36" t="s">
        <v>49</v>
      </c>
      <c r="I62" s="36"/>
      <c r="J62" s="36"/>
      <c r="K62" s="36"/>
      <c r="L62" s="36"/>
      <c r="M62" s="36" t="s">
        <v>373</v>
      </c>
      <c r="N62" s="36"/>
      <c r="O62" s="36" t="s">
        <v>344</v>
      </c>
      <c r="P62" s="36"/>
      <c r="Q62" s="38"/>
      <c r="R62" s="38"/>
      <c r="S62" s="38"/>
      <c r="T62" s="38"/>
      <c r="U62" s="39"/>
      <c r="V62" s="36"/>
      <c r="W62" s="36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33" t="s">
        <v>153</v>
      </c>
      <c r="B63" s="32" t="s">
        <v>149</v>
      </c>
      <c r="C63" s="32" t="s">
        <v>46</v>
      </c>
      <c r="D63" s="32" t="s">
        <v>154</v>
      </c>
      <c r="E63" s="32"/>
      <c r="F63" s="32" t="s">
        <v>150</v>
      </c>
      <c r="G63" s="32" t="s">
        <v>13</v>
      </c>
      <c r="H63" s="32" t="s">
        <v>49</v>
      </c>
      <c r="I63" s="32"/>
      <c r="J63" s="32"/>
      <c r="K63" s="32"/>
      <c r="L63" s="32"/>
      <c r="M63" s="32" t="s">
        <v>373</v>
      </c>
      <c r="N63" s="32"/>
      <c r="O63" s="32" t="s">
        <v>344</v>
      </c>
      <c r="P63" s="32"/>
      <c r="Q63" s="34"/>
      <c r="R63" s="34"/>
      <c r="S63" s="34"/>
      <c r="T63" s="34"/>
      <c r="U63" s="35"/>
      <c r="V63" s="32"/>
      <c r="W63" s="32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37" t="s">
        <v>155</v>
      </c>
      <c r="B64" s="36" t="s">
        <v>61</v>
      </c>
      <c r="C64" s="36" t="s">
        <v>62</v>
      </c>
      <c r="D64" s="36">
        <v>8587897000103</v>
      </c>
      <c r="E64" s="36"/>
      <c r="F64" s="36" t="s">
        <v>63</v>
      </c>
      <c r="G64" s="36" t="s">
        <v>41</v>
      </c>
      <c r="H64" s="36" t="s">
        <v>5</v>
      </c>
      <c r="I64" s="36"/>
      <c r="J64" s="36"/>
      <c r="K64" s="36"/>
      <c r="L64" s="36"/>
      <c r="M64" s="36" t="s">
        <v>375</v>
      </c>
      <c r="N64" s="36"/>
      <c r="O64" s="36" t="s">
        <v>348</v>
      </c>
      <c r="P64" s="36"/>
      <c r="Q64" s="38"/>
      <c r="R64" s="38"/>
      <c r="S64" s="38"/>
      <c r="T64" s="38"/>
      <c r="U64" s="39"/>
      <c r="V64" s="36"/>
      <c r="W64" s="36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33" t="s">
        <v>156</v>
      </c>
      <c r="B65" s="32" t="s">
        <v>61</v>
      </c>
      <c r="C65" s="32" t="s">
        <v>62</v>
      </c>
      <c r="D65" s="32">
        <v>17845713000159</v>
      </c>
      <c r="E65" s="32"/>
      <c r="F65" s="32" t="s">
        <v>63</v>
      </c>
      <c r="G65" s="32" t="s">
        <v>41</v>
      </c>
      <c r="H65" s="32" t="s">
        <v>5</v>
      </c>
      <c r="I65" s="32"/>
      <c r="J65" s="32"/>
      <c r="K65" s="32"/>
      <c r="L65" s="32"/>
      <c r="M65" s="32" t="s">
        <v>375</v>
      </c>
      <c r="N65" s="32"/>
      <c r="O65" s="32" t="s">
        <v>348</v>
      </c>
      <c r="P65" s="32"/>
      <c r="Q65" s="34"/>
      <c r="R65" s="34"/>
      <c r="S65" s="34"/>
      <c r="T65" s="34"/>
      <c r="U65" s="35"/>
      <c r="V65" s="32"/>
      <c r="W65" s="32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37" t="s">
        <v>157</v>
      </c>
      <c r="B66" s="36" t="s">
        <v>61</v>
      </c>
      <c r="C66" s="36" t="s">
        <v>62</v>
      </c>
      <c r="D66" s="36">
        <v>37646098000169</v>
      </c>
      <c r="E66" s="36"/>
      <c r="F66" s="36" t="s">
        <v>63</v>
      </c>
      <c r="G66" s="36" t="s">
        <v>41</v>
      </c>
      <c r="H66" s="36" t="s">
        <v>5</v>
      </c>
      <c r="I66" s="36"/>
      <c r="J66" s="36"/>
      <c r="K66" s="36"/>
      <c r="L66" s="36"/>
      <c r="M66" s="36" t="s">
        <v>375</v>
      </c>
      <c r="N66" s="36"/>
      <c r="O66" s="36" t="s">
        <v>350</v>
      </c>
      <c r="P66" s="36"/>
      <c r="Q66" s="38"/>
      <c r="R66" s="38"/>
      <c r="S66" s="38"/>
      <c r="T66" s="38"/>
      <c r="U66" s="39"/>
      <c r="V66" s="36"/>
      <c r="W66" s="36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33" t="s">
        <v>158</v>
      </c>
      <c r="B67" s="32" t="s">
        <v>159</v>
      </c>
      <c r="C67" s="32" t="s">
        <v>62</v>
      </c>
      <c r="D67" s="32">
        <v>44470328000147</v>
      </c>
      <c r="E67" s="32"/>
      <c r="F67" s="32" t="s">
        <v>160</v>
      </c>
      <c r="G67" s="32" t="s">
        <v>4</v>
      </c>
      <c r="H67" s="32" t="s">
        <v>5</v>
      </c>
      <c r="I67" s="32"/>
      <c r="J67" s="32"/>
      <c r="K67" s="32"/>
      <c r="L67" s="32"/>
      <c r="M67" s="32" t="s">
        <v>373</v>
      </c>
      <c r="N67" s="32"/>
      <c r="O67" s="32" t="s">
        <v>344</v>
      </c>
      <c r="P67" s="32"/>
      <c r="Q67" s="34"/>
      <c r="R67" s="34"/>
      <c r="S67" s="34"/>
      <c r="T67" s="34"/>
      <c r="U67" s="35"/>
      <c r="V67" s="32"/>
      <c r="W67" s="32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37" t="s">
        <v>161</v>
      </c>
      <c r="B68" s="36" t="s">
        <v>162</v>
      </c>
      <c r="C68" s="36" t="s">
        <v>163</v>
      </c>
      <c r="D68" s="36" t="s">
        <v>164</v>
      </c>
      <c r="E68" s="36"/>
      <c r="F68" s="36"/>
      <c r="G68" s="36" t="s">
        <v>41</v>
      </c>
      <c r="H68" s="36" t="s">
        <v>14</v>
      </c>
      <c r="I68" s="36"/>
      <c r="J68" s="36"/>
      <c r="K68" s="36"/>
      <c r="L68" s="36"/>
      <c r="M68" s="36" t="s">
        <v>381</v>
      </c>
      <c r="N68" s="36" t="s">
        <v>358</v>
      </c>
      <c r="O68" s="36" t="s">
        <v>358</v>
      </c>
      <c r="P68" s="36"/>
      <c r="Q68" s="38"/>
      <c r="R68" s="38"/>
      <c r="S68" s="38"/>
      <c r="T68" s="38"/>
      <c r="U68" s="39"/>
      <c r="V68" s="36"/>
      <c r="W68" s="36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33" t="s">
        <v>165</v>
      </c>
      <c r="B69" s="32" t="s">
        <v>162</v>
      </c>
      <c r="C69" s="32" t="s">
        <v>163</v>
      </c>
      <c r="D69" s="32" t="s">
        <v>166</v>
      </c>
      <c r="E69" s="32"/>
      <c r="F69" s="32" t="s">
        <v>167</v>
      </c>
      <c r="G69" s="32" t="s">
        <v>13</v>
      </c>
      <c r="H69" s="32" t="s">
        <v>14</v>
      </c>
      <c r="I69" s="32"/>
      <c r="J69" s="32"/>
      <c r="K69" s="32"/>
      <c r="L69" s="32"/>
      <c r="M69" s="32" t="s">
        <v>381</v>
      </c>
      <c r="N69" s="32" t="s">
        <v>358</v>
      </c>
      <c r="O69" s="32" t="s">
        <v>358</v>
      </c>
      <c r="P69" s="32"/>
      <c r="Q69" s="34"/>
      <c r="R69" s="34"/>
      <c r="S69" s="34"/>
      <c r="T69" s="34"/>
      <c r="U69" s="35"/>
      <c r="V69" s="32"/>
      <c r="W69" s="32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37" t="s">
        <v>168</v>
      </c>
      <c r="B70" s="36" t="s">
        <v>162</v>
      </c>
      <c r="C70" s="36" t="s">
        <v>163</v>
      </c>
      <c r="D70" s="36" t="s">
        <v>169</v>
      </c>
      <c r="E70" s="36"/>
      <c r="F70" s="36" t="s">
        <v>167</v>
      </c>
      <c r="G70" s="36" t="s">
        <v>13</v>
      </c>
      <c r="H70" s="36" t="s">
        <v>14</v>
      </c>
      <c r="I70" s="36"/>
      <c r="J70" s="36"/>
      <c r="K70" s="36"/>
      <c r="L70" s="36"/>
      <c r="M70" s="36" t="s">
        <v>381</v>
      </c>
      <c r="N70" s="36" t="s">
        <v>358</v>
      </c>
      <c r="O70" s="36" t="s">
        <v>358</v>
      </c>
      <c r="P70" s="36"/>
      <c r="Q70" s="38"/>
      <c r="R70" s="38"/>
      <c r="S70" s="38"/>
      <c r="T70" s="38"/>
      <c r="U70" s="39"/>
      <c r="V70" s="36"/>
      <c r="W70" s="36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33" t="s">
        <v>170</v>
      </c>
      <c r="B71" s="32" t="s">
        <v>162</v>
      </c>
      <c r="C71" s="32" t="s">
        <v>163</v>
      </c>
      <c r="D71" s="32" t="s">
        <v>171</v>
      </c>
      <c r="E71" s="32"/>
      <c r="F71" s="32" t="s">
        <v>167</v>
      </c>
      <c r="G71" s="32" t="s">
        <v>13</v>
      </c>
      <c r="H71" s="32" t="s">
        <v>14</v>
      </c>
      <c r="I71" s="32"/>
      <c r="J71" s="32"/>
      <c r="K71" s="32"/>
      <c r="L71" s="32"/>
      <c r="M71" s="32" t="s">
        <v>381</v>
      </c>
      <c r="N71" s="32" t="s">
        <v>358</v>
      </c>
      <c r="O71" s="32" t="s">
        <v>358</v>
      </c>
      <c r="P71" s="32"/>
      <c r="Q71" s="34"/>
      <c r="R71" s="34"/>
      <c r="S71" s="34"/>
      <c r="T71" s="34"/>
      <c r="U71" s="35"/>
      <c r="V71" s="32"/>
      <c r="W71" s="32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37" t="s">
        <v>172</v>
      </c>
      <c r="B72" s="36" t="s">
        <v>162</v>
      </c>
      <c r="C72" s="36" t="s">
        <v>163</v>
      </c>
      <c r="D72" s="36" t="s">
        <v>173</v>
      </c>
      <c r="E72" s="36"/>
      <c r="F72" s="36" t="s">
        <v>167</v>
      </c>
      <c r="G72" s="36" t="s">
        <v>13</v>
      </c>
      <c r="H72" s="36" t="s">
        <v>14</v>
      </c>
      <c r="I72" s="36"/>
      <c r="J72" s="36"/>
      <c r="K72" s="36"/>
      <c r="L72" s="36"/>
      <c r="M72" s="36" t="s">
        <v>381</v>
      </c>
      <c r="N72" s="36" t="s">
        <v>358</v>
      </c>
      <c r="O72" s="36" t="s">
        <v>358</v>
      </c>
      <c r="P72" s="36"/>
      <c r="Q72" s="38"/>
      <c r="R72" s="38"/>
      <c r="S72" s="38"/>
      <c r="T72" s="38"/>
      <c r="U72" s="39"/>
      <c r="V72" s="36"/>
      <c r="W72" s="36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33" t="s">
        <v>174</v>
      </c>
      <c r="B73" s="32" t="s">
        <v>162</v>
      </c>
      <c r="C73" s="32" t="s">
        <v>163</v>
      </c>
      <c r="D73" s="32" t="s">
        <v>175</v>
      </c>
      <c r="E73" s="32"/>
      <c r="F73" s="32" t="s">
        <v>167</v>
      </c>
      <c r="G73" s="32" t="s">
        <v>13</v>
      </c>
      <c r="H73" s="32" t="s">
        <v>14</v>
      </c>
      <c r="I73" s="32"/>
      <c r="J73" s="32"/>
      <c r="K73" s="32"/>
      <c r="L73" s="32"/>
      <c r="M73" s="32" t="s">
        <v>381</v>
      </c>
      <c r="N73" s="32" t="s">
        <v>358</v>
      </c>
      <c r="O73" s="32" t="s">
        <v>358</v>
      </c>
      <c r="P73" s="32"/>
      <c r="Q73" s="34"/>
      <c r="R73" s="34"/>
      <c r="S73" s="34"/>
      <c r="T73" s="34"/>
      <c r="U73" s="35"/>
      <c r="V73" s="32"/>
      <c r="W73" s="32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37" t="s">
        <v>176</v>
      </c>
      <c r="B74" s="36" t="s">
        <v>162</v>
      </c>
      <c r="C74" s="36" t="s">
        <v>163</v>
      </c>
      <c r="D74" s="36" t="s">
        <v>177</v>
      </c>
      <c r="E74" s="36"/>
      <c r="F74" s="36"/>
      <c r="G74" s="36" t="s">
        <v>4</v>
      </c>
      <c r="H74" s="36" t="s">
        <v>14</v>
      </c>
      <c r="I74" s="36"/>
      <c r="J74" s="36"/>
      <c r="K74" s="36"/>
      <c r="L74" s="36"/>
      <c r="M74" s="36" t="s">
        <v>381</v>
      </c>
      <c r="N74" s="36" t="s">
        <v>358</v>
      </c>
      <c r="O74" s="36" t="s">
        <v>347</v>
      </c>
      <c r="P74" s="36"/>
      <c r="Q74" s="38"/>
      <c r="R74" s="38"/>
      <c r="S74" s="38"/>
      <c r="T74" s="38"/>
      <c r="U74" s="39"/>
      <c r="V74" s="36"/>
      <c r="W74" s="36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33" t="s">
        <v>178</v>
      </c>
      <c r="B75" s="32" t="s">
        <v>162</v>
      </c>
      <c r="C75" s="32" t="s">
        <v>163</v>
      </c>
      <c r="D75" s="32" t="s">
        <v>179</v>
      </c>
      <c r="E75" s="32"/>
      <c r="F75" s="32"/>
      <c r="G75" s="32" t="s">
        <v>4</v>
      </c>
      <c r="H75" s="32" t="s">
        <v>14</v>
      </c>
      <c r="I75" s="32"/>
      <c r="J75" s="32"/>
      <c r="K75" s="32"/>
      <c r="L75" s="32"/>
      <c r="M75" s="32" t="s">
        <v>381</v>
      </c>
      <c r="N75" s="32" t="s">
        <v>358</v>
      </c>
      <c r="O75" s="32" t="s">
        <v>347</v>
      </c>
      <c r="P75" s="32"/>
      <c r="Q75" s="34"/>
      <c r="R75" s="34"/>
      <c r="S75" s="34"/>
      <c r="T75" s="34"/>
      <c r="U75" s="35"/>
      <c r="V75" s="32"/>
      <c r="W75" s="32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37" t="s">
        <v>180</v>
      </c>
      <c r="B76" s="36" t="s">
        <v>9</v>
      </c>
      <c r="C76" s="36" t="s">
        <v>24</v>
      </c>
      <c r="D76" s="36">
        <v>10977876000146</v>
      </c>
      <c r="E76" s="36"/>
      <c r="F76" s="36" t="s">
        <v>12</v>
      </c>
      <c r="G76" s="36" t="s">
        <v>4</v>
      </c>
      <c r="H76" s="36" t="s">
        <v>5</v>
      </c>
      <c r="I76" s="36"/>
      <c r="J76" s="36"/>
      <c r="K76" s="36"/>
      <c r="L76" s="36"/>
      <c r="M76" s="36" t="s">
        <v>381</v>
      </c>
      <c r="N76" s="36"/>
      <c r="O76" s="36" t="s">
        <v>348</v>
      </c>
      <c r="P76" s="36"/>
      <c r="Q76" s="38"/>
      <c r="R76" s="38"/>
      <c r="S76" s="38"/>
      <c r="T76" s="38"/>
      <c r="U76" s="39"/>
      <c r="V76" s="36"/>
      <c r="W76" s="36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33" t="s">
        <v>181</v>
      </c>
      <c r="B77" s="32" t="s">
        <v>182</v>
      </c>
      <c r="C77" s="32" t="s">
        <v>79</v>
      </c>
      <c r="D77" s="32" t="s">
        <v>183</v>
      </c>
      <c r="E77" s="32"/>
      <c r="F77" s="32" t="s">
        <v>184</v>
      </c>
      <c r="G77" s="32" t="s">
        <v>13</v>
      </c>
      <c r="H77" s="32" t="s">
        <v>5</v>
      </c>
      <c r="I77" s="32"/>
      <c r="J77" s="32"/>
      <c r="K77" s="32"/>
      <c r="L77" s="32"/>
      <c r="M77" s="32" t="s">
        <v>371</v>
      </c>
      <c r="N77" s="32"/>
      <c r="O77" s="32" t="s">
        <v>348</v>
      </c>
      <c r="P77" s="32"/>
      <c r="Q77" s="34"/>
      <c r="R77" s="34"/>
      <c r="S77" s="34"/>
      <c r="T77" s="34"/>
      <c r="U77" s="35"/>
      <c r="V77" s="32"/>
      <c r="W77" s="32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37" t="s">
        <v>185</v>
      </c>
      <c r="B78" s="36" t="s">
        <v>182</v>
      </c>
      <c r="C78" s="36" t="s">
        <v>79</v>
      </c>
      <c r="D78" s="36" t="s">
        <v>186</v>
      </c>
      <c r="E78" s="36"/>
      <c r="F78" s="36" t="s">
        <v>184</v>
      </c>
      <c r="G78" s="36" t="s">
        <v>13</v>
      </c>
      <c r="H78" s="36" t="s">
        <v>14</v>
      </c>
      <c r="I78" s="36"/>
      <c r="J78" s="36"/>
      <c r="K78" s="36"/>
      <c r="L78" s="36"/>
      <c r="M78" s="36" t="s">
        <v>352</v>
      </c>
      <c r="N78" s="36"/>
      <c r="O78" s="36" t="s">
        <v>351</v>
      </c>
      <c r="P78" s="36"/>
      <c r="Q78" s="38"/>
      <c r="R78" s="38"/>
      <c r="S78" s="38"/>
      <c r="T78" s="38"/>
      <c r="U78" s="39"/>
      <c r="V78" s="36"/>
      <c r="W78" s="36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33" t="s">
        <v>187</v>
      </c>
      <c r="B79" s="32" t="s">
        <v>188</v>
      </c>
      <c r="C79" s="32" t="s">
        <v>62</v>
      </c>
      <c r="D79" s="32">
        <v>40920539000183</v>
      </c>
      <c r="E79" s="32"/>
      <c r="F79" s="32" t="s">
        <v>189</v>
      </c>
      <c r="G79" s="32" t="s">
        <v>4</v>
      </c>
      <c r="H79" s="32" t="s">
        <v>5</v>
      </c>
      <c r="I79" s="32"/>
      <c r="J79" s="32"/>
      <c r="K79" s="32"/>
      <c r="L79" s="32"/>
      <c r="M79" s="32" t="s">
        <v>381</v>
      </c>
      <c r="N79" s="32"/>
      <c r="O79" s="32"/>
      <c r="P79" s="32"/>
      <c r="Q79" s="34"/>
      <c r="R79" s="34"/>
      <c r="S79" s="34"/>
      <c r="T79" s="34"/>
      <c r="U79" s="35"/>
      <c r="V79" s="32"/>
      <c r="W79" s="32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37" t="s">
        <v>190</v>
      </c>
      <c r="B80" s="36" t="s">
        <v>188</v>
      </c>
      <c r="C80" s="36" t="s">
        <v>69</v>
      </c>
      <c r="D80" s="36" t="s">
        <v>191</v>
      </c>
      <c r="E80" s="36"/>
      <c r="F80" s="36" t="s">
        <v>189</v>
      </c>
      <c r="G80" s="36" t="s">
        <v>41</v>
      </c>
      <c r="H80" s="36" t="s">
        <v>5</v>
      </c>
      <c r="I80" s="36"/>
      <c r="J80" s="36"/>
      <c r="K80" s="36"/>
      <c r="L80" s="36"/>
      <c r="M80" s="36" t="s">
        <v>375</v>
      </c>
      <c r="N80" s="36"/>
      <c r="O80" s="36" t="s">
        <v>347</v>
      </c>
      <c r="P80" s="36"/>
      <c r="Q80" s="38"/>
      <c r="R80" s="38"/>
      <c r="S80" s="38"/>
      <c r="T80" s="38"/>
      <c r="U80" s="39"/>
      <c r="V80" s="36"/>
      <c r="W80" s="36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33" t="s">
        <v>192</v>
      </c>
      <c r="B81" s="32" t="s">
        <v>188</v>
      </c>
      <c r="C81" s="32" t="s">
        <v>69</v>
      </c>
      <c r="D81" s="32" t="s">
        <v>193</v>
      </c>
      <c r="E81" s="32"/>
      <c r="F81" s="32" t="s">
        <v>189</v>
      </c>
      <c r="G81" s="32" t="s">
        <v>13</v>
      </c>
      <c r="H81" s="32" t="s">
        <v>14</v>
      </c>
      <c r="I81" s="32"/>
      <c r="J81" s="32"/>
      <c r="K81" s="32"/>
      <c r="L81" s="32"/>
      <c r="M81" s="32" t="s">
        <v>382</v>
      </c>
      <c r="N81" s="32"/>
      <c r="O81" s="32" t="s">
        <v>344</v>
      </c>
      <c r="P81" s="32"/>
      <c r="Q81" s="34"/>
      <c r="R81" s="34"/>
      <c r="S81" s="34"/>
      <c r="T81" s="34"/>
      <c r="U81" s="35"/>
      <c r="V81" s="32"/>
      <c r="W81" s="32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37" t="s">
        <v>194</v>
      </c>
      <c r="B82" s="36" t="s">
        <v>1</v>
      </c>
      <c r="C82" s="36" t="s">
        <v>195</v>
      </c>
      <c r="D82" s="36" t="s">
        <v>196</v>
      </c>
      <c r="E82" s="36"/>
      <c r="F82" s="36" t="s">
        <v>3</v>
      </c>
      <c r="G82" s="36" t="s">
        <v>197</v>
      </c>
      <c r="H82" s="36" t="s">
        <v>49</v>
      </c>
      <c r="I82" s="36"/>
      <c r="J82" s="36"/>
      <c r="K82" s="36"/>
      <c r="L82" s="36"/>
      <c r="M82" s="36" t="s">
        <v>372</v>
      </c>
      <c r="N82" s="36" t="s">
        <v>357</v>
      </c>
      <c r="O82" s="36" t="s">
        <v>348</v>
      </c>
      <c r="P82" s="36"/>
      <c r="Q82" s="38"/>
      <c r="R82" s="38"/>
      <c r="S82" s="38"/>
      <c r="T82" s="38"/>
      <c r="U82" s="39"/>
      <c r="V82" s="36"/>
      <c r="W82" s="36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33" t="s">
        <v>198</v>
      </c>
      <c r="B83" s="32" t="s">
        <v>1</v>
      </c>
      <c r="C83" s="32" t="s">
        <v>195</v>
      </c>
      <c r="D83" s="32" t="s">
        <v>199</v>
      </c>
      <c r="E83" s="32"/>
      <c r="F83" s="32" t="s">
        <v>3</v>
      </c>
      <c r="G83" s="32" t="s">
        <v>4</v>
      </c>
      <c r="H83" s="32" t="s">
        <v>49</v>
      </c>
      <c r="I83" s="32"/>
      <c r="J83" s="32"/>
      <c r="K83" s="32"/>
      <c r="L83" s="32"/>
      <c r="M83" s="32" t="s">
        <v>372</v>
      </c>
      <c r="N83" s="32" t="s">
        <v>357</v>
      </c>
      <c r="O83" s="32" t="s">
        <v>348</v>
      </c>
      <c r="P83" s="32"/>
      <c r="Q83" s="34"/>
      <c r="R83" s="34"/>
      <c r="S83" s="34"/>
      <c r="T83" s="34"/>
      <c r="U83" s="35"/>
      <c r="V83" s="32"/>
      <c r="W83" s="32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37" t="s">
        <v>200</v>
      </c>
      <c r="B84" s="36" t="s">
        <v>1</v>
      </c>
      <c r="C84" s="36" t="s">
        <v>195</v>
      </c>
      <c r="D84" s="36" t="s">
        <v>201</v>
      </c>
      <c r="E84" s="36"/>
      <c r="F84" s="36" t="s">
        <v>3</v>
      </c>
      <c r="G84" s="36" t="s">
        <v>4</v>
      </c>
      <c r="H84" s="36" t="s">
        <v>49</v>
      </c>
      <c r="I84" s="36"/>
      <c r="J84" s="36"/>
      <c r="K84" s="36"/>
      <c r="L84" s="36"/>
      <c r="M84" s="36" t="s">
        <v>372</v>
      </c>
      <c r="N84" s="36" t="s">
        <v>357</v>
      </c>
      <c r="O84" s="36" t="s">
        <v>348</v>
      </c>
      <c r="P84" s="36"/>
      <c r="Q84" s="38"/>
      <c r="R84" s="38"/>
      <c r="S84" s="38"/>
      <c r="T84" s="38"/>
      <c r="U84" s="39"/>
      <c r="V84" s="36"/>
      <c r="W84" s="36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33" t="s">
        <v>202</v>
      </c>
      <c r="B85" s="32" t="s">
        <v>203</v>
      </c>
      <c r="C85" s="32" t="s">
        <v>204</v>
      </c>
      <c r="D85" s="32">
        <v>48579725000102</v>
      </c>
      <c r="E85" s="32"/>
      <c r="F85" s="32" t="s">
        <v>205</v>
      </c>
      <c r="G85" s="32" t="s">
        <v>13</v>
      </c>
      <c r="H85" s="32" t="s">
        <v>5</v>
      </c>
      <c r="I85" s="32"/>
      <c r="J85" s="32"/>
      <c r="K85" s="32"/>
      <c r="L85" s="32"/>
      <c r="M85" s="32" t="s">
        <v>375</v>
      </c>
      <c r="N85" s="32"/>
      <c r="O85" s="32" t="s">
        <v>353</v>
      </c>
      <c r="P85" s="32"/>
      <c r="Q85" s="34"/>
      <c r="R85" s="34"/>
      <c r="S85" s="34"/>
      <c r="T85" s="34"/>
      <c r="U85" s="35"/>
      <c r="V85" s="32"/>
      <c r="W85" s="32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37" t="s">
        <v>206</v>
      </c>
      <c r="B86" s="36" t="s">
        <v>207</v>
      </c>
      <c r="C86" s="36" t="s">
        <v>62</v>
      </c>
      <c r="D86" s="36">
        <v>21879417000146</v>
      </c>
      <c r="E86" s="36"/>
      <c r="F86" s="36" t="s">
        <v>208</v>
      </c>
      <c r="G86" s="36" t="s">
        <v>41</v>
      </c>
      <c r="H86" s="36" t="s">
        <v>5</v>
      </c>
      <c r="I86" s="36"/>
      <c r="J86" s="36"/>
      <c r="K86" s="36"/>
      <c r="L86" s="36"/>
      <c r="M86" s="36" t="s">
        <v>375</v>
      </c>
      <c r="N86" s="36"/>
      <c r="O86" s="36" t="s">
        <v>346</v>
      </c>
      <c r="P86" s="36"/>
      <c r="Q86" s="38"/>
      <c r="R86" s="38"/>
      <c r="S86" s="38"/>
      <c r="T86" s="38"/>
      <c r="U86" s="39"/>
      <c r="V86" s="36"/>
      <c r="W86" s="36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33" t="s">
        <v>209</v>
      </c>
      <c r="B87" s="32" t="s">
        <v>207</v>
      </c>
      <c r="C87" s="32" t="s">
        <v>62</v>
      </c>
      <c r="D87" s="32" t="s">
        <v>384</v>
      </c>
      <c r="E87" s="32"/>
      <c r="F87" s="32" t="s">
        <v>208</v>
      </c>
      <c r="G87" s="32" t="s">
        <v>4</v>
      </c>
      <c r="H87" s="32" t="s">
        <v>5</v>
      </c>
      <c r="I87" s="32"/>
      <c r="J87" s="32"/>
      <c r="K87" s="32"/>
      <c r="L87" s="32"/>
      <c r="M87" s="32" t="s">
        <v>375</v>
      </c>
      <c r="N87" s="32"/>
      <c r="O87" s="32" t="s">
        <v>346</v>
      </c>
      <c r="P87" s="32"/>
      <c r="Q87" s="34"/>
      <c r="R87" s="34"/>
      <c r="S87" s="34"/>
      <c r="T87" s="34"/>
      <c r="U87" s="35"/>
      <c r="V87" s="32"/>
      <c r="W87" s="32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37" t="s">
        <v>210</v>
      </c>
      <c r="B88" s="36" t="s">
        <v>211</v>
      </c>
      <c r="C88" s="36" t="s">
        <v>69</v>
      </c>
      <c r="D88" s="36" t="s">
        <v>383</v>
      </c>
      <c r="E88" s="36"/>
      <c r="F88" s="36"/>
      <c r="G88" s="36" t="s">
        <v>4</v>
      </c>
      <c r="H88" s="36" t="s">
        <v>49</v>
      </c>
      <c r="I88" s="36"/>
      <c r="J88" s="36"/>
      <c r="K88" s="36"/>
      <c r="L88" s="36"/>
      <c r="M88" s="36" t="s">
        <v>375</v>
      </c>
      <c r="N88" s="36"/>
      <c r="O88" s="36" t="s">
        <v>346</v>
      </c>
      <c r="P88" s="36"/>
      <c r="Q88" s="38"/>
      <c r="R88" s="38"/>
      <c r="S88" s="38"/>
      <c r="T88" s="38"/>
      <c r="U88" s="39"/>
      <c r="V88" s="36"/>
      <c r="W88" s="36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33" t="s">
        <v>212</v>
      </c>
      <c r="B89" s="32" t="s">
        <v>211</v>
      </c>
      <c r="C89" s="32" t="s">
        <v>69</v>
      </c>
      <c r="D89" s="32"/>
      <c r="E89" s="32"/>
      <c r="F89" s="32"/>
      <c r="G89" s="32" t="s">
        <v>4</v>
      </c>
      <c r="H89" s="32" t="s">
        <v>49</v>
      </c>
      <c r="I89" s="32"/>
      <c r="J89" s="32"/>
      <c r="K89" s="32"/>
      <c r="L89" s="32"/>
      <c r="M89" s="32" t="s">
        <v>375</v>
      </c>
      <c r="N89" s="32"/>
      <c r="O89" s="32" t="s">
        <v>346</v>
      </c>
      <c r="P89" s="32"/>
      <c r="Q89" s="34"/>
      <c r="R89" s="34"/>
      <c r="S89" s="34"/>
      <c r="T89" s="34"/>
      <c r="U89" s="35"/>
      <c r="V89" s="32"/>
      <c r="W89" s="32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37" t="s">
        <v>213</v>
      </c>
      <c r="B90" s="36" t="s">
        <v>214</v>
      </c>
      <c r="C90" s="36" t="s">
        <v>62</v>
      </c>
      <c r="D90" s="36">
        <v>44868733000118</v>
      </c>
      <c r="E90" s="36"/>
      <c r="F90" s="36" t="s">
        <v>215</v>
      </c>
      <c r="G90" s="36" t="s">
        <v>4</v>
      </c>
      <c r="H90" s="36" t="s">
        <v>5</v>
      </c>
      <c r="I90" s="36"/>
      <c r="J90" s="36"/>
      <c r="K90" s="36"/>
      <c r="L90" s="36"/>
      <c r="M90" s="36" t="s">
        <v>375</v>
      </c>
      <c r="N90" s="36"/>
      <c r="O90" s="36" t="s">
        <v>347</v>
      </c>
      <c r="P90" s="36"/>
      <c r="Q90" s="38"/>
      <c r="R90" s="38"/>
      <c r="S90" s="38"/>
      <c r="T90" s="38"/>
      <c r="U90" s="39"/>
      <c r="V90" s="36"/>
      <c r="W90" s="36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33" t="s">
        <v>216</v>
      </c>
      <c r="B91" s="32" t="s">
        <v>9</v>
      </c>
      <c r="C91" s="32" t="s">
        <v>69</v>
      </c>
      <c r="D91" s="32" t="s">
        <v>217</v>
      </c>
      <c r="E91" s="32"/>
      <c r="F91" s="32" t="s">
        <v>12</v>
      </c>
      <c r="G91" s="32" t="s">
        <v>13</v>
      </c>
      <c r="H91" s="32" t="s">
        <v>49</v>
      </c>
      <c r="I91" s="32"/>
      <c r="J91" s="32"/>
      <c r="K91" s="32"/>
      <c r="L91" s="32"/>
      <c r="M91" s="32" t="s">
        <v>375</v>
      </c>
      <c r="N91" s="32"/>
      <c r="O91" s="32" t="s">
        <v>346</v>
      </c>
      <c r="P91" s="32"/>
      <c r="Q91" s="34"/>
      <c r="R91" s="34"/>
      <c r="S91" s="34"/>
      <c r="T91" s="34"/>
      <c r="U91" s="35"/>
      <c r="V91" s="32"/>
      <c r="W91" s="32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37" t="s">
        <v>218</v>
      </c>
      <c r="B92" s="36" t="s">
        <v>219</v>
      </c>
      <c r="C92" s="36" t="s">
        <v>62</v>
      </c>
      <c r="D92" s="36">
        <v>51987426000111</v>
      </c>
      <c r="E92" s="36"/>
      <c r="F92" s="36" t="s">
        <v>220</v>
      </c>
      <c r="G92" s="36" t="s">
        <v>4</v>
      </c>
      <c r="H92" s="36" t="s">
        <v>5</v>
      </c>
      <c r="I92" s="36"/>
      <c r="J92" s="36"/>
      <c r="K92" s="36"/>
      <c r="L92" s="36"/>
      <c r="M92" s="36" t="s">
        <v>385</v>
      </c>
      <c r="N92" s="36"/>
      <c r="O92" s="36" t="s">
        <v>347</v>
      </c>
      <c r="P92" s="36"/>
      <c r="Q92" s="38"/>
      <c r="R92" s="38"/>
      <c r="S92" s="38"/>
      <c r="T92" s="38"/>
      <c r="U92" s="39"/>
      <c r="V92" s="36"/>
      <c r="W92" s="36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33" t="s">
        <v>221</v>
      </c>
      <c r="B93" s="32" t="s">
        <v>222</v>
      </c>
      <c r="C93" s="32" t="s">
        <v>62</v>
      </c>
      <c r="D93" s="32" t="s">
        <v>386</v>
      </c>
      <c r="E93" s="32"/>
      <c r="F93" s="32" t="s">
        <v>223</v>
      </c>
      <c r="G93" s="32" t="s">
        <v>13</v>
      </c>
      <c r="H93" s="32" t="s">
        <v>49</v>
      </c>
      <c r="I93" s="32"/>
      <c r="J93" s="32"/>
      <c r="K93" s="32"/>
      <c r="L93" s="32"/>
      <c r="M93" s="32" t="s">
        <v>385</v>
      </c>
      <c r="N93" s="32"/>
      <c r="O93" s="32" t="s">
        <v>347</v>
      </c>
      <c r="P93" s="32"/>
      <c r="Q93" s="34"/>
      <c r="R93" s="34"/>
      <c r="S93" s="34"/>
      <c r="T93" s="34"/>
      <c r="U93" s="35"/>
      <c r="V93" s="32"/>
      <c r="W93" s="32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37" t="s">
        <v>224</v>
      </c>
      <c r="B94" s="36" t="s">
        <v>182</v>
      </c>
      <c r="C94" s="36" t="s">
        <v>83</v>
      </c>
      <c r="D94" s="36">
        <v>21371431000134</v>
      </c>
      <c r="E94" s="36"/>
      <c r="F94" s="36" t="s">
        <v>225</v>
      </c>
      <c r="G94" s="36" t="s">
        <v>4</v>
      </c>
      <c r="H94" s="36" t="s">
        <v>5</v>
      </c>
      <c r="I94" s="36"/>
      <c r="J94" s="36"/>
      <c r="K94" s="36"/>
      <c r="L94" s="36"/>
      <c r="M94" s="36" t="s">
        <v>371</v>
      </c>
      <c r="N94" s="36"/>
      <c r="O94" s="36" t="s">
        <v>354</v>
      </c>
      <c r="P94" s="36"/>
      <c r="Q94" s="38"/>
      <c r="R94" s="38"/>
      <c r="S94" s="38"/>
      <c r="T94" s="38"/>
      <c r="U94" s="39"/>
      <c r="V94" s="36"/>
      <c r="W94" s="36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33" t="s">
        <v>226</v>
      </c>
      <c r="B95" s="32" t="s">
        <v>227</v>
      </c>
      <c r="C95" s="32" t="s">
        <v>122</v>
      </c>
      <c r="D95" s="32">
        <v>9421791000106</v>
      </c>
      <c r="E95" s="32"/>
      <c r="F95" s="32" t="s">
        <v>228</v>
      </c>
      <c r="G95" s="32" t="s">
        <v>4</v>
      </c>
      <c r="H95" s="32" t="s">
        <v>5</v>
      </c>
      <c r="I95" s="32"/>
      <c r="J95" s="32"/>
      <c r="K95" s="32"/>
      <c r="L95" s="32"/>
      <c r="M95" s="32" t="s">
        <v>375</v>
      </c>
      <c r="N95" s="32"/>
      <c r="O95" s="32" t="s">
        <v>346</v>
      </c>
      <c r="P95" s="32"/>
      <c r="Q95" s="34"/>
      <c r="R95" s="34"/>
      <c r="S95" s="34"/>
      <c r="T95" s="34"/>
      <c r="U95" s="35"/>
      <c r="V95" s="32"/>
      <c r="W95" s="32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37" t="s">
        <v>229</v>
      </c>
      <c r="B96" s="36" t="s">
        <v>96</v>
      </c>
      <c r="C96" s="36" t="s">
        <v>230</v>
      </c>
      <c r="D96" s="36" t="s">
        <v>387</v>
      </c>
      <c r="E96" s="36"/>
      <c r="F96" s="36" t="s">
        <v>99</v>
      </c>
      <c r="G96" s="36" t="s">
        <v>4</v>
      </c>
      <c r="H96" s="36" t="s">
        <v>14</v>
      </c>
      <c r="I96" s="36"/>
      <c r="J96" s="36"/>
      <c r="K96" s="36"/>
      <c r="L96" s="36"/>
      <c r="M96" s="36" t="s">
        <v>372</v>
      </c>
      <c r="N96" s="36"/>
      <c r="O96" s="36" t="s">
        <v>346</v>
      </c>
      <c r="P96" s="36"/>
      <c r="Q96" s="38"/>
      <c r="R96" s="38"/>
      <c r="S96" s="38"/>
      <c r="T96" s="38"/>
      <c r="U96" s="39"/>
      <c r="V96" s="36"/>
      <c r="W96" s="36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33" t="s">
        <v>231</v>
      </c>
      <c r="B97" s="32" t="s">
        <v>211</v>
      </c>
      <c r="C97" s="32" t="s">
        <v>69</v>
      </c>
      <c r="D97" s="32" t="s">
        <v>232</v>
      </c>
      <c r="E97" s="32"/>
      <c r="F97" s="32"/>
      <c r="G97" s="32" t="s">
        <v>4</v>
      </c>
      <c r="H97" s="32" t="s">
        <v>49</v>
      </c>
      <c r="I97" s="32"/>
      <c r="J97" s="32"/>
      <c r="K97" s="32"/>
      <c r="L97" s="32"/>
      <c r="M97" s="32" t="s">
        <v>375</v>
      </c>
      <c r="N97" s="32"/>
      <c r="O97" s="32" t="s">
        <v>346</v>
      </c>
      <c r="P97" s="32"/>
      <c r="Q97" s="34"/>
      <c r="R97" s="34"/>
      <c r="S97" s="34"/>
      <c r="T97" s="34"/>
      <c r="U97" s="35"/>
      <c r="V97" s="32"/>
      <c r="W97" s="32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37" t="s">
        <v>233</v>
      </c>
      <c r="B98" s="36" t="s">
        <v>134</v>
      </c>
      <c r="C98" s="36" t="s">
        <v>116</v>
      </c>
      <c r="D98" s="36" t="s">
        <v>234</v>
      </c>
      <c r="E98" s="36"/>
      <c r="F98" s="36" t="s">
        <v>138</v>
      </c>
      <c r="G98" s="36" t="s">
        <v>13</v>
      </c>
      <c r="H98" s="36" t="s">
        <v>14</v>
      </c>
      <c r="I98" s="36"/>
      <c r="J98" s="36"/>
      <c r="K98" s="36"/>
      <c r="L98" s="36"/>
      <c r="M98" s="36" t="s">
        <v>356</v>
      </c>
      <c r="N98" s="36"/>
      <c r="O98" s="36" t="s">
        <v>355</v>
      </c>
      <c r="P98" s="36"/>
      <c r="Q98" s="38"/>
      <c r="R98" s="38"/>
      <c r="S98" s="38"/>
      <c r="T98" s="38"/>
      <c r="U98" s="39"/>
      <c r="V98" s="36"/>
      <c r="W98" s="36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33" t="s">
        <v>235</v>
      </c>
      <c r="B99" s="32" t="s">
        <v>134</v>
      </c>
      <c r="C99" s="32" t="s">
        <v>116</v>
      </c>
      <c r="D99" s="32" t="s">
        <v>236</v>
      </c>
      <c r="E99" s="32"/>
      <c r="F99" s="32" t="s">
        <v>138</v>
      </c>
      <c r="G99" s="32" t="s">
        <v>13</v>
      </c>
      <c r="H99" s="32" t="s">
        <v>14</v>
      </c>
      <c r="I99" s="32"/>
      <c r="J99" s="32"/>
      <c r="K99" s="32"/>
      <c r="L99" s="32"/>
      <c r="M99" s="32" t="s">
        <v>356</v>
      </c>
      <c r="N99" s="32"/>
      <c r="O99" s="32" t="s">
        <v>355</v>
      </c>
      <c r="P99" s="32"/>
      <c r="Q99" s="34"/>
      <c r="R99" s="34"/>
      <c r="S99" s="34"/>
      <c r="T99" s="34"/>
      <c r="U99" s="35"/>
      <c r="V99" s="32"/>
      <c r="W99" s="32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37" t="s">
        <v>237</v>
      </c>
      <c r="B100" s="36" t="s">
        <v>134</v>
      </c>
      <c r="C100" s="36" t="s">
        <v>116</v>
      </c>
      <c r="D100" s="36" t="s">
        <v>238</v>
      </c>
      <c r="E100" s="36"/>
      <c r="F100" s="36" t="s">
        <v>138</v>
      </c>
      <c r="G100" s="36" t="s">
        <v>13</v>
      </c>
      <c r="H100" s="36" t="s">
        <v>14</v>
      </c>
      <c r="I100" s="36"/>
      <c r="J100" s="36"/>
      <c r="K100" s="36"/>
      <c r="L100" s="36"/>
      <c r="M100" s="36" t="s">
        <v>356</v>
      </c>
      <c r="N100" s="36"/>
      <c r="O100" s="36" t="s">
        <v>355</v>
      </c>
      <c r="P100" s="36"/>
      <c r="Q100" s="38"/>
      <c r="R100" s="38"/>
      <c r="S100" s="38"/>
      <c r="T100" s="38"/>
      <c r="U100" s="39"/>
      <c r="V100" s="36"/>
      <c r="W100" s="36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33" t="s">
        <v>239</v>
      </c>
      <c r="B101" s="32" t="s">
        <v>55</v>
      </c>
      <c r="C101" s="32" t="s">
        <v>56</v>
      </c>
      <c r="D101" s="32" t="s">
        <v>240</v>
      </c>
      <c r="E101" s="32"/>
      <c r="F101" s="32" t="s">
        <v>57</v>
      </c>
      <c r="G101" s="32" t="s">
        <v>13</v>
      </c>
      <c r="H101" s="32" t="s">
        <v>5</v>
      </c>
      <c r="I101" s="32"/>
      <c r="J101" s="32"/>
      <c r="K101" s="32"/>
      <c r="L101" s="32"/>
      <c r="M101" s="32" t="s">
        <v>372</v>
      </c>
      <c r="N101" s="32" t="s">
        <v>357</v>
      </c>
      <c r="O101" s="32" t="s">
        <v>346</v>
      </c>
      <c r="P101" s="32"/>
      <c r="Q101" s="34"/>
      <c r="R101" s="34"/>
      <c r="S101" s="34"/>
      <c r="T101" s="34"/>
      <c r="U101" s="35"/>
      <c r="V101" s="32"/>
      <c r="W101" s="32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37" t="s">
        <v>241</v>
      </c>
      <c r="B102" s="36" t="s">
        <v>55</v>
      </c>
      <c r="C102" s="36" t="s">
        <v>242</v>
      </c>
      <c r="D102" s="36" t="s">
        <v>243</v>
      </c>
      <c r="E102" s="36"/>
      <c r="F102" s="36" t="s">
        <v>57</v>
      </c>
      <c r="G102" s="36" t="s">
        <v>13</v>
      </c>
      <c r="H102" s="36" t="s">
        <v>5</v>
      </c>
      <c r="I102" s="36"/>
      <c r="J102" s="36"/>
      <c r="K102" s="36"/>
      <c r="L102" s="36"/>
      <c r="M102" s="36" t="s">
        <v>372</v>
      </c>
      <c r="N102" s="36" t="s">
        <v>368</v>
      </c>
      <c r="O102" s="36" t="s">
        <v>346</v>
      </c>
      <c r="P102" s="36"/>
      <c r="Q102" s="38"/>
      <c r="R102" s="38"/>
      <c r="S102" s="38"/>
      <c r="T102" s="38"/>
      <c r="U102" s="39"/>
      <c r="V102" s="36"/>
      <c r="W102" s="36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33" t="s">
        <v>244</v>
      </c>
      <c r="B103" s="32" t="s">
        <v>55</v>
      </c>
      <c r="C103" s="32" t="s">
        <v>245</v>
      </c>
      <c r="D103" s="32" t="s">
        <v>246</v>
      </c>
      <c r="E103" s="32"/>
      <c r="F103" s="32" t="s">
        <v>57</v>
      </c>
      <c r="G103" s="32" t="s">
        <v>13</v>
      </c>
      <c r="H103" s="32" t="s">
        <v>5</v>
      </c>
      <c r="I103" s="32"/>
      <c r="J103" s="32"/>
      <c r="K103" s="32"/>
      <c r="L103" s="32"/>
      <c r="M103" s="32" t="s">
        <v>372</v>
      </c>
      <c r="N103" s="32" t="s">
        <v>357</v>
      </c>
      <c r="O103" s="32" t="s">
        <v>346</v>
      </c>
      <c r="P103" s="32"/>
      <c r="Q103" s="34"/>
      <c r="R103" s="34"/>
      <c r="S103" s="34"/>
      <c r="T103" s="34"/>
      <c r="U103" s="35"/>
      <c r="V103" s="32"/>
      <c r="W103" s="32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37" t="s">
        <v>247</v>
      </c>
      <c r="B104" s="36" t="s">
        <v>55</v>
      </c>
      <c r="C104" s="36" t="s">
        <v>248</v>
      </c>
      <c r="D104" s="36" t="s">
        <v>249</v>
      </c>
      <c r="E104" s="36"/>
      <c r="F104" s="36" t="s">
        <v>57</v>
      </c>
      <c r="G104" s="36" t="s">
        <v>13</v>
      </c>
      <c r="H104" s="36" t="s">
        <v>49</v>
      </c>
      <c r="I104" s="36"/>
      <c r="J104" s="36"/>
      <c r="K104" s="36"/>
      <c r="L104" s="36"/>
      <c r="M104" s="36" t="s">
        <v>372</v>
      </c>
      <c r="N104" s="36" t="s">
        <v>369</v>
      </c>
      <c r="O104" s="36" t="s">
        <v>346</v>
      </c>
      <c r="P104" s="36"/>
      <c r="Q104" s="38"/>
      <c r="R104" s="38"/>
      <c r="S104" s="38"/>
      <c r="T104" s="38"/>
      <c r="U104" s="39"/>
      <c r="V104" s="36"/>
      <c r="W104" s="36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33" t="s">
        <v>250</v>
      </c>
      <c r="B105" s="32" t="s">
        <v>1</v>
      </c>
      <c r="C105" s="32" t="s">
        <v>2</v>
      </c>
      <c r="D105" s="32" t="s">
        <v>251</v>
      </c>
      <c r="E105" s="32"/>
      <c r="F105" s="32" t="s">
        <v>252</v>
      </c>
      <c r="G105" s="32" t="s">
        <v>4</v>
      </c>
      <c r="H105" s="32" t="s">
        <v>49</v>
      </c>
      <c r="I105" s="32"/>
      <c r="J105" s="32"/>
      <c r="K105" s="32"/>
      <c r="L105" s="32"/>
      <c r="M105" s="32" t="s">
        <v>367</v>
      </c>
      <c r="N105" s="32" t="s">
        <v>357</v>
      </c>
      <c r="O105" s="32" t="s">
        <v>346</v>
      </c>
      <c r="P105" s="32"/>
      <c r="Q105" s="34"/>
      <c r="R105" s="34"/>
      <c r="S105" s="34"/>
      <c r="T105" s="34"/>
      <c r="U105" s="35"/>
      <c r="V105" s="32"/>
      <c r="W105" s="32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37" t="s">
        <v>253</v>
      </c>
      <c r="B106" s="36" t="s">
        <v>214</v>
      </c>
      <c r="C106" s="36" t="s">
        <v>62</v>
      </c>
      <c r="D106" s="36" t="s">
        <v>388</v>
      </c>
      <c r="E106" s="36"/>
      <c r="F106" s="36" t="s">
        <v>254</v>
      </c>
      <c r="G106" s="36" t="s">
        <v>13</v>
      </c>
      <c r="H106" s="36" t="s">
        <v>5</v>
      </c>
      <c r="I106" s="36"/>
      <c r="J106" s="36"/>
      <c r="K106" s="36"/>
      <c r="L106" s="36"/>
      <c r="M106" s="36" t="s">
        <v>372</v>
      </c>
      <c r="N106" s="36"/>
      <c r="O106" s="36" t="s">
        <v>346</v>
      </c>
      <c r="P106" s="36"/>
      <c r="Q106" s="38"/>
      <c r="R106" s="38"/>
      <c r="S106" s="38"/>
      <c r="T106" s="38"/>
      <c r="U106" s="39"/>
      <c r="V106" s="36"/>
      <c r="W106" s="36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33" t="s">
        <v>255</v>
      </c>
      <c r="B107" s="32" t="s">
        <v>214</v>
      </c>
      <c r="C107" s="32" t="s">
        <v>62</v>
      </c>
      <c r="D107" s="32" t="s">
        <v>389</v>
      </c>
      <c r="E107" s="32"/>
      <c r="F107" s="32" t="s">
        <v>254</v>
      </c>
      <c r="G107" s="32" t="s">
        <v>13</v>
      </c>
      <c r="H107" s="32" t="s">
        <v>49</v>
      </c>
      <c r="I107" s="32"/>
      <c r="J107" s="32"/>
      <c r="K107" s="32"/>
      <c r="L107" s="32"/>
      <c r="M107" s="32" t="s">
        <v>385</v>
      </c>
      <c r="N107" s="32"/>
      <c r="O107" s="32" t="s">
        <v>346</v>
      </c>
      <c r="P107" s="32"/>
      <c r="Q107" s="34"/>
      <c r="R107" s="34"/>
      <c r="S107" s="34"/>
      <c r="T107" s="34"/>
      <c r="U107" s="35"/>
      <c r="V107" s="32"/>
      <c r="W107" s="32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37" t="s">
        <v>256</v>
      </c>
      <c r="B108" s="36" t="s">
        <v>214</v>
      </c>
      <c r="C108" s="36" t="s">
        <v>62</v>
      </c>
      <c r="D108" s="36" t="s">
        <v>390</v>
      </c>
      <c r="E108" s="36"/>
      <c r="F108" s="36" t="s">
        <v>257</v>
      </c>
      <c r="G108" s="36" t="s">
        <v>4</v>
      </c>
      <c r="H108" s="36" t="s">
        <v>5</v>
      </c>
      <c r="I108" s="36"/>
      <c r="J108" s="36"/>
      <c r="K108" s="36"/>
      <c r="L108" s="36"/>
      <c r="M108" s="36" t="s">
        <v>375</v>
      </c>
      <c r="N108" s="36"/>
      <c r="O108" s="36" t="s">
        <v>346</v>
      </c>
      <c r="P108" s="36"/>
      <c r="Q108" s="38"/>
      <c r="R108" s="38"/>
      <c r="S108" s="38"/>
      <c r="T108" s="38"/>
      <c r="U108" s="39"/>
      <c r="V108" s="36"/>
      <c r="W108" s="36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33" t="s">
        <v>258</v>
      </c>
      <c r="B109" s="32" t="s">
        <v>259</v>
      </c>
      <c r="C109" s="32" t="s">
        <v>69</v>
      </c>
      <c r="D109" s="32" t="s">
        <v>260</v>
      </c>
      <c r="E109" s="32"/>
      <c r="F109" s="32" t="s">
        <v>261</v>
      </c>
      <c r="G109" s="32" t="s">
        <v>4</v>
      </c>
      <c r="H109" s="32" t="s">
        <v>5</v>
      </c>
      <c r="I109" s="32"/>
      <c r="J109" s="32"/>
      <c r="K109" s="32"/>
      <c r="L109" s="32"/>
      <c r="M109" s="32" t="s">
        <v>367</v>
      </c>
      <c r="N109" s="32"/>
      <c r="O109" s="32"/>
      <c r="P109" s="32"/>
      <c r="Q109" s="34"/>
      <c r="R109" s="34"/>
      <c r="S109" s="34"/>
      <c r="T109" s="34"/>
      <c r="U109" s="35"/>
      <c r="V109" s="32"/>
      <c r="W109" s="32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37" t="s">
        <v>262</v>
      </c>
      <c r="B110" s="36" t="s">
        <v>259</v>
      </c>
      <c r="C110" s="36" t="s">
        <v>69</v>
      </c>
      <c r="D110" s="36" t="s">
        <v>263</v>
      </c>
      <c r="E110" s="36"/>
      <c r="F110" s="36" t="s">
        <v>261</v>
      </c>
      <c r="G110" s="36" t="s">
        <v>13</v>
      </c>
      <c r="H110" s="36" t="s">
        <v>5</v>
      </c>
      <c r="I110" s="36"/>
      <c r="J110" s="36"/>
      <c r="K110" s="36"/>
      <c r="L110" s="36"/>
      <c r="M110" s="36" t="s">
        <v>367</v>
      </c>
      <c r="N110" s="36"/>
      <c r="O110" s="36"/>
      <c r="P110" s="36"/>
      <c r="Q110" s="38"/>
      <c r="R110" s="38"/>
      <c r="S110" s="38"/>
      <c r="T110" s="38"/>
      <c r="U110" s="39"/>
      <c r="V110" s="36"/>
      <c r="W110" s="36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33" t="s">
        <v>264</v>
      </c>
      <c r="B111" s="32" t="s">
        <v>159</v>
      </c>
      <c r="C111" s="32" t="s">
        <v>69</v>
      </c>
      <c r="D111" s="32" t="s">
        <v>265</v>
      </c>
      <c r="E111" s="32"/>
      <c r="F111" s="32" t="s">
        <v>266</v>
      </c>
      <c r="G111" s="32" t="s">
        <v>13</v>
      </c>
      <c r="H111" s="32" t="s">
        <v>5</v>
      </c>
      <c r="I111" s="32"/>
      <c r="J111" s="32"/>
      <c r="K111" s="32"/>
      <c r="L111" s="32"/>
      <c r="M111" s="32" t="s">
        <v>385</v>
      </c>
      <c r="N111" s="32"/>
      <c r="O111" s="32" t="s">
        <v>359</v>
      </c>
      <c r="P111" s="32"/>
      <c r="Q111" s="34"/>
      <c r="R111" s="34"/>
      <c r="S111" s="34"/>
      <c r="T111" s="34"/>
      <c r="U111" s="35"/>
      <c r="V111" s="32"/>
      <c r="W111" s="32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37" t="s">
        <v>267</v>
      </c>
      <c r="B112" s="36" t="s">
        <v>159</v>
      </c>
      <c r="C112" s="36" t="s">
        <v>268</v>
      </c>
      <c r="D112" s="36" t="s">
        <v>269</v>
      </c>
      <c r="E112" s="36"/>
      <c r="F112" s="36" t="s">
        <v>266</v>
      </c>
      <c r="G112" s="36" t="s">
        <v>13</v>
      </c>
      <c r="H112" s="36" t="s">
        <v>14</v>
      </c>
      <c r="I112" s="36"/>
      <c r="J112" s="36"/>
      <c r="K112" s="36"/>
      <c r="L112" s="36"/>
      <c r="M112" s="36" t="s">
        <v>372</v>
      </c>
      <c r="N112" s="36"/>
      <c r="O112" s="36" t="s">
        <v>346</v>
      </c>
      <c r="P112" s="36"/>
      <c r="Q112" s="38"/>
      <c r="R112" s="38"/>
      <c r="S112" s="38"/>
      <c r="T112" s="38"/>
      <c r="U112" s="39"/>
      <c r="V112" s="36"/>
      <c r="W112" s="36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33" t="s">
        <v>270</v>
      </c>
      <c r="B113" s="32" t="s">
        <v>271</v>
      </c>
      <c r="C113" s="32"/>
      <c r="D113" s="32" t="s">
        <v>272</v>
      </c>
      <c r="E113" s="32"/>
      <c r="F113" s="32" t="s">
        <v>273</v>
      </c>
      <c r="G113" s="32" t="s">
        <v>41</v>
      </c>
      <c r="H113" s="32" t="s">
        <v>49</v>
      </c>
      <c r="I113" s="32"/>
      <c r="J113" s="32"/>
      <c r="K113" s="32"/>
      <c r="L113" s="32"/>
      <c r="M113" s="32" t="s">
        <v>375</v>
      </c>
      <c r="N113" s="32"/>
      <c r="O113" s="32" t="s">
        <v>360</v>
      </c>
      <c r="P113" s="32"/>
      <c r="Q113" s="34"/>
      <c r="R113" s="34"/>
      <c r="S113" s="34"/>
      <c r="T113" s="34"/>
      <c r="U113" s="35"/>
      <c r="V113" s="32"/>
      <c r="W113" s="32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37" t="s">
        <v>274</v>
      </c>
      <c r="B114" s="36" t="s">
        <v>134</v>
      </c>
      <c r="C114" s="36" t="s">
        <v>122</v>
      </c>
      <c r="D114" s="36" t="s">
        <v>391</v>
      </c>
      <c r="E114" s="36"/>
      <c r="F114" s="36" t="s">
        <v>275</v>
      </c>
      <c r="G114" s="36" t="s">
        <v>4</v>
      </c>
      <c r="H114" s="36" t="s">
        <v>5</v>
      </c>
      <c r="I114" s="36"/>
      <c r="J114" s="36"/>
      <c r="K114" s="36"/>
      <c r="L114" s="36"/>
      <c r="M114" s="36" t="s">
        <v>375</v>
      </c>
      <c r="N114" s="36"/>
      <c r="O114" s="36" t="s">
        <v>361</v>
      </c>
      <c r="P114" s="36"/>
      <c r="Q114" s="38"/>
      <c r="R114" s="38"/>
      <c r="S114" s="38"/>
      <c r="T114" s="38"/>
      <c r="U114" s="39"/>
      <c r="V114" s="36"/>
      <c r="W114" s="36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33" t="s">
        <v>276</v>
      </c>
      <c r="B115" s="32" t="s">
        <v>182</v>
      </c>
      <c r="C115" s="32" t="s">
        <v>83</v>
      </c>
      <c r="D115" s="32" t="s">
        <v>392</v>
      </c>
      <c r="E115" s="32"/>
      <c r="F115" s="32" t="s">
        <v>225</v>
      </c>
      <c r="G115" s="32" t="s">
        <v>4</v>
      </c>
      <c r="H115" s="32" t="s">
        <v>5</v>
      </c>
      <c r="I115" s="32"/>
      <c r="J115" s="32"/>
      <c r="K115" s="32"/>
      <c r="L115" s="32"/>
      <c r="M115" s="32" t="s">
        <v>372</v>
      </c>
      <c r="N115" s="32"/>
      <c r="O115" s="32" t="s">
        <v>361</v>
      </c>
      <c r="P115" s="32"/>
      <c r="Q115" s="34"/>
      <c r="R115" s="34"/>
      <c r="S115" s="34"/>
      <c r="T115" s="34"/>
      <c r="U115" s="35"/>
      <c r="V115" s="32"/>
      <c r="W115" s="32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37" t="s">
        <v>277</v>
      </c>
      <c r="B116" s="36" t="s">
        <v>211</v>
      </c>
      <c r="C116" s="36" t="s">
        <v>69</v>
      </c>
      <c r="D116" s="36" t="s">
        <v>278</v>
      </c>
      <c r="E116" s="36"/>
      <c r="F116" s="36" t="s">
        <v>279</v>
      </c>
      <c r="G116" s="36" t="s">
        <v>13</v>
      </c>
      <c r="H116" s="36" t="s">
        <v>49</v>
      </c>
      <c r="I116" s="36">
        <v>46147</v>
      </c>
      <c r="J116" s="36"/>
      <c r="K116" s="36"/>
      <c r="L116" s="36"/>
      <c r="M116" s="36" t="s">
        <v>362</v>
      </c>
      <c r="N116" s="36"/>
      <c r="O116" s="36" t="s">
        <v>359</v>
      </c>
      <c r="P116" s="36"/>
      <c r="Q116" s="38"/>
      <c r="R116" s="38"/>
      <c r="S116" s="38"/>
      <c r="T116" s="38"/>
      <c r="U116" s="39"/>
      <c r="V116" s="36"/>
      <c r="W116" s="36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33" t="s">
        <v>280</v>
      </c>
      <c r="B117" s="32" t="s">
        <v>162</v>
      </c>
      <c r="C117" s="32" t="s">
        <v>281</v>
      </c>
      <c r="D117" s="32" t="s">
        <v>282</v>
      </c>
      <c r="E117" s="32"/>
      <c r="F117" s="32"/>
      <c r="G117" s="32" t="s">
        <v>4</v>
      </c>
      <c r="H117" s="32" t="s">
        <v>49</v>
      </c>
      <c r="I117" s="32"/>
      <c r="J117" s="32"/>
      <c r="K117" s="32"/>
      <c r="L117" s="32"/>
      <c r="M117" s="32" t="s">
        <v>372</v>
      </c>
      <c r="N117" s="32" t="s">
        <v>358</v>
      </c>
      <c r="O117" s="32" t="s">
        <v>361</v>
      </c>
      <c r="P117" s="32"/>
      <c r="Q117" s="34"/>
      <c r="R117" s="34"/>
      <c r="S117" s="34"/>
      <c r="T117" s="34"/>
      <c r="U117" s="35"/>
      <c r="V117" s="32"/>
      <c r="W117" s="32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37" t="s">
        <v>283</v>
      </c>
      <c r="B118" s="36" t="s">
        <v>75</v>
      </c>
      <c r="C118" s="36" t="s">
        <v>62</v>
      </c>
      <c r="D118" s="36" t="s">
        <v>393</v>
      </c>
      <c r="E118" s="36"/>
      <c r="F118" s="36" t="s">
        <v>284</v>
      </c>
      <c r="G118" s="36" t="s">
        <v>4</v>
      </c>
      <c r="H118" s="36" t="s">
        <v>14</v>
      </c>
      <c r="I118" s="36"/>
      <c r="J118" s="36"/>
      <c r="K118" s="36"/>
      <c r="L118" s="36"/>
      <c r="M118" s="36" t="s">
        <v>385</v>
      </c>
      <c r="N118" s="36"/>
      <c r="O118" s="36" t="s">
        <v>361</v>
      </c>
      <c r="P118" s="36"/>
      <c r="Q118" s="38"/>
      <c r="R118" s="38"/>
      <c r="S118" s="38"/>
      <c r="T118" s="38"/>
      <c r="U118" s="39"/>
      <c r="V118" s="36"/>
      <c r="W118" s="36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33" t="s">
        <v>285</v>
      </c>
      <c r="B119" s="32" t="s">
        <v>286</v>
      </c>
      <c r="C119" s="32"/>
      <c r="D119" s="32" t="s">
        <v>394</v>
      </c>
      <c r="E119" s="32"/>
      <c r="F119" s="32" t="s">
        <v>287</v>
      </c>
      <c r="G119" s="32" t="s">
        <v>4</v>
      </c>
      <c r="H119" s="32" t="s">
        <v>49</v>
      </c>
      <c r="I119" s="32"/>
      <c r="J119" s="32"/>
      <c r="K119" s="32"/>
      <c r="L119" s="32"/>
      <c r="M119" s="32" t="s">
        <v>375</v>
      </c>
      <c r="N119" s="32"/>
      <c r="O119" s="32" t="s">
        <v>361</v>
      </c>
      <c r="P119" s="32"/>
      <c r="Q119" s="34"/>
      <c r="R119" s="34"/>
      <c r="S119" s="34"/>
      <c r="T119" s="34"/>
      <c r="U119" s="35"/>
      <c r="V119" s="32"/>
      <c r="W119" s="32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37" t="s">
        <v>288</v>
      </c>
      <c r="B120" s="36" t="s">
        <v>286</v>
      </c>
      <c r="C120" s="36" t="s">
        <v>69</v>
      </c>
      <c r="D120" s="36" t="s">
        <v>289</v>
      </c>
      <c r="E120" s="36"/>
      <c r="F120" s="36" t="s">
        <v>290</v>
      </c>
      <c r="G120" s="36" t="s">
        <v>13</v>
      </c>
      <c r="H120" s="36" t="s">
        <v>49</v>
      </c>
      <c r="I120" s="36"/>
      <c r="J120" s="36"/>
      <c r="K120" s="36"/>
      <c r="L120" s="36"/>
      <c r="M120" s="36" t="s">
        <v>372</v>
      </c>
      <c r="N120" s="36"/>
      <c r="O120" s="36" t="s">
        <v>361</v>
      </c>
      <c r="P120" s="36"/>
      <c r="Q120" s="38"/>
      <c r="R120" s="38"/>
      <c r="S120" s="38"/>
      <c r="T120" s="38"/>
      <c r="U120" s="39"/>
      <c r="V120" s="36"/>
      <c r="W120" s="36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33" t="s">
        <v>291</v>
      </c>
      <c r="B121" s="32" t="s">
        <v>75</v>
      </c>
      <c r="C121" s="32" t="s">
        <v>69</v>
      </c>
      <c r="D121" s="32" t="s">
        <v>292</v>
      </c>
      <c r="E121" s="32"/>
      <c r="F121" s="32"/>
      <c r="G121" s="32"/>
      <c r="H121" s="32"/>
      <c r="I121" s="32"/>
      <c r="J121" s="32"/>
      <c r="K121" s="32"/>
      <c r="L121" s="32"/>
      <c r="M121" s="32" t="s">
        <v>367</v>
      </c>
      <c r="N121" s="32"/>
      <c r="O121" s="32"/>
      <c r="P121" s="32"/>
      <c r="Q121" s="34"/>
      <c r="R121" s="34"/>
      <c r="S121" s="34"/>
      <c r="T121" s="34"/>
      <c r="U121" s="35"/>
      <c r="V121" s="32"/>
      <c r="W121" s="32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37" t="s">
        <v>293</v>
      </c>
      <c r="B122" s="36" t="s">
        <v>227</v>
      </c>
      <c r="C122" s="36" t="s">
        <v>116</v>
      </c>
      <c r="D122" s="36" t="s">
        <v>294</v>
      </c>
      <c r="E122" s="36"/>
      <c r="F122" s="36" t="s">
        <v>228</v>
      </c>
      <c r="G122" s="36" t="s">
        <v>13</v>
      </c>
      <c r="H122" s="36" t="s">
        <v>14</v>
      </c>
      <c r="I122" s="36"/>
      <c r="J122" s="36"/>
      <c r="K122" s="36"/>
      <c r="L122" s="36"/>
      <c r="M122" s="36" t="s">
        <v>364</v>
      </c>
      <c r="N122" s="36"/>
      <c r="O122" s="36" t="s">
        <v>365</v>
      </c>
      <c r="P122" s="36"/>
      <c r="Q122" s="38"/>
      <c r="R122" s="38"/>
      <c r="S122" s="38"/>
      <c r="T122" s="38"/>
      <c r="U122" s="39"/>
      <c r="V122" s="36"/>
      <c r="W122" s="36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33" t="s">
        <v>295</v>
      </c>
      <c r="B123" s="32" t="s">
        <v>45</v>
      </c>
      <c r="C123" s="32" t="s">
        <v>296</v>
      </c>
      <c r="D123" s="32" t="s">
        <v>297</v>
      </c>
      <c r="E123" s="32"/>
      <c r="F123" s="32" t="s">
        <v>48</v>
      </c>
      <c r="G123" s="32" t="s">
        <v>13</v>
      </c>
      <c r="H123" s="32" t="s">
        <v>14</v>
      </c>
      <c r="I123" s="32"/>
      <c r="J123" s="32"/>
      <c r="K123" s="32"/>
      <c r="L123" s="32"/>
      <c r="M123" s="32" t="s">
        <v>367</v>
      </c>
      <c r="N123" s="32"/>
      <c r="O123" s="32" t="s">
        <v>363</v>
      </c>
      <c r="P123" s="32"/>
      <c r="Q123" s="34"/>
      <c r="R123" s="34"/>
      <c r="S123" s="34"/>
      <c r="T123" s="34"/>
      <c r="U123" s="35"/>
      <c r="V123" s="32"/>
      <c r="W123" s="32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37" t="s">
        <v>298</v>
      </c>
      <c r="B124" s="36" t="s">
        <v>299</v>
      </c>
      <c r="C124" s="36" t="s">
        <v>16</v>
      </c>
      <c r="D124" s="36" t="s">
        <v>300</v>
      </c>
      <c r="E124" s="36"/>
      <c r="F124" s="36" t="s">
        <v>109</v>
      </c>
      <c r="G124" s="36" t="s">
        <v>4</v>
      </c>
      <c r="H124" s="36" t="s">
        <v>49</v>
      </c>
      <c r="I124" s="36"/>
      <c r="J124" s="36"/>
      <c r="K124" s="36"/>
      <c r="L124" s="36"/>
      <c r="M124" s="36" t="s">
        <v>375</v>
      </c>
      <c r="N124" s="36"/>
      <c r="O124" s="36" t="s">
        <v>361</v>
      </c>
      <c r="P124" s="36"/>
      <c r="Q124" s="38"/>
      <c r="R124" s="38"/>
      <c r="S124" s="38"/>
      <c r="T124" s="38"/>
      <c r="U124" s="39"/>
      <c r="V124" s="36"/>
      <c r="W124" s="36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33" t="s">
        <v>301</v>
      </c>
      <c r="B125" s="32" t="s">
        <v>302</v>
      </c>
      <c r="C125" s="32" t="s">
        <v>69</v>
      </c>
      <c r="D125" s="32" t="s">
        <v>303</v>
      </c>
      <c r="E125" s="32"/>
      <c r="F125" s="32"/>
      <c r="G125" s="32" t="s">
        <v>4</v>
      </c>
      <c r="H125" s="32" t="s">
        <v>49</v>
      </c>
      <c r="I125" s="32"/>
      <c r="J125" s="32"/>
      <c r="K125" s="32"/>
      <c r="L125" s="32"/>
      <c r="M125" s="32" t="s">
        <v>375</v>
      </c>
      <c r="N125" s="32"/>
      <c r="O125" s="32" t="s">
        <v>361</v>
      </c>
      <c r="P125" s="32"/>
      <c r="Q125" s="34"/>
      <c r="R125" s="34"/>
      <c r="S125" s="34"/>
      <c r="T125" s="34"/>
      <c r="U125" s="35"/>
      <c r="V125" s="32"/>
      <c r="W125" s="32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37" t="s">
        <v>304</v>
      </c>
      <c r="B126" s="36" t="s">
        <v>305</v>
      </c>
      <c r="C126" s="36"/>
      <c r="D126" s="36"/>
      <c r="E126" s="36"/>
      <c r="F126" s="36" t="s">
        <v>306</v>
      </c>
      <c r="G126" s="36" t="s">
        <v>13</v>
      </c>
      <c r="H126" s="36"/>
      <c r="I126" s="36"/>
      <c r="J126" s="36"/>
      <c r="K126" s="36"/>
      <c r="L126" s="36"/>
      <c r="M126" s="36" t="s">
        <v>367</v>
      </c>
      <c r="N126" s="36"/>
      <c r="O126" s="36" t="s">
        <v>359</v>
      </c>
      <c r="P126" s="36"/>
      <c r="Q126" s="38"/>
      <c r="R126" s="38"/>
      <c r="S126" s="38"/>
      <c r="T126" s="38"/>
      <c r="U126" s="39"/>
      <c r="V126" s="36"/>
      <c r="W126" s="36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33" t="s">
        <v>307</v>
      </c>
      <c r="B127" s="32" t="s">
        <v>305</v>
      </c>
      <c r="C127" s="32"/>
      <c r="D127" s="32"/>
      <c r="E127" s="32"/>
      <c r="F127" s="32" t="s">
        <v>306</v>
      </c>
      <c r="G127" s="32" t="s">
        <v>308</v>
      </c>
      <c r="H127" s="32"/>
      <c r="I127" s="32"/>
      <c r="J127" s="32"/>
      <c r="K127" s="32"/>
      <c r="L127" s="32"/>
      <c r="M127" s="32" t="s">
        <v>367</v>
      </c>
      <c r="N127" s="32"/>
      <c r="O127" s="32" t="s">
        <v>359</v>
      </c>
      <c r="P127" s="32"/>
      <c r="Q127" s="34"/>
      <c r="R127" s="34"/>
      <c r="S127" s="34"/>
      <c r="T127" s="34"/>
      <c r="U127" s="35"/>
      <c r="V127" s="32"/>
      <c r="W127" s="32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37" t="s">
        <v>309</v>
      </c>
      <c r="B128" s="36" t="s">
        <v>9</v>
      </c>
      <c r="C128" s="36" t="s">
        <v>69</v>
      </c>
      <c r="D128" s="36" t="s">
        <v>310</v>
      </c>
      <c r="E128" s="36"/>
      <c r="F128" s="36" t="s">
        <v>311</v>
      </c>
      <c r="G128" s="36" t="s">
        <v>13</v>
      </c>
      <c r="H128" s="36" t="s">
        <v>49</v>
      </c>
      <c r="I128" s="36"/>
      <c r="J128" s="36"/>
      <c r="K128" s="36"/>
      <c r="L128" s="36"/>
      <c r="M128" s="36" t="s">
        <v>372</v>
      </c>
      <c r="N128" s="36"/>
      <c r="O128" s="36" t="s">
        <v>361</v>
      </c>
      <c r="P128" s="36"/>
      <c r="Q128" s="38"/>
      <c r="R128" s="38"/>
      <c r="S128" s="38"/>
      <c r="T128" s="38"/>
      <c r="U128" s="39"/>
      <c r="V128" s="36"/>
      <c r="W128" s="36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33" t="s">
        <v>312</v>
      </c>
      <c r="B129" s="32" t="s">
        <v>75</v>
      </c>
      <c r="C129" s="32" t="s">
        <v>69</v>
      </c>
      <c r="D129" s="32" t="s">
        <v>313</v>
      </c>
      <c r="E129" s="32"/>
      <c r="F129" s="32" t="s">
        <v>314</v>
      </c>
      <c r="G129" s="32" t="s">
        <v>4</v>
      </c>
      <c r="H129" s="32" t="s">
        <v>49</v>
      </c>
      <c r="I129" s="32"/>
      <c r="J129" s="32"/>
      <c r="K129" s="32"/>
      <c r="L129" s="32"/>
      <c r="M129" s="32" t="s">
        <v>375</v>
      </c>
      <c r="N129" s="32"/>
      <c r="O129" s="32" t="s">
        <v>366</v>
      </c>
      <c r="P129" s="32"/>
      <c r="Q129" s="34"/>
      <c r="R129" s="34"/>
      <c r="S129" s="34"/>
      <c r="T129" s="34"/>
      <c r="U129" s="35"/>
      <c r="V129" s="32"/>
      <c r="W129" s="32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37" t="s">
        <v>315</v>
      </c>
      <c r="B130" s="36" t="s">
        <v>45</v>
      </c>
      <c r="C130" s="36" t="s">
        <v>316</v>
      </c>
      <c r="D130" s="36" t="s">
        <v>317</v>
      </c>
      <c r="E130" s="36"/>
      <c r="F130" s="36"/>
      <c r="G130" s="36" t="s">
        <v>13</v>
      </c>
      <c r="H130" s="36"/>
      <c r="I130" s="36"/>
      <c r="J130" s="36"/>
      <c r="K130" s="36"/>
      <c r="L130" s="36"/>
      <c r="M130" s="36" t="s">
        <v>395</v>
      </c>
      <c r="N130" s="36" t="s">
        <v>370</v>
      </c>
      <c r="O130" s="36" t="s">
        <v>363</v>
      </c>
      <c r="P130" s="36"/>
      <c r="Q130" s="38"/>
      <c r="R130" s="38"/>
      <c r="S130" s="38"/>
      <c r="T130" s="38"/>
      <c r="U130" s="39"/>
      <c r="V130" s="36"/>
      <c r="W130" s="36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33" t="s">
        <v>318</v>
      </c>
      <c r="B131" s="32" t="s">
        <v>45</v>
      </c>
      <c r="C131" s="32" t="s">
        <v>316</v>
      </c>
      <c r="D131" s="32" t="s">
        <v>319</v>
      </c>
      <c r="E131" s="32"/>
      <c r="F131" s="32" t="s">
        <v>48</v>
      </c>
      <c r="G131" s="32" t="s">
        <v>320</v>
      </c>
      <c r="H131" s="32"/>
      <c r="I131" s="32"/>
      <c r="J131" s="32"/>
      <c r="K131" s="32"/>
      <c r="L131" s="32"/>
      <c r="M131" s="32" t="s">
        <v>395</v>
      </c>
      <c r="N131" s="32" t="s">
        <v>370</v>
      </c>
      <c r="O131" s="32" t="s">
        <v>367</v>
      </c>
      <c r="P131" s="32"/>
      <c r="Q131" s="34"/>
      <c r="R131" s="34"/>
      <c r="S131" s="34"/>
      <c r="T131" s="34"/>
      <c r="U131" s="35"/>
      <c r="V131" s="32"/>
      <c r="W131" s="32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37" t="s">
        <v>321</v>
      </c>
      <c r="B132" s="36" t="s">
        <v>45</v>
      </c>
      <c r="C132" s="36" t="s">
        <v>316</v>
      </c>
      <c r="D132" s="36" t="s">
        <v>322</v>
      </c>
      <c r="E132" s="36"/>
      <c r="F132" s="36" t="s">
        <v>48</v>
      </c>
      <c r="G132" s="36" t="s">
        <v>320</v>
      </c>
      <c r="H132" s="36"/>
      <c r="I132" s="36"/>
      <c r="J132" s="36"/>
      <c r="K132" s="36"/>
      <c r="L132" s="36"/>
      <c r="M132" s="36" t="s">
        <v>375</v>
      </c>
      <c r="N132" s="36" t="s">
        <v>370</v>
      </c>
      <c r="O132" s="36" t="s">
        <v>366</v>
      </c>
      <c r="P132" s="36"/>
      <c r="Q132" s="38"/>
      <c r="R132" s="38"/>
      <c r="S132" s="38"/>
      <c r="T132" s="38"/>
      <c r="U132" s="39"/>
      <c r="V132" s="36"/>
      <c r="W132" s="36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33" t="s">
        <v>323</v>
      </c>
      <c r="B133" s="32" t="s">
        <v>305</v>
      </c>
      <c r="C133" s="32"/>
      <c r="D133" s="32"/>
      <c r="E133" s="32"/>
      <c r="F133" s="32" t="s">
        <v>306</v>
      </c>
      <c r="G133" s="32" t="s">
        <v>4</v>
      </c>
      <c r="H133" s="32"/>
      <c r="I133" s="32"/>
      <c r="J133" s="32"/>
      <c r="K133" s="32"/>
      <c r="L133" s="32"/>
      <c r="M133" s="32" t="s">
        <v>367</v>
      </c>
      <c r="N133" s="32"/>
      <c r="O133" s="32" t="s">
        <v>361</v>
      </c>
      <c r="P133" s="32"/>
      <c r="Q133" s="34"/>
      <c r="R133" s="34"/>
      <c r="S133" s="34"/>
      <c r="T133" s="34"/>
      <c r="U133" s="35"/>
      <c r="V133" s="32"/>
      <c r="W133" s="32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37" t="s">
        <v>324</v>
      </c>
      <c r="B134" s="36" t="s">
        <v>75</v>
      </c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 t="s">
        <v>367</v>
      </c>
      <c r="N134" s="36"/>
      <c r="O134" s="36" t="s">
        <v>367</v>
      </c>
      <c r="P134" s="36"/>
      <c r="Q134" s="38"/>
      <c r="R134" s="38"/>
      <c r="S134" s="38"/>
      <c r="T134" s="38"/>
      <c r="U134" s="39"/>
      <c r="V134" s="36"/>
      <c r="W134" s="36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33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4"/>
      <c r="R135" s="34"/>
      <c r="S135" s="34"/>
      <c r="T135" s="34"/>
      <c r="U135" s="35"/>
      <c r="V135" s="32"/>
      <c r="W135" s="32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37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8"/>
      <c r="R136" s="38"/>
      <c r="S136" s="38"/>
      <c r="T136" s="38"/>
      <c r="U136" s="39"/>
      <c r="V136" s="36"/>
      <c r="W136" s="36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33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4"/>
      <c r="R137" s="34"/>
      <c r="S137" s="34"/>
      <c r="T137" s="34"/>
      <c r="U137" s="35"/>
      <c r="V137" s="32"/>
      <c r="W137" s="32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37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8"/>
      <c r="R138" s="38"/>
      <c r="S138" s="38"/>
      <c r="T138" s="38"/>
      <c r="U138" s="39"/>
      <c r="V138" s="36"/>
      <c r="W138" s="36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33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4"/>
      <c r="R139" s="34"/>
      <c r="S139" s="34"/>
      <c r="T139" s="34"/>
      <c r="U139" s="35"/>
      <c r="V139" s="32"/>
      <c r="W139" s="32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37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8"/>
      <c r="R140" s="38"/>
      <c r="S140" s="38"/>
      <c r="T140" s="38"/>
      <c r="U140" s="39"/>
      <c r="V140" s="36"/>
      <c r="W140" s="36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33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4"/>
      <c r="R141" s="34"/>
      <c r="S141" s="34"/>
      <c r="T141" s="34"/>
      <c r="U141" s="35"/>
      <c r="V141" s="32"/>
      <c r="W141" s="32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37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8"/>
      <c r="R142" s="38"/>
      <c r="S142" s="38"/>
      <c r="T142" s="38"/>
      <c r="U142" s="39"/>
      <c r="V142" s="36"/>
      <c r="W142" s="36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33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4"/>
      <c r="R143" s="34"/>
      <c r="S143" s="34"/>
      <c r="T143" s="34"/>
      <c r="U143" s="35"/>
      <c r="V143" s="32"/>
      <c r="W143" s="32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37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8"/>
      <c r="R144" s="38"/>
      <c r="S144" s="38"/>
      <c r="T144" s="38"/>
      <c r="U144" s="39"/>
      <c r="V144" s="36"/>
      <c r="W144" s="36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33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4"/>
      <c r="R145" s="34"/>
      <c r="S145" s="34"/>
      <c r="T145" s="34"/>
      <c r="U145" s="35"/>
      <c r="V145" s="32"/>
      <c r="W145" s="32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37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8"/>
      <c r="R146" s="38"/>
      <c r="S146" s="38"/>
      <c r="T146" s="38"/>
      <c r="U146" s="39"/>
      <c r="V146" s="36"/>
      <c r="W146" s="36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33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4"/>
      <c r="R147" s="34"/>
      <c r="S147" s="34"/>
      <c r="T147" s="34"/>
      <c r="U147" s="35"/>
      <c r="V147" s="32"/>
      <c r="W147" s="32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37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8"/>
      <c r="R148" s="38"/>
      <c r="S148" s="38"/>
      <c r="T148" s="38"/>
      <c r="U148" s="39"/>
      <c r="V148" s="36"/>
      <c r="W148" s="36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33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4"/>
      <c r="R149" s="34"/>
      <c r="S149" s="34"/>
      <c r="T149" s="34"/>
      <c r="U149" s="35"/>
      <c r="V149" s="32"/>
      <c r="W149" s="32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37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8"/>
      <c r="R150" s="38"/>
      <c r="S150" s="38"/>
      <c r="T150" s="38"/>
      <c r="U150" s="39"/>
      <c r="V150" s="36"/>
      <c r="W150" s="36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33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4"/>
      <c r="R151" s="34"/>
      <c r="S151" s="34"/>
      <c r="T151" s="34"/>
      <c r="U151" s="35"/>
      <c r="V151" s="32"/>
      <c r="W151" s="32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37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8"/>
      <c r="R152" s="38"/>
      <c r="S152" s="38"/>
      <c r="T152" s="38"/>
      <c r="U152" s="39"/>
      <c r="V152" s="36"/>
      <c r="W152" s="36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33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4"/>
      <c r="R153" s="34"/>
      <c r="S153" s="34"/>
      <c r="T153" s="34"/>
      <c r="U153" s="35"/>
      <c r="V153" s="32"/>
      <c r="W153" s="32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37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8"/>
      <c r="R154" s="38"/>
      <c r="S154" s="38"/>
      <c r="T154" s="38"/>
      <c r="U154" s="39"/>
      <c r="V154" s="36"/>
      <c r="W154" s="36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33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4"/>
      <c r="R155" s="34"/>
      <c r="S155" s="34"/>
      <c r="T155" s="34"/>
      <c r="U155" s="35"/>
      <c r="V155" s="32"/>
      <c r="W155" s="32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37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8"/>
      <c r="R156" s="38"/>
      <c r="S156" s="38"/>
      <c r="T156" s="38"/>
      <c r="U156" s="39"/>
      <c r="V156" s="36"/>
      <c r="W156" s="36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33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4"/>
      <c r="R157" s="34"/>
      <c r="S157" s="34"/>
      <c r="T157" s="34"/>
      <c r="U157" s="35"/>
      <c r="V157" s="32"/>
      <c r="W157" s="32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37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8"/>
      <c r="R158" s="38"/>
      <c r="S158" s="38"/>
      <c r="T158" s="38"/>
      <c r="U158" s="39"/>
      <c r="V158" s="36"/>
      <c r="W158" s="36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33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4"/>
      <c r="R159" s="34"/>
      <c r="S159" s="34"/>
      <c r="T159" s="34"/>
      <c r="U159" s="35"/>
      <c r="V159" s="32"/>
      <c r="W159" s="32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37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8"/>
      <c r="R160" s="38"/>
      <c r="S160" s="38"/>
      <c r="T160" s="38"/>
      <c r="U160" s="39"/>
      <c r="V160" s="36"/>
      <c r="W160" s="36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33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4"/>
      <c r="R161" s="34"/>
      <c r="S161" s="34"/>
      <c r="T161" s="34"/>
      <c r="U161" s="35"/>
      <c r="V161" s="32"/>
      <c r="W161" s="32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37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8"/>
      <c r="R162" s="38"/>
      <c r="S162" s="38"/>
      <c r="T162" s="38"/>
      <c r="U162" s="39"/>
      <c r="V162" s="36"/>
      <c r="W162" s="36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33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4"/>
      <c r="R163" s="34"/>
      <c r="S163" s="34"/>
      <c r="T163" s="34"/>
      <c r="U163" s="35"/>
      <c r="V163" s="32"/>
      <c r="W163" s="32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37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8"/>
      <c r="R164" s="38"/>
      <c r="S164" s="38"/>
      <c r="T164" s="38"/>
      <c r="U164" s="39"/>
      <c r="V164" s="36"/>
      <c r="W164" s="36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3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439AD-F8B0-4F30-86EC-6FF38AA0E4AD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41" t="s">
        <v>0</v>
      </c>
      <c r="B3" s="40" t="s">
        <v>1</v>
      </c>
      <c r="C3" s="40" t="s">
        <v>2</v>
      </c>
      <c r="D3" s="40">
        <v>35381421000194</v>
      </c>
      <c r="E3" s="40"/>
      <c r="F3" s="40" t="s">
        <v>3</v>
      </c>
      <c r="G3" s="40" t="s">
        <v>4</v>
      </c>
      <c r="H3" s="40" t="s">
        <v>5</v>
      </c>
      <c r="I3" s="40" t="s">
        <v>341</v>
      </c>
      <c r="J3" s="40"/>
      <c r="K3" s="40"/>
      <c r="L3" s="40"/>
      <c r="M3" s="40"/>
      <c r="N3" s="40"/>
      <c r="O3" s="40"/>
      <c r="P3" s="40"/>
      <c r="Q3" s="42"/>
      <c r="R3" s="42"/>
      <c r="S3" s="42"/>
      <c r="T3" s="42"/>
      <c r="U3" s="43"/>
      <c r="V3" s="40"/>
      <c r="W3" s="40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45" t="s">
        <v>6</v>
      </c>
      <c r="B4" s="44" t="s">
        <v>1</v>
      </c>
      <c r="C4" s="44" t="s">
        <v>2</v>
      </c>
      <c r="D4" s="44" t="s">
        <v>7</v>
      </c>
      <c r="E4" s="44"/>
      <c r="F4" s="44" t="s">
        <v>3</v>
      </c>
      <c r="G4" s="44" t="s">
        <v>4</v>
      </c>
      <c r="H4" s="44" t="s">
        <v>5</v>
      </c>
      <c r="I4" s="44" t="s">
        <v>341</v>
      </c>
      <c r="J4" s="44"/>
      <c r="K4" s="44"/>
      <c r="L4" s="44"/>
      <c r="M4" s="44"/>
      <c r="N4" s="44"/>
      <c r="O4" s="44"/>
      <c r="P4" s="44"/>
      <c r="Q4" s="46"/>
      <c r="R4" s="46"/>
      <c r="S4" s="46"/>
      <c r="T4" s="46"/>
      <c r="U4" s="47"/>
      <c r="V4" s="44"/>
      <c r="W4" s="44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41" t="s">
        <v>8</v>
      </c>
      <c r="B5" s="40" t="s">
        <v>9</v>
      </c>
      <c r="C5" s="40" t="s">
        <v>10</v>
      </c>
      <c r="D5" s="40" t="s">
        <v>11</v>
      </c>
      <c r="E5" s="40"/>
      <c r="F5" s="40" t="s">
        <v>12</v>
      </c>
      <c r="G5" s="40" t="s">
        <v>13</v>
      </c>
      <c r="H5" s="40" t="s">
        <v>14</v>
      </c>
      <c r="I5" s="40" t="s">
        <v>341</v>
      </c>
      <c r="J5" s="40"/>
      <c r="K5" s="40"/>
      <c r="L5" s="40"/>
      <c r="M5" s="40"/>
      <c r="N5" s="40"/>
      <c r="O5" s="40"/>
      <c r="P5" s="40"/>
      <c r="Q5" s="42"/>
      <c r="R5" s="42"/>
      <c r="S5" s="42"/>
      <c r="T5" s="42"/>
      <c r="U5" s="43"/>
      <c r="V5" s="40"/>
      <c r="W5" s="40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45" t="s">
        <v>15</v>
      </c>
      <c r="B6" s="44" t="s">
        <v>9</v>
      </c>
      <c r="C6" s="44" t="s">
        <v>16</v>
      </c>
      <c r="D6" s="44" t="s">
        <v>17</v>
      </c>
      <c r="E6" s="44"/>
      <c r="F6" s="44" t="s">
        <v>12</v>
      </c>
      <c r="G6" s="44" t="s">
        <v>13</v>
      </c>
      <c r="H6" s="44" t="s">
        <v>14</v>
      </c>
      <c r="I6" s="44" t="s">
        <v>341</v>
      </c>
      <c r="J6" s="44" t="s">
        <v>341</v>
      </c>
      <c r="K6" s="44" t="s">
        <v>341</v>
      </c>
      <c r="L6" s="44" t="s">
        <v>341</v>
      </c>
      <c r="M6" s="44" t="s">
        <v>341</v>
      </c>
      <c r="N6" s="44" t="s">
        <v>341</v>
      </c>
      <c r="O6" s="44" t="s">
        <v>341</v>
      </c>
      <c r="P6" s="44" t="s">
        <v>341</v>
      </c>
      <c r="Q6" s="46"/>
      <c r="R6" s="46"/>
      <c r="S6" s="46"/>
      <c r="T6" s="46"/>
      <c r="U6" s="47"/>
      <c r="V6" s="44"/>
      <c r="W6" s="44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41" t="s">
        <v>18</v>
      </c>
      <c r="B7" s="40" t="s">
        <v>9</v>
      </c>
      <c r="C7" s="40" t="s">
        <v>19</v>
      </c>
      <c r="D7" s="40" t="s">
        <v>20</v>
      </c>
      <c r="E7" s="40"/>
      <c r="F7" s="40" t="s">
        <v>12</v>
      </c>
      <c r="G7" s="40" t="s">
        <v>13</v>
      </c>
      <c r="H7" s="40" t="s">
        <v>14</v>
      </c>
      <c r="I7" s="40" t="s">
        <v>341</v>
      </c>
      <c r="J7" s="40" t="s">
        <v>341</v>
      </c>
      <c r="K7" s="40" t="s">
        <v>341</v>
      </c>
      <c r="L7" s="40" t="s">
        <v>341</v>
      </c>
      <c r="M7" s="40" t="s">
        <v>341</v>
      </c>
      <c r="N7" s="40" t="s">
        <v>341</v>
      </c>
      <c r="O7" s="40" t="s">
        <v>341</v>
      </c>
      <c r="P7" s="40" t="s">
        <v>341</v>
      </c>
      <c r="Q7" s="42"/>
      <c r="R7" s="42"/>
      <c r="S7" s="42"/>
      <c r="T7" s="42"/>
      <c r="U7" s="43"/>
      <c r="V7" s="40"/>
      <c r="W7" s="40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45" t="s">
        <v>21</v>
      </c>
      <c r="B8" s="44" t="s">
        <v>9</v>
      </c>
      <c r="C8" s="44" t="s">
        <v>19</v>
      </c>
      <c r="D8" s="44" t="s">
        <v>22</v>
      </c>
      <c r="E8" s="44"/>
      <c r="F8" s="44" t="s">
        <v>12</v>
      </c>
      <c r="G8" s="44" t="s">
        <v>13</v>
      </c>
      <c r="H8" s="44" t="s">
        <v>14</v>
      </c>
      <c r="I8" s="44" t="s">
        <v>341</v>
      </c>
      <c r="J8" s="44" t="s">
        <v>341</v>
      </c>
      <c r="K8" s="44" t="s">
        <v>341</v>
      </c>
      <c r="L8" s="44" t="s">
        <v>341</v>
      </c>
      <c r="M8" s="44" t="s">
        <v>341</v>
      </c>
      <c r="N8" s="44" t="s">
        <v>341</v>
      </c>
      <c r="O8" s="44" t="s">
        <v>341</v>
      </c>
      <c r="P8" s="44" t="s">
        <v>341</v>
      </c>
      <c r="Q8" s="46"/>
      <c r="R8" s="46"/>
      <c r="S8" s="46"/>
      <c r="T8" s="46"/>
      <c r="U8" s="47"/>
      <c r="V8" s="44"/>
      <c r="W8" s="44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41" t="s">
        <v>23</v>
      </c>
      <c r="B9" s="40" t="s">
        <v>9</v>
      </c>
      <c r="C9" s="40" t="s">
        <v>24</v>
      </c>
      <c r="D9" s="40" t="s">
        <v>25</v>
      </c>
      <c r="E9" s="40"/>
      <c r="F9" s="40" t="s">
        <v>12</v>
      </c>
      <c r="G9" s="40" t="s">
        <v>13</v>
      </c>
      <c r="H9" s="40" t="s">
        <v>14</v>
      </c>
      <c r="I9" s="40" t="s">
        <v>341</v>
      </c>
      <c r="J9" s="40" t="s">
        <v>341</v>
      </c>
      <c r="K9" s="40" t="s">
        <v>341</v>
      </c>
      <c r="L9" s="40" t="s">
        <v>341</v>
      </c>
      <c r="M9" s="40" t="s">
        <v>341</v>
      </c>
      <c r="N9" s="40" t="s">
        <v>341</v>
      </c>
      <c r="O9" s="40" t="s">
        <v>341</v>
      </c>
      <c r="P9" s="40" t="s">
        <v>341</v>
      </c>
      <c r="Q9" s="42"/>
      <c r="R9" s="42"/>
      <c r="S9" s="42"/>
      <c r="T9" s="42"/>
      <c r="U9" s="43"/>
      <c r="V9" s="40"/>
      <c r="W9" s="40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45" t="s">
        <v>26</v>
      </c>
      <c r="B10" s="44" t="s">
        <v>9</v>
      </c>
      <c r="C10" s="44" t="s">
        <v>27</v>
      </c>
      <c r="D10" s="44" t="s">
        <v>28</v>
      </c>
      <c r="E10" s="44"/>
      <c r="F10" s="44" t="s">
        <v>12</v>
      </c>
      <c r="G10" s="44" t="s">
        <v>13</v>
      </c>
      <c r="H10" s="44" t="s">
        <v>14</v>
      </c>
      <c r="I10" s="44" t="s">
        <v>341</v>
      </c>
      <c r="J10" s="44" t="s">
        <v>341</v>
      </c>
      <c r="K10" s="44" t="s">
        <v>341</v>
      </c>
      <c r="L10" s="44" t="s">
        <v>341</v>
      </c>
      <c r="M10" s="44" t="s">
        <v>341</v>
      </c>
      <c r="N10" s="44" t="s">
        <v>341</v>
      </c>
      <c r="O10" s="44" t="s">
        <v>341</v>
      </c>
      <c r="P10" s="44" t="s">
        <v>341</v>
      </c>
      <c r="Q10" s="46"/>
      <c r="R10" s="46"/>
      <c r="S10" s="46"/>
      <c r="T10" s="46"/>
      <c r="U10" s="47"/>
      <c r="V10" s="44"/>
      <c r="W10" s="44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41" t="s">
        <v>29</v>
      </c>
      <c r="B11" s="40" t="s">
        <v>9</v>
      </c>
      <c r="C11" s="40" t="s">
        <v>16</v>
      </c>
      <c r="D11" s="40" t="s">
        <v>30</v>
      </c>
      <c r="E11" s="40"/>
      <c r="F11" s="40" t="s">
        <v>12</v>
      </c>
      <c r="G11" s="40" t="s">
        <v>13</v>
      </c>
      <c r="H11" s="40" t="s">
        <v>14</v>
      </c>
      <c r="I11" s="40" t="s">
        <v>341</v>
      </c>
      <c r="J11" s="40" t="s">
        <v>341</v>
      </c>
      <c r="K11" s="40" t="s">
        <v>341</v>
      </c>
      <c r="L11" s="40" t="s">
        <v>341</v>
      </c>
      <c r="M11" s="40" t="s">
        <v>341</v>
      </c>
      <c r="N11" s="40" t="s">
        <v>341</v>
      </c>
      <c r="O11" s="40" t="s">
        <v>341</v>
      </c>
      <c r="P11" s="40" t="s">
        <v>341</v>
      </c>
      <c r="Q11" s="42"/>
      <c r="R11" s="42"/>
      <c r="S11" s="42"/>
      <c r="T11" s="42"/>
      <c r="U11" s="43"/>
      <c r="V11" s="40"/>
      <c r="W11" s="40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45" t="s">
        <v>31</v>
      </c>
      <c r="B12" s="44" t="s">
        <v>9</v>
      </c>
      <c r="C12" s="44" t="s">
        <v>24</v>
      </c>
      <c r="D12" s="44" t="s">
        <v>32</v>
      </c>
      <c r="E12" s="44"/>
      <c r="F12" s="44" t="s">
        <v>12</v>
      </c>
      <c r="G12" s="44" t="s">
        <v>13</v>
      </c>
      <c r="H12" s="44" t="s">
        <v>14</v>
      </c>
      <c r="I12" s="44" t="s">
        <v>341</v>
      </c>
      <c r="J12" s="44" t="s">
        <v>341</v>
      </c>
      <c r="K12" s="44" t="s">
        <v>341</v>
      </c>
      <c r="L12" s="44" t="s">
        <v>341</v>
      </c>
      <c r="M12" s="44" t="s">
        <v>341</v>
      </c>
      <c r="N12" s="44" t="s">
        <v>341</v>
      </c>
      <c r="O12" s="44" t="s">
        <v>341</v>
      </c>
      <c r="P12" s="44" t="s">
        <v>341</v>
      </c>
      <c r="Q12" s="46"/>
      <c r="R12" s="46"/>
      <c r="S12" s="46"/>
      <c r="T12" s="46"/>
      <c r="U12" s="47"/>
      <c r="V12" s="44"/>
      <c r="W12" s="44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41" t="s">
        <v>33</v>
      </c>
      <c r="B13" s="40" t="s">
        <v>9</v>
      </c>
      <c r="C13" s="40" t="s">
        <v>24</v>
      </c>
      <c r="D13" s="40" t="s">
        <v>34</v>
      </c>
      <c r="E13" s="40"/>
      <c r="F13" s="40" t="s">
        <v>12</v>
      </c>
      <c r="G13" s="40" t="s">
        <v>13</v>
      </c>
      <c r="H13" s="40" t="s">
        <v>14</v>
      </c>
      <c r="I13" s="40" t="s">
        <v>341</v>
      </c>
      <c r="J13" s="40" t="s">
        <v>341</v>
      </c>
      <c r="K13" s="40" t="s">
        <v>341</v>
      </c>
      <c r="L13" s="40" t="s">
        <v>341</v>
      </c>
      <c r="M13" s="40" t="s">
        <v>341</v>
      </c>
      <c r="N13" s="40" t="s">
        <v>341</v>
      </c>
      <c r="O13" s="40" t="s">
        <v>341</v>
      </c>
      <c r="P13" s="40" t="s">
        <v>341</v>
      </c>
      <c r="Q13" s="42"/>
      <c r="R13" s="42"/>
      <c r="S13" s="42"/>
      <c r="T13" s="42"/>
      <c r="U13" s="43"/>
      <c r="V13" s="40"/>
      <c r="W13" s="40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45" t="s">
        <v>35</v>
      </c>
      <c r="B14" s="44" t="s">
        <v>9</v>
      </c>
      <c r="C14" s="44" t="s">
        <v>24</v>
      </c>
      <c r="D14" s="44" t="s">
        <v>36</v>
      </c>
      <c r="E14" s="44"/>
      <c r="F14" s="44" t="s">
        <v>37</v>
      </c>
      <c r="G14" s="44" t="s">
        <v>13</v>
      </c>
      <c r="H14" s="44" t="s">
        <v>14</v>
      </c>
      <c r="I14" s="44" t="s">
        <v>341</v>
      </c>
      <c r="J14" s="44" t="s">
        <v>341</v>
      </c>
      <c r="K14" s="44" t="s">
        <v>341</v>
      </c>
      <c r="L14" s="44" t="s">
        <v>341</v>
      </c>
      <c r="M14" s="44" t="s">
        <v>341</v>
      </c>
      <c r="N14" s="44" t="s">
        <v>341</v>
      </c>
      <c r="O14" s="44" t="s">
        <v>341</v>
      </c>
      <c r="P14" s="44" t="s">
        <v>341</v>
      </c>
      <c r="Q14" s="46"/>
      <c r="R14" s="46"/>
      <c r="S14" s="46"/>
      <c r="T14" s="46"/>
      <c r="U14" s="47"/>
      <c r="V14" s="44"/>
      <c r="W14" s="44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41" t="s">
        <v>38</v>
      </c>
      <c r="B15" s="40" t="s">
        <v>9</v>
      </c>
      <c r="C15" s="40" t="s">
        <v>16</v>
      </c>
      <c r="D15" s="40" t="s">
        <v>39</v>
      </c>
      <c r="E15" s="40"/>
      <c r="F15" s="40" t="s">
        <v>37</v>
      </c>
      <c r="G15" s="40" t="s">
        <v>13</v>
      </c>
      <c r="H15" s="40" t="s">
        <v>14</v>
      </c>
      <c r="I15" s="40" t="s">
        <v>341</v>
      </c>
      <c r="J15" s="40" t="s">
        <v>341</v>
      </c>
      <c r="K15" s="40" t="s">
        <v>341</v>
      </c>
      <c r="L15" s="40" t="s">
        <v>341</v>
      </c>
      <c r="M15" s="40" t="s">
        <v>341</v>
      </c>
      <c r="N15" s="40" t="s">
        <v>341</v>
      </c>
      <c r="O15" s="40" t="s">
        <v>341</v>
      </c>
      <c r="P15" s="40" t="s">
        <v>341</v>
      </c>
      <c r="Q15" s="42"/>
      <c r="R15" s="42"/>
      <c r="S15" s="42"/>
      <c r="T15" s="42"/>
      <c r="U15" s="43"/>
      <c r="V15" s="40"/>
      <c r="W15" s="40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45" t="s">
        <v>40</v>
      </c>
      <c r="B16" s="44" t="s">
        <v>9</v>
      </c>
      <c r="C16" s="44" t="s">
        <v>24</v>
      </c>
      <c r="D16" s="44">
        <v>17608570000161</v>
      </c>
      <c r="E16" s="44"/>
      <c r="F16" s="44" t="s">
        <v>12</v>
      </c>
      <c r="G16" s="44" t="s">
        <v>41</v>
      </c>
      <c r="H16" s="44" t="s">
        <v>5</v>
      </c>
      <c r="I16" s="44" t="s">
        <v>341</v>
      </c>
      <c r="J16" s="44" t="s">
        <v>341</v>
      </c>
      <c r="K16" s="44" t="s">
        <v>341</v>
      </c>
      <c r="L16" s="44" t="s">
        <v>341</v>
      </c>
      <c r="M16" s="44" t="s">
        <v>341</v>
      </c>
      <c r="N16" s="44" t="s">
        <v>341</v>
      </c>
      <c r="O16" s="44" t="s">
        <v>341</v>
      </c>
      <c r="P16" s="44" t="s">
        <v>341</v>
      </c>
      <c r="Q16" s="46"/>
      <c r="R16" s="46"/>
      <c r="S16" s="46"/>
      <c r="T16" s="46"/>
      <c r="U16" s="47"/>
      <c r="V16" s="44"/>
      <c r="W16" s="44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41" t="s">
        <v>42</v>
      </c>
      <c r="B17" s="40" t="s">
        <v>9</v>
      </c>
      <c r="C17" s="40" t="s">
        <v>24</v>
      </c>
      <c r="D17" s="40" t="s">
        <v>43</v>
      </c>
      <c r="E17" s="40"/>
      <c r="F17" s="40" t="s">
        <v>12</v>
      </c>
      <c r="G17" s="40" t="s">
        <v>41</v>
      </c>
      <c r="H17" s="40" t="s">
        <v>5</v>
      </c>
      <c r="I17" s="40"/>
      <c r="J17" s="40"/>
      <c r="K17" s="40"/>
      <c r="L17" s="40"/>
      <c r="M17" s="40" t="s">
        <v>372</v>
      </c>
      <c r="N17" s="40"/>
      <c r="O17" s="40" t="s">
        <v>342</v>
      </c>
      <c r="P17" s="40" t="s">
        <v>343</v>
      </c>
      <c r="Q17" s="42"/>
      <c r="R17" s="42"/>
      <c r="S17" s="42"/>
      <c r="T17" s="42"/>
      <c r="U17" s="43"/>
      <c r="V17" s="40"/>
      <c r="W17" s="40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45" t="s">
        <v>44</v>
      </c>
      <c r="B18" s="44" t="s">
        <v>45</v>
      </c>
      <c r="C18" s="44" t="s">
        <v>46</v>
      </c>
      <c r="D18" s="44" t="s">
        <v>47</v>
      </c>
      <c r="E18" s="44"/>
      <c r="F18" s="44" t="s">
        <v>48</v>
      </c>
      <c r="G18" s="44" t="s">
        <v>13</v>
      </c>
      <c r="H18" s="44" t="s">
        <v>49</v>
      </c>
      <c r="I18" s="44"/>
      <c r="J18" s="44"/>
      <c r="K18" s="44"/>
      <c r="L18" s="44"/>
      <c r="M18" s="44" t="s">
        <v>373</v>
      </c>
      <c r="N18" s="44"/>
      <c r="O18" s="44" t="s">
        <v>344</v>
      </c>
      <c r="P18" s="44"/>
      <c r="Q18" s="46"/>
      <c r="R18" s="46"/>
      <c r="S18" s="46"/>
      <c r="T18" s="46"/>
      <c r="U18" s="47"/>
      <c r="V18" s="44"/>
      <c r="W18" s="44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41" t="s">
        <v>50</v>
      </c>
      <c r="B19" s="40" t="s">
        <v>45</v>
      </c>
      <c r="C19" s="40" t="s">
        <v>46</v>
      </c>
      <c r="D19" s="40" t="s">
        <v>51</v>
      </c>
      <c r="E19" s="40"/>
      <c r="F19" s="40" t="s">
        <v>48</v>
      </c>
      <c r="G19" s="40" t="s">
        <v>13</v>
      </c>
      <c r="H19" s="40" t="s">
        <v>49</v>
      </c>
      <c r="I19" s="40"/>
      <c r="J19" s="40"/>
      <c r="K19" s="40"/>
      <c r="L19" s="40"/>
      <c r="M19" s="40" t="s">
        <v>373</v>
      </c>
      <c r="N19" s="40"/>
      <c r="O19" s="40" t="s">
        <v>344</v>
      </c>
      <c r="P19" s="40"/>
      <c r="Q19" s="42"/>
      <c r="R19" s="42"/>
      <c r="S19" s="42"/>
      <c r="T19" s="42"/>
      <c r="U19" s="43"/>
      <c r="V19" s="40"/>
      <c r="W19" s="40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45" t="s">
        <v>52</v>
      </c>
      <c r="B20" s="44" t="s">
        <v>45</v>
      </c>
      <c r="C20" s="44" t="s">
        <v>46</v>
      </c>
      <c r="D20" s="44" t="s">
        <v>53</v>
      </c>
      <c r="E20" s="44"/>
      <c r="F20" s="44" t="s">
        <v>48</v>
      </c>
      <c r="G20" s="44" t="s">
        <v>13</v>
      </c>
      <c r="H20" s="44" t="s">
        <v>14</v>
      </c>
      <c r="I20" s="44"/>
      <c r="J20" s="44"/>
      <c r="K20" s="44"/>
      <c r="L20" s="44"/>
      <c r="M20" s="44" t="s">
        <v>373</v>
      </c>
      <c r="N20" s="44"/>
      <c r="O20" s="44" t="s">
        <v>344</v>
      </c>
      <c r="P20" s="44"/>
      <c r="Q20" s="46"/>
      <c r="R20" s="46"/>
      <c r="S20" s="46"/>
      <c r="T20" s="46"/>
      <c r="U20" s="47"/>
      <c r="V20" s="44"/>
      <c r="W20" s="44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41" t="s">
        <v>54</v>
      </c>
      <c r="B21" s="40" t="s">
        <v>55</v>
      </c>
      <c r="C21" s="40" t="s">
        <v>56</v>
      </c>
      <c r="D21" s="40">
        <v>57123358000129</v>
      </c>
      <c r="E21" s="40"/>
      <c r="F21" s="40" t="s">
        <v>57</v>
      </c>
      <c r="G21" s="40" t="s">
        <v>4</v>
      </c>
      <c r="H21" s="40" t="s">
        <v>14</v>
      </c>
      <c r="I21" s="40"/>
      <c r="J21" s="40"/>
      <c r="K21" s="40"/>
      <c r="L21" s="40"/>
      <c r="M21" s="40" t="s">
        <v>372</v>
      </c>
      <c r="N21" s="40"/>
      <c r="O21" s="40" t="s">
        <v>346</v>
      </c>
      <c r="P21" s="40"/>
      <c r="Q21" s="42"/>
      <c r="R21" s="42"/>
      <c r="S21" s="42"/>
      <c r="T21" s="42"/>
      <c r="U21" s="43"/>
      <c r="V21" s="40"/>
      <c r="W21" s="40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45" t="s">
        <v>58</v>
      </c>
      <c r="B22" s="44" t="s">
        <v>45</v>
      </c>
      <c r="C22" s="44" t="s">
        <v>59</v>
      </c>
      <c r="D22" s="44">
        <v>40870380000130</v>
      </c>
      <c r="E22" s="44"/>
      <c r="F22" s="44" t="s">
        <v>48</v>
      </c>
      <c r="G22" s="44" t="s">
        <v>4</v>
      </c>
      <c r="H22" s="44" t="s">
        <v>14</v>
      </c>
      <c r="I22" s="44"/>
      <c r="J22" s="44"/>
      <c r="K22" s="44"/>
      <c r="L22" s="44"/>
      <c r="M22" s="44" t="s">
        <v>374</v>
      </c>
      <c r="N22" s="44"/>
      <c r="O22" s="44" t="s">
        <v>345</v>
      </c>
      <c r="P22" s="44"/>
      <c r="Q22" s="46"/>
      <c r="R22" s="46"/>
      <c r="S22" s="46"/>
      <c r="T22" s="46"/>
      <c r="U22" s="47"/>
      <c r="V22" s="44"/>
      <c r="W22" s="44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41" t="s">
        <v>60</v>
      </c>
      <c r="B23" s="40" t="s">
        <v>61</v>
      </c>
      <c r="C23" s="40" t="s">
        <v>62</v>
      </c>
      <c r="D23" s="40">
        <v>26837949000134</v>
      </c>
      <c r="E23" s="40"/>
      <c r="F23" s="40" t="s">
        <v>63</v>
      </c>
      <c r="G23" s="40" t="s">
        <v>41</v>
      </c>
      <c r="H23" s="40" t="s">
        <v>5</v>
      </c>
      <c r="I23" s="40"/>
      <c r="J23" s="40"/>
      <c r="K23" s="40"/>
      <c r="L23" s="40"/>
      <c r="M23" s="40" t="s">
        <v>375</v>
      </c>
      <c r="N23" s="40"/>
      <c r="O23" s="40"/>
      <c r="P23" s="40"/>
      <c r="Q23" s="42"/>
      <c r="R23" s="42"/>
      <c r="S23" s="42"/>
      <c r="T23" s="42"/>
      <c r="U23" s="43"/>
      <c r="V23" s="40"/>
      <c r="W23" s="40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45" t="s">
        <v>64</v>
      </c>
      <c r="B24" s="44" t="s">
        <v>65</v>
      </c>
      <c r="C24" s="44" t="s">
        <v>62</v>
      </c>
      <c r="D24" s="44">
        <v>12923820000134</v>
      </c>
      <c r="E24" s="44"/>
      <c r="F24" s="44" t="s">
        <v>66</v>
      </c>
      <c r="G24" s="44" t="s">
        <v>13</v>
      </c>
      <c r="H24" s="44" t="s">
        <v>49</v>
      </c>
      <c r="I24" s="44"/>
      <c r="J24" s="44"/>
      <c r="K24" s="44"/>
      <c r="L24" s="44"/>
      <c r="M24" s="44" t="s">
        <v>373</v>
      </c>
      <c r="N24" s="44"/>
      <c r="O24" s="44" t="s">
        <v>344</v>
      </c>
      <c r="P24" s="44"/>
      <c r="Q24" s="46"/>
      <c r="R24" s="46"/>
      <c r="S24" s="46"/>
      <c r="T24" s="46"/>
      <c r="U24" s="47"/>
      <c r="V24" s="44"/>
      <c r="W24" s="44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41" t="s">
        <v>67</v>
      </c>
      <c r="B25" s="40" t="s">
        <v>68</v>
      </c>
      <c r="C25" s="40" t="s">
        <v>69</v>
      </c>
      <c r="D25" s="40" t="s">
        <v>70</v>
      </c>
      <c r="E25" s="40"/>
      <c r="F25" s="40" t="s">
        <v>71</v>
      </c>
      <c r="G25" s="40" t="s">
        <v>4</v>
      </c>
      <c r="H25" s="40" t="s">
        <v>49</v>
      </c>
      <c r="I25" s="40"/>
      <c r="J25" s="40"/>
      <c r="K25" s="40"/>
      <c r="L25" s="40"/>
      <c r="M25" s="40" t="s">
        <v>375</v>
      </c>
      <c r="N25" s="40"/>
      <c r="O25" s="40" t="s">
        <v>346</v>
      </c>
      <c r="P25" s="40"/>
      <c r="Q25" s="42"/>
      <c r="R25" s="42"/>
      <c r="S25" s="42"/>
      <c r="T25" s="42"/>
      <c r="U25" s="43"/>
      <c r="V25" s="40"/>
      <c r="W25" s="40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45" t="s">
        <v>72</v>
      </c>
      <c r="B26" s="44" t="s">
        <v>9</v>
      </c>
      <c r="C26" s="44" t="s">
        <v>24</v>
      </c>
      <c r="D26" s="44">
        <v>41597807000130</v>
      </c>
      <c r="E26" s="44"/>
      <c r="F26" s="44" t="s">
        <v>73</v>
      </c>
      <c r="G26" s="44" t="s">
        <v>4</v>
      </c>
      <c r="H26" s="44" t="s">
        <v>5</v>
      </c>
      <c r="I26" s="44"/>
      <c r="J26" s="44"/>
      <c r="K26" s="44"/>
      <c r="L26" s="44"/>
      <c r="M26" s="44" t="s">
        <v>375</v>
      </c>
      <c r="N26" s="44"/>
      <c r="O26" s="44" t="s">
        <v>344</v>
      </c>
      <c r="P26" s="44"/>
      <c r="Q26" s="46"/>
      <c r="R26" s="46"/>
      <c r="S26" s="46"/>
      <c r="T26" s="46"/>
      <c r="U26" s="47"/>
      <c r="V26" s="44"/>
      <c r="W26" s="44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41" t="s">
        <v>74</v>
      </c>
      <c r="B27" s="40" t="s">
        <v>75</v>
      </c>
      <c r="C27" s="40" t="s">
        <v>62</v>
      </c>
      <c r="D27" s="40">
        <v>21430001000146</v>
      </c>
      <c r="E27" s="40"/>
      <c r="F27" s="40" t="s">
        <v>76</v>
      </c>
      <c r="G27" s="40" t="s">
        <v>4</v>
      </c>
      <c r="H27" s="40" t="s">
        <v>5</v>
      </c>
      <c r="I27" s="40"/>
      <c r="J27" s="40"/>
      <c r="K27" s="40"/>
      <c r="L27" s="40"/>
      <c r="M27" s="40" t="s">
        <v>373</v>
      </c>
      <c r="N27" s="40"/>
      <c r="O27" s="40" t="s">
        <v>344</v>
      </c>
      <c r="P27" s="40"/>
      <c r="Q27" s="42"/>
      <c r="R27" s="42"/>
      <c r="S27" s="42"/>
      <c r="T27" s="42"/>
      <c r="U27" s="43"/>
      <c r="V27" s="40"/>
      <c r="W27" s="40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45" t="s">
        <v>77</v>
      </c>
      <c r="B28" s="44" t="s">
        <v>78</v>
      </c>
      <c r="C28" s="44" t="s">
        <v>79</v>
      </c>
      <c r="D28" s="44" t="s">
        <v>80</v>
      </c>
      <c r="E28" s="44"/>
      <c r="F28" s="44" t="s">
        <v>81</v>
      </c>
      <c r="G28" s="44" t="s">
        <v>13</v>
      </c>
      <c r="H28" s="44" t="s">
        <v>49</v>
      </c>
      <c r="I28" s="44"/>
      <c r="J28" s="44"/>
      <c r="K28" s="44"/>
      <c r="L28" s="44"/>
      <c r="M28" s="44" t="s">
        <v>373</v>
      </c>
      <c r="N28" s="44"/>
      <c r="O28" s="44" t="s">
        <v>344</v>
      </c>
      <c r="P28" s="44"/>
      <c r="Q28" s="46"/>
      <c r="R28" s="46"/>
      <c r="S28" s="46"/>
      <c r="T28" s="46"/>
      <c r="U28" s="47"/>
      <c r="V28" s="44"/>
      <c r="W28" s="44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41" t="s">
        <v>82</v>
      </c>
      <c r="B29" s="40" t="s">
        <v>78</v>
      </c>
      <c r="C29" s="40" t="s">
        <v>83</v>
      </c>
      <c r="D29" s="40">
        <v>62220305000166</v>
      </c>
      <c r="E29" s="40"/>
      <c r="F29" s="40" t="s">
        <v>81</v>
      </c>
      <c r="G29" s="40" t="s">
        <v>4</v>
      </c>
      <c r="H29" s="40" t="s">
        <v>5</v>
      </c>
      <c r="I29" s="40"/>
      <c r="J29" s="40"/>
      <c r="K29" s="40"/>
      <c r="L29" s="40"/>
      <c r="M29" s="40" t="s">
        <v>374</v>
      </c>
      <c r="N29" s="40"/>
      <c r="O29" s="40" t="s">
        <v>346</v>
      </c>
      <c r="P29" s="40"/>
      <c r="Q29" s="42"/>
      <c r="R29" s="42"/>
      <c r="S29" s="42"/>
      <c r="T29" s="42"/>
      <c r="U29" s="43"/>
      <c r="V29" s="40"/>
      <c r="W29" s="40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45" t="s">
        <v>84</v>
      </c>
      <c r="B30" s="44" t="s">
        <v>85</v>
      </c>
      <c r="C30" s="44" t="s">
        <v>46</v>
      </c>
      <c r="D30" s="44">
        <v>10712858000132</v>
      </c>
      <c r="E30" s="44"/>
      <c r="F30" s="44" t="s">
        <v>86</v>
      </c>
      <c r="G30" s="44" t="s">
        <v>13</v>
      </c>
      <c r="H30" s="44" t="s">
        <v>5</v>
      </c>
      <c r="I30" s="44"/>
      <c r="J30" s="44"/>
      <c r="K30" s="44"/>
      <c r="L30" s="44"/>
      <c r="M30" s="44" t="s">
        <v>373</v>
      </c>
      <c r="N30" s="44"/>
      <c r="O30" s="44" t="s">
        <v>346</v>
      </c>
      <c r="P30" s="44"/>
      <c r="Q30" s="46"/>
      <c r="R30" s="46"/>
      <c r="S30" s="46"/>
      <c r="T30" s="46"/>
      <c r="U30" s="47"/>
      <c r="V30" s="44"/>
      <c r="W30" s="44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41" t="s">
        <v>87</v>
      </c>
      <c r="B31" s="40" t="s">
        <v>61</v>
      </c>
      <c r="C31" s="40" t="s">
        <v>62</v>
      </c>
      <c r="D31" s="40">
        <v>53665434000177</v>
      </c>
      <c r="E31" s="40"/>
      <c r="F31" s="40" t="s">
        <v>63</v>
      </c>
      <c r="G31" s="40" t="s">
        <v>4</v>
      </c>
      <c r="H31" s="40" t="s">
        <v>5</v>
      </c>
      <c r="I31" s="40"/>
      <c r="J31" s="40"/>
      <c r="K31" s="40"/>
      <c r="L31" s="40"/>
      <c r="M31" s="40" t="s">
        <v>375</v>
      </c>
      <c r="N31" s="40"/>
      <c r="O31" s="40" t="s">
        <v>346</v>
      </c>
      <c r="P31" s="40"/>
      <c r="Q31" s="42"/>
      <c r="R31" s="42"/>
      <c r="S31" s="42"/>
      <c r="T31" s="42"/>
      <c r="U31" s="43"/>
      <c r="V31" s="40"/>
      <c r="W31" s="40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45" t="s">
        <v>88</v>
      </c>
      <c r="B32" s="44" t="s">
        <v>61</v>
      </c>
      <c r="C32" s="44" t="s">
        <v>62</v>
      </c>
      <c r="D32" s="44">
        <v>53665515000177</v>
      </c>
      <c r="E32" s="44"/>
      <c r="F32" s="44" t="s">
        <v>63</v>
      </c>
      <c r="G32" s="44" t="s">
        <v>4</v>
      </c>
      <c r="H32" s="44" t="s">
        <v>5</v>
      </c>
      <c r="I32" s="44"/>
      <c r="J32" s="44"/>
      <c r="K32" s="44"/>
      <c r="L32" s="44"/>
      <c r="M32" s="44" t="s">
        <v>375</v>
      </c>
      <c r="N32" s="44"/>
      <c r="O32" s="44" t="s">
        <v>346</v>
      </c>
      <c r="P32" s="44"/>
      <c r="Q32" s="46"/>
      <c r="R32" s="46"/>
      <c r="S32" s="46"/>
      <c r="T32" s="46"/>
      <c r="U32" s="47"/>
      <c r="V32" s="44"/>
      <c r="W32" s="44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41" t="s">
        <v>89</v>
      </c>
      <c r="B33" s="40" t="s">
        <v>61</v>
      </c>
      <c r="C33" s="40" t="s">
        <v>62</v>
      </c>
      <c r="D33" s="40">
        <v>53666225000148</v>
      </c>
      <c r="E33" s="40"/>
      <c r="F33" s="40" t="s">
        <v>63</v>
      </c>
      <c r="G33" s="40" t="s">
        <v>4</v>
      </c>
      <c r="H33" s="40" t="s">
        <v>5</v>
      </c>
      <c r="I33" s="40"/>
      <c r="J33" s="40"/>
      <c r="K33" s="40"/>
      <c r="L33" s="40"/>
      <c r="M33" s="40" t="s">
        <v>375</v>
      </c>
      <c r="N33" s="40"/>
      <c r="O33" s="40" t="s">
        <v>346</v>
      </c>
      <c r="P33" s="40"/>
      <c r="Q33" s="42"/>
      <c r="R33" s="42"/>
      <c r="S33" s="42"/>
      <c r="T33" s="42"/>
      <c r="U33" s="43"/>
      <c r="V33" s="40"/>
      <c r="W33" s="40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45" t="s">
        <v>90</v>
      </c>
      <c r="B34" s="44" t="s">
        <v>61</v>
      </c>
      <c r="C34" s="44" t="s">
        <v>62</v>
      </c>
      <c r="D34" s="44">
        <v>17845752000156</v>
      </c>
      <c r="E34" s="44"/>
      <c r="F34" s="44" t="s">
        <v>63</v>
      </c>
      <c r="G34" s="44" t="s">
        <v>41</v>
      </c>
      <c r="H34" s="44" t="s">
        <v>5</v>
      </c>
      <c r="I34" s="44"/>
      <c r="J34" s="44"/>
      <c r="K34" s="44"/>
      <c r="L34" s="44"/>
      <c r="M34" s="44" t="s">
        <v>376</v>
      </c>
      <c r="N34" s="44"/>
      <c r="O34" s="44" t="s">
        <v>346</v>
      </c>
      <c r="P34" s="44"/>
      <c r="Q34" s="46"/>
      <c r="R34" s="46"/>
      <c r="S34" s="46"/>
      <c r="T34" s="46"/>
      <c r="U34" s="47"/>
      <c r="V34" s="44"/>
      <c r="W34" s="44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41" t="s">
        <v>91</v>
      </c>
      <c r="B35" s="40" t="s">
        <v>61</v>
      </c>
      <c r="C35" s="40" t="s">
        <v>62</v>
      </c>
      <c r="D35" s="40">
        <v>17813257000165</v>
      </c>
      <c r="E35" s="40"/>
      <c r="F35" s="40" t="s">
        <v>63</v>
      </c>
      <c r="G35" s="40" t="s">
        <v>13</v>
      </c>
      <c r="H35" s="40" t="s">
        <v>5</v>
      </c>
      <c r="I35" s="40"/>
      <c r="J35" s="40"/>
      <c r="K35" s="40"/>
      <c r="L35" s="40"/>
      <c r="M35" s="40" t="s">
        <v>377</v>
      </c>
      <c r="N35" s="40"/>
      <c r="O35" s="40" t="s">
        <v>346</v>
      </c>
      <c r="P35" s="40"/>
      <c r="Q35" s="42"/>
      <c r="R35" s="42"/>
      <c r="S35" s="42"/>
      <c r="T35" s="42"/>
      <c r="U35" s="43"/>
      <c r="V35" s="40"/>
      <c r="W35" s="40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45" t="s">
        <v>92</v>
      </c>
      <c r="B36" s="44" t="s">
        <v>1</v>
      </c>
      <c r="C36" s="44" t="s">
        <v>93</v>
      </c>
      <c r="D36" s="44" t="s">
        <v>94</v>
      </c>
      <c r="E36" s="44"/>
      <c r="F36" s="44" t="s">
        <v>3</v>
      </c>
      <c r="G36" s="44" t="s">
        <v>4</v>
      </c>
      <c r="H36" s="44" t="s">
        <v>5</v>
      </c>
      <c r="I36" s="44"/>
      <c r="J36" s="44"/>
      <c r="K36" s="44"/>
      <c r="L36" s="44"/>
      <c r="M36" s="44" t="s">
        <v>373</v>
      </c>
      <c r="N36" s="44"/>
      <c r="O36" s="44" t="s">
        <v>346</v>
      </c>
      <c r="P36" s="44"/>
      <c r="Q36" s="46"/>
      <c r="R36" s="46"/>
      <c r="S36" s="46"/>
      <c r="T36" s="46"/>
      <c r="U36" s="47"/>
      <c r="V36" s="44"/>
      <c r="W36" s="44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41" t="s">
        <v>95</v>
      </c>
      <c r="B37" s="40" t="s">
        <v>96</v>
      </c>
      <c r="C37" s="40" t="s">
        <v>97</v>
      </c>
      <c r="D37" s="40" t="s">
        <v>98</v>
      </c>
      <c r="E37" s="40"/>
      <c r="F37" s="40" t="s">
        <v>99</v>
      </c>
      <c r="G37" s="40" t="s">
        <v>41</v>
      </c>
      <c r="H37" s="40" t="s">
        <v>14</v>
      </c>
      <c r="I37" s="40"/>
      <c r="J37" s="40"/>
      <c r="K37" s="40"/>
      <c r="L37" s="40"/>
      <c r="M37" s="40" t="s">
        <v>379</v>
      </c>
      <c r="N37" s="40" t="s">
        <v>358</v>
      </c>
      <c r="O37" s="40" t="s">
        <v>346</v>
      </c>
      <c r="P37" s="40"/>
      <c r="Q37" s="42"/>
      <c r="R37" s="42"/>
      <c r="S37" s="42"/>
      <c r="T37" s="42"/>
      <c r="U37" s="43"/>
      <c r="V37" s="40"/>
      <c r="W37" s="40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45" t="s">
        <v>95</v>
      </c>
      <c r="B38" s="44" t="s">
        <v>96</v>
      </c>
      <c r="C38" s="44" t="s">
        <v>97</v>
      </c>
      <c r="D38" s="44" t="s">
        <v>100</v>
      </c>
      <c r="E38" s="44"/>
      <c r="F38" s="44" t="s">
        <v>99</v>
      </c>
      <c r="G38" s="44" t="s">
        <v>13</v>
      </c>
      <c r="H38" s="44" t="s">
        <v>14</v>
      </c>
      <c r="I38" s="44"/>
      <c r="J38" s="44"/>
      <c r="K38" s="44"/>
      <c r="L38" s="44"/>
      <c r="M38" s="44" t="s">
        <v>378</v>
      </c>
      <c r="N38" s="44" t="s">
        <v>358</v>
      </c>
      <c r="O38" s="44" t="s">
        <v>346</v>
      </c>
      <c r="P38" s="44"/>
      <c r="Q38" s="46"/>
      <c r="R38" s="46"/>
      <c r="S38" s="46"/>
      <c r="T38" s="46"/>
      <c r="U38" s="47"/>
      <c r="V38" s="44"/>
      <c r="W38" s="44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41" t="s">
        <v>95</v>
      </c>
      <c r="B39" s="40" t="s">
        <v>96</v>
      </c>
      <c r="C39" s="40" t="s">
        <v>97</v>
      </c>
      <c r="D39" s="40" t="s">
        <v>101</v>
      </c>
      <c r="E39" s="40"/>
      <c r="F39" s="40" t="s">
        <v>99</v>
      </c>
      <c r="G39" s="40" t="s">
        <v>13</v>
      </c>
      <c r="H39" s="40" t="s">
        <v>14</v>
      </c>
      <c r="I39" s="40"/>
      <c r="J39" s="40"/>
      <c r="K39" s="40"/>
      <c r="L39" s="40"/>
      <c r="M39" s="40" t="s">
        <v>378</v>
      </c>
      <c r="N39" s="40" t="s">
        <v>358</v>
      </c>
      <c r="O39" s="40" t="s">
        <v>346</v>
      </c>
      <c r="P39" s="40"/>
      <c r="Q39" s="42"/>
      <c r="R39" s="42"/>
      <c r="S39" s="42"/>
      <c r="T39" s="42"/>
      <c r="U39" s="43"/>
      <c r="V39" s="40"/>
      <c r="W39" s="40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45" t="s">
        <v>95</v>
      </c>
      <c r="B40" s="44" t="s">
        <v>96</v>
      </c>
      <c r="C40" s="44" t="s">
        <v>97</v>
      </c>
      <c r="D40" s="44" t="s">
        <v>102</v>
      </c>
      <c r="E40" s="44"/>
      <c r="F40" s="44" t="s">
        <v>99</v>
      </c>
      <c r="G40" s="44" t="s">
        <v>13</v>
      </c>
      <c r="H40" s="44" t="s">
        <v>14</v>
      </c>
      <c r="I40" s="44"/>
      <c r="J40" s="44"/>
      <c r="K40" s="44"/>
      <c r="L40" s="44"/>
      <c r="M40" s="44" t="s">
        <v>378</v>
      </c>
      <c r="N40" s="44" t="s">
        <v>358</v>
      </c>
      <c r="O40" s="44" t="s">
        <v>346</v>
      </c>
      <c r="P40" s="44"/>
      <c r="Q40" s="46"/>
      <c r="R40" s="46"/>
      <c r="S40" s="46"/>
      <c r="T40" s="46"/>
      <c r="U40" s="47"/>
      <c r="V40" s="44"/>
      <c r="W40" s="44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41" t="s">
        <v>95</v>
      </c>
      <c r="B41" s="40" t="s">
        <v>96</v>
      </c>
      <c r="C41" s="40" t="s">
        <v>97</v>
      </c>
      <c r="D41" s="40" t="s">
        <v>103</v>
      </c>
      <c r="E41" s="40"/>
      <c r="F41" s="40" t="s">
        <v>99</v>
      </c>
      <c r="G41" s="40" t="s">
        <v>13</v>
      </c>
      <c r="H41" s="40" t="s">
        <v>14</v>
      </c>
      <c r="I41" s="40"/>
      <c r="J41" s="40"/>
      <c r="K41" s="40"/>
      <c r="L41" s="40"/>
      <c r="M41" s="40" t="s">
        <v>378</v>
      </c>
      <c r="N41" s="40" t="s">
        <v>358</v>
      </c>
      <c r="O41" s="40" t="s">
        <v>346</v>
      </c>
      <c r="P41" s="40"/>
      <c r="Q41" s="42"/>
      <c r="R41" s="42"/>
      <c r="S41" s="42"/>
      <c r="T41" s="42"/>
      <c r="U41" s="43"/>
      <c r="V41" s="40"/>
      <c r="W41" s="40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45" t="s">
        <v>95</v>
      </c>
      <c r="B42" s="44" t="s">
        <v>96</v>
      </c>
      <c r="C42" s="44" t="s">
        <v>104</v>
      </c>
      <c r="D42" s="44" t="s">
        <v>105</v>
      </c>
      <c r="E42" s="44"/>
      <c r="F42" s="44" t="s">
        <v>99</v>
      </c>
      <c r="G42" s="44" t="s">
        <v>13</v>
      </c>
      <c r="H42" s="44" t="s">
        <v>14</v>
      </c>
      <c r="I42" s="44"/>
      <c r="J42" s="44"/>
      <c r="K42" s="44"/>
      <c r="L42" s="44"/>
      <c r="M42" s="44" t="s">
        <v>378</v>
      </c>
      <c r="N42" s="44" t="s">
        <v>358</v>
      </c>
      <c r="O42" s="44" t="s">
        <v>346</v>
      </c>
      <c r="P42" s="44"/>
      <c r="Q42" s="46"/>
      <c r="R42" s="46"/>
      <c r="S42" s="46"/>
      <c r="T42" s="46"/>
      <c r="U42" s="47"/>
      <c r="V42" s="44"/>
      <c r="W42" s="44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41" t="s">
        <v>95</v>
      </c>
      <c r="B43" s="40" t="s">
        <v>96</v>
      </c>
      <c r="C43" s="40" t="s">
        <v>104</v>
      </c>
      <c r="D43" s="40" t="s">
        <v>106</v>
      </c>
      <c r="E43" s="40"/>
      <c r="F43" s="40" t="s">
        <v>99</v>
      </c>
      <c r="G43" s="40" t="s">
        <v>13</v>
      </c>
      <c r="H43" s="40" t="s">
        <v>14</v>
      </c>
      <c r="I43" s="40"/>
      <c r="J43" s="40"/>
      <c r="K43" s="40"/>
      <c r="L43" s="40"/>
      <c r="M43" s="40" t="s">
        <v>378</v>
      </c>
      <c r="N43" s="40" t="s">
        <v>358</v>
      </c>
      <c r="O43" s="40" t="s">
        <v>346</v>
      </c>
      <c r="P43" s="40"/>
      <c r="Q43" s="42"/>
      <c r="R43" s="42"/>
      <c r="S43" s="42"/>
      <c r="T43" s="42"/>
      <c r="U43" s="43"/>
      <c r="V43" s="40"/>
      <c r="W43" s="40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45" t="s">
        <v>107</v>
      </c>
      <c r="B44" s="44" t="s">
        <v>108</v>
      </c>
      <c r="C44" s="44" t="s">
        <v>62</v>
      </c>
      <c r="D44" s="44">
        <v>50056304000149</v>
      </c>
      <c r="E44" s="44"/>
      <c r="F44" s="44" t="s">
        <v>109</v>
      </c>
      <c r="G44" s="44" t="s">
        <v>4</v>
      </c>
      <c r="H44" s="44" t="s">
        <v>49</v>
      </c>
      <c r="I44" s="44"/>
      <c r="J44" s="44"/>
      <c r="K44" s="44"/>
      <c r="L44" s="44"/>
      <c r="M44" s="44" t="s">
        <v>375</v>
      </c>
      <c r="N44" s="44"/>
      <c r="O44" s="44" t="s">
        <v>346</v>
      </c>
      <c r="P44" s="44"/>
      <c r="Q44" s="46"/>
      <c r="R44" s="46"/>
      <c r="S44" s="46"/>
      <c r="T44" s="46"/>
      <c r="U44" s="47"/>
      <c r="V44" s="44"/>
      <c r="W44" s="44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41" t="s">
        <v>110</v>
      </c>
      <c r="B45" s="40" t="s">
        <v>108</v>
      </c>
      <c r="C45" s="40" t="s">
        <v>62</v>
      </c>
      <c r="D45" s="40">
        <v>59971731000127</v>
      </c>
      <c r="E45" s="40"/>
      <c r="F45" s="40" t="s">
        <v>109</v>
      </c>
      <c r="G45" s="40" t="s">
        <v>4</v>
      </c>
      <c r="H45" s="40" t="s">
        <v>49</v>
      </c>
      <c r="I45" s="40"/>
      <c r="J45" s="40"/>
      <c r="K45" s="40"/>
      <c r="L45" s="40"/>
      <c r="M45" s="40" t="s">
        <v>375</v>
      </c>
      <c r="N45" s="40"/>
      <c r="O45" s="40" t="s">
        <v>346</v>
      </c>
      <c r="P45" s="40"/>
      <c r="Q45" s="42"/>
      <c r="R45" s="42"/>
      <c r="S45" s="42"/>
      <c r="T45" s="42"/>
      <c r="U45" s="43"/>
      <c r="V45" s="40"/>
      <c r="W45" s="40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45" t="s">
        <v>111</v>
      </c>
      <c r="B46" s="44" t="s">
        <v>108</v>
      </c>
      <c r="C46" s="44" t="s">
        <v>69</v>
      </c>
      <c r="D46" s="44" t="s">
        <v>112</v>
      </c>
      <c r="E46" s="44"/>
      <c r="F46" s="44" t="s">
        <v>113</v>
      </c>
      <c r="G46" s="44" t="s">
        <v>13</v>
      </c>
      <c r="H46" s="44" t="s">
        <v>49</v>
      </c>
      <c r="I46" s="44"/>
      <c r="J46" s="44"/>
      <c r="K46" s="44"/>
      <c r="L46" s="44"/>
      <c r="M46" s="44" t="s">
        <v>373</v>
      </c>
      <c r="N46" s="44"/>
      <c r="O46" s="44" t="s">
        <v>344</v>
      </c>
      <c r="P46" s="44"/>
      <c r="Q46" s="46"/>
      <c r="R46" s="46"/>
      <c r="S46" s="46"/>
      <c r="T46" s="46"/>
      <c r="U46" s="47"/>
      <c r="V46" s="44"/>
      <c r="W46" s="44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41" t="s">
        <v>114</v>
      </c>
      <c r="B47" s="40" t="s">
        <v>115</v>
      </c>
      <c r="C47" s="40" t="s">
        <v>116</v>
      </c>
      <c r="D47" s="40" t="s">
        <v>117</v>
      </c>
      <c r="E47" s="40"/>
      <c r="F47" s="40" t="s">
        <v>118</v>
      </c>
      <c r="G47" s="40" t="s">
        <v>13</v>
      </c>
      <c r="H47" s="40" t="s">
        <v>14</v>
      </c>
      <c r="I47" s="40"/>
      <c r="J47" s="40"/>
      <c r="K47" s="40"/>
      <c r="L47" s="40"/>
      <c r="M47" s="40" t="s">
        <v>373</v>
      </c>
      <c r="N47" s="40"/>
      <c r="O47" s="40" t="s">
        <v>347</v>
      </c>
      <c r="P47" s="40"/>
      <c r="Q47" s="42"/>
      <c r="R47" s="42"/>
      <c r="S47" s="42"/>
      <c r="T47" s="42"/>
      <c r="U47" s="43"/>
      <c r="V47" s="40"/>
      <c r="W47" s="40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45" t="s">
        <v>119</v>
      </c>
      <c r="B48" s="44" t="s">
        <v>115</v>
      </c>
      <c r="C48" s="44" t="s">
        <v>116</v>
      </c>
      <c r="D48" s="44" t="s">
        <v>120</v>
      </c>
      <c r="E48" s="44"/>
      <c r="F48" s="44" t="s">
        <v>118</v>
      </c>
      <c r="G48" s="44" t="s">
        <v>13</v>
      </c>
      <c r="H48" s="44" t="s">
        <v>14</v>
      </c>
      <c r="I48" s="44"/>
      <c r="J48" s="44"/>
      <c r="K48" s="44"/>
      <c r="L48" s="44"/>
      <c r="M48" s="44" t="s">
        <v>372</v>
      </c>
      <c r="N48" s="44"/>
      <c r="O48" s="44" t="s">
        <v>344</v>
      </c>
      <c r="P48" s="44"/>
      <c r="Q48" s="46"/>
      <c r="R48" s="46"/>
      <c r="S48" s="46"/>
      <c r="T48" s="46"/>
      <c r="U48" s="47"/>
      <c r="V48" s="44"/>
      <c r="W48" s="44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41" t="s">
        <v>121</v>
      </c>
      <c r="B49" s="40" t="s">
        <v>115</v>
      </c>
      <c r="C49" s="40" t="s">
        <v>122</v>
      </c>
      <c r="D49" s="40">
        <v>44742752000101</v>
      </c>
      <c r="E49" s="40"/>
      <c r="F49" s="40" t="s">
        <v>118</v>
      </c>
      <c r="G49" s="40" t="s">
        <v>4</v>
      </c>
      <c r="H49" s="40" t="s">
        <v>5</v>
      </c>
      <c r="I49" s="40"/>
      <c r="J49" s="40"/>
      <c r="K49" s="40"/>
      <c r="L49" s="40"/>
      <c r="M49" s="40" t="s">
        <v>372</v>
      </c>
      <c r="N49" s="40"/>
      <c r="O49" s="40" t="s">
        <v>346</v>
      </c>
      <c r="P49" s="40"/>
      <c r="Q49" s="42"/>
      <c r="R49" s="42"/>
      <c r="S49" s="42"/>
      <c r="T49" s="42"/>
      <c r="U49" s="43"/>
      <c r="V49" s="40"/>
      <c r="W49" s="40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45" t="s">
        <v>123</v>
      </c>
      <c r="B50" s="44" t="s">
        <v>115</v>
      </c>
      <c r="C50" s="44" t="s">
        <v>116</v>
      </c>
      <c r="D50" s="44" t="s">
        <v>124</v>
      </c>
      <c r="E50" s="44"/>
      <c r="F50" s="44" t="s">
        <v>125</v>
      </c>
      <c r="G50" s="44" t="s">
        <v>13</v>
      </c>
      <c r="H50" s="44" t="s">
        <v>14</v>
      </c>
      <c r="I50" s="44"/>
      <c r="J50" s="44"/>
      <c r="K50" s="44"/>
      <c r="L50" s="44"/>
      <c r="M50" s="44" t="s">
        <v>375</v>
      </c>
      <c r="N50" s="44"/>
      <c r="O50" s="44" t="s">
        <v>346</v>
      </c>
      <c r="P50" s="44"/>
      <c r="Q50" s="46"/>
      <c r="R50" s="46"/>
      <c r="S50" s="46"/>
      <c r="T50" s="46"/>
      <c r="U50" s="47"/>
      <c r="V50" s="44"/>
      <c r="W50" s="44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41" t="s">
        <v>126</v>
      </c>
      <c r="B51" s="40" t="s">
        <v>115</v>
      </c>
      <c r="C51" s="40" t="s">
        <v>122</v>
      </c>
      <c r="D51" s="40">
        <v>44777527000100</v>
      </c>
      <c r="E51" s="40"/>
      <c r="F51" s="40" t="s">
        <v>125</v>
      </c>
      <c r="G51" s="40" t="s">
        <v>4</v>
      </c>
      <c r="H51" s="40" t="s">
        <v>5</v>
      </c>
      <c r="I51" s="40"/>
      <c r="J51" s="40"/>
      <c r="K51" s="40"/>
      <c r="L51" s="40"/>
      <c r="M51" s="40" t="s">
        <v>375</v>
      </c>
      <c r="N51" s="40"/>
      <c r="O51" s="40" t="s">
        <v>346</v>
      </c>
      <c r="P51" s="40"/>
      <c r="Q51" s="42"/>
      <c r="R51" s="42"/>
      <c r="S51" s="42"/>
      <c r="T51" s="42"/>
      <c r="U51" s="43"/>
      <c r="V51" s="40"/>
      <c r="W51" s="40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45" t="s">
        <v>127</v>
      </c>
      <c r="B52" s="44" t="s">
        <v>115</v>
      </c>
      <c r="C52" s="44" t="s">
        <v>122</v>
      </c>
      <c r="D52" s="44">
        <v>44796284000140</v>
      </c>
      <c r="E52" s="44"/>
      <c r="F52" s="44" t="s">
        <v>125</v>
      </c>
      <c r="G52" s="44" t="s">
        <v>4</v>
      </c>
      <c r="H52" s="44" t="s">
        <v>5</v>
      </c>
      <c r="I52" s="44"/>
      <c r="J52" s="44"/>
      <c r="K52" s="44"/>
      <c r="L52" s="44"/>
      <c r="M52" s="44" t="s">
        <v>375</v>
      </c>
      <c r="N52" s="44"/>
      <c r="O52" s="44" t="s">
        <v>346</v>
      </c>
      <c r="P52" s="44"/>
      <c r="Q52" s="46"/>
      <c r="R52" s="46"/>
      <c r="S52" s="46"/>
      <c r="T52" s="46"/>
      <c r="U52" s="47"/>
      <c r="V52" s="44"/>
      <c r="W52" s="44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41" t="s">
        <v>128</v>
      </c>
      <c r="B53" s="40" t="s">
        <v>129</v>
      </c>
      <c r="C53" s="40" t="s">
        <v>16</v>
      </c>
      <c r="D53" s="40" t="s">
        <v>130</v>
      </c>
      <c r="E53" s="40"/>
      <c r="F53" s="40" t="s">
        <v>109</v>
      </c>
      <c r="G53" s="40" t="s">
        <v>13</v>
      </c>
      <c r="H53" s="40" t="s">
        <v>14</v>
      </c>
      <c r="I53" s="40"/>
      <c r="J53" s="40"/>
      <c r="K53" s="40"/>
      <c r="L53" s="40"/>
      <c r="M53" s="40" t="s">
        <v>380</v>
      </c>
      <c r="N53" s="40"/>
      <c r="O53" s="40"/>
      <c r="P53" s="40"/>
      <c r="Q53" s="42"/>
      <c r="R53" s="42"/>
      <c r="S53" s="42"/>
      <c r="T53" s="42"/>
      <c r="U53" s="43"/>
      <c r="V53" s="40"/>
      <c r="W53" s="40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45" t="s">
        <v>131</v>
      </c>
      <c r="B54" s="44" t="s">
        <v>132</v>
      </c>
      <c r="C54" s="44" t="s">
        <v>62</v>
      </c>
      <c r="D54" s="44">
        <v>19318532000108</v>
      </c>
      <c r="E54" s="44"/>
      <c r="F54" s="44" t="s">
        <v>66</v>
      </c>
      <c r="G54" s="44" t="s">
        <v>4</v>
      </c>
      <c r="H54" s="44" t="s">
        <v>5</v>
      </c>
      <c r="I54" s="44"/>
      <c r="J54" s="44"/>
      <c r="K54" s="44"/>
      <c r="L54" s="44"/>
      <c r="M54" s="44" t="s">
        <v>373</v>
      </c>
      <c r="N54" s="44"/>
      <c r="O54" s="44" t="s">
        <v>344</v>
      </c>
      <c r="P54" s="44"/>
      <c r="Q54" s="46"/>
      <c r="R54" s="46"/>
      <c r="S54" s="46"/>
      <c r="T54" s="46"/>
      <c r="U54" s="47"/>
      <c r="V54" s="44"/>
      <c r="W54" s="44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41" t="s">
        <v>133</v>
      </c>
      <c r="B55" s="40" t="s">
        <v>134</v>
      </c>
      <c r="C55" s="40" t="s">
        <v>116</v>
      </c>
      <c r="D55" s="40" t="s">
        <v>135</v>
      </c>
      <c r="E55" s="40"/>
      <c r="F55" s="40" t="s">
        <v>136</v>
      </c>
      <c r="G55" s="40" t="s">
        <v>41</v>
      </c>
      <c r="H55" s="40" t="s">
        <v>5</v>
      </c>
      <c r="I55" s="40"/>
      <c r="J55" s="40"/>
      <c r="K55" s="40"/>
      <c r="L55" s="40"/>
      <c r="M55" s="40" t="s">
        <v>375</v>
      </c>
      <c r="N55" s="40"/>
      <c r="O55" s="40" t="s">
        <v>348</v>
      </c>
      <c r="P55" s="40"/>
      <c r="Q55" s="42"/>
      <c r="R55" s="42"/>
      <c r="S55" s="42"/>
      <c r="T55" s="42"/>
      <c r="U55" s="43"/>
      <c r="V55" s="40"/>
      <c r="W55" s="40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45" t="s">
        <v>137</v>
      </c>
      <c r="B56" s="44" t="s">
        <v>134</v>
      </c>
      <c r="C56" s="44" t="s">
        <v>122</v>
      </c>
      <c r="D56" s="44">
        <v>34046667000147</v>
      </c>
      <c r="E56" s="44"/>
      <c r="F56" s="44" t="s">
        <v>138</v>
      </c>
      <c r="G56" s="44" t="s">
        <v>4</v>
      </c>
      <c r="H56" s="44" t="s">
        <v>5</v>
      </c>
      <c r="I56" s="44"/>
      <c r="J56" s="44"/>
      <c r="K56" s="44"/>
      <c r="L56" s="44"/>
      <c r="M56" s="44" t="s">
        <v>381</v>
      </c>
      <c r="N56" s="44"/>
      <c r="O56" s="44" t="s">
        <v>348</v>
      </c>
      <c r="P56" s="44"/>
      <c r="Q56" s="46"/>
      <c r="R56" s="46"/>
      <c r="S56" s="46"/>
      <c r="T56" s="46"/>
      <c r="U56" s="47"/>
      <c r="V56" s="44"/>
      <c r="W56" s="44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41" t="s">
        <v>139</v>
      </c>
      <c r="B57" s="40" t="s">
        <v>134</v>
      </c>
      <c r="C57" s="40" t="s">
        <v>122</v>
      </c>
      <c r="D57" s="40">
        <v>40932575000167</v>
      </c>
      <c r="E57" s="40"/>
      <c r="F57" s="40" t="s">
        <v>140</v>
      </c>
      <c r="G57" s="40" t="s">
        <v>4</v>
      </c>
      <c r="H57" s="40" t="s">
        <v>5</v>
      </c>
      <c r="I57" s="40"/>
      <c r="J57" s="40"/>
      <c r="K57" s="40"/>
      <c r="L57" s="40"/>
      <c r="M57" s="40" t="s">
        <v>375</v>
      </c>
      <c r="N57" s="40"/>
      <c r="O57" s="40" t="s">
        <v>348</v>
      </c>
      <c r="P57" s="40"/>
      <c r="Q57" s="42"/>
      <c r="R57" s="42"/>
      <c r="S57" s="42"/>
      <c r="T57" s="42"/>
      <c r="U57" s="43"/>
      <c r="V57" s="40"/>
      <c r="W57" s="40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45" t="s">
        <v>141</v>
      </c>
      <c r="B58" s="44" t="s">
        <v>142</v>
      </c>
      <c r="C58" s="44" t="s">
        <v>62</v>
      </c>
      <c r="D58" s="44" t="s">
        <v>143</v>
      </c>
      <c r="E58" s="44"/>
      <c r="F58" s="44" t="s">
        <v>144</v>
      </c>
      <c r="G58" s="44" t="s">
        <v>13</v>
      </c>
      <c r="H58" s="44" t="s">
        <v>49</v>
      </c>
      <c r="I58" s="44"/>
      <c r="J58" s="44"/>
      <c r="K58" s="44"/>
      <c r="L58" s="44"/>
      <c r="M58" s="44" t="s">
        <v>381</v>
      </c>
      <c r="N58" s="44"/>
      <c r="O58" s="44" t="s">
        <v>344</v>
      </c>
      <c r="P58" s="44"/>
      <c r="Q58" s="46"/>
      <c r="R58" s="46"/>
      <c r="S58" s="46"/>
      <c r="T58" s="46"/>
      <c r="U58" s="47"/>
      <c r="V58" s="44"/>
      <c r="W58" s="44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41" t="s">
        <v>145</v>
      </c>
      <c r="B59" s="40" t="s">
        <v>142</v>
      </c>
      <c r="C59" s="40" t="s">
        <v>62</v>
      </c>
      <c r="D59" s="40">
        <v>60906391000130</v>
      </c>
      <c r="E59" s="40"/>
      <c r="F59" s="40" t="s">
        <v>144</v>
      </c>
      <c r="G59" s="40" t="s">
        <v>4</v>
      </c>
      <c r="H59" s="40" t="s">
        <v>49</v>
      </c>
      <c r="I59" s="40"/>
      <c r="J59" s="40"/>
      <c r="K59" s="40"/>
      <c r="L59" s="40"/>
      <c r="M59" s="40" t="s">
        <v>381</v>
      </c>
      <c r="N59" s="40"/>
      <c r="O59" s="40" t="s">
        <v>348</v>
      </c>
      <c r="P59" s="40"/>
      <c r="Q59" s="42"/>
      <c r="R59" s="42"/>
      <c r="S59" s="42"/>
      <c r="T59" s="42"/>
      <c r="U59" s="43"/>
      <c r="V59" s="40"/>
      <c r="W59" s="40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45" t="s">
        <v>146</v>
      </c>
      <c r="B60" s="44" t="s">
        <v>75</v>
      </c>
      <c r="C60" s="44" t="s">
        <v>62</v>
      </c>
      <c r="D60" s="44">
        <v>41762299000107</v>
      </c>
      <c r="E60" s="44"/>
      <c r="F60" s="44" t="s">
        <v>147</v>
      </c>
      <c r="G60" s="44" t="s">
        <v>4</v>
      </c>
      <c r="H60" s="44" t="s">
        <v>5</v>
      </c>
      <c r="I60" s="44"/>
      <c r="J60" s="44"/>
      <c r="K60" s="44"/>
      <c r="L60" s="44"/>
      <c r="M60" s="44" t="s">
        <v>375</v>
      </c>
      <c r="N60" s="44"/>
      <c r="O60" s="44" t="s">
        <v>349</v>
      </c>
      <c r="P60" s="44"/>
      <c r="Q60" s="46"/>
      <c r="R60" s="46"/>
      <c r="S60" s="46"/>
      <c r="T60" s="46"/>
      <c r="U60" s="47"/>
      <c r="V60" s="44"/>
      <c r="W60" s="44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41" t="s">
        <v>148</v>
      </c>
      <c r="B61" s="40" t="s">
        <v>149</v>
      </c>
      <c r="C61" s="40" t="s">
        <v>59</v>
      </c>
      <c r="D61" s="40">
        <v>52090662000101</v>
      </c>
      <c r="E61" s="40"/>
      <c r="F61" s="40" t="s">
        <v>150</v>
      </c>
      <c r="G61" s="40" t="s">
        <v>4</v>
      </c>
      <c r="H61" s="40" t="s">
        <v>5</v>
      </c>
      <c r="I61" s="40"/>
      <c r="J61" s="40"/>
      <c r="K61" s="40"/>
      <c r="L61" s="40"/>
      <c r="M61" s="40" t="s">
        <v>375</v>
      </c>
      <c r="N61" s="40"/>
      <c r="O61" s="40" t="s">
        <v>348</v>
      </c>
      <c r="P61" s="40"/>
      <c r="Q61" s="42"/>
      <c r="R61" s="42"/>
      <c r="S61" s="42"/>
      <c r="T61" s="42"/>
      <c r="U61" s="43"/>
      <c r="V61" s="40"/>
      <c r="W61" s="40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45" t="s">
        <v>151</v>
      </c>
      <c r="B62" s="44" t="s">
        <v>149</v>
      </c>
      <c r="C62" s="44" t="s">
        <v>46</v>
      </c>
      <c r="D62" s="44" t="s">
        <v>152</v>
      </c>
      <c r="E62" s="44"/>
      <c r="F62" s="44" t="s">
        <v>150</v>
      </c>
      <c r="G62" s="44" t="s">
        <v>13</v>
      </c>
      <c r="H62" s="44" t="s">
        <v>49</v>
      </c>
      <c r="I62" s="44"/>
      <c r="J62" s="44"/>
      <c r="K62" s="44"/>
      <c r="L62" s="44"/>
      <c r="M62" s="44" t="s">
        <v>373</v>
      </c>
      <c r="N62" s="44"/>
      <c r="O62" s="44" t="s">
        <v>344</v>
      </c>
      <c r="P62" s="44"/>
      <c r="Q62" s="46"/>
      <c r="R62" s="46"/>
      <c r="S62" s="46"/>
      <c r="T62" s="46"/>
      <c r="U62" s="47"/>
      <c r="V62" s="44"/>
      <c r="W62" s="44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41" t="s">
        <v>153</v>
      </c>
      <c r="B63" s="40" t="s">
        <v>149</v>
      </c>
      <c r="C63" s="40" t="s">
        <v>46</v>
      </c>
      <c r="D63" s="40" t="s">
        <v>154</v>
      </c>
      <c r="E63" s="40"/>
      <c r="F63" s="40" t="s">
        <v>150</v>
      </c>
      <c r="G63" s="40" t="s">
        <v>13</v>
      </c>
      <c r="H63" s="40" t="s">
        <v>49</v>
      </c>
      <c r="I63" s="40"/>
      <c r="J63" s="40"/>
      <c r="K63" s="40"/>
      <c r="L63" s="40"/>
      <c r="M63" s="40" t="s">
        <v>373</v>
      </c>
      <c r="N63" s="40"/>
      <c r="O63" s="40" t="s">
        <v>344</v>
      </c>
      <c r="P63" s="40"/>
      <c r="Q63" s="42"/>
      <c r="R63" s="42"/>
      <c r="S63" s="42"/>
      <c r="T63" s="42"/>
      <c r="U63" s="43"/>
      <c r="V63" s="40"/>
      <c r="W63" s="40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45" t="s">
        <v>155</v>
      </c>
      <c r="B64" s="44" t="s">
        <v>61</v>
      </c>
      <c r="C64" s="44" t="s">
        <v>62</v>
      </c>
      <c r="D64" s="44">
        <v>8587897000103</v>
      </c>
      <c r="E64" s="44"/>
      <c r="F64" s="44" t="s">
        <v>63</v>
      </c>
      <c r="G64" s="44" t="s">
        <v>41</v>
      </c>
      <c r="H64" s="44" t="s">
        <v>5</v>
      </c>
      <c r="I64" s="44"/>
      <c r="J64" s="44"/>
      <c r="K64" s="44"/>
      <c r="L64" s="44"/>
      <c r="M64" s="44" t="s">
        <v>375</v>
      </c>
      <c r="N64" s="44"/>
      <c r="O64" s="44" t="s">
        <v>348</v>
      </c>
      <c r="P64" s="44"/>
      <c r="Q64" s="46"/>
      <c r="R64" s="46"/>
      <c r="S64" s="46"/>
      <c r="T64" s="46"/>
      <c r="U64" s="47"/>
      <c r="V64" s="44"/>
      <c r="W64" s="44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41" t="s">
        <v>156</v>
      </c>
      <c r="B65" s="40" t="s">
        <v>61</v>
      </c>
      <c r="C65" s="40" t="s">
        <v>62</v>
      </c>
      <c r="D65" s="40">
        <v>17845713000159</v>
      </c>
      <c r="E65" s="40"/>
      <c r="F65" s="40" t="s">
        <v>63</v>
      </c>
      <c r="G65" s="40" t="s">
        <v>41</v>
      </c>
      <c r="H65" s="40" t="s">
        <v>5</v>
      </c>
      <c r="I65" s="40"/>
      <c r="J65" s="40"/>
      <c r="K65" s="40"/>
      <c r="L65" s="40"/>
      <c r="M65" s="40" t="s">
        <v>375</v>
      </c>
      <c r="N65" s="40"/>
      <c r="O65" s="40" t="s">
        <v>348</v>
      </c>
      <c r="P65" s="40"/>
      <c r="Q65" s="42"/>
      <c r="R65" s="42"/>
      <c r="S65" s="42"/>
      <c r="T65" s="42"/>
      <c r="U65" s="43"/>
      <c r="V65" s="40"/>
      <c r="W65" s="40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45" t="s">
        <v>157</v>
      </c>
      <c r="B66" s="44" t="s">
        <v>61</v>
      </c>
      <c r="C66" s="44" t="s">
        <v>62</v>
      </c>
      <c r="D66" s="44">
        <v>37646098000169</v>
      </c>
      <c r="E66" s="44"/>
      <c r="F66" s="44" t="s">
        <v>63</v>
      </c>
      <c r="G66" s="44" t="s">
        <v>41</v>
      </c>
      <c r="H66" s="44" t="s">
        <v>5</v>
      </c>
      <c r="I66" s="44"/>
      <c r="J66" s="44"/>
      <c r="K66" s="44"/>
      <c r="L66" s="44"/>
      <c r="M66" s="44" t="s">
        <v>375</v>
      </c>
      <c r="N66" s="44"/>
      <c r="O66" s="44" t="s">
        <v>350</v>
      </c>
      <c r="P66" s="44"/>
      <c r="Q66" s="46"/>
      <c r="R66" s="46"/>
      <c r="S66" s="46"/>
      <c r="T66" s="46"/>
      <c r="U66" s="47"/>
      <c r="V66" s="44"/>
      <c r="W66" s="44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41" t="s">
        <v>158</v>
      </c>
      <c r="B67" s="40" t="s">
        <v>159</v>
      </c>
      <c r="C67" s="40" t="s">
        <v>62</v>
      </c>
      <c r="D67" s="40">
        <v>44470328000147</v>
      </c>
      <c r="E67" s="40"/>
      <c r="F67" s="40" t="s">
        <v>160</v>
      </c>
      <c r="G67" s="40" t="s">
        <v>4</v>
      </c>
      <c r="H67" s="40" t="s">
        <v>5</v>
      </c>
      <c r="I67" s="40"/>
      <c r="J67" s="40"/>
      <c r="K67" s="40"/>
      <c r="L67" s="40"/>
      <c r="M67" s="40" t="s">
        <v>373</v>
      </c>
      <c r="N67" s="40"/>
      <c r="O67" s="40" t="s">
        <v>344</v>
      </c>
      <c r="P67" s="40"/>
      <c r="Q67" s="42"/>
      <c r="R67" s="42"/>
      <c r="S67" s="42"/>
      <c r="T67" s="42"/>
      <c r="U67" s="43"/>
      <c r="V67" s="40"/>
      <c r="W67" s="40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45" t="s">
        <v>161</v>
      </c>
      <c r="B68" s="44" t="s">
        <v>162</v>
      </c>
      <c r="C68" s="44" t="s">
        <v>163</v>
      </c>
      <c r="D68" s="44" t="s">
        <v>164</v>
      </c>
      <c r="E68" s="44"/>
      <c r="F68" s="44"/>
      <c r="G68" s="44" t="s">
        <v>41</v>
      </c>
      <c r="H68" s="44" t="s">
        <v>14</v>
      </c>
      <c r="I68" s="44"/>
      <c r="J68" s="44"/>
      <c r="K68" s="44"/>
      <c r="L68" s="44"/>
      <c r="M68" s="44" t="s">
        <v>381</v>
      </c>
      <c r="N68" s="44" t="s">
        <v>358</v>
      </c>
      <c r="O68" s="44" t="s">
        <v>358</v>
      </c>
      <c r="P68" s="44"/>
      <c r="Q68" s="46"/>
      <c r="R68" s="46"/>
      <c r="S68" s="46"/>
      <c r="T68" s="46"/>
      <c r="U68" s="47"/>
      <c r="V68" s="44"/>
      <c r="W68" s="44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41" t="s">
        <v>165</v>
      </c>
      <c r="B69" s="40" t="s">
        <v>162</v>
      </c>
      <c r="C69" s="40" t="s">
        <v>163</v>
      </c>
      <c r="D69" s="40" t="s">
        <v>166</v>
      </c>
      <c r="E69" s="40"/>
      <c r="F69" s="40" t="s">
        <v>167</v>
      </c>
      <c r="G69" s="40" t="s">
        <v>13</v>
      </c>
      <c r="H69" s="40" t="s">
        <v>14</v>
      </c>
      <c r="I69" s="40"/>
      <c r="J69" s="40"/>
      <c r="K69" s="40"/>
      <c r="L69" s="40"/>
      <c r="M69" s="40" t="s">
        <v>381</v>
      </c>
      <c r="N69" s="40" t="s">
        <v>358</v>
      </c>
      <c r="O69" s="40" t="s">
        <v>358</v>
      </c>
      <c r="P69" s="40"/>
      <c r="Q69" s="42"/>
      <c r="R69" s="42"/>
      <c r="S69" s="42"/>
      <c r="T69" s="42"/>
      <c r="U69" s="43"/>
      <c r="V69" s="40"/>
      <c r="W69" s="40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45" t="s">
        <v>168</v>
      </c>
      <c r="B70" s="44" t="s">
        <v>162</v>
      </c>
      <c r="C70" s="44" t="s">
        <v>163</v>
      </c>
      <c r="D70" s="44" t="s">
        <v>169</v>
      </c>
      <c r="E70" s="44"/>
      <c r="F70" s="44" t="s">
        <v>167</v>
      </c>
      <c r="G70" s="44" t="s">
        <v>13</v>
      </c>
      <c r="H70" s="44" t="s">
        <v>14</v>
      </c>
      <c r="I70" s="44"/>
      <c r="J70" s="44"/>
      <c r="K70" s="44"/>
      <c r="L70" s="44"/>
      <c r="M70" s="44" t="s">
        <v>381</v>
      </c>
      <c r="N70" s="44" t="s">
        <v>358</v>
      </c>
      <c r="O70" s="44" t="s">
        <v>358</v>
      </c>
      <c r="P70" s="44"/>
      <c r="Q70" s="46"/>
      <c r="R70" s="46"/>
      <c r="S70" s="46"/>
      <c r="T70" s="46"/>
      <c r="U70" s="47"/>
      <c r="V70" s="44"/>
      <c r="W70" s="44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41" t="s">
        <v>170</v>
      </c>
      <c r="B71" s="40" t="s">
        <v>162</v>
      </c>
      <c r="C71" s="40" t="s">
        <v>163</v>
      </c>
      <c r="D71" s="40" t="s">
        <v>171</v>
      </c>
      <c r="E71" s="40"/>
      <c r="F71" s="40" t="s">
        <v>167</v>
      </c>
      <c r="G71" s="40" t="s">
        <v>13</v>
      </c>
      <c r="H71" s="40" t="s">
        <v>14</v>
      </c>
      <c r="I71" s="40"/>
      <c r="J71" s="40"/>
      <c r="K71" s="40"/>
      <c r="L71" s="40"/>
      <c r="M71" s="40" t="s">
        <v>381</v>
      </c>
      <c r="N71" s="40" t="s">
        <v>358</v>
      </c>
      <c r="O71" s="40" t="s">
        <v>358</v>
      </c>
      <c r="P71" s="40"/>
      <c r="Q71" s="42"/>
      <c r="R71" s="42"/>
      <c r="S71" s="42"/>
      <c r="T71" s="42"/>
      <c r="U71" s="43"/>
      <c r="V71" s="40"/>
      <c r="W71" s="40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45" t="s">
        <v>172</v>
      </c>
      <c r="B72" s="44" t="s">
        <v>162</v>
      </c>
      <c r="C72" s="44" t="s">
        <v>163</v>
      </c>
      <c r="D72" s="44" t="s">
        <v>173</v>
      </c>
      <c r="E72" s="44"/>
      <c r="F72" s="44" t="s">
        <v>167</v>
      </c>
      <c r="G72" s="44" t="s">
        <v>13</v>
      </c>
      <c r="H72" s="44" t="s">
        <v>14</v>
      </c>
      <c r="I72" s="44"/>
      <c r="J72" s="44"/>
      <c r="K72" s="44"/>
      <c r="L72" s="44"/>
      <c r="M72" s="44" t="s">
        <v>381</v>
      </c>
      <c r="N72" s="44" t="s">
        <v>358</v>
      </c>
      <c r="O72" s="44" t="s">
        <v>358</v>
      </c>
      <c r="P72" s="44"/>
      <c r="Q72" s="46"/>
      <c r="R72" s="46"/>
      <c r="S72" s="46"/>
      <c r="T72" s="46"/>
      <c r="U72" s="47"/>
      <c r="V72" s="44"/>
      <c r="W72" s="44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41" t="s">
        <v>174</v>
      </c>
      <c r="B73" s="40" t="s">
        <v>162</v>
      </c>
      <c r="C73" s="40" t="s">
        <v>163</v>
      </c>
      <c r="D73" s="40" t="s">
        <v>175</v>
      </c>
      <c r="E73" s="40"/>
      <c r="F73" s="40" t="s">
        <v>167</v>
      </c>
      <c r="G73" s="40" t="s">
        <v>13</v>
      </c>
      <c r="H73" s="40" t="s">
        <v>14</v>
      </c>
      <c r="I73" s="40"/>
      <c r="J73" s="40"/>
      <c r="K73" s="40"/>
      <c r="L73" s="40"/>
      <c r="M73" s="40" t="s">
        <v>381</v>
      </c>
      <c r="N73" s="40" t="s">
        <v>358</v>
      </c>
      <c r="O73" s="40" t="s">
        <v>358</v>
      </c>
      <c r="P73" s="40"/>
      <c r="Q73" s="42"/>
      <c r="R73" s="42"/>
      <c r="S73" s="42"/>
      <c r="T73" s="42"/>
      <c r="U73" s="43"/>
      <c r="V73" s="40"/>
      <c r="W73" s="40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45" t="s">
        <v>176</v>
      </c>
      <c r="B74" s="44" t="s">
        <v>162</v>
      </c>
      <c r="C74" s="44" t="s">
        <v>163</v>
      </c>
      <c r="D74" s="44" t="s">
        <v>177</v>
      </c>
      <c r="E74" s="44"/>
      <c r="F74" s="44"/>
      <c r="G74" s="44" t="s">
        <v>4</v>
      </c>
      <c r="H74" s="44" t="s">
        <v>14</v>
      </c>
      <c r="I74" s="44"/>
      <c r="J74" s="44"/>
      <c r="K74" s="44"/>
      <c r="L74" s="44"/>
      <c r="M74" s="44" t="s">
        <v>381</v>
      </c>
      <c r="N74" s="44" t="s">
        <v>358</v>
      </c>
      <c r="O74" s="44" t="s">
        <v>347</v>
      </c>
      <c r="P74" s="44"/>
      <c r="Q74" s="46"/>
      <c r="R74" s="46"/>
      <c r="S74" s="46"/>
      <c r="T74" s="46"/>
      <c r="U74" s="47"/>
      <c r="V74" s="44"/>
      <c r="W74" s="44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41" t="s">
        <v>178</v>
      </c>
      <c r="B75" s="40" t="s">
        <v>162</v>
      </c>
      <c r="C75" s="40" t="s">
        <v>163</v>
      </c>
      <c r="D75" s="40" t="s">
        <v>179</v>
      </c>
      <c r="E75" s="40"/>
      <c r="F75" s="40"/>
      <c r="G75" s="40" t="s">
        <v>4</v>
      </c>
      <c r="H75" s="40" t="s">
        <v>14</v>
      </c>
      <c r="I75" s="40"/>
      <c r="J75" s="40"/>
      <c r="K75" s="40"/>
      <c r="L75" s="40"/>
      <c r="M75" s="40" t="s">
        <v>381</v>
      </c>
      <c r="N75" s="40" t="s">
        <v>358</v>
      </c>
      <c r="O75" s="40" t="s">
        <v>347</v>
      </c>
      <c r="P75" s="40"/>
      <c r="Q75" s="42"/>
      <c r="R75" s="42"/>
      <c r="S75" s="42"/>
      <c r="T75" s="42"/>
      <c r="U75" s="43"/>
      <c r="V75" s="40"/>
      <c r="W75" s="40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45" t="s">
        <v>180</v>
      </c>
      <c r="B76" s="44" t="s">
        <v>9</v>
      </c>
      <c r="C76" s="44" t="s">
        <v>24</v>
      </c>
      <c r="D76" s="44">
        <v>10977876000146</v>
      </c>
      <c r="E76" s="44"/>
      <c r="F76" s="44" t="s">
        <v>12</v>
      </c>
      <c r="G76" s="44" t="s">
        <v>4</v>
      </c>
      <c r="H76" s="44" t="s">
        <v>5</v>
      </c>
      <c r="I76" s="44"/>
      <c r="J76" s="44"/>
      <c r="K76" s="44"/>
      <c r="L76" s="44"/>
      <c r="M76" s="44" t="s">
        <v>381</v>
      </c>
      <c r="N76" s="44"/>
      <c r="O76" s="44" t="s">
        <v>348</v>
      </c>
      <c r="P76" s="44"/>
      <c r="Q76" s="46"/>
      <c r="R76" s="46"/>
      <c r="S76" s="46"/>
      <c r="T76" s="46"/>
      <c r="U76" s="47"/>
      <c r="V76" s="44"/>
      <c r="W76" s="44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41" t="s">
        <v>181</v>
      </c>
      <c r="B77" s="40" t="s">
        <v>182</v>
      </c>
      <c r="C77" s="40" t="s">
        <v>79</v>
      </c>
      <c r="D77" s="40" t="s">
        <v>183</v>
      </c>
      <c r="E77" s="40"/>
      <c r="F77" s="40" t="s">
        <v>184</v>
      </c>
      <c r="G77" s="40" t="s">
        <v>13</v>
      </c>
      <c r="H77" s="40" t="s">
        <v>5</v>
      </c>
      <c r="I77" s="40"/>
      <c r="J77" s="40"/>
      <c r="K77" s="40"/>
      <c r="L77" s="40"/>
      <c r="M77" s="40" t="s">
        <v>371</v>
      </c>
      <c r="N77" s="40"/>
      <c r="O77" s="40" t="s">
        <v>348</v>
      </c>
      <c r="P77" s="40"/>
      <c r="Q77" s="42"/>
      <c r="R77" s="42"/>
      <c r="S77" s="42"/>
      <c r="T77" s="42"/>
      <c r="U77" s="43"/>
      <c r="V77" s="40"/>
      <c r="W77" s="40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45" t="s">
        <v>185</v>
      </c>
      <c r="B78" s="44" t="s">
        <v>182</v>
      </c>
      <c r="C78" s="44" t="s">
        <v>79</v>
      </c>
      <c r="D78" s="44" t="s">
        <v>186</v>
      </c>
      <c r="E78" s="44"/>
      <c r="F78" s="44" t="s">
        <v>184</v>
      </c>
      <c r="G78" s="44" t="s">
        <v>13</v>
      </c>
      <c r="H78" s="44" t="s">
        <v>14</v>
      </c>
      <c r="I78" s="44"/>
      <c r="J78" s="44"/>
      <c r="K78" s="44"/>
      <c r="L78" s="44"/>
      <c r="M78" s="44" t="s">
        <v>352</v>
      </c>
      <c r="N78" s="44"/>
      <c r="O78" s="44" t="s">
        <v>351</v>
      </c>
      <c r="P78" s="44"/>
      <c r="Q78" s="46"/>
      <c r="R78" s="46"/>
      <c r="S78" s="46"/>
      <c r="T78" s="46"/>
      <c r="U78" s="47"/>
      <c r="V78" s="44"/>
      <c r="W78" s="44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41" t="s">
        <v>187</v>
      </c>
      <c r="B79" s="40" t="s">
        <v>188</v>
      </c>
      <c r="C79" s="40" t="s">
        <v>62</v>
      </c>
      <c r="D79" s="40">
        <v>40920539000183</v>
      </c>
      <c r="E79" s="40"/>
      <c r="F79" s="40" t="s">
        <v>189</v>
      </c>
      <c r="G79" s="40" t="s">
        <v>4</v>
      </c>
      <c r="H79" s="40" t="s">
        <v>5</v>
      </c>
      <c r="I79" s="40"/>
      <c r="J79" s="40"/>
      <c r="K79" s="40"/>
      <c r="L79" s="40"/>
      <c r="M79" s="40" t="s">
        <v>381</v>
      </c>
      <c r="N79" s="40"/>
      <c r="O79" s="40"/>
      <c r="P79" s="40"/>
      <c r="Q79" s="42"/>
      <c r="R79" s="42"/>
      <c r="S79" s="42"/>
      <c r="T79" s="42"/>
      <c r="U79" s="43"/>
      <c r="V79" s="40"/>
      <c r="W79" s="40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45" t="s">
        <v>190</v>
      </c>
      <c r="B80" s="44" t="s">
        <v>188</v>
      </c>
      <c r="C80" s="44" t="s">
        <v>69</v>
      </c>
      <c r="D80" s="44" t="s">
        <v>191</v>
      </c>
      <c r="E80" s="44"/>
      <c r="F80" s="44" t="s">
        <v>189</v>
      </c>
      <c r="G80" s="44" t="s">
        <v>41</v>
      </c>
      <c r="H80" s="44" t="s">
        <v>5</v>
      </c>
      <c r="I80" s="44"/>
      <c r="J80" s="44"/>
      <c r="K80" s="44"/>
      <c r="L80" s="44"/>
      <c r="M80" s="44" t="s">
        <v>375</v>
      </c>
      <c r="N80" s="44"/>
      <c r="O80" s="44" t="s">
        <v>347</v>
      </c>
      <c r="P80" s="44"/>
      <c r="Q80" s="46"/>
      <c r="R80" s="46"/>
      <c r="S80" s="46"/>
      <c r="T80" s="46"/>
      <c r="U80" s="47"/>
      <c r="V80" s="44"/>
      <c r="W80" s="44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41" t="s">
        <v>192</v>
      </c>
      <c r="B81" s="40" t="s">
        <v>188</v>
      </c>
      <c r="C81" s="40" t="s">
        <v>69</v>
      </c>
      <c r="D81" s="40" t="s">
        <v>193</v>
      </c>
      <c r="E81" s="40"/>
      <c r="F81" s="40" t="s">
        <v>189</v>
      </c>
      <c r="G81" s="40" t="s">
        <v>13</v>
      </c>
      <c r="H81" s="40" t="s">
        <v>14</v>
      </c>
      <c r="I81" s="40"/>
      <c r="J81" s="40"/>
      <c r="K81" s="40"/>
      <c r="L81" s="40"/>
      <c r="M81" s="40" t="s">
        <v>382</v>
      </c>
      <c r="N81" s="40"/>
      <c r="O81" s="40" t="s">
        <v>344</v>
      </c>
      <c r="P81" s="40"/>
      <c r="Q81" s="42"/>
      <c r="R81" s="42"/>
      <c r="S81" s="42"/>
      <c r="T81" s="42"/>
      <c r="U81" s="43"/>
      <c r="V81" s="40"/>
      <c r="W81" s="40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45" t="s">
        <v>194</v>
      </c>
      <c r="B82" s="44" t="s">
        <v>1</v>
      </c>
      <c r="C82" s="44" t="s">
        <v>195</v>
      </c>
      <c r="D82" s="44" t="s">
        <v>196</v>
      </c>
      <c r="E82" s="44"/>
      <c r="F82" s="44" t="s">
        <v>3</v>
      </c>
      <c r="G82" s="44" t="s">
        <v>197</v>
      </c>
      <c r="H82" s="44" t="s">
        <v>49</v>
      </c>
      <c r="I82" s="44"/>
      <c r="J82" s="44"/>
      <c r="K82" s="44"/>
      <c r="L82" s="44"/>
      <c r="M82" s="44" t="s">
        <v>372</v>
      </c>
      <c r="N82" s="44" t="s">
        <v>357</v>
      </c>
      <c r="O82" s="44" t="s">
        <v>348</v>
      </c>
      <c r="P82" s="44"/>
      <c r="Q82" s="46"/>
      <c r="R82" s="46"/>
      <c r="S82" s="46"/>
      <c r="T82" s="46"/>
      <c r="U82" s="47"/>
      <c r="V82" s="44"/>
      <c r="W82" s="44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41" t="s">
        <v>198</v>
      </c>
      <c r="B83" s="40" t="s">
        <v>1</v>
      </c>
      <c r="C83" s="40" t="s">
        <v>195</v>
      </c>
      <c r="D83" s="40" t="s">
        <v>199</v>
      </c>
      <c r="E83" s="40"/>
      <c r="F83" s="40" t="s">
        <v>3</v>
      </c>
      <c r="G83" s="40" t="s">
        <v>4</v>
      </c>
      <c r="H83" s="40" t="s">
        <v>49</v>
      </c>
      <c r="I83" s="40"/>
      <c r="J83" s="40"/>
      <c r="K83" s="40"/>
      <c r="L83" s="40"/>
      <c r="M83" s="40" t="s">
        <v>372</v>
      </c>
      <c r="N83" s="40" t="s">
        <v>357</v>
      </c>
      <c r="O83" s="40" t="s">
        <v>348</v>
      </c>
      <c r="P83" s="40"/>
      <c r="Q83" s="42"/>
      <c r="R83" s="42"/>
      <c r="S83" s="42"/>
      <c r="T83" s="42"/>
      <c r="U83" s="43"/>
      <c r="V83" s="40"/>
      <c r="W83" s="40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45" t="s">
        <v>200</v>
      </c>
      <c r="B84" s="44" t="s">
        <v>1</v>
      </c>
      <c r="C84" s="44" t="s">
        <v>195</v>
      </c>
      <c r="D84" s="44" t="s">
        <v>201</v>
      </c>
      <c r="E84" s="44"/>
      <c r="F84" s="44" t="s">
        <v>3</v>
      </c>
      <c r="G84" s="44" t="s">
        <v>4</v>
      </c>
      <c r="H84" s="44" t="s">
        <v>49</v>
      </c>
      <c r="I84" s="44"/>
      <c r="J84" s="44"/>
      <c r="K84" s="44"/>
      <c r="L84" s="44"/>
      <c r="M84" s="44" t="s">
        <v>372</v>
      </c>
      <c r="N84" s="44" t="s">
        <v>357</v>
      </c>
      <c r="O84" s="44" t="s">
        <v>348</v>
      </c>
      <c r="P84" s="44"/>
      <c r="Q84" s="46"/>
      <c r="R84" s="46"/>
      <c r="S84" s="46"/>
      <c r="T84" s="46"/>
      <c r="U84" s="47"/>
      <c r="V84" s="44"/>
      <c r="W84" s="44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41" t="s">
        <v>202</v>
      </c>
      <c r="B85" s="40" t="s">
        <v>203</v>
      </c>
      <c r="C85" s="40" t="s">
        <v>204</v>
      </c>
      <c r="D85" s="40">
        <v>48579725000102</v>
      </c>
      <c r="E85" s="40"/>
      <c r="F85" s="40" t="s">
        <v>205</v>
      </c>
      <c r="G85" s="40" t="s">
        <v>13</v>
      </c>
      <c r="H85" s="40" t="s">
        <v>5</v>
      </c>
      <c r="I85" s="40"/>
      <c r="J85" s="40"/>
      <c r="K85" s="40"/>
      <c r="L85" s="40"/>
      <c r="M85" s="40" t="s">
        <v>375</v>
      </c>
      <c r="N85" s="40"/>
      <c r="O85" s="40" t="s">
        <v>353</v>
      </c>
      <c r="P85" s="40"/>
      <c r="Q85" s="42"/>
      <c r="R85" s="42"/>
      <c r="S85" s="42"/>
      <c r="T85" s="42"/>
      <c r="U85" s="43"/>
      <c r="V85" s="40"/>
      <c r="W85" s="40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45" t="s">
        <v>206</v>
      </c>
      <c r="B86" s="44" t="s">
        <v>207</v>
      </c>
      <c r="C86" s="44" t="s">
        <v>62</v>
      </c>
      <c r="D86" s="44">
        <v>21879417000146</v>
      </c>
      <c r="E86" s="44"/>
      <c r="F86" s="44" t="s">
        <v>208</v>
      </c>
      <c r="G86" s="44" t="s">
        <v>41</v>
      </c>
      <c r="H86" s="44" t="s">
        <v>5</v>
      </c>
      <c r="I86" s="44"/>
      <c r="J86" s="44"/>
      <c r="K86" s="44"/>
      <c r="L86" s="44"/>
      <c r="M86" s="44" t="s">
        <v>375</v>
      </c>
      <c r="N86" s="44"/>
      <c r="O86" s="44" t="s">
        <v>346</v>
      </c>
      <c r="P86" s="44"/>
      <c r="Q86" s="46"/>
      <c r="R86" s="46"/>
      <c r="S86" s="46"/>
      <c r="T86" s="46"/>
      <c r="U86" s="47"/>
      <c r="V86" s="44"/>
      <c r="W86" s="44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41" t="s">
        <v>209</v>
      </c>
      <c r="B87" s="40" t="s">
        <v>207</v>
      </c>
      <c r="C87" s="40" t="s">
        <v>62</v>
      </c>
      <c r="D87" s="40" t="s">
        <v>384</v>
      </c>
      <c r="E87" s="40"/>
      <c r="F87" s="40" t="s">
        <v>208</v>
      </c>
      <c r="G87" s="40" t="s">
        <v>4</v>
      </c>
      <c r="H87" s="40" t="s">
        <v>5</v>
      </c>
      <c r="I87" s="40"/>
      <c r="J87" s="40"/>
      <c r="K87" s="40"/>
      <c r="L87" s="40"/>
      <c r="M87" s="40" t="s">
        <v>375</v>
      </c>
      <c r="N87" s="40"/>
      <c r="O87" s="40" t="s">
        <v>346</v>
      </c>
      <c r="P87" s="40"/>
      <c r="Q87" s="42"/>
      <c r="R87" s="42"/>
      <c r="S87" s="42"/>
      <c r="T87" s="42"/>
      <c r="U87" s="43"/>
      <c r="V87" s="40"/>
      <c r="W87" s="40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45" t="s">
        <v>210</v>
      </c>
      <c r="B88" s="44" t="s">
        <v>211</v>
      </c>
      <c r="C88" s="44" t="s">
        <v>69</v>
      </c>
      <c r="D88" s="44" t="s">
        <v>383</v>
      </c>
      <c r="E88" s="44"/>
      <c r="F88" s="44"/>
      <c r="G88" s="44" t="s">
        <v>4</v>
      </c>
      <c r="H88" s="44" t="s">
        <v>49</v>
      </c>
      <c r="I88" s="44"/>
      <c r="J88" s="44"/>
      <c r="K88" s="44"/>
      <c r="L88" s="44"/>
      <c r="M88" s="44" t="s">
        <v>375</v>
      </c>
      <c r="N88" s="44"/>
      <c r="O88" s="44" t="s">
        <v>346</v>
      </c>
      <c r="P88" s="44"/>
      <c r="Q88" s="46"/>
      <c r="R88" s="46"/>
      <c r="S88" s="46"/>
      <c r="T88" s="46"/>
      <c r="U88" s="47"/>
      <c r="V88" s="44"/>
      <c r="W88" s="44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41" t="s">
        <v>212</v>
      </c>
      <c r="B89" s="40" t="s">
        <v>211</v>
      </c>
      <c r="C89" s="40" t="s">
        <v>69</v>
      </c>
      <c r="D89" s="40"/>
      <c r="E89" s="40"/>
      <c r="F89" s="40"/>
      <c r="G89" s="40" t="s">
        <v>4</v>
      </c>
      <c r="H89" s="40" t="s">
        <v>49</v>
      </c>
      <c r="I89" s="40"/>
      <c r="J89" s="40"/>
      <c r="K89" s="40"/>
      <c r="L89" s="40"/>
      <c r="M89" s="40" t="s">
        <v>375</v>
      </c>
      <c r="N89" s="40"/>
      <c r="O89" s="40" t="s">
        <v>346</v>
      </c>
      <c r="P89" s="40"/>
      <c r="Q89" s="42"/>
      <c r="R89" s="42"/>
      <c r="S89" s="42"/>
      <c r="T89" s="42"/>
      <c r="U89" s="43"/>
      <c r="V89" s="40"/>
      <c r="W89" s="40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45" t="s">
        <v>213</v>
      </c>
      <c r="B90" s="44" t="s">
        <v>214</v>
      </c>
      <c r="C90" s="44" t="s">
        <v>62</v>
      </c>
      <c r="D90" s="44">
        <v>44868733000118</v>
      </c>
      <c r="E90" s="44"/>
      <c r="F90" s="44" t="s">
        <v>215</v>
      </c>
      <c r="G90" s="44" t="s">
        <v>4</v>
      </c>
      <c r="H90" s="44" t="s">
        <v>5</v>
      </c>
      <c r="I90" s="44"/>
      <c r="J90" s="44"/>
      <c r="K90" s="44"/>
      <c r="L90" s="44"/>
      <c r="M90" s="44" t="s">
        <v>375</v>
      </c>
      <c r="N90" s="44"/>
      <c r="O90" s="44" t="s">
        <v>347</v>
      </c>
      <c r="P90" s="44"/>
      <c r="Q90" s="46"/>
      <c r="R90" s="46"/>
      <c r="S90" s="46"/>
      <c r="T90" s="46"/>
      <c r="U90" s="47"/>
      <c r="V90" s="44"/>
      <c r="W90" s="44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41" t="s">
        <v>216</v>
      </c>
      <c r="B91" s="40" t="s">
        <v>9</v>
      </c>
      <c r="C91" s="40" t="s">
        <v>69</v>
      </c>
      <c r="D91" s="40" t="s">
        <v>217</v>
      </c>
      <c r="E91" s="40"/>
      <c r="F91" s="40" t="s">
        <v>12</v>
      </c>
      <c r="G91" s="40" t="s">
        <v>13</v>
      </c>
      <c r="H91" s="40" t="s">
        <v>49</v>
      </c>
      <c r="I91" s="40"/>
      <c r="J91" s="40"/>
      <c r="K91" s="40"/>
      <c r="L91" s="40"/>
      <c r="M91" s="40" t="s">
        <v>375</v>
      </c>
      <c r="N91" s="40"/>
      <c r="O91" s="40" t="s">
        <v>346</v>
      </c>
      <c r="P91" s="40"/>
      <c r="Q91" s="42"/>
      <c r="R91" s="42"/>
      <c r="S91" s="42"/>
      <c r="T91" s="42"/>
      <c r="U91" s="43"/>
      <c r="V91" s="40"/>
      <c r="W91" s="40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45" t="s">
        <v>218</v>
      </c>
      <c r="B92" s="44" t="s">
        <v>219</v>
      </c>
      <c r="C92" s="44" t="s">
        <v>62</v>
      </c>
      <c r="D92" s="44">
        <v>51987426000111</v>
      </c>
      <c r="E92" s="44"/>
      <c r="F92" s="44" t="s">
        <v>220</v>
      </c>
      <c r="G92" s="44" t="s">
        <v>4</v>
      </c>
      <c r="H92" s="44" t="s">
        <v>5</v>
      </c>
      <c r="I92" s="44"/>
      <c r="J92" s="44"/>
      <c r="K92" s="44"/>
      <c r="L92" s="44"/>
      <c r="M92" s="44" t="s">
        <v>385</v>
      </c>
      <c r="N92" s="44"/>
      <c r="O92" s="44" t="s">
        <v>347</v>
      </c>
      <c r="P92" s="44"/>
      <c r="Q92" s="46"/>
      <c r="R92" s="46"/>
      <c r="S92" s="46"/>
      <c r="T92" s="46"/>
      <c r="U92" s="47"/>
      <c r="V92" s="44"/>
      <c r="W92" s="44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41" t="s">
        <v>221</v>
      </c>
      <c r="B93" s="40" t="s">
        <v>222</v>
      </c>
      <c r="C93" s="40" t="s">
        <v>62</v>
      </c>
      <c r="D93" s="40" t="s">
        <v>386</v>
      </c>
      <c r="E93" s="40"/>
      <c r="F93" s="40" t="s">
        <v>223</v>
      </c>
      <c r="G93" s="40" t="s">
        <v>13</v>
      </c>
      <c r="H93" s="40" t="s">
        <v>49</v>
      </c>
      <c r="I93" s="40"/>
      <c r="J93" s="40"/>
      <c r="K93" s="40"/>
      <c r="L93" s="40"/>
      <c r="M93" s="40" t="s">
        <v>385</v>
      </c>
      <c r="N93" s="40"/>
      <c r="O93" s="40" t="s">
        <v>347</v>
      </c>
      <c r="P93" s="40"/>
      <c r="Q93" s="42"/>
      <c r="R93" s="42"/>
      <c r="S93" s="42"/>
      <c r="T93" s="42"/>
      <c r="U93" s="43"/>
      <c r="V93" s="40"/>
      <c r="W93" s="40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45" t="s">
        <v>224</v>
      </c>
      <c r="B94" s="44" t="s">
        <v>182</v>
      </c>
      <c r="C94" s="44" t="s">
        <v>83</v>
      </c>
      <c r="D94" s="44">
        <v>21371431000134</v>
      </c>
      <c r="E94" s="44"/>
      <c r="F94" s="44" t="s">
        <v>225</v>
      </c>
      <c r="G94" s="44" t="s">
        <v>4</v>
      </c>
      <c r="H94" s="44" t="s">
        <v>5</v>
      </c>
      <c r="I94" s="44"/>
      <c r="J94" s="44"/>
      <c r="K94" s="44"/>
      <c r="L94" s="44"/>
      <c r="M94" s="44" t="s">
        <v>371</v>
      </c>
      <c r="N94" s="44"/>
      <c r="O94" s="44" t="s">
        <v>354</v>
      </c>
      <c r="P94" s="44"/>
      <c r="Q94" s="46"/>
      <c r="R94" s="46"/>
      <c r="S94" s="46"/>
      <c r="T94" s="46"/>
      <c r="U94" s="47"/>
      <c r="V94" s="44"/>
      <c r="W94" s="44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41" t="s">
        <v>226</v>
      </c>
      <c r="B95" s="40" t="s">
        <v>227</v>
      </c>
      <c r="C95" s="40" t="s">
        <v>122</v>
      </c>
      <c r="D95" s="40">
        <v>9421791000106</v>
      </c>
      <c r="E95" s="40"/>
      <c r="F95" s="40" t="s">
        <v>228</v>
      </c>
      <c r="G95" s="40" t="s">
        <v>4</v>
      </c>
      <c r="H95" s="40" t="s">
        <v>5</v>
      </c>
      <c r="I95" s="40"/>
      <c r="J95" s="40"/>
      <c r="K95" s="40"/>
      <c r="L95" s="40"/>
      <c r="M95" s="40" t="s">
        <v>375</v>
      </c>
      <c r="N95" s="40"/>
      <c r="O95" s="40" t="s">
        <v>346</v>
      </c>
      <c r="P95" s="40"/>
      <c r="Q95" s="42"/>
      <c r="R95" s="42"/>
      <c r="S95" s="42"/>
      <c r="T95" s="42"/>
      <c r="U95" s="43"/>
      <c r="V95" s="40"/>
      <c r="W95" s="40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45" t="s">
        <v>229</v>
      </c>
      <c r="B96" s="44" t="s">
        <v>96</v>
      </c>
      <c r="C96" s="44" t="s">
        <v>230</v>
      </c>
      <c r="D96" s="44" t="s">
        <v>387</v>
      </c>
      <c r="E96" s="44"/>
      <c r="F96" s="44" t="s">
        <v>99</v>
      </c>
      <c r="G96" s="44" t="s">
        <v>4</v>
      </c>
      <c r="H96" s="44" t="s">
        <v>14</v>
      </c>
      <c r="I96" s="44"/>
      <c r="J96" s="44"/>
      <c r="K96" s="44"/>
      <c r="L96" s="44"/>
      <c r="M96" s="44" t="s">
        <v>372</v>
      </c>
      <c r="N96" s="44"/>
      <c r="O96" s="44" t="s">
        <v>346</v>
      </c>
      <c r="P96" s="44"/>
      <c r="Q96" s="46"/>
      <c r="R96" s="46"/>
      <c r="S96" s="46"/>
      <c r="T96" s="46"/>
      <c r="U96" s="47"/>
      <c r="V96" s="44"/>
      <c r="W96" s="44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41" t="s">
        <v>231</v>
      </c>
      <c r="B97" s="40" t="s">
        <v>211</v>
      </c>
      <c r="C97" s="40" t="s">
        <v>69</v>
      </c>
      <c r="D97" s="40" t="s">
        <v>232</v>
      </c>
      <c r="E97" s="40"/>
      <c r="F97" s="40"/>
      <c r="G97" s="40" t="s">
        <v>4</v>
      </c>
      <c r="H97" s="40" t="s">
        <v>49</v>
      </c>
      <c r="I97" s="40"/>
      <c r="J97" s="40"/>
      <c r="K97" s="40"/>
      <c r="L97" s="40"/>
      <c r="M97" s="40" t="s">
        <v>375</v>
      </c>
      <c r="N97" s="40"/>
      <c r="O97" s="40" t="s">
        <v>346</v>
      </c>
      <c r="P97" s="40"/>
      <c r="Q97" s="42"/>
      <c r="R97" s="42"/>
      <c r="S97" s="42"/>
      <c r="T97" s="42"/>
      <c r="U97" s="43"/>
      <c r="V97" s="40"/>
      <c r="W97" s="40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45" t="s">
        <v>233</v>
      </c>
      <c r="B98" s="44" t="s">
        <v>134</v>
      </c>
      <c r="C98" s="44" t="s">
        <v>116</v>
      </c>
      <c r="D98" s="44" t="s">
        <v>234</v>
      </c>
      <c r="E98" s="44"/>
      <c r="F98" s="44" t="s">
        <v>138</v>
      </c>
      <c r="G98" s="44" t="s">
        <v>13</v>
      </c>
      <c r="H98" s="44" t="s">
        <v>14</v>
      </c>
      <c r="I98" s="44"/>
      <c r="J98" s="44"/>
      <c r="K98" s="44"/>
      <c r="L98" s="44"/>
      <c r="M98" s="44" t="s">
        <v>356</v>
      </c>
      <c r="N98" s="44"/>
      <c r="O98" s="44" t="s">
        <v>355</v>
      </c>
      <c r="P98" s="44"/>
      <c r="Q98" s="46"/>
      <c r="R98" s="46"/>
      <c r="S98" s="46"/>
      <c r="T98" s="46"/>
      <c r="U98" s="47"/>
      <c r="V98" s="44"/>
      <c r="W98" s="44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41" t="s">
        <v>235</v>
      </c>
      <c r="B99" s="40" t="s">
        <v>134</v>
      </c>
      <c r="C99" s="40" t="s">
        <v>116</v>
      </c>
      <c r="D99" s="40" t="s">
        <v>236</v>
      </c>
      <c r="E99" s="40"/>
      <c r="F99" s="40" t="s">
        <v>138</v>
      </c>
      <c r="G99" s="40" t="s">
        <v>13</v>
      </c>
      <c r="H99" s="40" t="s">
        <v>14</v>
      </c>
      <c r="I99" s="40"/>
      <c r="J99" s="40"/>
      <c r="K99" s="40"/>
      <c r="L99" s="40"/>
      <c r="M99" s="40" t="s">
        <v>356</v>
      </c>
      <c r="N99" s="40"/>
      <c r="O99" s="40" t="s">
        <v>355</v>
      </c>
      <c r="P99" s="40"/>
      <c r="Q99" s="42"/>
      <c r="R99" s="42"/>
      <c r="S99" s="42"/>
      <c r="T99" s="42"/>
      <c r="U99" s="43"/>
      <c r="V99" s="40"/>
      <c r="W99" s="40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45" t="s">
        <v>237</v>
      </c>
      <c r="B100" s="44" t="s">
        <v>134</v>
      </c>
      <c r="C100" s="44" t="s">
        <v>116</v>
      </c>
      <c r="D100" s="44" t="s">
        <v>238</v>
      </c>
      <c r="E100" s="44"/>
      <c r="F100" s="44" t="s">
        <v>138</v>
      </c>
      <c r="G100" s="44" t="s">
        <v>13</v>
      </c>
      <c r="H100" s="44" t="s">
        <v>14</v>
      </c>
      <c r="I100" s="44"/>
      <c r="J100" s="44"/>
      <c r="K100" s="44"/>
      <c r="L100" s="44"/>
      <c r="M100" s="44" t="s">
        <v>356</v>
      </c>
      <c r="N100" s="44"/>
      <c r="O100" s="44" t="s">
        <v>355</v>
      </c>
      <c r="P100" s="44"/>
      <c r="Q100" s="46"/>
      <c r="R100" s="46"/>
      <c r="S100" s="46"/>
      <c r="T100" s="46"/>
      <c r="U100" s="47"/>
      <c r="V100" s="44"/>
      <c r="W100" s="44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41" t="s">
        <v>239</v>
      </c>
      <c r="B101" s="40" t="s">
        <v>55</v>
      </c>
      <c r="C101" s="40" t="s">
        <v>56</v>
      </c>
      <c r="D101" s="40" t="s">
        <v>240</v>
      </c>
      <c r="E101" s="40"/>
      <c r="F101" s="40" t="s">
        <v>57</v>
      </c>
      <c r="G101" s="40" t="s">
        <v>13</v>
      </c>
      <c r="H101" s="40" t="s">
        <v>5</v>
      </c>
      <c r="I101" s="40"/>
      <c r="J101" s="40"/>
      <c r="K101" s="40"/>
      <c r="L101" s="40"/>
      <c r="M101" s="40" t="s">
        <v>372</v>
      </c>
      <c r="N101" s="40" t="s">
        <v>357</v>
      </c>
      <c r="O101" s="40" t="s">
        <v>346</v>
      </c>
      <c r="P101" s="40"/>
      <c r="Q101" s="42"/>
      <c r="R101" s="42"/>
      <c r="S101" s="42"/>
      <c r="T101" s="42"/>
      <c r="U101" s="43"/>
      <c r="V101" s="40"/>
      <c r="W101" s="40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45" t="s">
        <v>241</v>
      </c>
      <c r="B102" s="44" t="s">
        <v>55</v>
      </c>
      <c r="C102" s="44" t="s">
        <v>242</v>
      </c>
      <c r="D102" s="44" t="s">
        <v>243</v>
      </c>
      <c r="E102" s="44"/>
      <c r="F102" s="44" t="s">
        <v>57</v>
      </c>
      <c r="G102" s="44" t="s">
        <v>13</v>
      </c>
      <c r="H102" s="44" t="s">
        <v>5</v>
      </c>
      <c r="I102" s="44"/>
      <c r="J102" s="44"/>
      <c r="K102" s="44"/>
      <c r="L102" s="44"/>
      <c r="M102" s="44" t="s">
        <v>372</v>
      </c>
      <c r="N102" s="44" t="s">
        <v>368</v>
      </c>
      <c r="O102" s="44" t="s">
        <v>346</v>
      </c>
      <c r="P102" s="44"/>
      <c r="Q102" s="46"/>
      <c r="R102" s="46"/>
      <c r="S102" s="46"/>
      <c r="T102" s="46"/>
      <c r="U102" s="47"/>
      <c r="V102" s="44"/>
      <c r="W102" s="44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41" t="s">
        <v>244</v>
      </c>
      <c r="B103" s="40" t="s">
        <v>55</v>
      </c>
      <c r="C103" s="40" t="s">
        <v>245</v>
      </c>
      <c r="D103" s="40" t="s">
        <v>246</v>
      </c>
      <c r="E103" s="40"/>
      <c r="F103" s="40" t="s">
        <v>57</v>
      </c>
      <c r="G103" s="40" t="s">
        <v>13</v>
      </c>
      <c r="H103" s="40" t="s">
        <v>5</v>
      </c>
      <c r="I103" s="40"/>
      <c r="J103" s="40"/>
      <c r="K103" s="40"/>
      <c r="L103" s="40"/>
      <c r="M103" s="40" t="s">
        <v>372</v>
      </c>
      <c r="N103" s="40" t="s">
        <v>357</v>
      </c>
      <c r="O103" s="40" t="s">
        <v>346</v>
      </c>
      <c r="P103" s="40"/>
      <c r="Q103" s="42"/>
      <c r="R103" s="42"/>
      <c r="S103" s="42"/>
      <c r="T103" s="42"/>
      <c r="U103" s="43"/>
      <c r="V103" s="40"/>
      <c r="W103" s="40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45" t="s">
        <v>247</v>
      </c>
      <c r="B104" s="44" t="s">
        <v>55</v>
      </c>
      <c r="C104" s="44" t="s">
        <v>248</v>
      </c>
      <c r="D104" s="44" t="s">
        <v>249</v>
      </c>
      <c r="E104" s="44"/>
      <c r="F104" s="44" t="s">
        <v>57</v>
      </c>
      <c r="G104" s="44" t="s">
        <v>13</v>
      </c>
      <c r="H104" s="44" t="s">
        <v>49</v>
      </c>
      <c r="I104" s="44"/>
      <c r="J104" s="44"/>
      <c r="K104" s="44"/>
      <c r="L104" s="44"/>
      <c r="M104" s="44" t="s">
        <v>372</v>
      </c>
      <c r="N104" s="44" t="s">
        <v>369</v>
      </c>
      <c r="O104" s="44" t="s">
        <v>346</v>
      </c>
      <c r="P104" s="44"/>
      <c r="Q104" s="46"/>
      <c r="R104" s="46"/>
      <c r="S104" s="46"/>
      <c r="T104" s="46"/>
      <c r="U104" s="47"/>
      <c r="V104" s="44"/>
      <c r="W104" s="44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41" t="s">
        <v>250</v>
      </c>
      <c r="B105" s="40" t="s">
        <v>1</v>
      </c>
      <c r="C105" s="40" t="s">
        <v>2</v>
      </c>
      <c r="D105" s="40" t="s">
        <v>251</v>
      </c>
      <c r="E105" s="40"/>
      <c r="F105" s="40" t="s">
        <v>252</v>
      </c>
      <c r="G105" s="40" t="s">
        <v>4</v>
      </c>
      <c r="H105" s="40" t="s">
        <v>49</v>
      </c>
      <c r="I105" s="40"/>
      <c r="J105" s="40"/>
      <c r="K105" s="40"/>
      <c r="L105" s="40"/>
      <c r="M105" s="40" t="s">
        <v>367</v>
      </c>
      <c r="N105" s="40" t="s">
        <v>357</v>
      </c>
      <c r="O105" s="40" t="s">
        <v>346</v>
      </c>
      <c r="P105" s="40"/>
      <c r="Q105" s="42"/>
      <c r="R105" s="42"/>
      <c r="S105" s="42"/>
      <c r="T105" s="42"/>
      <c r="U105" s="43"/>
      <c r="V105" s="40"/>
      <c r="W105" s="40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45" t="s">
        <v>253</v>
      </c>
      <c r="B106" s="44" t="s">
        <v>214</v>
      </c>
      <c r="C106" s="44" t="s">
        <v>62</v>
      </c>
      <c r="D106" s="44" t="s">
        <v>388</v>
      </c>
      <c r="E106" s="44"/>
      <c r="F106" s="44" t="s">
        <v>254</v>
      </c>
      <c r="G106" s="44" t="s">
        <v>13</v>
      </c>
      <c r="H106" s="44" t="s">
        <v>5</v>
      </c>
      <c r="I106" s="44"/>
      <c r="J106" s="44"/>
      <c r="K106" s="44"/>
      <c r="L106" s="44"/>
      <c r="M106" s="44" t="s">
        <v>372</v>
      </c>
      <c r="N106" s="44"/>
      <c r="O106" s="44" t="s">
        <v>346</v>
      </c>
      <c r="P106" s="44"/>
      <c r="Q106" s="46"/>
      <c r="R106" s="46"/>
      <c r="S106" s="46"/>
      <c r="T106" s="46"/>
      <c r="U106" s="47"/>
      <c r="V106" s="44"/>
      <c r="W106" s="44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41" t="s">
        <v>255</v>
      </c>
      <c r="B107" s="40" t="s">
        <v>214</v>
      </c>
      <c r="C107" s="40" t="s">
        <v>62</v>
      </c>
      <c r="D107" s="40" t="s">
        <v>389</v>
      </c>
      <c r="E107" s="40"/>
      <c r="F107" s="40" t="s">
        <v>254</v>
      </c>
      <c r="G107" s="40" t="s">
        <v>13</v>
      </c>
      <c r="H107" s="40" t="s">
        <v>49</v>
      </c>
      <c r="I107" s="40"/>
      <c r="J107" s="40"/>
      <c r="K107" s="40"/>
      <c r="L107" s="40"/>
      <c r="M107" s="40" t="s">
        <v>385</v>
      </c>
      <c r="N107" s="40"/>
      <c r="O107" s="40" t="s">
        <v>346</v>
      </c>
      <c r="P107" s="40"/>
      <c r="Q107" s="42"/>
      <c r="R107" s="42"/>
      <c r="S107" s="42"/>
      <c r="T107" s="42"/>
      <c r="U107" s="43"/>
      <c r="V107" s="40"/>
      <c r="W107" s="40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45" t="s">
        <v>256</v>
      </c>
      <c r="B108" s="44" t="s">
        <v>214</v>
      </c>
      <c r="C108" s="44" t="s">
        <v>62</v>
      </c>
      <c r="D108" s="44" t="s">
        <v>390</v>
      </c>
      <c r="E108" s="44"/>
      <c r="F108" s="44" t="s">
        <v>257</v>
      </c>
      <c r="G108" s="44" t="s">
        <v>4</v>
      </c>
      <c r="H108" s="44" t="s">
        <v>5</v>
      </c>
      <c r="I108" s="44"/>
      <c r="J108" s="44"/>
      <c r="K108" s="44"/>
      <c r="L108" s="44"/>
      <c r="M108" s="44" t="s">
        <v>375</v>
      </c>
      <c r="N108" s="44"/>
      <c r="O108" s="44" t="s">
        <v>346</v>
      </c>
      <c r="P108" s="44"/>
      <c r="Q108" s="46"/>
      <c r="R108" s="46"/>
      <c r="S108" s="46"/>
      <c r="T108" s="46"/>
      <c r="U108" s="47"/>
      <c r="V108" s="44"/>
      <c r="W108" s="44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41" t="s">
        <v>258</v>
      </c>
      <c r="B109" s="40" t="s">
        <v>259</v>
      </c>
      <c r="C109" s="40" t="s">
        <v>69</v>
      </c>
      <c r="D109" s="40" t="s">
        <v>260</v>
      </c>
      <c r="E109" s="40"/>
      <c r="F109" s="40" t="s">
        <v>261</v>
      </c>
      <c r="G109" s="40" t="s">
        <v>4</v>
      </c>
      <c r="H109" s="40" t="s">
        <v>5</v>
      </c>
      <c r="I109" s="40"/>
      <c r="J109" s="40"/>
      <c r="K109" s="40"/>
      <c r="L109" s="40"/>
      <c r="M109" s="40" t="s">
        <v>367</v>
      </c>
      <c r="N109" s="40"/>
      <c r="O109" s="40"/>
      <c r="P109" s="40"/>
      <c r="Q109" s="42"/>
      <c r="R109" s="42"/>
      <c r="S109" s="42"/>
      <c r="T109" s="42"/>
      <c r="U109" s="43"/>
      <c r="V109" s="40"/>
      <c r="W109" s="40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45" t="s">
        <v>262</v>
      </c>
      <c r="B110" s="44" t="s">
        <v>259</v>
      </c>
      <c r="C110" s="44" t="s">
        <v>69</v>
      </c>
      <c r="D110" s="44" t="s">
        <v>263</v>
      </c>
      <c r="E110" s="44"/>
      <c r="F110" s="44" t="s">
        <v>261</v>
      </c>
      <c r="G110" s="44" t="s">
        <v>13</v>
      </c>
      <c r="H110" s="44" t="s">
        <v>5</v>
      </c>
      <c r="I110" s="44"/>
      <c r="J110" s="44"/>
      <c r="K110" s="44"/>
      <c r="L110" s="44"/>
      <c r="M110" s="44" t="s">
        <v>367</v>
      </c>
      <c r="N110" s="44"/>
      <c r="O110" s="44"/>
      <c r="P110" s="44"/>
      <c r="Q110" s="46"/>
      <c r="R110" s="46"/>
      <c r="S110" s="46"/>
      <c r="T110" s="46"/>
      <c r="U110" s="47"/>
      <c r="V110" s="44"/>
      <c r="W110" s="44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41" t="s">
        <v>264</v>
      </c>
      <c r="B111" s="40" t="s">
        <v>159</v>
      </c>
      <c r="C111" s="40" t="s">
        <v>69</v>
      </c>
      <c r="D111" s="40" t="s">
        <v>265</v>
      </c>
      <c r="E111" s="40"/>
      <c r="F111" s="40" t="s">
        <v>266</v>
      </c>
      <c r="G111" s="40" t="s">
        <v>13</v>
      </c>
      <c r="H111" s="40" t="s">
        <v>5</v>
      </c>
      <c r="I111" s="40"/>
      <c r="J111" s="40"/>
      <c r="K111" s="40"/>
      <c r="L111" s="40"/>
      <c r="M111" s="40" t="s">
        <v>385</v>
      </c>
      <c r="N111" s="40"/>
      <c r="O111" s="40" t="s">
        <v>359</v>
      </c>
      <c r="P111" s="40"/>
      <c r="Q111" s="42"/>
      <c r="R111" s="42"/>
      <c r="S111" s="42"/>
      <c r="T111" s="42"/>
      <c r="U111" s="43"/>
      <c r="V111" s="40"/>
      <c r="W111" s="40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45" t="s">
        <v>267</v>
      </c>
      <c r="B112" s="44" t="s">
        <v>159</v>
      </c>
      <c r="C112" s="44" t="s">
        <v>268</v>
      </c>
      <c r="D112" s="44" t="s">
        <v>269</v>
      </c>
      <c r="E112" s="44"/>
      <c r="F112" s="44" t="s">
        <v>266</v>
      </c>
      <c r="G112" s="44" t="s">
        <v>13</v>
      </c>
      <c r="H112" s="44" t="s">
        <v>14</v>
      </c>
      <c r="I112" s="44"/>
      <c r="J112" s="44"/>
      <c r="K112" s="44"/>
      <c r="L112" s="44"/>
      <c r="M112" s="44" t="s">
        <v>372</v>
      </c>
      <c r="N112" s="44"/>
      <c r="O112" s="44" t="s">
        <v>346</v>
      </c>
      <c r="P112" s="44"/>
      <c r="Q112" s="46"/>
      <c r="R112" s="46"/>
      <c r="S112" s="46"/>
      <c r="T112" s="46"/>
      <c r="U112" s="47"/>
      <c r="V112" s="44"/>
      <c r="W112" s="44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41" t="s">
        <v>270</v>
      </c>
      <c r="B113" s="40" t="s">
        <v>271</v>
      </c>
      <c r="C113" s="40"/>
      <c r="D113" s="40" t="s">
        <v>272</v>
      </c>
      <c r="E113" s="40"/>
      <c r="F113" s="40" t="s">
        <v>273</v>
      </c>
      <c r="G113" s="40" t="s">
        <v>41</v>
      </c>
      <c r="H113" s="40" t="s">
        <v>49</v>
      </c>
      <c r="I113" s="40"/>
      <c r="J113" s="40"/>
      <c r="K113" s="40"/>
      <c r="L113" s="40"/>
      <c r="M113" s="40" t="s">
        <v>375</v>
      </c>
      <c r="N113" s="40"/>
      <c r="O113" s="40" t="s">
        <v>360</v>
      </c>
      <c r="P113" s="40"/>
      <c r="Q113" s="42"/>
      <c r="R113" s="42"/>
      <c r="S113" s="42"/>
      <c r="T113" s="42"/>
      <c r="U113" s="43"/>
      <c r="V113" s="40"/>
      <c r="W113" s="40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45" t="s">
        <v>274</v>
      </c>
      <c r="B114" s="44" t="s">
        <v>134</v>
      </c>
      <c r="C114" s="44" t="s">
        <v>122</v>
      </c>
      <c r="D114" s="44" t="s">
        <v>391</v>
      </c>
      <c r="E114" s="44"/>
      <c r="F114" s="44" t="s">
        <v>275</v>
      </c>
      <c r="G114" s="44" t="s">
        <v>4</v>
      </c>
      <c r="H114" s="44" t="s">
        <v>5</v>
      </c>
      <c r="I114" s="44"/>
      <c r="J114" s="44"/>
      <c r="K114" s="44"/>
      <c r="L114" s="44"/>
      <c r="M114" s="44" t="s">
        <v>375</v>
      </c>
      <c r="N114" s="44"/>
      <c r="O114" s="44" t="s">
        <v>361</v>
      </c>
      <c r="P114" s="44"/>
      <c r="Q114" s="46"/>
      <c r="R114" s="46"/>
      <c r="S114" s="46"/>
      <c r="T114" s="46"/>
      <c r="U114" s="47"/>
      <c r="V114" s="44"/>
      <c r="W114" s="44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41" t="s">
        <v>276</v>
      </c>
      <c r="B115" s="40" t="s">
        <v>182</v>
      </c>
      <c r="C115" s="40" t="s">
        <v>83</v>
      </c>
      <c r="D115" s="40" t="s">
        <v>392</v>
      </c>
      <c r="E115" s="40"/>
      <c r="F115" s="40" t="s">
        <v>225</v>
      </c>
      <c r="G115" s="40" t="s">
        <v>4</v>
      </c>
      <c r="H115" s="40" t="s">
        <v>5</v>
      </c>
      <c r="I115" s="40"/>
      <c r="J115" s="40"/>
      <c r="K115" s="40"/>
      <c r="L115" s="40"/>
      <c r="M115" s="40" t="s">
        <v>372</v>
      </c>
      <c r="N115" s="40"/>
      <c r="O115" s="40" t="s">
        <v>361</v>
      </c>
      <c r="P115" s="40"/>
      <c r="Q115" s="42"/>
      <c r="R115" s="42"/>
      <c r="S115" s="42"/>
      <c r="T115" s="42"/>
      <c r="U115" s="43"/>
      <c r="V115" s="40"/>
      <c r="W115" s="40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45" t="s">
        <v>277</v>
      </c>
      <c r="B116" s="44" t="s">
        <v>211</v>
      </c>
      <c r="C116" s="44" t="s">
        <v>69</v>
      </c>
      <c r="D116" s="44" t="s">
        <v>278</v>
      </c>
      <c r="E116" s="44"/>
      <c r="F116" s="44" t="s">
        <v>279</v>
      </c>
      <c r="G116" s="44" t="s">
        <v>13</v>
      </c>
      <c r="H116" s="44" t="s">
        <v>49</v>
      </c>
      <c r="I116" s="44">
        <v>46147</v>
      </c>
      <c r="J116" s="44"/>
      <c r="K116" s="44"/>
      <c r="L116" s="44"/>
      <c r="M116" s="44" t="s">
        <v>362</v>
      </c>
      <c r="N116" s="44"/>
      <c r="O116" s="44" t="s">
        <v>359</v>
      </c>
      <c r="P116" s="44"/>
      <c r="Q116" s="46"/>
      <c r="R116" s="46"/>
      <c r="S116" s="46"/>
      <c r="T116" s="46"/>
      <c r="U116" s="47"/>
      <c r="V116" s="44"/>
      <c r="W116" s="44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41" t="s">
        <v>280</v>
      </c>
      <c r="B117" s="40" t="s">
        <v>162</v>
      </c>
      <c r="C117" s="40" t="s">
        <v>281</v>
      </c>
      <c r="D117" s="40" t="s">
        <v>282</v>
      </c>
      <c r="E117" s="40"/>
      <c r="F117" s="40"/>
      <c r="G117" s="40" t="s">
        <v>4</v>
      </c>
      <c r="H117" s="40" t="s">
        <v>49</v>
      </c>
      <c r="I117" s="40"/>
      <c r="J117" s="40"/>
      <c r="K117" s="40"/>
      <c r="L117" s="40"/>
      <c r="M117" s="40" t="s">
        <v>372</v>
      </c>
      <c r="N117" s="40" t="s">
        <v>358</v>
      </c>
      <c r="O117" s="40" t="s">
        <v>361</v>
      </c>
      <c r="P117" s="40"/>
      <c r="Q117" s="42"/>
      <c r="R117" s="42"/>
      <c r="S117" s="42"/>
      <c r="T117" s="42"/>
      <c r="U117" s="43"/>
      <c r="V117" s="40"/>
      <c r="W117" s="40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45" t="s">
        <v>283</v>
      </c>
      <c r="B118" s="44" t="s">
        <v>75</v>
      </c>
      <c r="C118" s="44" t="s">
        <v>62</v>
      </c>
      <c r="D118" s="44" t="s">
        <v>393</v>
      </c>
      <c r="E118" s="44"/>
      <c r="F118" s="44" t="s">
        <v>284</v>
      </c>
      <c r="G118" s="44" t="s">
        <v>4</v>
      </c>
      <c r="H118" s="44" t="s">
        <v>14</v>
      </c>
      <c r="I118" s="44"/>
      <c r="J118" s="44"/>
      <c r="K118" s="44"/>
      <c r="L118" s="44"/>
      <c r="M118" s="44" t="s">
        <v>385</v>
      </c>
      <c r="N118" s="44"/>
      <c r="O118" s="44" t="s">
        <v>361</v>
      </c>
      <c r="P118" s="44"/>
      <c r="Q118" s="46"/>
      <c r="R118" s="46"/>
      <c r="S118" s="46"/>
      <c r="T118" s="46"/>
      <c r="U118" s="47"/>
      <c r="V118" s="44"/>
      <c r="W118" s="44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41" t="s">
        <v>285</v>
      </c>
      <c r="B119" s="40" t="s">
        <v>286</v>
      </c>
      <c r="C119" s="40"/>
      <c r="D119" s="40" t="s">
        <v>394</v>
      </c>
      <c r="E119" s="40"/>
      <c r="F119" s="40" t="s">
        <v>287</v>
      </c>
      <c r="G119" s="40" t="s">
        <v>4</v>
      </c>
      <c r="H119" s="40" t="s">
        <v>49</v>
      </c>
      <c r="I119" s="40"/>
      <c r="J119" s="40"/>
      <c r="K119" s="40"/>
      <c r="L119" s="40"/>
      <c r="M119" s="40" t="s">
        <v>375</v>
      </c>
      <c r="N119" s="40"/>
      <c r="O119" s="40" t="s">
        <v>361</v>
      </c>
      <c r="P119" s="40"/>
      <c r="Q119" s="42"/>
      <c r="R119" s="42"/>
      <c r="S119" s="42"/>
      <c r="T119" s="42"/>
      <c r="U119" s="43"/>
      <c r="V119" s="40"/>
      <c r="W119" s="40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45" t="s">
        <v>288</v>
      </c>
      <c r="B120" s="44" t="s">
        <v>286</v>
      </c>
      <c r="C120" s="44" t="s">
        <v>69</v>
      </c>
      <c r="D120" s="44" t="s">
        <v>289</v>
      </c>
      <c r="E120" s="44"/>
      <c r="F120" s="44" t="s">
        <v>290</v>
      </c>
      <c r="G120" s="44" t="s">
        <v>13</v>
      </c>
      <c r="H120" s="44" t="s">
        <v>49</v>
      </c>
      <c r="I120" s="44"/>
      <c r="J120" s="44"/>
      <c r="K120" s="44"/>
      <c r="L120" s="44"/>
      <c r="M120" s="44" t="s">
        <v>372</v>
      </c>
      <c r="N120" s="44"/>
      <c r="O120" s="44" t="s">
        <v>361</v>
      </c>
      <c r="P120" s="44"/>
      <c r="Q120" s="46"/>
      <c r="R120" s="46"/>
      <c r="S120" s="46"/>
      <c r="T120" s="46"/>
      <c r="U120" s="47"/>
      <c r="V120" s="44"/>
      <c r="W120" s="44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41" t="s">
        <v>291</v>
      </c>
      <c r="B121" s="40" t="s">
        <v>75</v>
      </c>
      <c r="C121" s="40" t="s">
        <v>69</v>
      </c>
      <c r="D121" s="40" t="s">
        <v>292</v>
      </c>
      <c r="E121" s="40"/>
      <c r="F121" s="40"/>
      <c r="G121" s="40"/>
      <c r="H121" s="40"/>
      <c r="I121" s="40"/>
      <c r="J121" s="40"/>
      <c r="K121" s="40"/>
      <c r="L121" s="40"/>
      <c r="M121" s="40" t="s">
        <v>367</v>
      </c>
      <c r="N121" s="40"/>
      <c r="O121" s="40"/>
      <c r="P121" s="40"/>
      <c r="Q121" s="42"/>
      <c r="R121" s="42"/>
      <c r="S121" s="42"/>
      <c r="T121" s="42"/>
      <c r="U121" s="43"/>
      <c r="V121" s="40"/>
      <c r="W121" s="40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45" t="s">
        <v>293</v>
      </c>
      <c r="B122" s="44" t="s">
        <v>227</v>
      </c>
      <c r="C122" s="44" t="s">
        <v>116</v>
      </c>
      <c r="D122" s="44" t="s">
        <v>294</v>
      </c>
      <c r="E122" s="44"/>
      <c r="F122" s="44" t="s">
        <v>228</v>
      </c>
      <c r="G122" s="44" t="s">
        <v>13</v>
      </c>
      <c r="H122" s="44" t="s">
        <v>14</v>
      </c>
      <c r="I122" s="44"/>
      <c r="J122" s="44"/>
      <c r="K122" s="44"/>
      <c r="L122" s="44"/>
      <c r="M122" s="44" t="s">
        <v>364</v>
      </c>
      <c r="N122" s="44"/>
      <c r="O122" s="44" t="s">
        <v>365</v>
      </c>
      <c r="P122" s="44"/>
      <c r="Q122" s="46"/>
      <c r="R122" s="46"/>
      <c r="S122" s="46"/>
      <c r="T122" s="46"/>
      <c r="U122" s="47"/>
      <c r="V122" s="44"/>
      <c r="W122" s="44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41" t="s">
        <v>295</v>
      </c>
      <c r="B123" s="40" t="s">
        <v>45</v>
      </c>
      <c r="C123" s="40" t="s">
        <v>296</v>
      </c>
      <c r="D123" s="40" t="s">
        <v>297</v>
      </c>
      <c r="E123" s="40"/>
      <c r="F123" s="40" t="s">
        <v>48</v>
      </c>
      <c r="G123" s="40" t="s">
        <v>13</v>
      </c>
      <c r="H123" s="40" t="s">
        <v>14</v>
      </c>
      <c r="I123" s="40"/>
      <c r="J123" s="40"/>
      <c r="K123" s="40"/>
      <c r="L123" s="40"/>
      <c r="M123" s="40" t="s">
        <v>367</v>
      </c>
      <c r="N123" s="40"/>
      <c r="O123" s="40" t="s">
        <v>363</v>
      </c>
      <c r="P123" s="40"/>
      <c r="Q123" s="42"/>
      <c r="R123" s="42"/>
      <c r="S123" s="42"/>
      <c r="T123" s="42"/>
      <c r="U123" s="43"/>
      <c r="V123" s="40"/>
      <c r="W123" s="40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45" t="s">
        <v>298</v>
      </c>
      <c r="B124" s="44" t="s">
        <v>299</v>
      </c>
      <c r="C124" s="44" t="s">
        <v>16</v>
      </c>
      <c r="D124" s="44" t="s">
        <v>300</v>
      </c>
      <c r="E124" s="44"/>
      <c r="F124" s="44" t="s">
        <v>109</v>
      </c>
      <c r="G124" s="44" t="s">
        <v>4</v>
      </c>
      <c r="H124" s="44" t="s">
        <v>49</v>
      </c>
      <c r="I124" s="44"/>
      <c r="J124" s="44"/>
      <c r="K124" s="44"/>
      <c r="L124" s="44"/>
      <c r="M124" s="44" t="s">
        <v>375</v>
      </c>
      <c r="N124" s="44"/>
      <c r="O124" s="44" t="s">
        <v>361</v>
      </c>
      <c r="P124" s="44"/>
      <c r="Q124" s="46"/>
      <c r="R124" s="46"/>
      <c r="S124" s="46"/>
      <c r="T124" s="46"/>
      <c r="U124" s="47"/>
      <c r="V124" s="44"/>
      <c r="W124" s="44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41" t="s">
        <v>301</v>
      </c>
      <c r="B125" s="40" t="s">
        <v>302</v>
      </c>
      <c r="C125" s="40" t="s">
        <v>69</v>
      </c>
      <c r="D125" s="40" t="s">
        <v>303</v>
      </c>
      <c r="E125" s="40"/>
      <c r="F125" s="40"/>
      <c r="G125" s="40" t="s">
        <v>4</v>
      </c>
      <c r="H125" s="40" t="s">
        <v>49</v>
      </c>
      <c r="I125" s="40"/>
      <c r="J125" s="40"/>
      <c r="K125" s="40"/>
      <c r="L125" s="40"/>
      <c r="M125" s="40" t="s">
        <v>375</v>
      </c>
      <c r="N125" s="40"/>
      <c r="O125" s="40" t="s">
        <v>361</v>
      </c>
      <c r="P125" s="40"/>
      <c r="Q125" s="42"/>
      <c r="R125" s="42"/>
      <c r="S125" s="42"/>
      <c r="T125" s="42"/>
      <c r="U125" s="43"/>
      <c r="V125" s="40"/>
      <c r="W125" s="40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45" t="s">
        <v>304</v>
      </c>
      <c r="B126" s="44" t="s">
        <v>305</v>
      </c>
      <c r="C126" s="44"/>
      <c r="D126" s="44"/>
      <c r="E126" s="44"/>
      <c r="F126" s="44" t="s">
        <v>306</v>
      </c>
      <c r="G126" s="44" t="s">
        <v>13</v>
      </c>
      <c r="H126" s="44"/>
      <c r="I126" s="44"/>
      <c r="J126" s="44"/>
      <c r="K126" s="44"/>
      <c r="L126" s="44"/>
      <c r="M126" s="44" t="s">
        <v>367</v>
      </c>
      <c r="N126" s="44"/>
      <c r="O126" s="44" t="s">
        <v>359</v>
      </c>
      <c r="P126" s="44"/>
      <c r="Q126" s="46"/>
      <c r="R126" s="46"/>
      <c r="S126" s="46"/>
      <c r="T126" s="46"/>
      <c r="U126" s="47"/>
      <c r="V126" s="44"/>
      <c r="W126" s="44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41" t="s">
        <v>307</v>
      </c>
      <c r="B127" s="40" t="s">
        <v>305</v>
      </c>
      <c r="C127" s="40"/>
      <c r="D127" s="40"/>
      <c r="E127" s="40"/>
      <c r="F127" s="40" t="s">
        <v>306</v>
      </c>
      <c r="G127" s="40" t="s">
        <v>308</v>
      </c>
      <c r="H127" s="40"/>
      <c r="I127" s="40"/>
      <c r="J127" s="40"/>
      <c r="K127" s="40"/>
      <c r="L127" s="40"/>
      <c r="M127" s="40" t="s">
        <v>367</v>
      </c>
      <c r="N127" s="40"/>
      <c r="O127" s="40" t="s">
        <v>359</v>
      </c>
      <c r="P127" s="40"/>
      <c r="Q127" s="42"/>
      <c r="R127" s="42"/>
      <c r="S127" s="42"/>
      <c r="T127" s="42"/>
      <c r="U127" s="43"/>
      <c r="V127" s="40"/>
      <c r="W127" s="40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45" t="s">
        <v>309</v>
      </c>
      <c r="B128" s="44" t="s">
        <v>9</v>
      </c>
      <c r="C128" s="44" t="s">
        <v>69</v>
      </c>
      <c r="D128" s="44" t="s">
        <v>310</v>
      </c>
      <c r="E128" s="44"/>
      <c r="F128" s="44" t="s">
        <v>311</v>
      </c>
      <c r="G128" s="44" t="s">
        <v>13</v>
      </c>
      <c r="H128" s="44" t="s">
        <v>49</v>
      </c>
      <c r="I128" s="44"/>
      <c r="J128" s="44"/>
      <c r="K128" s="44"/>
      <c r="L128" s="44"/>
      <c r="M128" s="44" t="s">
        <v>372</v>
      </c>
      <c r="N128" s="44"/>
      <c r="O128" s="44" t="s">
        <v>361</v>
      </c>
      <c r="P128" s="44"/>
      <c r="Q128" s="46"/>
      <c r="R128" s="46"/>
      <c r="S128" s="46"/>
      <c r="T128" s="46"/>
      <c r="U128" s="47"/>
      <c r="V128" s="44"/>
      <c r="W128" s="44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41" t="s">
        <v>312</v>
      </c>
      <c r="B129" s="40" t="s">
        <v>75</v>
      </c>
      <c r="C129" s="40" t="s">
        <v>69</v>
      </c>
      <c r="D129" s="40" t="s">
        <v>313</v>
      </c>
      <c r="E129" s="40"/>
      <c r="F129" s="40" t="s">
        <v>314</v>
      </c>
      <c r="G129" s="40" t="s">
        <v>4</v>
      </c>
      <c r="H129" s="40" t="s">
        <v>49</v>
      </c>
      <c r="I129" s="40"/>
      <c r="J129" s="40"/>
      <c r="K129" s="40"/>
      <c r="L129" s="40"/>
      <c r="M129" s="40" t="s">
        <v>375</v>
      </c>
      <c r="N129" s="40"/>
      <c r="O129" s="40" t="s">
        <v>366</v>
      </c>
      <c r="P129" s="40"/>
      <c r="Q129" s="42"/>
      <c r="R129" s="42"/>
      <c r="S129" s="42"/>
      <c r="T129" s="42"/>
      <c r="U129" s="43"/>
      <c r="V129" s="40"/>
      <c r="W129" s="40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45" t="s">
        <v>315</v>
      </c>
      <c r="B130" s="44" t="s">
        <v>45</v>
      </c>
      <c r="C130" s="44" t="s">
        <v>316</v>
      </c>
      <c r="D130" s="44" t="s">
        <v>317</v>
      </c>
      <c r="E130" s="44"/>
      <c r="F130" s="44"/>
      <c r="G130" s="44" t="s">
        <v>13</v>
      </c>
      <c r="H130" s="44"/>
      <c r="I130" s="44"/>
      <c r="J130" s="44"/>
      <c r="K130" s="44"/>
      <c r="L130" s="44"/>
      <c r="M130" s="44" t="s">
        <v>395</v>
      </c>
      <c r="N130" s="44" t="s">
        <v>370</v>
      </c>
      <c r="O130" s="44" t="s">
        <v>363</v>
      </c>
      <c r="P130" s="44"/>
      <c r="Q130" s="46"/>
      <c r="R130" s="46"/>
      <c r="S130" s="46"/>
      <c r="T130" s="46"/>
      <c r="U130" s="47"/>
      <c r="V130" s="44"/>
      <c r="W130" s="44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41" t="s">
        <v>318</v>
      </c>
      <c r="B131" s="40" t="s">
        <v>45</v>
      </c>
      <c r="C131" s="40" t="s">
        <v>316</v>
      </c>
      <c r="D131" s="40" t="s">
        <v>319</v>
      </c>
      <c r="E131" s="40"/>
      <c r="F131" s="40" t="s">
        <v>48</v>
      </c>
      <c r="G131" s="40" t="s">
        <v>320</v>
      </c>
      <c r="H131" s="40"/>
      <c r="I131" s="40"/>
      <c r="J131" s="40"/>
      <c r="K131" s="40"/>
      <c r="L131" s="40"/>
      <c r="M131" s="40" t="s">
        <v>395</v>
      </c>
      <c r="N131" s="40" t="s">
        <v>370</v>
      </c>
      <c r="O131" s="40" t="s">
        <v>367</v>
      </c>
      <c r="P131" s="40"/>
      <c r="Q131" s="42"/>
      <c r="R131" s="42"/>
      <c r="S131" s="42"/>
      <c r="T131" s="42"/>
      <c r="U131" s="43"/>
      <c r="V131" s="40"/>
      <c r="W131" s="40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45" t="s">
        <v>321</v>
      </c>
      <c r="B132" s="44" t="s">
        <v>45</v>
      </c>
      <c r="C132" s="44" t="s">
        <v>316</v>
      </c>
      <c r="D132" s="44" t="s">
        <v>322</v>
      </c>
      <c r="E132" s="44"/>
      <c r="F132" s="44" t="s">
        <v>48</v>
      </c>
      <c r="G132" s="44" t="s">
        <v>320</v>
      </c>
      <c r="H132" s="44"/>
      <c r="I132" s="44"/>
      <c r="J132" s="44"/>
      <c r="K132" s="44"/>
      <c r="L132" s="44"/>
      <c r="M132" s="44" t="s">
        <v>375</v>
      </c>
      <c r="N132" s="44" t="s">
        <v>370</v>
      </c>
      <c r="O132" s="44" t="s">
        <v>366</v>
      </c>
      <c r="P132" s="44"/>
      <c r="Q132" s="46"/>
      <c r="R132" s="46"/>
      <c r="S132" s="46"/>
      <c r="T132" s="46"/>
      <c r="U132" s="47"/>
      <c r="V132" s="44"/>
      <c r="W132" s="44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41" t="s">
        <v>323</v>
      </c>
      <c r="B133" s="40" t="s">
        <v>305</v>
      </c>
      <c r="C133" s="40"/>
      <c r="D133" s="40"/>
      <c r="E133" s="40"/>
      <c r="F133" s="40" t="s">
        <v>306</v>
      </c>
      <c r="G133" s="40" t="s">
        <v>4</v>
      </c>
      <c r="H133" s="40"/>
      <c r="I133" s="40"/>
      <c r="J133" s="40"/>
      <c r="K133" s="40"/>
      <c r="L133" s="40"/>
      <c r="M133" s="40" t="s">
        <v>367</v>
      </c>
      <c r="N133" s="40"/>
      <c r="O133" s="40" t="s">
        <v>361</v>
      </c>
      <c r="P133" s="40"/>
      <c r="Q133" s="42"/>
      <c r="R133" s="42"/>
      <c r="S133" s="42"/>
      <c r="T133" s="42"/>
      <c r="U133" s="43"/>
      <c r="V133" s="40"/>
      <c r="W133" s="40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45" t="s">
        <v>324</v>
      </c>
      <c r="B134" s="44" t="s">
        <v>75</v>
      </c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 t="s">
        <v>367</v>
      </c>
      <c r="N134" s="44"/>
      <c r="O134" s="44" t="s">
        <v>367</v>
      </c>
      <c r="P134" s="44"/>
      <c r="Q134" s="46"/>
      <c r="R134" s="46"/>
      <c r="S134" s="46"/>
      <c r="T134" s="46"/>
      <c r="U134" s="47"/>
      <c r="V134" s="44"/>
      <c r="W134" s="44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41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2"/>
      <c r="R135" s="42"/>
      <c r="S135" s="42"/>
      <c r="T135" s="42"/>
      <c r="U135" s="43"/>
      <c r="V135" s="40"/>
      <c r="W135" s="40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45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6"/>
      <c r="R136" s="46"/>
      <c r="S136" s="46"/>
      <c r="T136" s="46"/>
      <c r="U136" s="47"/>
      <c r="V136" s="44"/>
      <c r="W136" s="44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41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2"/>
      <c r="R137" s="42"/>
      <c r="S137" s="42"/>
      <c r="T137" s="42"/>
      <c r="U137" s="43"/>
      <c r="V137" s="40"/>
      <c r="W137" s="40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45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6"/>
      <c r="R138" s="46"/>
      <c r="S138" s="46"/>
      <c r="T138" s="46"/>
      <c r="U138" s="47"/>
      <c r="V138" s="44"/>
      <c r="W138" s="44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41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2"/>
      <c r="R139" s="42"/>
      <c r="S139" s="42"/>
      <c r="T139" s="42"/>
      <c r="U139" s="43"/>
      <c r="V139" s="40"/>
      <c r="W139" s="40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45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6"/>
      <c r="R140" s="46"/>
      <c r="S140" s="46"/>
      <c r="T140" s="46"/>
      <c r="U140" s="47"/>
      <c r="V140" s="44"/>
      <c r="W140" s="44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41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2"/>
      <c r="R141" s="42"/>
      <c r="S141" s="42"/>
      <c r="T141" s="42"/>
      <c r="U141" s="43"/>
      <c r="V141" s="40"/>
      <c r="W141" s="40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45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6"/>
      <c r="R142" s="46"/>
      <c r="S142" s="46"/>
      <c r="T142" s="46"/>
      <c r="U142" s="47"/>
      <c r="V142" s="44"/>
      <c r="W142" s="44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41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2"/>
      <c r="R143" s="42"/>
      <c r="S143" s="42"/>
      <c r="T143" s="42"/>
      <c r="U143" s="43"/>
      <c r="V143" s="40"/>
      <c r="W143" s="40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45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6"/>
      <c r="R144" s="46"/>
      <c r="S144" s="46"/>
      <c r="T144" s="46"/>
      <c r="U144" s="47"/>
      <c r="V144" s="44"/>
      <c r="W144" s="44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41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2"/>
      <c r="R145" s="42"/>
      <c r="S145" s="42"/>
      <c r="T145" s="42"/>
      <c r="U145" s="43"/>
      <c r="V145" s="40"/>
      <c r="W145" s="40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45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6"/>
      <c r="R146" s="46"/>
      <c r="S146" s="46"/>
      <c r="T146" s="46"/>
      <c r="U146" s="47"/>
      <c r="V146" s="44"/>
      <c r="W146" s="44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41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2"/>
      <c r="R147" s="42"/>
      <c r="S147" s="42"/>
      <c r="T147" s="42"/>
      <c r="U147" s="43"/>
      <c r="V147" s="40"/>
      <c r="W147" s="40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45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6"/>
      <c r="R148" s="46"/>
      <c r="S148" s="46"/>
      <c r="T148" s="46"/>
      <c r="U148" s="47"/>
      <c r="V148" s="44"/>
      <c r="W148" s="44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41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2"/>
      <c r="R149" s="42"/>
      <c r="S149" s="42"/>
      <c r="T149" s="42"/>
      <c r="U149" s="43"/>
      <c r="V149" s="40"/>
      <c r="W149" s="40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45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6"/>
      <c r="R150" s="46"/>
      <c r="S150" s="46"/>
      <c r="T150" s="46"/>
      <c r="U150" s="47"/>
      <c r="V150" s="44"/>
      <c r="W150" s="44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41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2"/>
      <c r="R151" s="42"/>
      <c r="S151" s="42"/>
      <c r="T151" s="42"/>
      <c r="U151" s="43"/>
      <c r="V151" s="40"/>
      <c r="W151" s="40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45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6"/>
      <c r="R152" s="46"/>
      <c r="S152" s="46"/>
      <c r="T152" s="46"/>
      <c r="U152" s="47"/>
      <c r="V152" s="44"/>
      <c r="W152" s="44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41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2"/>
      <c r="R153" s="42"/>
      <c r="S153" s="42"/>
      <c r="T153" s="42"/>
      <c r="U153" s="43"/>
      <c r="V153" s="40"/>
      <c r="W153" s="40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45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6"/>
      <c r="R154" s="46"/>
      <c r="S154" s="46"/>
      <c r="T154" s="46"/>
      <c r="U154" s="47"/>
      <c r="V154" s="44"/>
      <c r="W154" s="44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41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2"/>
      <c r="R155" s="42"/>
      <c r="S155" s="42"/>
      <c r="T155" s="42"/>
      <c r="U155" s="43"/>
      <c r="V155" s="40"/>
      <c r="W155" s="40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45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6"/>
      <c r="R156" s="46"/>
      <c r="S156" s="46"/>
      <c r="T156" s="46"/>
      <c r="U156" s="47"/>
      <c r="V156" s="44"/>
      <c r="W156" s="44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41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2"/>
      <c r="R157" s="42"/>
      <c r="S157" s="42"/>
      <c r="T157" s="42"/>
      <c r="U157" s="43"/>
      <c r="V157" s="40"/>
      <c r="W157" s="40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45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6"/>
      <c r="R158" s="46"/>
      <c r="S158" s="46"/>
      <c r="T158" s="46"/>
      <c r="U158" s="47"/>
      <c r="V158" s="44"/>
      <c r="W158" s="44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41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2"/>
      <c r="R159" s="42"/>
      <c r="S159" s="42"/>
      <c r="T159" s="42"/>
      <c r="U159" s="43"/>
      <c r="V159" s="40"/>
      <c r="W159" s="40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45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6"/>
      <c r="R160" s="46"/>
      <c r="S160" s="46"/>
      <c r="T160" s="46"/>
      <c r="U160" s="47"/>
      <c r="V160" s="44"/>
      <c r="W160" s="44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41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2"/>
      <c r="R161" s="42"/>
      <c r="S161" s="42"/>
      <c r="T161" s="42"/>
      <c r="U161" s="43"/>
      <c r="V161" s="40"/>
      <c r="W161" s="40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45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6"/>
      <c r="R162" s="46"/>
      <c r="S162" s="46"/>
      <c r="T162" s="46"/>
      <c r="U162" s="47"/>
      <c r="V162" s="44"/>
      <c r="W162" s="44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41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2"/>
      <c r="R163" s="42"/>
      <c r="S163" s="42"/>
      <c r="T163" s="42"/>
      <c r="U163" s="43"/>
      <c r="V163" s="40"/>
      <c r="W163" s="40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45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6"/>
      <c r="R164" s="46"/>
      <c r="S164" s="46"/>
      <c r="T164" s="46"/>
      <c r="U164" s="47"/>
      <c r="V164" s="44"/>
      <c r="W164" s="44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4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44CE-AFF5-426A-947B-BF17324D7ABF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49" t="s">
        <v>0</v>
      </c>
      <c r="B3" s="48" t="s">
        <v>1</v>
      </c>
      <c r="C3" s="48" t="s">
        <v>2</v>
      </c>
      <c r="D3" s="48">
        <v>35381421000194</v>
      </c>
      <c r="E3" s="48"/>
      <c r="F3" s="48" t="s">
        <v>3</v>
      </c>
      <c r="G3" s="48" t="s">
        <v>4</v>
      </c>
      <c r="H3" s="48" t="s">
        <v>5</v>
      </c>
      <c r="I3" s="48" t="s">
        <v>341</v>
      </c>
      <c r="J3" s="48"/>
      <c r="K3" s="48"/>
      <c r="L3" s="48"/>
      <c r="M3" s="48"/>
      <c r="N3" s="48"/>
      <c r="O3" s="48"/>
      <c r="P3" s="48"/>
      <c r="Q3" s="50"/>
      <c r="R3" s="50"/>
      <c r="S3" s="50"/>
      <c r="T3" s="50"/>
      <c r="U3" s="51"/>
      <c r="V3" s="48"/>
      <c r="W3" s="48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53" t="s">
        <v>6</v>
      </c>
      <c r="B4" s="52" t="s">
        <v>1</v>
      </c>
      <c r="C4" s="52" t="s">
        <v>2</v>
      </c>
      <c r="D4" s="52" t="s">
        <v>7</v>
      </c>
      <c r="E4" s="52"/>
      <c r="F4" s="52" t="s">
        <v>3</v>
      </c>
      <c r="G4" s="52" t="s">
        <v>4</v>
      </c>
      <c r="H4" s="52" t="s">
        <v>5</v>
      </c>
      <c r="I4" s="52" t="s">
        <v>341</v>
      </c>
      <c r="J4" s="52"/>
      <c r="K4" s="52"/>
      <c r="L4" s="52"/>
      <c r="M4" s="52"/>
      <c r="N4" s="52"/>
      <c r="O4" s="52"/>
      <c r="P4" s="52"/>
      <c r="Q4" s="54"/>
      <c r="R4" s="54"/>
      <c r="S4" s="54"/>
      <c r="T4" s="54"/>
      <c r="U4" s="55"/>
      <c r="V4" s="52"/>
      <c r="W4" s="52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49" t="s">
        <v>8</v>
      </c>
      <c r="B5" s="48" t="s">
        <v>9</v>
      </c>
      <c r="C5" s="48" t="s">
        <v>10</v>
      </c>
      <c r="D5" s="48" t="s">
        <v>11</v>
      </c>
      <c r="E5" s="48"/>
      <c r="F5" s="48" t="s">
        <v>12</v>
      </c>
      <c r="G5" s="48" t="s">
        <v>13</v>
      </c>
      <c r="H5" s="48" t="s">
        <v>14</v>
      </c>
      <c r="I5" s="48" t="s">
        <v>341</v>
      </c>
      <c r="J5" s="48"/>
      <c r="K5" s="48"/>
      <c r="L5" s="48"/>
      <c r="M5" s="48"/>
      <c r="N5" s="48"/>
      <c r="O5" s="48"/>
      <c r="P5" s="48"/>
      <c r="Q5" s="50"/>
      <c r="R5" s="50"/>
      <c r="S5" s="50"/>
      <c r="T5" s="50"/>
      <c r="U5" s="51"/>
      <c r="V5" s="48"/>
      <c r="W5" s="48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53" t="s">
        <v>15</v>
      </c>
      <c r="B6" s="52" t="s">
        <v>9</v>
      </c>
      <c r="C6" s="52" t="s">
        <v>16</v>
      </c>
      <c r="D6" s="52" t="s">
        <v>17</v>
      </c>
      <c r="E6" s="52"/>
      <c r="F6" s="52" t="s">
        <v>12</v>
      </c>
      <c r="G6" s="52" t="s">
        <v>13</v>
      </c>
      <c r="H6" s="52" t="s">
        <v>14</v>
      </c>
      <c r="I6" s="52" t="s">
        <v>341</v>
      </c>
      <c r="J6" s="52" t="s">
        <v>341</v>
      </c>
      <c r="K6" s="52" t="s">
        <v>341</v>
      </c>
      <c r="L6" s="52" t="s">
        <v>341</v>
      </c>
      <c r="M6" s="52" t="s">
        <v>341</v>
      </c>
      <c r="N6" s="52" t="s">
        <v>341</v>
      </c>
      <c r="O6" s="52" t="s">
        <v>341</v>
      </c>
      <c r="P6" s="52" t="s">
        <v>341</v>
      </c>
      <c r="Q6" s="54"/>
      <c r="R6" s="54"/>
      <c r="S6" s="54"/>
      <c r="T6" s="54"/>
      <c r="U6" s="55"/>
      <c r="V6" s="52"/>
      <c r="W6" s="52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49" t="s">
        <v>18</v>
      </c>
      <c r="B7" s="48" t="s">
        <v>9</v>
      </c>
      <c r="C7" s="48" t="s">
        <v>19</v>
      </c>
      <c r="D7" s="48" t="s">
        <v>20</v>
      </c>
      <c r="E7" s="48"/>
      <c r="F7" s="48" t="s">
        <v>12</v>
      </c>
      <c r="G7" s="48" t="s">
        <v>13</v>
      </c>
      <c r="H7" s="48" t="s">
        <v>14</v>
      </c>
      <c r="I7" s="48" t="s">
        <v>341</v>
      </c>
      <c r="J7" s="48" t="s">
        <v>341</v>
      </c>
      <c r="K7" s="48" t="s">
        <v>341</v>
      </c>
      <c r="L7" s="48" t="s">
        <v>341</v>
      </c>
      <c r="M7" s="48" t="s">
        <v>341</v>
      </c>
      <c r="N7" s="48" t="s">
        <v>341</v>
      </c>
      <c r="O7" s="48" t="s">
        <v>341</v>
      </c>
      <c r="P7" s="48" t="s">
        <v>341</v>
      </c>
      <c r="Q7" s="50"/>
      <c r="R7" s="50"/>
      <c r="S7" s="50"/>
      <c r="T7" s="50"/>
      <c r="U7" s="51"/>
      <c r="V7" s="48"/>
      <c r="W7" s="48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53" t="s">
        <v>21</v>
      </c>
      <c r="B8" s="52" t="s">
        <v>9</v>
      </c>
      <c r="C8" s="52" t="s">
        <v>19</v>
      </c>
      <c r="D8" s="52" t="s">
        <v>22</v>
      </c>
      <c r="E8" s="52"/>
      <c r="F8" s="52" t="s">
        <v>12</v>
      </c>
      <c r="G8" s="52" t="s">
        <v>13</v>
      </c>
      <c r="H8" s="52" t="s">
        <v>14</v>
      </c>
      <c r="I8" s="52" t="s">
        <v>341</v>
      </c>
      <c r="J8" s="52" t="s">
        <v>341</v>
      </c>
      <c r="K8" s="52" t="s">
        <v>341</v>
      </c>
      <c r="L8" s="52" t="s">
        <v>341</v>
      </c>
      <c r="M8" s="52" t="s">
        <v>341</v>
      </c>
      <c r="N8" s="52" t="s">
        <v>341</v>
      </c>
      <c r="O8" s="52" t="s">
        <v>341</v>
      </c>
      <c r="P8" s="52" t="s">
        <v>341</v>
      </c>
      <c r="Q8" s="54"/>
      <c r="R8" s="54"/>
      <c r="S8" s="54"/>
      <c r="T8" s="54"/>
      <c r="U8" s="55"/>
      <c r="V8" s="52"/>
      <c r="W8" s="52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49" t="s">
        <v>23</v>
      </c>
      <c r="B9" s="48" t="s">
        <v>9</v>
      </c>
      <c r="C9" s="48" t="s">
        <v>24</v>
      </c>
      <c r="D9" s="48" t="s">
        <v>25</v>
      </c>
      <c r="E9" s="48"/>
      <c r="F9" s="48" t="s">
        <v>12</v>
      </c>
      <c r="G9" s="48" t="s">
        <v>13</v>
      </c>
      <c r="H9" s="48" t="s">
        <v>14</v>
      </c>
      <c r="I9" s="48" t="s">
        <v>341</v>
      </c>
      <c r="J9" s="48" t="s">
        <v>341</v>
      </c>
      <c r="K9" s="48" t="s">
        <v>341</v>
      </c>
      <c r="L9" s="48" t="s">
        <v>341</v>
      </c>
      <c r="M9" s="48" t="s">
        <v>341</v>
      </c>
      <c r="N9" s="48" t="s">
        <v>341</v>
      </c>
      <c r="O9" s="48" t="s">
        <v>341</v>
      </c>
      <c r="P9" s="48" t="s">
        <v>341</v>
      </c>
      <c r="Q9" s="50"/>
      <c r="R9" s="50"/>
      <c r="S9" s="50"/>
      <c r="T9" s="50"/>
      <c r="U9" s="51"/>
      <c r="V9" s="48"/>
      <c r="W9" s="48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53" t="s">
        <v>26</v>
      </c>
      <c r="B10" s="52" t="s">
        <v>9</v>
      </c>
      <c r="C10" s="52" t="s">
        <v>27</v>
      </c>
      <c r="D10" s="52" t="s">
        <v>28</v>
      </c>
      <c r="E10" s="52"/>
      <c r="F10" s="52" t="s">
        <v>12</v>
      </c>
      <c r="G10" s="52" t="s">
        <v>13</v>
      </c>
      <c r="H10" s="52" t="s">
        <v>14</v>
      </c>
      <c r="I10" s="52" t="s">
        <v>341</v>
      </c>
      <c r="J10" s="52" t="s">
        <v>341</v>
      </c>
      <c r="K10" s="52" t="s">
        <v>341</v>
      </c>
      <c r="L10" s="52" t="s">
        <v>341</v>
      </c>
      <c r="M10" s="52" t="s">
        <v>341</v>
      </c>
      <c r="N10" s="52" t="s">
        <v>341</v>
      </c>
      <c r="O10" s="52" t="s">
        <v>341</v>
      </c>
      <c r="P10" s="52" t="s">
        <v>341</v>
      </c>
      <c r="Q10" s="54"/>
      <c r="R10" s="54"/>
      <c r="S10" s="54"/>
      <c r="T10" s="54"/>
      <c r="U10" s="55"/>
      <c r="V10" s="52"/>
      <c r="W10" s="52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49" t="s">
        <v>29</v>
      </c>
      <c r="B11" s="48" t="s">
        <v>9</v>
      </c>
      <c r="C11" s="48" t="s">
        <v>16</v>
      </c>
      <c r="D11" s="48" t="s">
        <v>30</v>
      </c>
      <c r="E11" s="48"/>
      <c r="F11" s="48" t="s">
        <v>12</v>
      </c>
      <c r="G11" s="48" t="s">
        <v>13</v>
      </c>
      <c r="H11" s="48" t="s">
        <v>14</v>
      </c>
      <c r="I11" s="48" t="s">
        <v>341</v>
      </c>
      <c r="J11" s="48" t="s">
        <v>341</v>
      </c>
      <c r="K11" s="48" t="s">
        <v>341</v>
      </c>
      <c r="L11" s="48" t="s">
        <v>341</v>
      </c>
      <c r="M11" s="48" t="s">
        <v>341</v>
      </c>
      <c r="N11" s="48" t="s">
        <v>341</v>
      </c>
      <c r="O11" s="48" t="s">
        <v>341</v>
      </c>
      <c r="P11" s="48" t="s">
        <v>341</v>
      </c>
      <c r="Q11" s="50"/>
      <c r="R11" s="50"/>
      <c r="S11" s="50"/>
      <c r="T11" s="50"/>
      <c r="U11" s="51"/>
      <c r="V11" s="48"/>
      <c r="W11" s="48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53" t="s">
        <v>31</v>
      </c>
      <c r="B12" s="52" t="s">
        <v>9</v>
      </c>
      <c r="C12" s="52" t="s">
        <v>24</v>
      </c>
      <c r="D12" s="52" t="s">
        <v>32</v>
      </c>
      <c r="E12" s="52"/>
      <c r="F12" s="52" t="s">
        <v>12</v>
      </c>
      <c r="G12" s="52" t="s">
        <v>13</v>
      </c>
      <c r="H12" s="52" t="s">
        <v>14</v>
      </c>
      <c r="I12" s="52" t="s">
        <v>341</v>
      </c>
      <c r="J12" s="52" t="s">
        <v>341</v>
      </c>
      <c r="K12" s="52" t="s">
        <v>341</v>
      </c>
      <c r="L12" s="52" t="s">
        <v>341</v>
      </c>
      <c r="M12" s="52" t="s">
        <v>341</v>
      </c>
      <c r="N12" s="52" t="s">
        <v>341</v>
      </c>
      <c r="O12" s="52" t="s">
        <v>341</v>
      </c>
      <c r="P12" s="52" t="s">
        <v>341</v>
      </c>
      <c r="Q12" s="54"/>
      <c r="R12" s="54"/>
      <c r="S12" s="54"/>
      <c r="T12" s="54"/>
      <c r="U12" s="55"/>
      <c r="V12" s="52"/>
      <c r="W12" s="52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49" t="s">
        <v>33</v>
      </c>
      <c r="B13" s="48" t="s">
        <v>9</v>
      </c>
      <c r="C13" s="48" t="s">
        <v>24</v>
      </c>
      <c r="D13" s="48" t="s">
        <v>34</v>
      </c>
      <c r="E13" s="48"/>
      <c r="F13" s="48" t="s">
        <v>12</v>
      </c>
      <c r="G13" s="48" t="s">
        <v>13</v>
      </c>
      <c r="H13" s="48" t="s">
        <v>14</v>
      </c>
      <c r="I13" s="48" t="s">
        <v>341</v>
      </c>
      <c r="J13" s="48" t="s">
        <v>341</v>
      </c>
      <c r="K13" s="48" t="s">
        <v>341</v>
      </c>
      <c r="L13" s="48" t="s">
        <v>341</v>
      </c>
      <c r="M13" s="48" t="s">
        <v>341</v>
      </c>
      <c r="N13" s="48" t="s">
        <v>341</v>
      </c>
      <c r="O13" s="48" t="s">
        <v>341</v>
      </c>
      <c r="P13" s="48" t="s">
        <v>341</v>
      </c>
      <c r="Q13" s="50"/>
      <c r="R13" s="50"/>
      <c r="S13" s="50"/>
      <c r="T13" s="50"/>
      <c r="U13" s="51"/>
      <c r="V13" s="48"/>
      <c r="W13" s="48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53" t="s">
        <v>35</v>
      </c>
      <c r="B14" s="52" t="s">
        <v>9</v>
      </c>
      <c r="C14" s="52" t="s">
        <v>24</v>
      </c>
      <c r="D14" s="52" t="s">
        <v>36</v>
      </c>
      <c r="E14" s="52"/>
      <c r="F14" s="52" t="s">
        <v>37</v>
      </c>
      <c r="G14" s="52" t="s">
        <v>13</v>
      </c>
      <c r="H14" s="52" t="s">
        <v>14</v>
      </c>
      <c r="I14" s="52" t="s">
        <v>341</v>
      </c>
      <c r="J14" s="52" t="s">
        <v>341</v>
      </c>
      <c r="K14" s="52" t="s">
        <v>341</v>
      </c>
      <c r="L14" s="52" t="s">
        <v>341</v>
      </c>
      <c r="M14" s="52" t="s">
        <v>341</v>
      </c>
      <c r="N14" s="52" t="s">
        <v>341</v>
      </c>
      <c r="O14" s="52" t="s">
        <v>341</v>
      </c>
      <c r="P14" s="52" t="s">
        <v>341</v>
      </c>
      <c r="Q14" s="54"/>
      <c r="R14" s="54"/>
      <c r="S14" s="54"/>
      <c r="T14" s="54"/>
      <c r="U14" s="55"/>
      <c r="V14" s="52"/>
      <c r="W14" s="52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49" t="s">
        <v>38</v>
      </c>
      <c r="B15" s="48" t="s">
        <v>9</v>
      </c>
      <c r="C15" s="48" t="s">
        <v>16</v>
      </c>
      <c r="D15" s="48" t="s">
        <v>39</v>
      </c>
      <c r="E15" s="48"/>
      <c r="F15" s="48" t="s">
        <v>37</v>
      </c>
      <c r="G15" s="48" t="s">
        <v>13</v>
      </c>
      <c r="H15" s="48" t="s">
        <v>14</v>
      </c>
      <c r="I15" s="48" t="s">
        <v>341</v>
      </c>
      <c r="J15" s="48" t="s">
        <v>341</v>
      </c>
      <c r="K15" s="48" t="s">
        <v>341</v>
      </c>
      <c r="L15" s="48" t="s">
        <v>341</v>
      </c>
      <c r="M15" s="48" t="s">
        <v>341</v>
      </c>
      <c r="N15" s="48" t="s">
        <v>341</v>
      </c>
      <c r="O15" s="48" t="s">
        <v>341</v>
      </c>
      <c r="P15" s="48" t="s">
        <v>341</v>
      </c>
      <c r="Q15" s="50"/>
      <c r="R15" s="50"/>
      <c r="S15" s="50"/>
      <c r="T15" s="50"/>
      <c r="U15" s="51"/>
      <c r="V15" s="48"/>
      <c r="W15" s="48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53" t="s">
        <v>40</v>
      </c>
      <c r="B16" s="52" t="s">
        <v>9</v>
      </c>
      <c r="C16" s="52" t="s">
        <v>24</v>
      </c>
      <c r="D16" s="52">
        <v>17608570000161</v>
      </c>
      <c r="E16" s="52"/>
      <c r="F16" s="52" t="s">
        <v>12</v>
      </c>
      <c r="G16" s="52" t="s">
        <v>41</v>
      </c>
      <c r="H16" s="52" t="s">
        <v>5</v>
      </c>
      <c r="I16" s="52" t="s">
        <v>341</v>
      </c>
      <c r="J16" s="52" t="s">
        <v>341</v>
      </c>
      <c r="K16" s="52" t="s">
        <v>341</v>
      </c>
      <c r="L16" s="52" t="s">
        <v>341</v>
      </c>
      <c r="M16" s="52" t="s">
        <v>341</v>
      </c>
      <c r="N16" s="52" t="s">
        <v>341</v>
      </c>
      <c r="O16" s="52" t="s">
        <v>341</v>
      </c>
      <c r="P16" s="52" t="s">
        <v>341</v>
      </c>
      <c r="Q16" s="54"/>
      <c r="R16" s="54"/>
      <c r="S16" s="54"/>
      <c r="T16" s="54"/>
      <c r="U16" s="55"/>
      <c r="V16" s="52"/>
      <c r="W16" s="52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49" t="s">
        <v>42</v>
      </c>
      <c r="B17" s="48" t="s">
        <v>9</v>
      </c>
      <c r="C17" s="48" t="s">
        <v>24</v>
      </c>
      <c r="D17" s="48" t="s">
        <v>43</v>
      </c>
      <c r="E17" s="48"/>
      <c r="F17" s="48" t="s">
        <v>12</v>
      </c>
      <c r="G17" s="48" t="s">
        <v>41</v>
      </c>
      <c r="H17" s="48" t="s">
        <v>5</v>
      </c>
      <c r="I17" s="48"/>
      <c r="J17" s="48"/>
      <c r="K17" s="48"/>
      <c r="L17" s="48"/>
      <c r="M17" s="48" t="s">
        <v>372</v>
      </c>
      <c r="N17" s="48"/>
      <c r="O17" s="48" t="s">
        <v>342</v>
      </c>
      <c r="P17" s="48" t="s">
        <v>343</v>
      </c>
      <c r="Q17" s="50"/>
      <c r="R17" s="50"/>
      <c r="S17" s="50"/>
      <c r="T17" s="50"/>
      <c r="U17" s="51"/>
      <c r="V17" s="48"/>
      <c r="W17" s="48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53" t="s">
        <v>44</v>
      </c>
      <c r="B18" s="52" t="s">
        <v>45</v>
      </c>
      <c r="C18" s="52" t="s">
        <v>46</v>
      </c>
      <c r="D18" s="52" t="s">
        <v>47</v>
      </c>
      <c r="E18" s="52"/>
      <c r="F18" s="52" t="s">
        <v>48</v>
      </c>
      <c r="G18" s="52" t="s">
        <v>13</v>
      </c>
      <c r="H18" s="52" t="s">
        <v>49</v>
      </c>
      <c r="I18" s="52"/>
      <c r="J18" s="52"/>
      <c r="K18" s="52"/>
      <c r="L18" s="52"/>
      <c r="M18" s="52" t="s">
        <v>373</v>
      </c>
      <c r="N18" s="52"/>
      <c r="O18" s="52" t="s">
        <v>344</v>
      </c>
      <c r="P18" s="52"/>
      <c r="Q18" s="54"/>
      <c r="R18" s="54"/>
      <c r="S18" s="54"/>
      <c r="T18" s="54"/>
      <c r="U18" s="55"/>
      <c r="V18" s="52"/>
      <c r="W18" s="52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49" t="s">
        <v>50</v>
      </c>
      <c r="B19" s="48" t="s">
        <v>45</v>
      </c>
      <c r="C19" s="48" t="s">
        <v>46</v>
      </c>
      <c r="D19" s="48" t="s">
        <v>51</v>
      </c>
      <c r="E19" s="48"/>
      <c r="F19" s="48" t="s">
        <v>48</v>
      </c>
      <c r="G19" s="48" t="s">
        <v>13</v>
      </c>
      <c r="H19" s="48" t="s">
        <v>49</v>
      </c>
      <c r="I19" s="48"/>
      <c r="J19" s="48"/>
      <c r="K19" s="48"/>
      <c r="L19" s="48"/>
      <c r="M19" s="48" t="s">
        <v>373</v>
      </c>
      <c r="N19" s="48"/>
      <c r="O19" s="48" t="s">
        <v>344</v>
      </c>
      <c r="P19" s="48"/>
      <c r="Q19" s="50"/>
      <c r="R19" s="50"/>
      <c r="S19" s="50"/>
      <c r="T19" s="50"/>
      <c r="U19" s="51"/>
      <c r="V19" s="48"/>
      <c r="W19" s="48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53" t="s">
        <v>52</v>
      </c>
      <c r="B20" s="52" t="s">
        <v>45</v>
      </c>
      <c r="C20" s="52" t="s">
        <v>46</v>
      </c>
      <c r="D20" s="52" t="s">
        <v>53</v>
      </c>
      <c r="E20" s="52"/>
      <c r="F20" s="52" t="s">
        <v>48</v>
      </c>
      <c r="G20" s="52" t="s">
        <v>13</v>
      </c>
      <c r="H20" s="52" t="s">
        <v>14</v>
      </c>
      <c r="I20" s="52"/>
      <c r="J20" s="52"/>
      <c r="K20" s="52"/>
      <c r="L20" s="52"/>
      <c r="M20" s="52" t="s">
        <v>373</v>
      </c>
      <c r="N20" s="52"/>
      <c r="O20" s="52" t="s">
        <v>344</v>
      </c>
      <c r="P20" s="52"/>
      <c r="Q20" s="54"/>
      <c r="R20" s="54"/>
      <c r="S20" s="54"/>
      <c r="T20" s="54"/>
      <c r="U20" s="55"/>
      <c r="V20" s="52"/>
      <c r="W20" s="52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49" t="s">
        <v>54</v>
      </c>
      <c r="B21" s="48" t="s">
        <v>55</v>
      </c>
      <c r="C21" s="48" t="s">
        <v>56</v>
      </c>
      <c r="D21" s="48">
        <v>57123358000129</v>
      </c>
      <c r="E21" s="48"/>
      <c r="F21" s="48" t="s">
        <v>57</v>
      </c>
      <c r="G21" s="48" t="s">
        <v>4</v>
      </c>
      <c r="H21" s="48" t="s">
        <v>14</v>
      </c>
      <c r="I21" s="48"/>
      <c r="J21" s="48"/>
      <c r="K21" s="48"/>
      <c r="L21" s="48"/>
      <c r="M21" s="48" t="s">
        <v>372</v>
      </c>
      <c r="N21" s="48"/>
      <c r="O21" s="48" t="s">
        <v>346</v>
      </c>
      <c r="P21" s="48"/>
      <c r="Q21" s="50"/>
      <c r="R21" s="50"/>
      <c r="S21" s="50"/>
      <c r="T21" s="50"/>
      <c r="U21" s="51"/>
      <c r="V21" s="48"/>
      <c r="W21" s="48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53" t="s">
        <v>58</v>
      </c>
      <c r="B22" s="52" t="s">
        <v>45</v>
      </c>
      <c r="C22" s="52" t="s">
        <v>59</v>
      </c>
      <c r="D22" s="52">
        <v>40870380000130</v>
      </c>
      <c r="E22" s="52"/>
      <c r="F22" s="52" t="s">
        <v>48</v>
      </c>
      <c r="G22" s="52" t="s">
        <v>4</v>
      </c>
      <c r="H22" s="52" t="s">
        <v>14</v>
      </c>
      <c r="I22" s="52"/>
      <c r="J22" s="52"/>
      <c r="K22" s="52"/>
      <c r="L22" s="52"/>
      <c r="M22" s="52" t="s">
        <v>374</v>
      </c>
      <c r="N22" s="52"/>
      <c r="O22" s="52" t="s">
        <v>345</v>
      </c>
      <c r="P22" s="52"/>
      <c r="Q22" s="54"/>
      <c r="R22" s="54"/>
      <c r="S22" s="54"/>
      <c r="T22" s="54"/>
      <c r="U22" s="55"/>
      <c r="V22" s="52"/>
      <c r="W22" s="52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49" t="s">
        <v>60</v>
      </c>
      <c r="B23" s="48" t="s">
        <v>61</v>
      </c>
      <c r="C23" s="48" t="s">
        <v>62</v>
      </c>
      <c r="D23" s="48">
        <v>26837949000134</v>
      </c>
      <c r="E23" s="48"/>
      <c r="F23" s="48" t="s">
        <v>63</v>
      </c>
      <c r="G23" s="48" t="s">
        <v>41</v>
      </c>
      <c r="H23" s="48" t="s">
        <v>5</v>
      </c>
      <c r="I23" s="48"/>
      <c r="J23" s="48"/>
      <c r="K23" s="48"/>
      <c r="L23" s="48"/>
      <c r="M23" s="48" t="s">
        <v>375</v>
      </c>
      <c r="N23" s="48"/>
      <c r="O23" s="48"/>
      <c r="P23" s="48"/>
      <c r="Q23" s="50"/>
      <c r="R23" s="50"/>
      <c r="S23" s="50"/>
      <c r="T23" s="50"/>
      <c r="U23" s="51"/>
      <c r="V23" s="48"/>
      <c r="W23" s="48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53" t="s">
        <v>64</v>
      </c>
      <c r="B24" s="52" t="s">
        <v>65</v>
      </c>
      <c r="C24" s="52" t="s">
        <v>62</v>
      </c>
      <c r="D24" s="52">
        <v>12923820000134</v>
      </c>
      <c r="E24" s="52"/>
      <c r="F24" s="52" t="s">
        <v>66</v>
      </c>
      <c r="G24" s="52" t="s">
        <v>13</v>
      </c>
      <c r="H24" s="52" t="s">
        <v>49</v>
      </c>
      <c r="I24" s="52"/>
      <c r="J24" s="52"/>
      <c r="K24" s="52"/>
      <c r="L24" s="52"/>
      <c r="M24" s="52" t="s">
        <v>373</v>
      </c>
      <c r="N24" s="52"/>
      <c r="O24" s="52" t="s">
        <v>344</v>
      </c>
      <c r="P24" s="52"/>
      <c r="Q24" s="54"/>
      <c r="R24" s="54"/>
      <c r="S24" s="54"/>
      <c r="T24" s="54"/>
      <c r="U24" s="55"/>
      <c r="V24" s="52"/>
      <c r="W24" s="52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49" t="s">
        <v>67</v>
      </c>
      <c r="B25" s="48" t="s">
        <v>68</v>
      </c>
      <c r="C25" s="48" t="s">
        <v>69</v>
      </c>
      <c r="D25" s="48" t="s">
        <v>70</v>
      </c>
      <c r="E25" s="48"/>
      <c r="F25" s="48" t="s">
        <v>71</v>
      </c>
      <c r="G25" s="48" t="s">
        <v>4</v>
      </c>
      <c r="H25" s="48" t="s">
        <v>49</v>
      </c>
      <c r="I25" s="48"/>
      <c r="J25" s="48"/>
      <c r="K25" s="48"/>
      <c r="L25" s="48"/>
      <c r="M25" s="48" t="s">
        <v>375</v>
      </c>
      <c r="N25" s="48"/>
      <c r="O25" s="48" t="s">
        <v>346</v>
      </c>
      <c r="P25" s="48"/>
      <c r="Q25" s="50"/>
      <c r="R25" s="50"/>
      <c r="S25" s="50"/>
      <c r="T25" s="50"/>
      <c r="U25" s="51"/>
      <c r="V25" s="48"/>
      <c r="W25" s="48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53" t="s">
        <v>72</v>
      </c>
      <c r="B26" s="52" t="s">
        <v>9</v>
      </c>
      <c r="C26" s="52" t="s">
        <v>24</v>
      </c>
      <c r="D26" s="52">
        <v>41597807000130</v>
      </c>
      <c r="E26" s="52"/>
      <c r="F26" s="52" t="s">
        <v>73</v>
      </c>
      <c r="G26" s="52" t="s">
        <v>4</v>
      </c>
      <c r="H26" s="52" t="s">
        <v>5</v>
      </c>
      <c r="I26" s="52"/>
      <c r="J26" s="52"/>
      <c r="K26" s="52"/>
      <c r="L26" s="52"/>
      <c r="M26" s="52" t="s">
        <v>375</v>
      </c>
      <c r="N26" s="52"/>
      <c r="O26" s="52" t="s">
        <v>344</v>
      </c>
      <c r="P26" s="52"/>
      <c r="Q26" s="54"/>
      <c r="R26" s="54"/>
      <c r="S26" s="54"/>
      <c r="T26" s="54"/>
      <c r="U26" s="55"/>
      <c r="V26" s="52"/>
      <c r="W26" s="52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49" t="s">
        <v>74</v>
      </c>
      <c r="B27" s="48" t="s">
        <v>75</v>
      </c>
      <c r="C27" s="48" t="s">
        <v>62</v>
      </c>
      <c r="D27" s="48">
        <v>21430001000146</v>
      </c>
      <c r="E27" s="48"/>
      <c r="F27" s="48" t="s">
        <v>76</v>
      </c>
      <c r="G27" s="48" t="s">
        <v>4</v>
      </c>
      <c r="H27" s="48" t="s">
        <v>5</v>
      </c>
      <c r="I27" s="48"/>
      <c r="J27" s="48"/>
      <c r="K27" s="48"/>
      <c r="L27" s="48"/>
      <c r="M27" s="48" t="s">
        <v>373</v>
      </c>
      <c r="N27" s="48"/>
      <c r="O27" s="48" t="s">
        <v>344</v>
      </c>
      <c r="P27" s="48"/>
      <c r="Q27" s="50"/>
      <c r="R27" s="50"/>
      <c r="S27" s="50"/>
      <c r="T27" s="50"/>
      <c r="U27" s="51"/>
      <c r="V27" s="48"/>
      <c r="W27" s="48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53" t="s">
        <v>77</v>
      </c>
      <c r="B28" s="52" t="s">
        <v>78</v>
      </c>
      <c r="C28" s="52" t="s">
        <v>79</v>
      </c>
      <c r="D28" s="52" t="s">
        <v>80</v>
      </c>
      <c r="E28" s="52"/>
      <c r="F28" s="52" t="s">
        <v>81</v>
      </c>
      <c r="G28" s="52" t="s">
        <v>13</v>
      </c>
      <c r="H28" s="52" t="s">
        <v>49</v>
      </c>
      <c r="I28" s="52"/>
      <c r="J28" s="52"/>
      <c r="K28" s="52"/>
      <c r="L28" s="52"/>
      <c r="M28" s="52" t="s">
        <v>373</v>
      </c>
      <c r="N28" s="52"/>
      <c r="O28" s="52" t="s">
        <v>344</v>
      </c>
      <c r="P28" s="52"/>
      <c r="Q28" s="54"/>
      <c r="R28" s="54"/>
      <c r="S28" s="54"/>
      <c r="T28" s="54"/>
      <c r="U28" s="55"/>
      <c r="V28" s="52"/>
      <c r="W28" s="52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49" t="s">
        <v>82</v>
      </c>
      <c r="B29" s="48" t="s">
        <v>78</v>
      </c>
      <c r="C29" s="48" t="s">
        <v>83</v>
      </c>
      <c r="D29" s="48">
        <v>62220305000166</v>
      </c>
      <c r="E29" s="48"/>
      <c r="F29" s="48" t="s">
        <v>81</v>
      </c>
      <c r="G29" s="48" t="s">
        <v>4</v>
      </c>
      <c r="H29" s="48" t="s">
        <v>5</v>
      </c>
      <c r="I29" s="48"/>
      <c r="J29" s="48"/>
      <c r="K29" s="48"/>
      <c r="L29" s="48"/>
      <c r="M29" s="48" t="s">
        <v>374</v>
      </c>
      <c r="N29" s="48"/>
      <c r="O29" s="48" t="s">
        <v>346</v>
      </c>
      <c r="P29" s="48"/>
      <c r="Q29" s="50"/>
      <c r="R29" s="50"/>
      <c r="S29" s="50"/>
      <c r="T29" s="50"/>
      <c r="U29" s="51"/>
      <c r="V29" s="48"/>
      <c r="W29" s="48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53" t="s">
        <v>84</v>
      </c>
      <c r="B30" s="52" t="s">
        <v>85</v>
      </c>
      <c r="C30" s="52" t="s">
        <v>46</v>
      </c>
      <c r="D30" s="52">
        <v>10712858000132</v>
      </c>
      <c r="E30" s="52"/>
      <c r="F30" s="52" t="s">
        <v>86</v>
      </c>
      <c r="G30" s="52" t="s">
        <v>13</v>
      </c>
      <c r="H30" s="52" t="s">
        <v>5</v>
      </c>
      <c r="I30" s="52"/>
      <c r="J30" s="52"/>
      <c r="K30" s="52"/>
      <c r="L30" s="52"/>
      <c r="M30" s="52" t="s">
        <v>373</v>
      </c>
      <c r="N30" s="52"/>
      <c r="O30" s="52" t="s">
        <v>346</v>
      </c>
      <c r="P30" s="52"/>
      <c r="Q30" s="54"/>
      <c r="R30" s="54"/>
      <c r="S30" s="54"/>
      <c r="T30" s="54"/>
      <c r="U30" s="55"/>
      <c r="V30" s="52"/>
      <c r="W30" s="52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49" t="s">
        <v>87</v>
      </c>
      <c r="B31" s="48" t="s">
        <v>61</v>
      </c>
      <c r="C31" s="48" t="s">
        <v>62</v>
      </c>
      <c r="D31" s="48">
        <v>53665434000177</v>
      </c>
      <c r="E31" s="48"/>
      <c r="F31" s="48" t="s">
        <v>63</v>
      </c>
      <c r="G31" s="48" t="s">
        <v>4</v>
      </c>
      <c r="H31" s="48" t="s">
        <v>5</v>
      </c>
      <c r="I31" s="48"/>
      <c r="J31" s="48"/>
      <c r="K31" s="48"/>
      <c r="L31" s="48"/>
      <c r="M31" s="48" t="s">
        <v>375</v>
      </c>
      <c r="N31" s="48"/>
      <c r="O31" s="48" t="s">
        <v>346</v>
      </c>
      <c r="P31" s="48"/>
      <c r="Q31" s="50"/>
      <c r="R31" s="50"/>
      <c r="S31" s="50"/>
      <c r="T31" s="50"/>
      <c r="U31" s="51"/>
      <c r="V31" s="48"/>
      <c r="W31" s="48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53" t="s">
        <v>88</v>
      </c>
      <c r="B32" s="52" t="s">
        <v>61</v>
      </c>
      <c r="C32" s="52" t="s">
        <v>62</v>
      </c>
      <c r="D32" s="52">
        <v>53665515000177</v>
      </c>
      <c r="E32" s="52"/>
      <c r="F32" s="52" t="s">
        <v>63</v>
      </c>
      <c r="G32" s="52" t="s">
        <v>4</v>
      </c>
      <c r="H32" s="52" t="s">
        <v>5</v>
      </c>
      <c r="I32" s="52"/>
      <c r="J32" s="52"/>
      <c r="K32" s="52"/>
      <c r="L32" s="52"/>
      <c r="M32" s="52" t="s">
        <v>375</v>
      </c>
      <c r="N32" s="52"/>
      <c r="O32" s="52" t="s">
        <v>346</v>
      </c>
      <c r="P32" s="52"/>
      <c r="Q32" s="54"/>
      <c r="R32" s="54"/>
      <c r="S32" s="54"/>
      <c r="T32" s="54"/>
      <c r="U32" s="55"/>
      <c r="V32" s="52"/>
      <c r="W32" s="52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49" t="s">
        <v>89</v>
      </c>
      <c r="B33" s="48" t="s">
        <v>61</v>
      </c>
      <c r="C33" s="48" t="s">
        <v>62</v>
      </c>
      <c r="D33" s="48">
        <v>53666225000148</v>
      </c>
      <c r="E33" s="48"/>
      <c r="F33" s="48" t="s">
        <v>63</v>
      </c>
      <c r="G33" s="48" t="s">
        <v>4</v>
      </c>
      <c r="H33" s="48" t="s">
        <v>5</v>
      </c>
      <c r="I33" s="48"/>
      <c r="J33" s="48"/>
      <c r="K33" s="48"/>
      <c r="L33" s="48"/>
      <c r="M33" s="48" t="s">
        <v>375</v>
      </c>
      <c r="N33" s="48"/>
      <c r="O33" s="48" t="s">
        <v>346</v>
      </c>
      <c r="P33" s="48"/>
      <c r="Q33" s="50"/>
      <c r="R33" s="50"/>
      <c r="S33" s="50"/>
      <c r="T33" s="50"/>
      <c r="U33" s="51"/>
      <c r="V33" s="48"/>
      <c r="W33" s="48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53" t="s">
        <v>90</v>
      </c>
      <c r="B34" s="52" t="s">
        <v>61</v>
      </c>
      <c r="C34" s="52" t="s">
        <v>62</v>
      </c>
      <c r="D34" s="52">
        <v>17845752000156</v>
      </c>
      <c r="E34" s="52"/>
      <c r="F34" s="52" t="s">
        <v>63</v>
      </c>
      <c r="G34" s="52" t="s">
        <v>41</v>
      </c>
      <c r="H34" s="52" t="s">
        <v>5</v>
      </c>
      <c r="I34" s="52"/>
      <c r="J34" s="52"/>
      <c r="K34" s="52"/>
      <c r="L34" s="52"/>
      <c r="M34" s="52" t="s">
        <v>376</v>
      </c>
      <c r="N34" s="52"/>
      <c r="O34" s="52" t="s">
        <v>346</v>
      </c>
      <c r="P34" s="52"/>
      <c r="Q34" s="54"/>
      <c r="R34" s="54"/>
      <c r="S34" s="54"/>
      <c r="T34" s="54"/>
      <c r="U34" s="55"/>
      <c r="V34" s="52"/>
      <c r="W34" s="52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49" t="s">
        <v>91</v>
      </c>
      <c r="B35" s="48" t="s">
        <v>61</v>
      </c>
      <c r="C35" s="48" t="s">
        <v>62</v>
      </c>
      <c r="D35" s="48">
        <v>17813257000165</v>
      </c>
      <c r="E35" s="48"/>
      <c r="F35" s="48" t="s">
        <v>63</v>
      </c>
      <c r="G35" s="48" t="s">
        <v>13</v>
      </c>
      <c r="H35" s="48" t="s">
        <v>5</v>
      </c>
      <c r="I35" s="48"/>
      <c r="J35" s="48"/>
      <c r="K35" s="48"/>
      <c r="L35" s="48"/>
      <c r="M35" s="48" t="s">
        <v>377</v>
      </c>
      <c r="N35" s="48"/>
      <c r="O35" s="48" t="s">
        <v>346</v>
      </c>
      <c r="P35" s="48"/>
      <c r="Q35" s="50"/>
      <c r="R35" s="50"/>
      <c r="S35" s="50"/>
      <c r="T35" s="50"/>
      <c r="U35" s="51"/>
      <c r="V35" s="48"/>
      <c r="W35" s="48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53" t="s">
        <v>92</v>
      </c>
      <c r="B36" s="52" t="s">
        <v>1</v>
      </c>
      <c r="C36" s="52" t="s">
        <v>93</v>
      </c>
      <c r="D36" s="52" t="s">
        <v>94</v>
      </c>
      <c r="E36" s="52"/>
      <c r="F36" s="52" t="s">
        <v>3</v>
      </c>
      <c r="G36" s="52" t="s">
        <v>4</v>
      </c>
      <c r="H36" s="52" t="s">
        <v>5</v>
      </c>
      <c r="I36" s="52"/>
      <c r="J36" s="52"/>
      <c r="K36" s="52"/>
      <c r="L36" s="52"/>
      <c r="M36" s="52" t="s">
        <v>373</v>
      </c>
      <c r="N36" s="52"/>
      <c r="O36" s="52" t="s">
        <v>346</v>
      </c>
      <c r="P36" s="52"/>
      <c r="Q36" s="54"/>
      <c r="R36" s="54"/>
      <c r="S36" s="54"/>
      <c r="T36" s="54"/>
      <c r="U36" s="55"/>
      <c r="V36" s="52"/>
      <c r="W36" s="52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49" t="s">
        <v>95</v>
      </c>
      <c r="B37" s="48" t="s">
        <v>96</v>
      </c>
      <c r="C37" s="48" t="s">
        <v>97</v>
      </c>
      <c r="D37" s="48" t="s">
        <v>98</v>
      </c>
      <c r="E37" s="48"/>
      <c r="F37" s="48" t="s">
        <v>99</v>
      </c>
      <c r="G37" s="48" t="s">
        <v>41</v>
      </c>
      <c r="H37" s="48" t="s">
        <v>14</v>
      </c>
      <c r="I37" s="48"/>
      <c r="J37" s="48"/>
      <c r="K37" s="48"/>
      <c r="L37" s="48"/>
      <c r="M37" s="48" t="s">
        <v>379</v>
      </c>
      <c r="N37" s="48" t="s">
        <v>358</v>
      </c>
      <c r="O37" s="48" t="s">
        <v>346</v>
      </c>
      <c r="P37" s="48"/>
      <c r="Q37" s="50"/>
      <c r="R37" s="50"/>
      <c r="S37" s="50"/>
      <c r="T37" s="50"/>
      <c r="U37" s="51"/>
      <c r="V37" s="48"/>
      <c r="W37" s="48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53" t="s">
        <v>95</v>
      </c>
      <c r="B38" s="52" t="s">
        <v>96</v>
      </c>
      <c r="C38" s="52" t="s">
        <v>97</v>
      </c>
      <c r="D38" s="52" t="s">
        <v>100</v>
      </c>
      <c r="E38" s="52"/>
      <c r="F38" s="52" t="s">
        <v>99</v>
      </c>
      <c r="G38" s="52" t="s">
        <v>13</v>
      </c>
      <c r="H38" s="52" t="s">
        <v>14</v>
      </c>
      <c r="I38" s="52"/>
      <c r="J38" s="52"/>
      <c r="K38" s="52"/>
      <c r="L38" s="52"/>
      <c r="M38" s="52" t="s">
        <v>378</v>
      </c>
      <c r="N38" s="52" t="s">
        <v>358</v>
      </c>
      <c r="O38" s="52" t="s">
        <v>346</v>
      </c>
      <c r="P38" s="52"/>
      <c r="Q38" s="54"/>
      <c r="R38" s="54"/>
      <c r="S38" s="54"/>
      <c r="T38" s="54"/>
      <c r="U38" s="55"/>
      <c r="V38" s="52"/>
      <c r="W38" s="52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49" t="s">
        <v>95</v>
      </c>
      <c r="B39" s="48" t="s">
        <v>96</v>
      </c>
      <c r="C39" s="48" t="s">
        <v>97</v>
      </c>
      <c r="D39" s="48" t="s">
        <v>101</v>
      </c>
      <c r="E39" s="48"/>
      <c r="F39" s="48" t="s">
        <v>99</v>
      </c>
      <c r="G39" s="48" t="s">
        <v>13</v>
      </c>
      <c r="H39" s="48" t="s">
        <v>14</v>
      </c>
      <c r="I39" s="48"/>
      <c r="J39" s="48"/>
      <c r="K39" s="48"/>
      <c r="L39" s="48"/>
      <c r="M39" s="48" t="s">
        <v>378</v>
      </c>
      <c r="N39" s="48" t="s">
        <v>358</v>
      </c>
      <c r="O39" s="48" t="s">
        <v>346</v>
      </c>
      <c r="P39" s="48"/>
      <c r="Q39" s="50"/>
      <c r="R39" s="50"/>
      <c r="S39" s="50"/>
      <c r="T39" s="50"/>
      <c r="U39" s="51"/>
      <c r="V39" s="48"/>
      <c r="W39" s="48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53" t="s">
        <v>95</v>
      </c>
      <c r="B40" s="52" t="s">
        <v>96</v>
      </c>
      <c r="C40" s="52" t="s">
        <v>97</v>
      </c>
      <c r="D40" s="52" t="s">
        <v>102</v>
      </c>
      <c r="E40" s="52"/>
      <c r="F40" s="52" t="s">
        <v>99</v>
      </c>
      <c r="G40" s="52" t="s">
        <v>13</v>
      </c>
      <c r="H40" s="52" t="s">
        <v>14</v>
      </c>
      <c r="I40" s="52"/>
      <c r="J40" s="52"/>
      <c r="K40" s="52"/>
      <c r="L40" s="52"/>
      <c r="M40" s="52" t="s">
        <v>378</v>
      </c>
      <c r="N40" s="52" t="s">
        <v>358</v>
      </c>
      <c r="O40" s="52" t="s">
        <v>346</v>
      </c>
      <c r="P40" s="52"/>
      <c r="Q40" s="54"/>
      <c r="R40" s="54"/>
      <c r="S40" s="54"/>
      <c r="T40" s="54"/>
      <c r="U40" s="55"/>
      <c r="V40" s="52"/>
      <c r="W40" s="52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49" t="s">
        <v>95</v>
      </c>
      <c r="B41" s="48" t="s">
        <v>96</v>
      </c>
      <c r="C41" s="48" t="s">
        <v>97</v>
      </c>
      <c r="D41" s="48" t="s">
        <v>103</v>
      </c>
      <c r="E41" s="48"/>
      <c r="F41" s="48" t="s">
        <v>99</v>
      </c>
      <c r="G41" s="48" t="s">
        <v>13</v>
      </c>
      <c r="H41" s="48" t="s">
        <v>14</v>
      </c>
      <c r="I41" s="48"/>
      <c r="J41" s="48"/>
      <c r="K41" s="48"/>
      <c r="L41" s="48"/>
      <c r="M41" s="48" t="s">
        <v>378</v>
      </c>
      <c r="N41" s="48" t="s">
        <v>358</v>
      </c>
      <c r="O41" s="48" t="s">
        <v>346</v>
      </c>
      <c r="P41" s="48"/>
      <c r="Q41" s="50"/>
      <c r="R41" s="50"/>
      <c r="S41" s="50"/>
      <c r="T41" s="50"/>
      <c r="U41" s="51"/>
      <c r="V41" s="48"/>
      <c r="W41" s="48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53" t="s">
        <v>95</v>
      </c>
      <c r="B42" s="52" t="s">
        <v>96</v>
      </c>
      <c r="C42" s="52" t="s">
        <v>104</v>
      </c>
      <c r="D42" s="52" t="s">
        <v>105</v>
      </c>
      <c r="E42" s="52"/>
      <c r="F42" s="52" t="s">
        <v>99</v>
      </c>
      <c r="G42" s="52" t="s">
        <v>13</v>
      </c>
      <c r="H42" s="52" t="s">
        <v>14</v>
      </c>
      <c r="I42" s="52"/>
      <c r="J42" s="52"/>
      <c r="K42" s="52"/>
      <c r="L42" s="52"/>
      <c r="M42" s="52" t="s">
        <v>378</v>
      </c>
      <c r="N42" s="52" t="s">
        <v>358</v>
      </c>
      <c r="O42" s="52" t="s">
        <v>346</v>
      </c>
      <c r="P42" s="52"/>
      <c r="Q42" s="54"/>
      <c r="R42" s="54"/>
      <c r="S42" s="54"/>
      <c r="T42" s="54"/>
      <c r="U42" s="55"/>
      <c r="V42" s="52"/>
      <c r="W42" s="52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49" t="s">
        <v>95</v>
      </c>
      <c r="B43" s="48" t="s">
        <v>96</v>
      </c>
      <c r="C43" s="48" t="s">
        <v>104</v>
      </c>
      <c r="D43" s="48" t="s">
        <v>106</v>
      </c>
      <c r="E43" s="48"/>
      <c r="F43" s="48" t="s">
        <v>99</v>
      </c>
      <c r="G43" s="48" t="s">
        <v>13</v>
      </c>
      <c r="H43" s="48" t="s">
        <v>14</v>
      </c>
      <c r="I43" s="48"/>
      <c r="J43" s="48"/>
      <c r="K43" s="48"/>
      <c r="L43" s="48"/>
      <c r="M43" s="48" t="s">
        <v>378</v>
      </c>
      <c r="N43" s="48" t="s">
        <v>358</v>
      </c>
      <c r="O43" s="48" t="s">
        <v>346</v>
      </c>
      <c r="P43" s="48"/>
      <c r="Q43" s="50"/>
      <c r="R43" s="50"/>
      <c r="S43" s="50"/>
      <c r="T43" s="50"/>
      <c r="U43" s="51"/>
      <c r="V43" s="48"/>
      <c r="W43" s="48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53" t="s">
        <v>107</v>
      </c>
      <c r="B44" s="52" t="s">
        <v>108</v>
      </c>
      <c r="C44" s="52" t="s">
        <v>62</v>
      </c>
      <c r="D44" s="52">
        <v>50056304000149</v>
      </c>
      <c r="E44" s="52"/>
      <c r="F44" s="52" t="s">
        <v>109</v>
      </c>
      <c r="G44" s="52" t="s">
        <v>4</v>
      </c>
      <c r="H44" s="52" t="s">
        <v>49</v>
      </c>
      <c r="I44" s="52"/>
      <c r="J44" s="52"/>
      <c r="K44" s="52"/>
      <c r="L44" s="52"/>
      <c r="M44" s="52" t="s">
        <v>375</v>
      </c>
      <c r="N44" s="52"/>
      <c r="O44" s="52" t="s">
        <v>346</v>
      </c>
      <c r="P44" s="52"/>
      <c r="Q44" s="54"/>
      <c r="R44" s="54"/>
      <c r="S44" s="54"/>
      <c r="T44" s="54"/>
      <c r="U44" s="55"/>
      <c r="V44" s="52"/>
      <c r="W44" s="52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49" t="s">
        <v>110</v>
      </c>
      <c r="B45" s="48" t="s">
        <v>108</v>
      </c>
      <c r="C45" s="48" t="s">
        <v>62</v>
      </c>
      <c r="D45" s="48">
        <v>59971731000127</v>
      </c>
      <c r="E45" s="48"/>
      <c r="F45" s="48" t="s">
        <v>109</v>
      </c>
      <c r="G45" s="48" t="s">
        <v>4</v>
      </c>
      <c r="H45" s="48" t="s">
        <v>49</v>
      </c>
      <c r="I45" s="48"/>
      <c r="J45" s="48"/>
      <c r="K45" s="48"/>
      <c r="L45" s="48"/>
      <c r="M45" s="48" t="s">
        <v>375</v>
      </c>
      <c r="N45" s="48"/>
      <c r="O45" s="48" t="s">
        <v>346</v>
      </c>
      <c r="P45" s="48"/>
      <c r="Q45" s="50"/>
      <c r="R45" s="50"/>
      <c r="S45" s="50"/>
      <c r="T45" s="50"/>
      <c r="U45" s="51"/>
      <c r="V45" s="48"/>
      <c r="W45" s="48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53" t="s">
        <v>111</v>
      </c>
      <c r="B46" s="52" t="s">
        <v>108</v>
      </c>
      <c r="C46" s="52" t="s">
        <v>69</v>
      </c>
      <c r="D46" s="52" t="s">
        <v>112</v>
      </c>
      <c r="E46" s="52"/>
      <c r="F46" s="52" t="s">
        <v>113</v>
      </c>
      <c r="G46" s="52" t="s">
        <v>13</v>
      </c>
      <c r="H46" s="52" t="s">
        <v>49</v>
      </c>
      <c r="I46" s="52"/>
      <c r="J46" s="52"/>
      <c r="K46" s="52"/>
      <c r="L46" s="52"/>
      <c r="M46" s="52" t="s">
        <v>373</v>
      </c>
      <c r="N46" s="52"/>
      <c r="O46" s="52" t="s">
        <v>344</v>
      </c>
      <c r="P46" s="52"/>
      <c r="Q46" s="54"/>
      <c r="R46" s="54"/>
      <c r="S46" s="54"/>
      <c r="T46" s="54"/>
      <c r="U46" s="55"/>
      <c r="V46" s="52"/>
      <c r="W46" s="52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49" t="s">
        <v>114</v>
      </c>
      <c r="B47" s="48" t="s">
        <v>115</v>
      </c>
      <c r="C47" s="48" t="s">
        <v>116</v>
      </c>
      <c r="D47" s="48" t="s">
        <v>117</v>
      </c>
      <c r="E47" s="48"/>
      <c r="F47" s="48" t="s">
        <v>118</v>
      </c>
      <c r="G47" s="48" t="s">
        <v>13</v>
      </c>
      <c r="H47" s="48" t="s">
        <v>14</v>
      </c>
      <c r="I47" s="48"/>
      <c r="J47" s="48"/>
      <c r="K47" s="48"/>
      <c r="L47" s="48"/>
      <c r="M47" s="48" t="s">
        <v>373</v>
      </c>
      <c r="N47" s="48"/>
      <c r="O47" s="48" t="s">
        <v>347</v>
      </c>
      <c r="P47" s="48"/>
      <c r="Q47" s="50"/>
      <c r="R47" s="50"/>
      <c r="S47" s="50"/>
      <c r="T47" s="50"/>
      <c r="U47" s="51"/>
      <c r="V47" s="48"/>
      <c r="W47" s="48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53" t="s">
        <v>119</v>
      </c>
      <c r="B48" s="52" t="s">
        <v>115</v>
      </c>
      <c r="C48" s="52" t="s">
        <v>116</v>
      </c>
      <c r="D48" s="52" t="s">
        <v>120</v>
      </c>
      <c r="E48" s="52"/>
      <c r="F48" s="52" t="s">
        <v>118</v>
      </c>
      <c r="G48" s="52" t="s">
        <v>13</v>
      </c>
      <c r="H48" s="52" t="s">
        <v>14</v>
      </c>
      <c r="I48" s="52"/>
      <c r="J48" s="52"/>
      <c r="K48" s="52"/>
      <c r="L48" s="52"/>
      <c r="M48" s="52" t="s">
        <v>372</v>
      </c>
      <c r="N48" s="52"/>
      <c r="O48" s="52" t="s">
        <v>344</v>
      </c>
      <c r="P48" s="52"/>
      <c r="Q48" s="54"/>
      <c r="R48" s="54"/>
      <c r="S48" s="54"/>
      <c r="T48" s="54"/>
      <c r="U48" s="55"/>
      <c r="V48" s="52"/>
      <c r="W48" s="52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49" t="s">
        <v>121</v>
      </c>
      <c r="B49" s="48" t="s">
        <v>115</v>
      </c>
      <c r="C49" s="48" t="s">
        <v>122</v>
      </c>
      <c r="D49" s="48">
        <v>44742752000101</v>
      </c>
      <c r="E49" s="48"/>
      <c r="F49" s="48" t="s">
        <v>118</v>
      </c>
      <c r="G49" s="48" t="s">
        <v>4</v>
      </c>
      <c r="H49" s="48" t="s">
        <v>5</v>
      </c>
      <c r="I49" s="48"/>
      <c r="J49" s="48"/>
      <c r="K49" s="48"/>
      <c r="L49" s="48"/>
      <c r="M49" s="48" t="s">
        <v>372</v>
      </c>
      <c r="N49" s="48"/>
      <c r="O49" s="48" t="s">
        <v>346</v>
      </c>
      <c r="P49" s="48"/>
      <c r="Q49" s="50"/>
      <c r="R49" s="50"/>
      <c r="S49" s="50"/>
      <c r="T49" s="50"/>
      <c r="U49" s="51"/>
      <c r="V49" s="48"/>
      <c r="W49" s="48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53" t="s">
        <v>123</v>
      </c>
      <c r="B50" s="52" t="s">
        <v>115</v>
      </c>
      <c r="C50" s="52" t="s">
        <v>116</v>
      </c>
      <c r="D50" s="52" t="s">
        <v>124</v>
      </c>
      <c r="E50" s="52"/>
      <c r="F50" s="52" t="s">
        <v>125</v>
      </c>
      <c r="G50" s="52" t="s">
        <v>13</v>
      </c>
      <c r="H50" s="52" t="s">
        <v>14</v>
      </c>
      <c r="I50" s="52"/>
      <c r="J50" s="52"/>
      <c r="K50" s="52"/>
      <c r="L50" s="52"/>
      <c r="M50" s="52" t="s">
        <v>375</v>
      </c>
      <c r="N50" s="52"/>
      <c r="O50" s="52" t="s">
        <v>346</v>
      </c>
      <c r="P50" s="52"/>
      <c r="Q50" s="54"/>
      <c r="R50" s="54"/>
      <c r="S50" s="54"/>
      <c r="T50" s="54"/>
      <c r="U50" s="55"/>
      <c r="V50" s="52"/>
      <c r="W50" s="52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49" t="s">
        <v>126</v>
      </c>
      <c r="B51" s="48" t="s">
        <v>115</v>
      </c>
      <c r="C51" s="48" t="s">
        <v>122</v>
      </c>
      <c r="D51" s="48">
        <v>44777527000100</v>
      </c>
      <c r="E51" s="48"/>
      <c r="F51" s="48" t="s">
        <v>125</v>
      </c>
      <c r="G51" s="48" t="s">
        <v>4</v>
      </c>
      <c r="H51" s="48" t="s">
        <v>5</v>
      </c>
      <c r="I51" s="48"/>
      <c r="J51" s="48"/>
      <c r="K51" s="48"/>
      <c r="L51" s="48"/>
      <c r="M51" s="48" t="s">
        <v>375</v>
      </c>
      <c r="N51" s="48"/>
      <c r="O51" s="48" t="s">
        <v>346</v>
      </c>
      <c r="P51" s="48"/>
      <c r="Q51" s="50"/>
      <c r="R51" s="50"/>
      <c r="S51" s="50"/>
      <c r="T51" s="50"/>
      <c r="U51" s="51"/>
      <c r="V51" s="48"/>
      <c r="W51" s="48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53" t="s">
        <v>127</v>
      </c>
      <c r="B52" s="52" t="s">
        <v>115</v>
      </c>
      <c r="C52" s="52" t="s">
        <v>122</v>
      </c>
      <c r="D52" s="52">
        <v>44796284000140</v>
      </c>
      <c r="E52" s="52"/>
      <c r="F52" s="52" t="s">
        <v>125</v>
      </c>
      <c r="G52" s="52" t="s">
        <v>4</v>
      </c>
      <c r="H52" s="52" t="s">
        <v>5</v>
      </c>
      <c r="I52" s="52"/>
      <c r="J52" s="52"/>
      <c r="K52" s="52"/>
      <c r="L52" s="52"/>
      <c r="M52" s="52" t="s">
        <v>375</v>
      </c>
      <c r="N52" s="52"/>
      <c r="O52" s="52" t="s">
        <v>346</v>
      </c>
      <c r="P52" s="52"/>
      <c r="Q52" s="54"/>
      <c r="R52" s="54"/>
      <c r="S52" s="54"/>
      <c r="T52" s="54"/>
      <c r="U52" s="55"/>
      <c r="V52" s="52"/>
      <c r="W52" s="52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49" t="s">
        <v>128</v>
      </c>
      <c r="B53" s="48" t="s">
        <v>129</v>
      </c>
      <c r="C53" s="48" t="s">
        <v>16</v>
      </c>
      <c r="D53" s="48" t="s">
        <v>130</v>
      </c>
      <c r="E53" s="48"/>
      <c r="F53" s="48" t="s">
        <v>109</v>
      </c>
      <c r="G53" s="48" t="s">
        <v>13</v>
      </c>
      <c r="H53" s="48" t="s">
        <v>14</v>
      </c>
      <c r="I53" s="48"/>
      <c r="J53" s="48"/>
      <c r="K53" s="48"/>
      <c r="L53" s="48"/>
      <c r="M53" s="48" t="s">
        <v>380</v>
      </c>
      <c r="N53" s="48"/>
      <c r="O53" s="48"/>
      <c r="P53" s="48"/>
      <c r="Q53" s="50"/>
      <c r="R53" s="50"/>
      <c r="S53" s="50"/>
      <c r="T53" s="50"/>
      <c r="U53" s="51"/>
      <c r="V53" s="48"/>
      <c r="W53" s="48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53" t="s">
        <v>131</v>
      </c>
      <c r="B54" s="52" t="s">
        <v>132</v>
      </c>
      <c r="C54" s="52" t="s">
        <v>62</v>
      </c>
      <c r="D54" s="52">
        <v>19318532000108</v>
      </c>
      <c r="E54" s="52"/>
      <c r="F54" s="52" t="s">
        <v>66</v>
      </c>
      <c r="G54" s="52" t="s">
        <v>4</v>
      </c>
      <c r="H54" s="52" t="s">
        <v>5</v>
      </c>
      <c r="I54" s="52"/>
      <c r="J54" s="52"/>
      <c r="K54" s="52"/>
      <c r="L54" s="52"/>
      <c r="M54" s="52" t="s">
        <v>373</v>
      </c>
      <c r="N54" s="52"/>
      <c r="O54" s="52" t="s">
        <v>344</v>
      </c>
      <c r="P54" s="52"/>
      <c r="Q54" s="54"/>
      <c r="R54" s="54"/>
      <c r="S54" s="54"/>
      <c r="T54" s="54"/>
      <c r="U54" s="55"/>
      <c r="V54" s="52"/>
      <c r="W54" s="52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49" t="s">
        <v>133</v>
      </c>
      <c r="B55" s="48" t="s">
        <v>134</v>
      </c>
      <c r="C55" s="48" t="s">
        <v>116</v>
      </c>
      <c r="D55" s="48" t="s">
        <v>135</v>
      </c>
      <c r="E55" s="48"/>
      <c r="F55" s="48" t="s">
        <v>136</v>
      </c>
      <c r="G55" s="48" t="s">
        <v>41</v>
      </c>
      <c r="H55" s="48" t="s">
        <v>5</v>
      </c>
      <c r="I55" s="48"/>
      <c r="J55" s="48"/>
      <c r="K55" s="48"/>
      <c r="L55" s="48"/>
      <c r="M55" s="48" t="s">
        <v>375</v>
      </c>
      <c r="N55" s="48"/>
      <c r="O55" s="48" t="s">
        <v>348</v>
      </c>
      <c r="P55" s="48"/>
      <c r="Q55" s="50"/>
      <c r="R55" s="50"/>
      <c r="S55" s="50"/>
      <c r="T55" s="50"/>
      <c r="U55" s="51"/>
      <c r="V55" s="48"/>
      <c r="W55" s="48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53" t="s">
        <v>137</v>
      </c>
      <c r="B56" s="52" t="s">
        <v>134</v>
      </c>
      <c r="C56" s="52" t="s">
        <v>122</v>
      </c>
      <c r="D56" s="52">
        <v>34046667000147</v>
      </c>
      <c r="E56" s="52"/>
      <c r="F56" s="52" t="s">
        <v>138</v>
      </c>
      <c r="G56" s="52" t="s">
        <v>4</v>
      </c>
      <c r="H56" s="52" t="s">
        <v>5</v>
      </c>
      <c r="I56" s="52"/>
      <c r="J56" s="52"/>
      <c r="K56" s="52"/>
      <c r="L56" s="52"/>
      <c r="M56" s="52" t="s">
        <v>381</v>
      </c>
      <c r="N56" s="52"/>
      <c r="O56" s="52" t="s">
        <v>348</v>
      </c>
      <c r="P56" s="52"/>
      <c r="Q56" s="54"/>
      <c r="R56" s="54"/>
      <c r="S56" s="54"/>
      <c r="T56" s="54"/>
      <c r="U56" s="55"/>
      <c r="V56" s="52"/>
      <c r="W56" s="52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49" t="s">
        <v>139</v>
      </c>
      <c r="B57" s="48" t="s">
        <v>134</v>
      </c>
      <c r="C57" s="48" t="s">
        <v>122</v>
      </c>
      <c r="D57" s="48">
        <v>40932575000167</v>
      </c>
      <c r="E57" s="48"/>
      <c r="F57" s="48" t="s">
        <v>140</v>
      </c>
      <c r="G57" s="48" t="s">
        <v>4</v>
      </c>
      <c r="H57" s="48" t="s">
        <v>5</v>
      </c>
      <c r="I57" s="48"/>
      <c r="J57" s="48"/>
      <c r="K57" s="48"/>
      <c r="L57" s="48"/>
      <c r="M57" s="48" t="s">
        <v>375</v>
      </c>
      <c r="N57" s="48"/>
      <c r="O57" s="48" t="s">
        <v>348</v>
      </c>
      <c r="P57" s="48"/>
      <c r="Q57" s="50"/>
      <c r="R57" s="50"/>
      <c r="S57" s="50"/>
      <c r="T57" s="50"/>
      <c r="U57" s="51"/>
      <c r="V57" s="48"/>
      <c r="W57" s="48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53" t="s">
        <v>141</v>
      </c>
      <c r="B58" s="52" t="s">
        <v>142</v>
      </c>
      <c r="C58" s="52" t="s">
        <v>62</v>
      </c>
      <c r="D58" s="52" t="s">
        <v>143</v>
      </c>
      <c r="E58" s="52"/>
      <c r="F58" s="52" t="s">
        <v>144</v>
      </c>
      <c r="G58" s="52" t="s">
        <v>13</v>
      </c>
      <c r="H58" s="52" t="s">
        <v>49</v>
      </c>
      <c r="I58" s="52"/>
      <c r="J58" s="52"/>
      <c r="K58" s="52"/>
      <c r="L58" s="52"/>
      <c r="M58" s="52" t="s">
        <v>381</v>
      </c>
      <c r="N58" s="52"/>
      <c r="O58" s="52" t="s">
        <v>344</v>
      </c>
      <c r="P58" s="52"/>
      <c r="Q58" s="54"/>
      <c r="R58" s="54"/>
      <c r="S58" s="54"/>
      <c r="T58" s="54"/>
      <c r="U58" s="55"/>
      <c r="V58" s="52"/>
      <c r="W58" s="52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49" t="s">
        <v>145</v>
      </c>
      <c r="B59" s="48" t="s">
        <v>142</v>
      </c>
      <c r="C59" s="48" t="s">
        <v>62</v>
      </c>
      <c r="D59" s="48">
        <v>60906391000130</v>
      </c>
      <c r="E59" s="48"/>
      <c r="F59" s="48" t="s">
        <v>144</v>
      </c>
      <c r="G59" s="48" t="s">
        <v>4</v>
      </c>
      <c r="H59" s="48" t="s">
        <v>49</v>
      </c>
      <c r="I59" s="48"/>
      <c r="J59" s="48"/>
      <c r="K59" s="48"/>
      <c r="L59" s="48"/>
      <c r="M59" s="48" t="s">
        <v>381</v>
      </c>
      <c r="N59" s="48"/>
      <c r="O59" s="48" t="s">
        <v>348</v>
      </c>
      <c r="P59" s="48"/>
      <c r="Q59" s="50"/>
      <c r="R59" s="50"/>
      <c r="S59" s="50"/>
      <c r="T59" s="50"/>
      <c r="U59" s="51"/>
      <c r="V59" s="48"/>
      <c r="W59" s="48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53" t="s">
        <v>146</v>
      </c>
      <c r="B60" s="52" t="s">
        <v>75</v>
      </c>
      <c r="C60" s="52" t="s">
        <v>62</v>
      </c>
      <c r="D60" s="52">
        <v>41762299000107</v>
      </c>
      <c r="E60" s="52"/>
      <c r="F60" s="52" t="s">
        <v>147</v>
      </c>
      <c r="G60" s="52" t="s">
        <v>4</v>
      </c>
      <c r="H60" s="52" t="s">
        <v>5</v>
      </c>
      <c r="I60" s="52"/>
      <c r="J60" s="52"/>
      <c r="K60" s="52"/>
      <c r="L60" s="52"/>
      <c r="M60" s="52" t="s">
        <v>375</v>
      </c>
      <c r="N60" s="52"/>
      <c r="O60" s="52" t="s">
        <v>349</v>
      </c>
      <c r="P60" s="52"/>
      <c r="Q60" s="54"/>
      <c r="R60" s="54"/>
      <c r="S60" s="54"/>
      <c r="T60" s="54"/>
      <c r="U60" s="55"/>
      <c r="V60" s="52"/>
      <c r="W60" s="52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49" t="s">
        <v>148</v>
      </c>
      <c r="B61" s="48" t="s">
        <v>149</v>
      </c>
      <c r="C61" s="48" t="s">
        <v>59</v>
      </c>
      <c r="D61" s="48">
        <v>52090662000101</v>
      </c>
      <c r="E61" s="48"/>
      <c r="F61" s="48" t="s">
        <v>150</v>
      </c>
      <c r="G61" s="48" t="s">
        <v>4</v>
      </c>
      <c r="H61" s="48" t="s">
        <v>5</v>
      </c>
      <c r="I61" s="48"/>
      <c r="J61" s="48"/>
      <c r="K61" s="48"/>
      <c r="L61" s="48"/>
      <c r="M61" s="48" t="s">
        <v>375</v>
      </c>
      <c r="N61" s="48"/>
      <c r="O61" s="48" t="s">
        <v>348</v>
      </c>
      <c r="P61" s="48"/>
      <c r="Q61" s="50"/>
      <c r="R61" s="50"/>
      <c r="S61" s="50"/>
      <c r="T61" s="50"/>
      <c r="U61" s="51"/>
      <c r="V61" s="48"/>
      <c r="W61" s="48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53" t="s">
        <v>151</v>
      </c>
      <c r="B62" s="52" t="s">
        <v>149</v>
      </c>
      <c r="C62" s="52" t="s">
        <v>46</v>
      </c>
      <c r="D62" s="52" t="s">
        <v>152</v>
      </c>
      <c r="E62" s="52"/>
      <c r="F62" s="52" t="s">
        <v>150</v>
      </c>
      <c r="G62" s="52" t="s">
        <v>13</v>
      </c>
      <c r="H62" s="52" t="s">
        <v>49</v>
      </c>
      <c r="I62" s="52"/>
      <c r="J62" s="52"/>
      <c r="K62" s="52"/>
      <c r="L62" s="52"/>
      <c r="M62" s="52" t="s">
        <v>373</v>
      </c>
      <c r="N62" s="52"/>
      <c r="O62" s="52" t="s">
        <v>344</v>
      </c>
      <c r="P62" s="52"/>
      <c r="Q62" s="54"/>
      <c r="R62" s="54"/>
      <c r="S62" s="54"/>
      <c r="T62" s="54"/>
      <c r="U62" s="55"/>
      <c r="V62" s="52"/>
      <c r="W62" s="52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49" t="s">
        <v>153</v>
      </c>
      <c r="B63" s="48" t="s">
        <v>149</v>
      </c>
      <c r="C63" s="48" t="s">
        <v>46</v>
      </c>
      <c r="D63" s="48" t="s">
        <v>154</v>
      </c>
      <c r="E63" s="48"/>
      <c r="F63" s="48" t="s">
        <v>150</v>
      </c>
      <c r="G63" s="48" t="s">
        <v>13</v>
      </c>
      <c r="H63" s="48" t="s">
        <v>49</v>
      </c>
      <c r="I63" s="48"/>
      <c r="J63" s="48"/>
      <c r="K63" s="48"/>
      <c r="L63" s="48"/>
      <c r="M63" s="48" t="s">
        <v>373</v>
      </c>
      <c r="N63" s="48"/>
      <c r="O63" s="48" t="s">
        <v>344</v>
      </c>
      <c r="P63" s="48"/>
      <c r="Q63" s="50"/>
      <c r="R63" s="50"/>
      <c r="S63" s="50"/>
      <c r="T63" s="50"/>
      <c r="U63" s="51"/>
      <c r="V63" s="48"/>
      <c r="W63" s="48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53" t="s">
        <v>155</v>
      </c>
      <c r="B64" s="52" t="s">
        <v>61</v>
      </c>
      <c r="C64" s="52" t="s">
        <v>62</v>
      </c>
      <c r="D64" s="52">
        <v>8587897000103</v>
      </c>
      <c r="E64" s="52"/>
      <c r="F64" s="52" t="s">
        <v>63</v>
      </c>
      <c r="G64" s="52" t="s">
        <v>41</v>
      </c>
      <c r="H64" s="52" t="s">
        <v>5</v>
      </c>
      <c r="I64" s="52"/>
      <c r="J64" s="52"/>
      <c r="K64" s="52"/>
      <c r="L64" s="52"/>
      <c r="M64" s="52" t="s">
        <v>375</v>
      </c>
      <c r="N64" s="52"/>
      <c r="O64" s="52" t="s">
        <v>348</v>
      </c>
      <c r="P64" s="52"/>
      <c r="Q64" s="54"/>
      <c r="R64" s="54"/>
      <c r="S64" s="54"/>
      <c r="T64" s="54"/>
      <c r="U64" s="55"/>
      <c r="V64" s="52"/>
      <c r="W64" s="52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49" t="s">
        <v>156</v>
      </c>
      <c r="B65" s="48" t="s">
        <v>61</v>
      </c>
      <c r="C65" s="48" t="s">
        <v>62</v>
      </c>
      <c r="D65" s="48">
        <v>17845713000159</v>
      </c>
      <c r="E65" s="48"/>
      <c r="F65" s="48" t="s">
        <v>63</v>
      </c>
      <c r="G65" s="48" t="s">
        <v>41</v>
      </c>
      <c r="H65" s="48" t="s">
        <v>5</v>
      </c>
      <c r="I65" s="48"/>
      <c r="J65" s="48"/>
      <c r="K65" s="48"/>
      <c r="L65" s="48"/>
      <c r="M65" s="48" t="s">
        <v>375</v>
      </c>
      <c r="N65" s="48"/>
      <c r="O65" s="48" t="s">
        <v>348</v>
      </c>
      <c r="P65" s="48"/>
      <c r="Q65" s="50"/>
      <c r="R65" s="50"/>
      <c r="S65" s="50"/>
      <c r="T65" s="50"/>
      <c r="U65" s="51"/>
      <c r="V65" s="48"/>
      <c r="W65" s="48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53" t="s">
        <v>157</v>
      </c>
      <c r="B66" s="52" t="s">
        <v>61</v>
      </c>
      <c r="C66" s="52" t="s">
        <v>62</v>
      </c>
      <c r="D66" s="52">
        <v>37646098000169</v>
      </c>
      <c r="E66" s="52"/>
      <c r="F66" s="52" t="s">
        <v>63</v>
      </c>
      <c r="G66" s="52" t="s">
        <v>41</v>
      </c>
      <c r="H66" s="52" t="s">
        <v>5</v>
      </c>
      <c r="I66" s="52"/>
      <c r="J66" s="52"/>
      <c r="K66" s="52"/>
      <c r="L66" s="52"/>
      <c r="M66" s="52" t="s">
        <v>375</v>
      </c>
      <c r="N66" s="52"/>
      <c r="O66" s="52" t="s">
        <v>350</v>
      </c>
      <c r="P66" s="52"/>
      <c r="Q66" s="54"/>
      <c r="R66" s="54"/>
      <c r="S66" s="54"/>
      <c r="T66" s="54"/>
      <c r="U66" s="55"/>
      <c r="V66" s="52"/>
      <c r="W66" s="52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49" t="s">
        <v>158</v>
      </c>
      <c r="B67" s="48" t="s">
        <v>159</v>
      </c>
      <c r="C67" s="48" t="s">
        <v>62</v>
      </c>
      <c r="D67" s="48">
        <v>44470328000147</v>
      </c>
      <c r="E67" s="48"/>
      <c r="F67" s="48" t="s">
        <v>160</v>
      </c>
      <c r="G67" s="48" t="s">
        <v>4</v>
      </c>
      <c r="H67" s="48" t="s">
        <v>5</v>
      </c>
      <c r="I67" s="48"/>
      <c r="J67" s="48"/>
      <c r="K67" s="48"/>
      <c r="L67" s="48"/>
      <c r="M67" s="48" t="s">
        <v>373</v>
      </c>
      <c r="N67" s="48"/>
      <c r="O67" s="48" t="s">
        <v>344</v>
      </c>
      <c r="P67" s="48"/>
      <c r="Q67" s="50"/>
      <c r="R67" s="50"/>
      <c r="S67" s="50"/>
      <c r="T67" s="50"/>
      <c r="U67" s="51"/>
      <c r="V67" s="48"/>
      <c r="W67" s="48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53" t="s">
        <v>161</v>
      </c>
      <c r="B68" s="52" t="s">
        <v>162</v>
      </c>
      <c r="C68" s="52" t="s">
        <v>163</v>
      </c>
      <c r="D68" s="52" t="s">
        <v>164</v>
      </c>
      <c r="E68" s="52"/>
      <c r="F68" s="52"/>
      <c r="G68" s="52" t="s">
        <v>41</v>
      </c>
      <c r="H68" s="52" t="s">
        <v>14</v>
      </c>
      <c r="I68" s="52"/>
      <c r="J68" s="52"/>
      <c r="K68" s="52"/>
      <c r="L68" s="52"/>
      <c r="M68" s="52" t="s">
        <v>381</v>
      </c>
      <c r="N68" s="52" t="s">
        <v>358</v>
      </c>
      <c r="O68" s="52" t="s">
        <v>358</v>
      </c>
      <c r="P68" s="52"/>
      <c r="Q68" s="54"/>
      <c r="R68" s="54"/>
      <c r="S68" s="54"/>
      <c r="T68" s="54"/>
      <c r="U68" s="55"/>
      <c r="V68" s="52"/>
      <c r="W68" s="52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49" t="s">
        <v>165</v>
      </c>
      <c r="B69" s="48" t="s">
        <v>162</v>
      </c>
      <c r="C69" s="48" t="s">
        <v>163</v>
      </c>
      <c r="D69" s="48" t="s">
        <v>166</v>
      </c>
      <c r="E69" s="48"/>
      <c r="F69" s="48" t="s">
        <v>167</v>
      </c>
      <c r="G69" s="48" t="s">
        <v>13</v>
      </c>
      <c r="H69" s="48" t="s">
        <v>14</v>
      </c>
      <c r="I69" s="48"/>
      <c r="J69" s="48"/>
      <c r="K69" s="48"/>
      <c r="L69" s="48"/>
      <c r="M69" s="48" t="s">
        <v>381</v>
      </c>
      <c r="N69" s="48" t="s">
        <v>358</v>
      </c>
      <c r="O69" s="48" t="s">
        <v>358</v>
      </c>
      <c r="P69" s="48"/>
      <c r="Q69" s="50"/>
      <c r="R69" s="50"/>
      <c r="S69" s="50"/>
      <c r="T69" s="50"/>
      <c r="U69" s="51"/>
      <c r="V69" s="48"/>
      <c r="W69" s="48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53" t="s">
        <v>168</v>
      </c>
      <c r="B70" s="52" t="s">
        <v>162</v>
      </c>
      <c r="C70" s="52" t="s">
        <v>163</v>
      </c>
      <c r="D70" s="52" t="s">
        <v>169</v>
      </c>
      <c r="E70" s="52"/>
      <c r="F70" s="52" t="s">
        <v>167</v>
      </c>
      <c r="G70" s="52" t="s">
        <v>13</v>
      </c>
      <c r="H70" s="52" t="s">
        <v>14</v>
      </c>
      <c r="I70" s="52"/>
      <c r="J70" s="52"/>
      <c r="K70" s="52"/>
      <c r="L70" s="52"/>
      <c r="M70" s="52" t="s">
        <v>381</v>
      </c>
      <c r="N70" s="52" t="s">
        <v>358</v>
      </c>
      <c r="O70" s="52" t="s">
        <v>358</v>
      </c>
      <c r="P70" s="52"/>
      <c r="Q70" s="54"/>
      <c r="R70" s="54"/>
      <c r="S70" s="54"/>
      <c r="T70" s="54"/>
      <c r="U70" s="55"/>
      <c r="V70" s="52"/>
      <c r="W70" s="52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49" t="s">
        <v>170</v>
      </c>
      <c r="B71" s="48" t="s">
        <v>162</v>
      </c>
      <c r="C71" s="48" t="s">
        <v>163</v>
      </c>
      <c r="D71" s="48" t="s">
        <v>171</v>
      </c>
      <c r="E71" s="48"/>
      <c r="F71" s="48" t="s">
        <v>167</v>
      </c>
      <c r="G71" s="48" t="s">
        <v>13</v>
      </c>
      <c r="H71" s="48" t="s">
        <v>14</v>
      </c>
      <c r="I71" s="48"/>
      <c r="J71" s="48"/>
      <c r="K71" s="48"/>
      <c r="L71" s="48"/>
      <c r="M71" s="48" t="s">
        <v>381</v>
      </c>
      <c r="N71" s="48" t="s">
        <v>358</v>
      </c>
      <c r="O71" s="48" t="s">
        <v>358</v>
      </c>
      <c r="P71" s="48"/>
      <c r="Q71" s="50"/>
      <c r="R71" s="50"/>
      <c r="S71" s="50"/>
      <c r="T71" s="50"/>
      <c r="U71" s="51"/>
      <c r="V71" s="48"/>
      <c r="W71" s="48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53" t="s">
        <v>172</v>
      </c>
      <c r="B72" s="52" t="s">
        <v>162</v>
      </c>
      <c r="C72" s="52" t="s">
        <v>163</v>
      </c>
      <c r="D72" s="52" t="s">
        <v>173</v>
      </c>
      <c r="E72" s="52"/>
      <c r="F72" s="52" t="s">
        <v>167</v>
      </c>
      <c r="G72" s="52" t="s">
        <v>13</v>
      </c>
      <c r="H72" s="52" t="s">
        <v>14</v>
      </c>
      <c r="I72" s="52"/>
      <c r="J72" s="52"/>
      <c r="K72" s="52"/>
      <c r="L72" s="52"/>
      <c r="M72" s="52" t="s">
        <v>381</v>
      </c>
      <c r="N72" s="52" t="s">
        <v>358</v>
      </c>
      <c r="O72" s="52" t="s">
        <v>358</v>
      </c>
      <c r="P72" s="52"/>
      <c r="Q72" s="54"/>
      <c r="R72" s="54"/>
      <c r="S72" s="54"/>
      <c r="T72" s="54"/>
      <c r="U72" s="55"/>
      <c r="V72" s="52"/>
      <c r="W72" s="52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49" t="s">
        <v>174</v>
      </c>
      <c r="B73" s="48" t="s">
        <v>162</v>
      </c>
      <c r="C73" s="48" t="s">
        <v>163</v>
      </c>
      <c r="D73" s="48" t="s">
        <v>175</v>
      </c>
      <c r="E73" s="48"/>
      <c r="F73" s="48" t="s">
        <v>167</v>
      </c>
      <c r="G73" s="48" t="s">
        <v>13</v>
      </c>
      <c r="H73" s="48" t="s">
        <v>14</v>
      </c>
      <c r="I73" s="48"/>
      <c r="J73" s="48"/>
      <c r="K73" s="48"/>
      <c r="L73" s="48"/>
      <c r="M73" s="48" t="s">
        <v>381</v>
      </c>
      <c r="N73" s="48" t="s">
        <v>358</v>
      </c>
      <c r="O73" s="48" t="s">
        <v>358</v>
      </c>
      <c r="P73" s="48"/>
      <c r="Q73" s="50"/>
      <c r="R73" s="50"/>
      <c r="S73" s="50"/>
      <c r="T73" s="50"/>
      <c r="U73" s="51"/>
      <c r="V73" s="48"/>
      <c r="W73" s="48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53" t="s">
        <v>176</v>
      </c>
      <c r="B74" s="52" t="s">
        <v>162</v>
      </c>
      <c r="C74" s="52" t="s">
        <v>163</v>
      </c>
      <c r="D74" s="52" t="s">
        <v>177</v>
      </c>
      <c r="E74" s="52"/>
      <c r="F74" s="52"/>
      <c r="G74" s="52" t="s">
        <v>4</v>
      </c>
      <c r="H74" s="52" t="s">
        <v>14</v>
      </c>
      <c r="I74" s="52"/>
      <c r="J74" s="52"/>
      <c r="K74" s="52"/>
      <c r="L74" s="52"/>
      <c r="M74" s="52" t="s">
        <v>381</v>
      </c>
      <c r="N74" s="52" t="s">
        <v>358</v>
      </c>
      <c r="O74" s="52" t="s">
        <v>347</v>
      </c>
      <c r="P74" s="52"/>
      <c r="Q74" s="54"/>
      <c r="R74" s="54"/>
      <c r="S74" s="54"/>
      <c r="T74" s="54"/>
      <c r="U74" s="55"/>
      <c r="V74" s="52"/>
      <c r="W74" s="52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49" t="s">
        <v>178</v>
      </c>
      <c r="B75" s="48" t="s">
        <v>162</v>
      </c>
      <c r="C75" s="48" t="s">
        <v>163</v>
      </c>
      <c r="D75" s="48" t="s">
        <v>179</v>
      </c>
      <c r="E75" s="48"/>
      <c r="F75" s="48"/>
      <c r="G75" s="48" t="s">
        <v>4</v>
      </c>
      <c r="H75" s="48" t="s">
        <v>14</v>
      </c>
      <c r="I75" s="48"/>
      <c r="J75" s="48"/>
      <c r="K75" s="48"/>
      <c r="L75" s="48"/>
      <c r="M75" s="48" t="s">
        <v>381</v>
      </c>
      <c r="N75" s="48" t="s">
        <v>358</v>
      </c>
      <c r="O75" s="48" t="s">
        <v>347</v>
      </c>
      <c r="P75" s="48"/>
      <c r="Q75" s="50"/>
      <c r="R75" s="50"/>
      <c r="S75" s="50"/>
      <c r="T75" s="50"/>
      <c r="U75" s="51"/>
      <c r="V75" s="48"/>
      <c r="W75" s="48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53" t="s">
        <v>180</v>
      </c>
      <c r="B76" s="52" t="s">
        <v>9</v>
      </c>
      <c r="C76" s="52" t="s">
        <v>24</v>
      </c>
      <c r="D76" s="52">
        <v>10977876000146</v>
      </c>
      <c r="E76" s="52"/>
      <c r="F76" s="52" t="s">
        <v>12</v>
      </c>
      <c r="G76" s="52" t="s">
        <v>4</v>
      </c>
      <c r="H76" s="52" t="s">
        <v>5</v>
      </c>
      <c r="I76" s="52"/>
      <c r="J76" s="52"/>
      <c r="K76" s="52"/>
      <c r="L76" s="52"/>
      <c r="M76" s="52" t="s">
        <v>381</v>
      </c>
      <c r="N76" s="52"/>
      <c r="O76" s="52" t="s">
        <v>348</v>
      </c>
      <c r="P76" s="52"/>
      <c r="Q76" s="54"/>
      <c r="R76" s="54"/>
      <c r="S76" s="54"/>
      <c r="T76" s="54"/>
      <c r="U76" s="55"/>
      <c r="V76" s="52"/>
      <c r="W76" s="52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49" t="s">
        <v>181</v>
      </c>
      <c r="B77" s="48" t="s">
        <v>182</v>
      </c>
      <c r="C77" s="48" t="s">
        <v>79</v>
      </c>
      <c r="D77" s="48" t="s">
        <v>183</v>
      </c>
      <c r="E77" s="48"/>
      <c r="F77" s="48" t="s">
        <v>184</v>
      </c>
      <c r="G77" s="48" t="s">
        <v>13</v>
      </c>
      <c r="H77" s="48" t="s">
        <v>5</v>
      </c>
      <c r="I77" s="48"/>
      <c r="J77" s="48"/>
      <c r="K77" s="48"/>
      <c r="L77" s="48"/>
      <c r="M77" s="48" t="s">
        <v>371</v>
      </c>
      <c r="N77" s="48"/>
      <c r="O77" s="48" t="s">
        <v>348</v>
      </c>
      <c r="P77" s="48"/>
      <c r="Q77" s="50"/>
      <c r="R77" s="50"/>
      <c r="S77" s="50"/>
      <c r="T77" s="50"/>
      <c r="U77" s="51"/>
      <c r="V77" s="48"/>
      <c r="W77" s="48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53" t="s">
        <v>185</v>
      </c>
      <c r="B78" s="52" t="s">
        <v>182</v>
      </c>
      <c r="C78" s="52" t="s">
        <v>79</v>
      </c>
      <c r="D78" s="52" t="s">
        <v>186</v>
      </c>
      <c r="E78" s="52"/>
      <c r="F78" s="52" t="s">
        <v>184</v>
      </c>
      <c r="G78" s="52" t="s">
        <v>13</v>
      </c>
      <c r="H78" s="52" t="s">
        <v>14</v>
      </c>
      <c r="I78" s="52"/>
      <c r="J78" s="52"/>
      <c r="K78" s="52"/>
      <c r="L78" s="52"/>
      <c r="M78" s="52" t="s">
        <v>352</v>
      </c>
      <c r="N78" s="52"/>
      <c r="O78" s="52" t="s">
        <v>351</v>
      </c>
      <c r="P78" s="52"/>
      <c r="Q78" s="54"/>
      <c r="R78" s="54"/>
      <c r="S78" s="54"/>
      <c r="T78" s="54"/>
      <c r="U78" s="55"/>
      <c r="V78" s="52"/>
      <c r="W78" s="52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49" t="s">
        <v>187</v>
      </c>
      <c r="B79" s="48" t="s">
        <v>188</v>
      </c>
      <c r="C79" s="48" t="s">
        <v>62</v>
      </c>
      <c r="D79" s="48">
        <v>40920539000183</v>
      </c>
      <c r="E79" s="48"/>
      <c r="F79" s="48" t="s">
        <v>189</v>
      </c>
      <c r="G79" s="48" t="s">
        <v>4</v>
      </c>
      <c r="H79" s="48" t="s">
        <v>5</v>
      </c>
      <c r="I79" s="48"/>
      <c r="J79" s="48"/>
      <c r="K79" s="48"/>
      <c r="L79" s="48"/>
      <c r="M79" s="48" t="s">
        <v>381</v>
      </c>
      <c r="N79" s="48"/>
      <c r="O79" s="48"/>
      <c r="P79" s="48"/>
      <c r="Q79" s="50"/>
      <c r="R79" s="50"/>
      <c r="S79" s="50"/>
      <c r="T79" s="50"/>
      <c r="U79" s="51"/>
      <c r="V79" s="48"/>
      <c r="W79" s="48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53" t="s">
        <v>190</v>
      </c>
      <c r="B80" s="52" t="s">
        <v>188</v>
      </c>
      <c r="C80" s="52" t="s">
        <v>69</v>
      </c>
      <c r="D80" s="52" t="s">
        <v>191</v>
      </c>
      <c r="E80" s="52"/>
      <c r="F80" s="52" t="s">
        <v>189</v>
      </c>
      <c r="G80" s="52" t="s">
        <v>41</v>
      </c>
      <c r="H80" s="52" t="s">
        <v>5</v>
      </c>
      <c r="I80" s="52"/>
      <c r="J80" s="52"/>
      <c r="K80" s="52"/>
      <c r="L80" s="52"/>
      <c r="M80" s="52" t="s">
        <v>375</v>
      </c>
      <c r="N80" s="52"/>
      <c r="O80" s="52" t="s">
        <v>347</v>
      </c>
      <c r="P80" s="52"/>
      <c r="Q80" s="54"/>
      <c r="R80" s="54"/>
      <c r="S80" s="54"/>
      <c r="T80" s="54"/>
      <c r="U80" s="55"/>
      <c r="V80" s="52"/>
      <c r="W80" s="52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49" t="s">
        <v>192</v>
      </c>
      <c r="B81" s="48" t="s">
        <v>188</v>
      </c>
      <c r="C81" s="48" t="s">
        <v>69</v>
      </c>
      <c r="D81" s="48" t="s">
        <v>193</v>
      </c>
      <c r="E81" s="48"/>
      <c r="F81" s="48" t="s">
        <v>189</v>
      </c>
      <c r="G81" s="48" t="s">
        <v>13</v>
      </c>
      <c r="H81" s="48" t="s">
        <v>14</v>
      </c>
      <c r="I81" s="48"/>
      <c r="J81" s="48"/>
      <c r="K81" s="48"/>
      <c r="L81" s="48"/>
      <c r="M81" s="48" t="s">
        <v>382</v>
      </c>
      <c r="N81" s="48"/>
      <c r="O81" s="48" t="s">
        <v>344</v>
      </c>
      <c r="P81" s="48"/>
      <c r="Q81" s="50"/>
      <c r="R81" s="50"/>
      <c r="S81" s="50"/>
      <c r="T81" s="50"/>
      <c r="U81" s="51"/>
      <c r="V81" s="48"/>
      <c r="W81" s="48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53" t="s">
        <v>194</v>
      </c>
      <c r="B82" s="52" t="s">
        <v>1</v>
      </c>
      <c r="C82" s="52" t="s">
        <v>195</v>
      </c>
      <c r="D82" s="52" t="s">
        <v>196</v>
      </c>
      <c r="E82" s="52"/>
      <c r="F82" s="52" t="s">
        <v>3</v>
      </c>
      <c r="G82" s="52" t="s">
        <v>197</v>
      </c>
      <c r="H82" s="52" t="s">
        <v>49</v>
      </c>
      <c r="I82" s="52"/>
      <c r="J82" s="52"/>
      <c r="K82" s="52"/>
      <c r="L82" s="52"/>
      <c r="M82" s="52" t="s">
        <v>372</v>
      </c>
      <c r="N82" s="52" t="s">
        <v>357</v>
      </c>
      <c r="O82" s="52" t="s">
        <v>348</v>
      </c>
      <c r="P82" s="52"/>
      <c r="Q82" s="54"/>
      <c r="R82" s="54"/>
      <c r="S82" s="54"/>
      <c r="T82" s="54"/>
      <c r="U82" s="55"/>
      <c r="V82" s="52"/>
      <c r="W82" s="52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49" t="s">
        <v>198</v>
      </c>
      <c r="B83" s="48" t="s">
        <v>1</v>
      </c>
      <c r="C83" s="48" t="s">
        <v>195</v>
      </c>
      <c r="D83" s="48" t="s">
        <v>199</v>
      </c>
      <c r="E83" s="48"/>
      <c r="F83" s="48" t="s">
        <v>3</v>
      </c>
      <c r="G83" s="48" t="s">
        <v>4</v>
      </c>
      <c r="H83" s="48" t="s">
        <v>49</v>
      </c>
      <c r="I83" s="48"/>
      <c r="J83" s="48"/>
      <c r="K83" s="48"/>
      <c r="L83" s="48"/>
      <c r="M83" s="48" t="s">
        <v>372</v>
      </c>
      <c r="N83" s="48" t="s">
        <v>357</v>
      </c>
      <c r="O83" s="48" t="s">
        <v>348</v>
      </c>
      <c r="P83" s="48"/>
      <c r="Q83" s="50"/>
      <c r="R83" s="50"/>
      <c r="S83" s="50"/>
      <c r="T83" s="50"/>
      <c r="U83" s="51"/>
      <c r="V83" s="48"/>
      <c r="W83" s="48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53" t="s">
        <v>200</v>
      </c>
      <c r="B84" s="52" t="s">
        <v>1</v>
      </c>
      <c r="C84" s="52" t="s">
        <v>195</v>
      </c>
      <c r="D84" s="52" t="s">
        <v>201</v>
      </c>
      <c r="E84" s="52"/>
      <c r="F84" s="52" t="s">
        <v>3</v>
      </c>
      <c r="G84" s="52" t="s">
        <v>4</v>
      </c>
      <c r="H84" s="52" t="s">
        <v>49</v>
      </c>
      <c r="I84" s="52"/>
      <c r="J84" s="52"/>
      <c r="K84" s="52"/>
      <c r="L84" s="52"/>
      <c r="M84" s="52" t="s">
        <v>372</v>
      </c>
      <c r="N84" s="52" t="s">
        <v>357</v>
      </c>
      <c r="O84" s="52" t="s">
        <v>348</v>
      </c>
      <c r="P84" s="52"/>
      <c r="Q84" s="54"/>
      <c r="R84" s="54"/>
      <c r="S84" s="54"/>
      <c r="T84" s="54"/>
      <c r="U84" s="55"/>
      <c r="V84" s="52"/>
      <c r="W84" s="52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49" t="s">
        <v>202</v>
      </c>
      <c r="B85" s="48" t="s">
        <v>203</v>
      </c>
      <c r="C85" s="48" t="s">
        <v>204</v>
      </c>
      <c r="D85" s="48">
        <v>48579725000102</v>
      </c>
      <c r="E85" s="48"/>
      <c r="F85" s="48" t="s">
        <v>205</v>
      </c>
      <c r="G85" s="48" t="s">
        <v>13</v>
      </c>
      <c r="H85" s="48" t="s">
        <v>5</v>
      </c>
      <c r="I85" s="48"/>
      <c r="J85" s="48"/>
      <c r="K85" s="48"/>
      <c r="L85" s="48"/>
      <c r="M85" s="48" t="s">
        <v>375</v>
      </c>
      <c r="N85" s="48"/>
      <c r="O85" s="48" t="s">
        <v>353</v>
      </c>
      <c r="P85" s="48"/>
      <c r="Q85" s="50"/>
      <c r="R85" s="50"/>
      <c r="S85" s="50"/>
      <c r="T85" s="50"/>
      <c r="U85" s="51"/>
      <c r="V85" s="48"/>
      <c r="W85" s="48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53" t="s">
        <v>206</v>
      </c>
      <c r="B86" s="52" t="s">
        <v>207</v>
      </c>
      <c r="C86" s="52" t="s">
        <v>62</v>
      </c>
      <c r="D86" s="52">
        <v>21879417000146</v>
      </c>
      <c r="E86" s="52"/>
      <c r="F86" s="52" t="s">
        <v>208</v>
      </c>
      <c r="G86" s="52" t="s">
        <v>41</v>
      </c>
      <c r="H86" s="52" t="s">
        <v>5</v>
      </c>
      <c r="I86" s="52"/>
      <c r="J86" s="52"/>
      <c r="K86" s="52"/>
      <c r="L86" s="52"/>
      <c r="M86" s="52" t="s">
        <v>375</v>
      </c>
      <c r="N86" s="52"/>
      <c r="O86" s="52" t="s">
        <v>346</v>
      </c>
      <c r="P86" s="52"/>
      <c r="Q86" s="54"/>
      <c r="R86" s="54"/>
      <c r="S86" s="54"/>
      <c r="T86" s="54"/>
      <c r="U86" s="55"/>
      <c r="V86" s="52"/>
      <c r="W86" s="52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49" t="s">
        <v>209</v>
      </c>
      <c r="B87" s="48" t="s">
        <v>207</v>
      </c>
      <c r="C87" s="48" t="s">
        <v>62</v>
      </c>
      <c r="D87" s="48" t="s">
        <v>384</v>
      </c>
      <c r="E87" s="48"/>
      <c r="F87" s="48" t="s">
        <v>208</v>
      </c>
      <c r="G87" s="48" t="s">
        <v>4</v>
      </c>
      <c r="H87" s="48" t="s">
        <v>5</v>
      </c>
      <c r="I87" s="48"/>
      <c r="J87" s="48"/>
      <c r="K87" s="48"/>
      <c r="L87" s="48"/>
      <c r="M87" s="48" t="s">
        <v>375</v>
      </c>
      <c r="N87" s="48"/>
      <c r="O87" s="48" t="s">
        <v>346</v>
      </c>
      <c r="P87" s="48"/>
      <c r="Q87" s="50"/>
      <c r="R87" s="50"/>
      <c r="S87" s="50"/>
      <c r="T87" s="50"/>
      <c r="U87" s="51"/>
      <c r="V87" s="48"/>
      <c r="W87" s="48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53" t="s">
        <v>210</v>
      </c>
      <c r="B88" s="52" t="s">
        <v>211</v>
      </c>
      <c r="C88" s="52" t="s">
        <v>69</v>
      </c>
      <c r="D88" s="52" t="s">
        <v>383</v>
      </c>
      <c r="E88" s="52"/>
      <c r="F88" s="52"/>
      <c r="G88" s="52" t="s">
        <v>4</v>
      </c>
      <c r="H88" s="52" t="s">
        <v>49</v>
      </c>
      <c r="I88" s="52"/>
      <c r="J88" s="52"/>
      <c r="K88" s="52"/>
      <c r="L88" s="52"/>
      <c r="M88" s="52" t="s">
        <v>375</v>
      </c>
      <c r="N88" s="52"/>
      <c r="O88" s="52" t="s">
        <v>346</v>
      </c>
      <c r="P88" s="52"/>
      <c r="Q88" s="54"/>
      <c r="R88" s="54"/>
      <c r="S88" s="54"/>
      <c r="T88" s="54"/>
      <c r="U88" s="55"/>
      <c r="V88" s="52"/>
      <c r="W88" s="52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49" t="s">
        <v>212</v>
      </c>
      <c r="B89" s="48" t="s">
        <v>211</v>
      </c>
      <c r="C89" s="48" t="s">
        <v>69</v>
      </c>
      <c r="D89" s="48"/>
      <c r="E89" s="48"/>
      <c r="F89" s="48"/>
      <c r="G89" s="48" t="s">
        <v>4</v>
      </c>
      <c r="H89" s="48" t="s">
        <v>49</v>
      </c>
      <c r="I89" s="48"/>
      <c r="J89" s="48"/>
      <c r="K89" s="48"/>
      <c r="L89" s="48"/>
      <c r="M89" s="48" t="s">
        <v>375</v>
      </c>
      <c r="N89" s="48"/>
      <c r="O89" s="48" t="s">
        <v>346</v>
      </c>
      <c r="P89" s="48"/>
      <c r="Q89" s="50"/>
      <c r="R89" s="50"/>
      <c r="S89" s="50"/>
      <c r="T89" s="50"/>
      <c r="U89" s="51"/>
      <c r="V89" s="48"/>
      <c r="W89" s="48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53" t="s">
        <v>213</v>
      </c>
      <c r="B90" s="52" t="s">
        <v>214</v>
      </c>
      <c r="C90" s="52" t="s">
        <v>62</v>
      </c>
      <c r="D90" s="52">
        <v>44868733000118</v>
      </c>
      <c r="E90" s="52"/>
      <c r="F90" s="52" t="s">
        <v>215</v>
      </c>
      <c r="G90" s="52" t="s">
        <v>4</v>
      </c>
      <c r="H90" s="52" t="s">
        <v>5</v>
      </c>
      <c r="I90" s="52"/>
      <c r="J90" s="52"/>
      <c r="K90" s="52"/>
      <c r="L90" s="52"/>
      <c r="M90" s="52" t="s">
        <v>375</v>
      </c>
      <c r="N90" s="52"/>
      <c r="O90" s="52" t="s">
        <v>347</v>
      </c>
      <c r="P90" s="52"/>
      <c r="Q90" s="54"/>
      <c r="R90" s="54"/>
      <c r="S90" s="54"/>
      <c r="T90" s="54"/>
      <c r="U90" s="55"/>
      <c r="V90" s="52"/>
      <c r="W90" s="52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49" t="s">
        <v>216</v>
      </c>
      <c r="B91" s="48" t="s">
        <v>9</v>
      </c>
      <c r="C91" s="48" t="s">
        <v>69</v>
      </c>
      <c r="D91" s="48" t="s">
        <v>217</v>
      </c>
      <c r="E91" s="48"/>
      <c r="F91" s="48" t="s">
        <v>12</v>
      </c>
      <c r="G91" s="48" t="s">
        <v>13</v>
      </c>
      <c r="H91" s="48" t="s">
        <v>49</v>
      </c>
      <c r="I91" s="48"/>
      <c r="J91" s="48"/>
      <c r="K91" s="48"/>
      <c r="L91" s="48"/>
      <c r="M91" s="48" t="s">
        <v>375</v>
      </c>
      <c r="N91" s="48"/>
      <c r="O91" s="48" t="s">
        <v>346</v>
      </c>
      <c r="P91" s="48"/>
      <c r="Q91" s="50"/>
      <c r="R91" s="50"/>
      <c r="S91" s="50"/>
      <c r="T91" s="50"/>
      <c r="U91" s="51"/>
      <c r="V91" s="48"/>
      <c r="W91" s="48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53" t="s">
        <v>218</v>
      </c>
      <c r="B92" s="52" t="s">
        <v>219</v>
      </c>
      <c r="C92" s="52" t="s">
        <v>62</v>
      </c>
      <c r="D92" s="52">
        <v>51987426000111</v>
      </c>
      <c r="E92" s="52"/>
      <c r="F92" s="52" t="s">
        <v>220</v>
      </c>
      <c r="G92" s="52" t="s">
        <v>4</v>
      </c>
      <c r="H92" s="52" t="s">
        <v>5</v>
      </c>
      <c r="I92" s="52"/>
      <c r="J92" s="52"/>
      <c r="K92" s="52"/>
      <c r="L92" s="52"/>
      <c r="M92" s="52" t="s">
        <v>385</v>
      </c>
      <c r="N92" s="52"/>
      <c r="O92" s="52" t="s">
        <v>347</v>
      </c>
      <c r="P92" s="52"/>
      <c r="Q92" s="54"/>
      <c r="R92" s="54"/>
      <c r="S92" s="54"/>
      <c r="T92" s="54"/>
      <c r="U92" s="55"/>
      <c r="V92" s="52"/>
      <c r="W92" s="52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49" t="s">
        <v>221</v>
      </c>
      <c r="B93" s="48" t="s">
        <v>222</v>
      </c>
      <c r="C93" s="48" t="s">
        <v>62</v>
      </c>
      <c r="D93" s="48" t="s">
        <v>386</v>
      </c>
      <c r="E93" s="48"/>
      <c r="F93" s="48" t="s">
        <v>223</v>
      </c>
      <c r="G93" s="48" t="s">
        <v>13</v>
      </c>
      <c r="H93" s="48" t="s">
        <v>49</v>
      </c>
      <c r="I93" s="48"/>
      <c r="J93" s="48"/>
      <c r="K93" s="48"/>
      <c r="L93" s="48"/>
      <c r="M93" s="48" t="s">
        <v>385</v>
      </c>
      <c r="N93" s="48"/>
      <c r="O93" s="48" t="s">
        <v>347</v>
      </c>
      <c r="P93" s="48"/>
      <c r="Q93" s="50"/>
      <c r="R93" s="50"/>
      <c r="S93" s="50"/>
      <c r="T93" s="50"/>
      <c r="U93" s="51"/>
      <c r="V93" s="48"/>
      <c r="W93" s="48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53" t="s">
        <v>224</v>
      </c>
      <c r="B94" s="52" t="s">
        <v>182</v>
      </c>
      <c r="C94" s="52" t="s">
        <v>83</v>
      </c>
      <c r="D94" s="52">
        <v>21371431000134</v>
      </c>
      <c r="E94" s="52"/>
      <c r="F94" s="52" t="s">
        <v>225</v>
      </c>
      <c r="G94" s="52" t="s">
        <v>4</v>
      </c>
      <c r="H94" s="52" t="s">
        <v>5</v>
      </c>
      <c r="I94" s="52"/>
      <c r="J94" s="52"/>
      <c r="K94" s="52"/>
      <c r="L94" s="52"/>
      <c r="M94" s="52" t="s">
        <v>371</v>
      </c>
      <c r="N94" s="52"/>
      <c r="O94" s="52" t="s">
        <v>354</v>
      </c>
      <c r="P94" s="52"/>
      <c r="Q94" s="54"/>
      <c r="R94" s="54"/>
      <c r="S94" s="54"/>
      <c r="T94" s="54"/>
      <c r="U94" s="55"/>
      <c r="V94" s="52"/>
      <c r="W94" s="52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49" t="s">
        <v>226</v>
      </c>
      <c r="B95" s="48" t="s">
        <v>227</v>
      </c>
      <c r="C95" s="48" t="s">
        <v>122</v>
      </c>
      <c r="D95" s="48">
        <v>9421791000106</v>
      </c>
      <c r="E95" s="48"/>
      <c r="F95" s="48" t="s">
        <v>228</v>
      </c>
      <c r="G95" s="48" t="s">
        <v>4</v>
      </c>
      <c r="H95" s="48" t="s">
        <v>5</v>
      </c>
      <c r="I95" s="48"/>
      <c r="J95" s="48"/>
      <c r="K95" s="48"/>
      <c r="L95" s="48"/>
      <c r="M95" s="48" t="s">
        <v>375</v>
      </c>
      <c r="N95" s="48"/>
      <c r="O95" s="48" t="s">
        <v>346</v>
      </c>
      <c r="P95" s="48"/>
      <c r="Q95" s="50"/>
      <c r="R95" s="50"/>
      <c r="S95" s="50"/>
      <c r="T95" s="50"/>
      <c r="U95" s="51"/>
      <c r="V95" s="48"/>
      <c r="W95" s="48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53" t="s">
        <v>229</v>
      </c>
      <c r="B96" s="52" t="s">
        <v>96</v>
      </c>
      <c r="C96" s="52" t="s">
        <v>230</v>
      </c>
      <c r="D96" s="52" t="s">
        <v>387</v>
      </c>
      <c r="E96" s="52"/>
      <c r="F96" s="52" t="s">
        <v>99</v>
      </c>
      <c r="G96" s="52" t="s">
        <v>4</v>
      </c>
      <c r="H96" s="52" t="s">
        <v>14</v>
      </c>
      <c r="I96" s="52"/>
      <c r="J96" s="52"/>
      <c r="K96" s="52"/>
      <c r="L96" s="52"/>
      <c r="M96" s="52" t="s">
        <v>372</v>
      </c>
      <c r="N96" s="52"/>
      <c r="O96" s="52" t="s">
        <v>346</v>
      </c>
      <c r="P96" s="52"/>
      <c r="Q96" s="54"/>
      <c r="R96" s="54"/>
      <c r="S96" s="54"/>
      <c r="T96" s="54"/>
      <c r="U96" s="55"/>
      <c r="V96" s="52"/>
      <c r="W96" s="52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49" t="s">
        <v>231</v>
      </c>
      <c r="B97" s="48" t="s">
        <v>211</v>
      </c>
      <c r="C97" s="48" t="s">
        <v>69</v>
      </c>
      <c r="D97" s="48" t="s">
        <v>232</v>
      </c>
      <c r="E97" s="48"/>
      <c r="F97" s="48"/>
      <c r="G97" s="48" t="s">
        <v>4</v>
      </c>
      <c r="H97" s="48" t="s">
        <v>49</v>
      </c>
      <c r="I97" s="48"/>
      <c r="J97" s="48"/>
      <c r="K97" s="48"/>
      <c r="L97" s="48"/>
      <c r="M97" s="48" t="s">
        <v>375</v>
      </c>
      <c r="N97" s="48"/>
      <c r="O97" s="48" t="s">
        <v>346</v>
      </c>
      <c r="P97" s="48"/>
      <c r="Q97" s="50"/>
      <c r="R97" s="50"/>
      <c r="S97" s="50"/>
      <c r="T97" s="50"/>
      <c r="U97" s="51"/>
      <c r="V97" s="48"/>
      <c r="W97" s="48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53" t="s">
        <v>233</v>
      </c>
      <c r="B98" s="52" t="s">
        <v>134</v>
      </c>
      <c r="C98" s="52" t="s">
        <v>116</v>
      </c>
      <c r="D98" s="52" t="s">
        <v>234</v>
      </c>
      <c r="E98" s="52"/>
      <c r="F98" s="52" t="s">
        <v>138</v>
      </c>
      <c r="G98" s="52" t="s">
        <v>13</v>
      </c>
      <c r="H98" s="52" t="s">
        <v>14</v>
      </c>
      <c r="I98" s="52"/>
      <c r="J98" s="52"/>
      <c r="K98" s="52"/>
      <c r="L98" s="52"/>
      <c r="M98" s="52" t="s">
        <v>356</v>
      </c>
      <c r="N98" s="52"/>
      <c r="O98" s="52" t="s">
        <v>355</v>
      </c>
      <c r="P98" s="52"/>
      <c r="Q98" s="54"/>
      <c r="R98" s="54"/>
      <c r="S98" s="54"/>
      <c r="T98" s="54"/>
      <c r="U98" s="55"/>
      <c r="V98" s="52"/>
      <c r="W98" s="52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49" t="s">
        <v>235</v>
      </c>
      <c r="B99" s="48" t="s">
        <v>134</v>
      </c>
      <c r="C99" s="48" t="s">
        <v>116</v>
      </c>
      <c r="D99" s="48" t="s">
        <v>236</v>
      </c>
      <c r="E99" s="48"/>
      <c r="F99" s="48" t="s">
        <v>138</v>
      </c>
      <c r="G99" s="48" t="s">
        <v>13</v>
      </c>
      <c r="H99" s="48" t="s">
        <v>14</v>
      </c>
      <c r="I99" s="48"/>
      <c r="J99" s="48"/>
      <c r="K99" s="48"/>
      <c r="L99" s="48"/>
      <c r="M99" s="48" t="s">
        <v>356</v>
      </c>
      <c r="N99" s="48"/>
      <c r="O99" s="48" t="s">
        <v>355</v>
      </c>
      <c r="P99" s="48"/>
      <c r="Q99" s="50"/>
      <c r="R99" s="50"/>
      <c r="S99" s="50"/>
      <c r="T99" s="50"/>
      <c r="U99" s="51"/>
      <c r="V99" s="48"/>
      <c r="W99" s="48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53" t="s">
        <v>237</v>
      </c>
      <c r="B100" s="52" t="s">
        <v>134</v>
      </c>
      <c r="C100" s="52" t="s">
        <v>116</v>
      </c>
      <c r="D100" s="52" t="s">
        <v>238</v>
      </c>
      <c r="E100" s="52"/>
      <c r="F100" s="52" t="s">
        <v>138</v>
      </c>
      <c r="G100" s="52" t="s">
        <v>13</v>
      </c>
      <c r="H100" s="52" t="s">
        <v>14</v>
      </c>
      <c r="I100" s="52"/>
      <c r="J100" s="52"/>
      <c r="K100" s="52"/>
      <c r="L100" s="52"/>
      <c r="M100" s="52" t="s">
        <v>356</v>
      </c>
      <c r="N100" s="52"/>
      <c r="O100" s="52" t="s">
        <v>355</v>
      </c>
      <c r="P100" s="52"/>
      <c r="Q100" s="54"/>
      <c r="R100" s="54"/>
      <c r="S100" s="54"/>
      <c r="T100" s="54"/>
      <c r="U100" s="55"/>
      <c r="V100" s="52"/>
      <c r="W100" s="52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49" t="s">
        <v>239</v>
      </c>
      <c r="B101" s="48" t="s">
        <v>55</v>
      </c>
      <c r="C101" s="48" t="s">
        <v>56</v>
      </c>
      <c r="D101" s="48" t="s">
        <v>240</v>
      </c>
      <c r="E101" s="48"/>
      <c r="F101" s="48" t="s">
        <v>57</v>
      </c>
      <c r="G101" s="48" t="s">
        <v>13</v>
      </c>
      <c r="H101" s="48" t="s">
        <v>5</v>
      </c>
      <c r="I101" s="48"/>
      <c r="J101" s="48"/>
      <c r="K101" s="48"/>
      <c r="L101" s="48"/>
      <c r="M101" s="48" t="s">
        <v>372</v>
      </c>
      <c r="N101" s="48" t="s">
        <v>357</v>
      </c>
      <c r="O101" s="48" t="s">
        <v>346</v>
      </c>
      <c r="P101" s="48"/>
      <c r="Q101" s="50"/>
      <c r="R101" s="50"/>
      <c r="S101" s="50"/>
      <c r="T101" s="50"/>
      <c r="U101" s="51"/>
      <c r="V101" s="48"/>
      <c r="W101" s="48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53" t="s">
        <v>241</v>
      </c>
      <c r="B102" s="52" t="s">
        <v>55</v>
      </c>
      <c r="C102" s="52" t="s">
        <v>242</v>
      </c>
      <c r="D102" s="52" t="s">
        <v>243</v>
      </c>
      <c r="E102" s="52"/>
      <c r="F102" s="52" t="s">
        <v>57</v>
      </c>
      <c r="G102" s="52" t="s">
        <v>13</v>
      </c>
      <c r="H102" s="52" t="s">
        <v>5</v>
      </c>
      <c r="I102" s="52"/>
      <c r="J102" s="52"/>
      <c r="K102" s="52"/>
      <c r="L102" s="52"/>
      <c r="M102" s="52" t="s">
        <v>372</v>
      </c>
      <c r="N102" s="52" t="s">
        <v>368</v>
      </c>
      <c r="O102" s="52" t="s">
        <v>346</v>
      </c>
      <c r="P102" s="52"/>
      <c r="Q102" s="54"/>
      <c r="R102" s="54"/>
      <c r="S102" s="54"/>
      <c r="T102" s="54"/>
      <c r="U102" s="55"/>
      <c r="V102" s="52"/>
      <c r="W102" s="52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49" t="s">
        <v>244</v>
      </c>
      <c r="B103" s="48" t="s">
        <v>55</v>
      </c>
      <c r="C103" s="48" t="s">
        <v>245</v>
      </c>
      <c r="D103" s="48" t="s">
        <v>246</v>
      </c>
      <c r="E103" s="48"/>
      <c r="F103" s="48" t="s">
        <v>57</v>
      </c>
      <c r="G103" s="48" t="s">
        <v>13</v>
      </c>
      <c r="H103" s="48" t="s">
        <v>5</v>
      </c>
      <c r="I103" s="48"/>
      <c r="J103" s="48"/>
      <c r="K103" s="48"/>
      <c r="L103" s="48"/>
      <c r="M103" s="48" t="s">
        <v>372</v>
      </c>
      <c r="N103" s="48" t="s">
        <v>357</v>
      </c>
      <c r="O103" s="48" t="s">
        <v>346</v>
      </c>
      <c r="P103" s="48"/>
      <c r="Q103" s="50"/>
      <c r="R103" s="50"/>
      <c r="S103" s="50"/>
      <c r="T103" s="50"/>
      <c r="U103" s="51"/>
      <c r="V103" s="48"/>
      <c r="W103" s="48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53" t="s">
        <v>247</v>
      </c>
      <c r="B104" s="52" t="s">
        <v>55</v>
      </c>
      <c r="C104" s="52" t="s">
        <v>248</v>
      </c>
      <c r="D104" s="52" t="s">
        <v>249</v>
      </c>
      <c r="E104" s="52"/>
      <c r="F104" s="52" t="s">
        <v>57</v>
      </c>
      <c r="G104" s="52" t="s">
        <v>13</v>
      </c>
      <c r="H104" s="52" t="s">
        <v>49</v>
      </c>
      <c r="I104" s="52"/>
      <c r="J104" s="52"/>
      <c r="K104" s="52"/>
      <c r="L104" s="52"/>
      <c r="M104" s="52" t="s">
        <v>372</v>
      </c>
      <c r="N104" s="52" t="s">
        <v>369</v>
      </c>
      <c r="O104" s="52" t="s">
        <v>346</v>
      </c>
      <c r="P104" s="52"/>
      <c r="Q104" s="54"/>
      <c r="R104" s="54"/>
      <c r="S104" s="54"/>
      <c r="T104" s="54"/>
      <c r="U104" s="55"/>
      <c r="V104" s="52"/>
      <c r="W104" s="52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49" t="s">
        <v>250</v>
      </c>
      <c r="B105" s="48" t="s">
        <v>1</v>
      </c>
      <c r="C105" s="48" t="s">
        <v>2</v>
      </c>
      <c r="D105" s="48" t="s">
        <v>251</v>
      </c>
      <c r="E105" s="48"/>
      <c r="F105" s="48" t="s">
        <v>252</v>
      </c>
      <c r="G105" s="48" t="s">
        <v>4</v>
      </c>
      <c r="H105" s="48" t="s">
        <v>49</v>
      </c>
      <c r="I105" s="48"/>
      <c r="J105" s="48"/>
      <c r="K105" s="48"/>
      <c r="L105" s="48"/>
      <c r="M105" s="48" t="s">
        <v>367</v>
      </c>
      <c r="N105" s="48" t="s">
        <v>357</v>
      </c>
      <c r="O105" s="48" t="s">
        <v>346</v>
      </c>
      <c r="P105" s="48"/>
      <c r="Q105" s="50"/>
      <c r="R105" s="50"/>
      <c r="S105" s="50"/>
      <c r="T105" s="50"/>
      <c r="U105" s="51"/>
      <c r="V105" s="48"/>
      <c r="W105" s="48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53" t="s">
        <v>253</v>
      </c>
      <c r="B106" s="52" t="s">
        <v>214</v>
      </c>
      <c r="C106" s="52" t="s">
        <v>62</v>
      </c>
      <c r="D106" s="52" t="s">
        <v>388</v>
      </c>
      <c r="E106" s="52"/>
      <c r="F106" s="52" t="s">
        <v>254</v>
      </c>
      <c r="G106" s="52" t="s">
        <v>13</v>
      </c>
      <c r="H106" s="52" t="s">
        <v>5</v>
      </c>
      <c r="I106" s="52"/>
      <c r="J106" s="52"/>
      <c r="K106" s="52"/>
      <c r="L106" s="52"/>
      <c r="M106" s="52" t="s">
        <v>372</v>
      </c>
      <c r="N106" s="52"/>
      <c r="O106" s="52" t="s">
        <v>346</v>
      </c>
      <c r="P106" s="52"/>
      <c r="Q106" s="54"/>
      <c r="R106" s="54"/>
      <c r="S106" s="54"/>
      <c r="T106" s="54"/>
      <c r="U106" s="55"/>
      <c r="V106" s="52"/>
      <c r="W106" s="52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49" t="s">
        <v>255</v>
      </c>
      <c r="B107" s="48" t="s">
        <v>214</v>
      </c>
      <c r="C107" s="48" t="s">
        <v>62</v>
      </c>
      <c r="D107" s="48" t="s">
        <v>389</v>
      </c>
      <c r="E107" s="48"/>
      <c r="F107" s="48" t="s">
        <v>254</v>
      </c>
      <c r="G107" s="48" t="s">
        <v>13</v>
      </c>
      <c r="H107" s="48" t="s">
        <v>49</v>
      </c>
      <c r="I107" s="48"/>
      <c r="J107" s="48"/>
      <c r="K107" s="48"/>
      <c r="L107" s="48"/>
      <c r="M107" s="48" t="s">
        <v>385</v>
      </c>
      <c r="N107" s="48"/>
      <c r="O107" s="48" t="s">
        <v>346</v>
      </c>
      <c r="P107" s="48"/>
      <c r="Q107" s="50"/>
      <c r="R107" s="50"/>
      <c r="S107" s="50"/>
      <c r="T107" s="50"/>
      <c r="U107" s="51"/>
      <c r="V107" s="48"/>
      <c r="W107" s="48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53" t="s">
        <v>256</v>
      </c>
      <c r="B108" s="52" t="s">
        <v>214</v>
      </c>
      <c r="C108" s="52" t="s">
        <v>62</v>
      </c>
      <c r="D108" s="52" t="s">
        <v>390</v>
      </c>
      <c r="E108" s="52"/>
      <c r="F108" s="52" t="s">
        <v>257</v>
      </c>
      <c r="G108" s="52" t="s">
        <v>4</v>
      </c>
      <c r="H108" s="52" t="s">
        <v>5</v>
      </c>
      <c r="I108" s="52"/>
      <c r="J108" s="52"/>
      <c r="K108" s="52"/>
      <c r="L108" s="52"/>
      <c r="M108" s="52" t="s">
        <v>375</v>
      </c>
      <c r="N108" s="52"/>
      <c r="O108" s="52" t="s">
        <v>346</v>
      </c>
      <c r="P108" s="52"/>
      <c r="Q108" s="54"/>
      <c r="R108" s="54"/>
      <c r="S108" s="54"/>
      <c r="T108" s="54"/>
      <c r="U108" s="55"/>
      <c r="V108" s="52"/>
      <c r="W108" s="52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49" t="s">
        <v>258</v>
      </c>
      <c r="B109" s="48" t="s">
        <v>259</v>
      </c>
      <c r="C109" s="48" t="s">
        <v>69</v>
      </c>
      <c r="D109" s="48" t="s">
        <v>260</v>
      </c>
      <c r="E109" s="48"/>
      <c r="F109" s="48" t="s">
        <v>261</v>
      </c>
      <c r="G109" s="48" t="s">
        <v>4</v>
      </c>
      <c r="H109" s="48" t="s">
        <v>5</v>
      </c>
      <c r="I109" s="48"/>
      <c r="J109" s="48"/>
      <c r="K109" s="48"/>
      <c r="L109" s="48"/>
      <c r="M109" s="48" t="s">
        <v>367</v>
      </c>
      <c r="N109" s="48"/>
      <c r="O109" s="48"/>
      <c r="P109" s="48"/>
      <c r="Q109" s="50"/>
      <c r="R109" s="50"/>
      <c r="S109" s="50"/>
      <c r="T109" s="50"/>
      <c r="U109" s="51"/>
      <c r="V109" s="48"/>
      <c r="W109" s="48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53" t="s">
        <v>262</v>
      </c>
      <c r="B110" s="52" t="s">
        <v>259</v>
      </c>
      <c r="C110" s="52" t="s">
        <v>69</v>
      </c>
      <c r="D110" s="52" t="s">
        <v>263</v>
      </c>
      <c r="E110" s="52"/>
      <c r="F110" s="52" t="s">
        <v>261</v>
      </c>
      <c r="G110" s="52" t="s">
        <v>13</v>
      </c>
      <c r="H110" s="52" t="s">
        <v>5</v>
      </c>
      <c r="I110" s="52"/>
      <c r="J110" s="52"/>
      <c r="K110" s="52"/>
      <c r="L110" s="52"/>
      <c r="M110" s="52" t="s">
        <v>367</v>
      </c>
      <c r="N110" s="52"/>
      <c r="O110" s="52"/>
      <c r="P110" s="52"/>
      <c r="Q110" s="54"/>
      <c r="R110" s="54"/>
      <c r="S110" s="54"/>
      <c r="T110" s="54"/>
      <c r="U110" s="55"/>
      <c r="V110" s="52"/>
      <c r="W110" s="52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49" t="s">
        <v>264</v>
      </c>
      <c r="B111" s="48" t="s">
        <v>159</v>
      </c>
      <c r="C111" s="48" t="s">
        <v>69</v>
      </c>
      <c r="D111" s="48" t="s">
        <v>265</v>
      </c>
      <c r="E111" s="48"/>
      <c r="F111" s="48" t="s">
        <v>266</v>
      </c>
      <c r="G111" s="48" t="s">
        <v>13</v>
      </c>
      <c r="H111" s="48" t="s">
        <v>5</v>
      </c>
      <c r="I111" s="48"/>
      <c r="J111" s="48"/>
      <c r="K111" s="48"/>
      <c r="L111" s="48"/>
      <c r="M111" s="48" t="s">
        <v>385</v>
      </c>
      <c r="N111" s="48"/>
      <c r="O111" s="48" t="s">
        <v>359</v>
      </c>
      <c r="P111" s="48"/>
      <c r="Q111" s="50"/>
      <c r="R111" s="50"/>
      <c r="S111" s="50"/>
      <c r="T111" s="50"/>
      <c r="U111" s="51"/>
      <c r="V111" s="48"/>
      <c r="W111" s="48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53" t="s">
        <v>267</v>
      </c>
      <c r="B112" s="52" t="s">
        <v>159</v>
      </c>
      <c r="C112" s="52" t="s">
        <v>268</v>
      </c>
      <c r="D112" s="52" t="s">
        <v>269</v>
      </c>
      <c r="E112" s="52"/>
      <c r="F112" s="52" t="s">
        <v>266</v>
      </c>
      <c r="G112" s="52" t="s">
        <v>13</v>
      </c>
      <c r="H112" s="52" t="s">
        <v>14</v>
      </c>
      <c r="I112" s="52"/>
      <c r="J112" s="52"/>
      <c r="K112" s="52"/>
      <c r="L112" s="52"/>
      <c r="M112" s="52" t="s">
        <v>372</v>
      </c>
      <c r="N112" s="52"/>
      <c r="O112" s="52" t="s">
        <v>346</v>
      </c>
      <c r="P112" s="52"/>
      <c r="Q112" s="54"/>
      <c r="R112" s="54"/>
      <c r="S112" s="54"/>
      <c r="T112" s="54"/>
      <c r="U112" s="55"/>
      <c r="V112" s="52"/>
      <c r="W112" s="52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49" t="s">
        <v>270</v>
      </c>
      <c r="B113" s="48" t="s">
        <v>271</v>
      </c>
      <c r="C113" s="48"/>
      <c r="D113" s="48" t="s">
        <v>272</v>
      </c>
      <c r="E113" s="48"/>
      <c r="F113" s="48" t="s">
        <v>273</v>
      </c>
      <c r="G113" s="48" t="s">
        <v>41</v>
      </c>
      <c r="H113" s="48" t="s">
        <v>49</v>
      </c>
      <c r="I113" s="48"/>
      <c r="J113" s="48"/>
      <c r="K113" s="48"/>
      <c r="L113" s="48"/>
      <c r="M113" s="48" t="s">
        <v>375</v>
      </c>
      <c r="N113" s="48"/>
      <c r="O113" s="48" t="s">
        <v>360</v>
      </c>
      <c r="P113" s="48"/>
      <c r="Q113" s="50"/>
      <c r="R113" s="50"/>
      <c r="S113" s="50"/>
      <c r="T113" s="50"/>
      <c r="U113" s="51"/>
      <c r="V113" s="48"/>
      <c r="W113" s="48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53" t="s">
        <v>274</v>
      </c>
      <c r="B114" s="52" t="s">
        <v>134</v>
      </c>
      <c r="C114" s="52" t="s">
        <v>122</v>
      </c>
      <c r="D114" s="52" t="s">
        <v>391</v>
      </c>
      <c r="E114" s="52"/>
      <c r="F114" s="52" t="s">
        <v>275</v>
      </c>
      <c r="G114" s="52" t="s">
        <v>4</v>
      </c>
      <c r="H114" s="52" t="s">
        <v>5</v>
      </c>
      <c r="I114" s="52"/>
      <c r="J114" s="52"/>
      <c r="K114" s="52"/>
      <c r="L114" s="52"/>
      <c r="M114" s="52" t="s">
        <v>375</v>
      </c>
      <c r="N114" s="52"/>
      <c r="O114" s="52" t="s">
        <v>361</v>
      </c>
      <c r="P114" s="52"/>
      <c r="Q114" s="54"/>
      <c r="R114" s="54"/>
      <c r="S114" s="54"/>
      <c r="T114" s="54"/>
      <c r="U114" s="55"/>
      <c r="V114" s="52"/>
      <c r="W114" s="52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49" t="s">
        <v>276</v>
      </c>
      <c r="B115" s="48" t="s">
        <v>182</v>
      </c>
      <c r="C115" s="48" t="s">
        <v>83</v>
      </c>
      <c r="D115" s="48" t="s">
        <v>392</v>
      </c>
      <c r="E115" s="48"/>
      <c r="F115" s="48" t="s">
        <v>225</v>
      </c>
      <c r="G115" s="48" t="s">
        <v>4</v>
      </c>
      <c r="H115" s="48" t="s">
        <v>5</v>
      </c>
      <c r="I115" s="48"/>
      <c r="J115" s="48"/>
      <c r="K115" s="48"/>
      <c r="L115" s="48"/>
      <c r="M115" s="48" t="s">
        <v>372</v>
      </c>
      <c r="N115" s="48"/>
      <c r="O115" s="48" t="s">
        <v>361</v>
      </c>
      <c r="P115" s="48"/>
      <c r="Q115" s="50"/>
      <c r="R115" s="50"/>
      <c r="S115" s="50"/>
      <c r="T115" s="50"/>
      <c r="U115" s="51"/>
      <c r="V115" s="48"/>
      <c r="W115" s="48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53" t="s">
        <v>277</v>
      </c>
      <c r="B116" s="52" t="s">
        <v>211</v>
      </c>
      <c r="C116" s="52" t="s">
        <v>69</v>
      </c>
      <c r="D116" s="52" t="s">
        <v>278</v>
      </c>
      <c r="E116" s="52"/>
      <c r="F116" s="52" t="s">
        <v>279</v>
      </c>
      <c r="G116" s="52" t="s">
        <v>13</v>
      </c>
      <c r="H116" s="52" t="s">
        <v>49</v>
      </c>
      <c r="I116" s="52">
        <v>46147</v>
      </c>
      <c r="J116" s="52"/>
      <c r="K116" s="52"/>
      <c r="L116" s="52"/>
      <c r="M116" s="52" t="s">
        <v>362</v>
      </c>
      <c r="N116" s="52"/>
      <c r="O116" s="52" t="s">
        <v>359</v>
      </c>
      <c r="P116" s="52"/>
      <c r="Q116" s="54"/>
      <c r="R116" s="54"/>
      <c r="S116" s="54"/>
      <c r="T116" s="54"/>
      <c r="U116" s="55"/>
      <c r="V116" s="52"/>
      <c r="W116" s="52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49" t="s">
        <v>280</v>
      </c>
      <c r="B117" s="48" t="s">
        <v>162</v>
      </c>
      <c r="C117" s="48" t="s">
        <v>281</v>
      </c>
      <c r="D117" s="48" t="s">
        <v>282</v>
      </c>
      <c r="E117" s="48"/>
      <c r="F117" s="48"/>
      <c r="G117" s="48" t="s">
        <v>4</v>
      </c>
      <c r="H117" s="48" t="s">
        <v>49</v>
      </c>
      <c r="I117" s="48"/>
      <c r="J117" s="48"/>
      <c r="K117" s="48"/>
      <c r="L117" s="48"/>
      <c r="M117" s="48" t="s">
        <v>372</v>
      </c>
      <c r="N117" s="48" t="s">
        <v>358</v>
      </c>
      <c r="O117" s="48" t="s">
        <v>361</v>
      </c>
      <c r="P117" s="48"/>
      <c r="Q117" s="50"/>
      <c r="R117" s="50"/>
      <c r="S117" s="50"/>
      <c r="T117" s="50"/>
      <c r="U117" s="51"/>
      <c r="V117" s="48"/>
      <c r="W117" s="48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53" t="s">
        <v>283</v>
      </c>
      <c r="B118" s="52" t="s">
        <v>75</v>
      </c>
      <c r="C118" s="52" t="s">
        <v>62</v>
      </c>
      <c r="D118" s="52" t="s">
        <v>393</v>
      </c>
      <c r="E118" s="52"/>
      <c r="F118" s="52" t="s">
        <v>284</v>
      </c>
      <c r="G118" s="52" t="s">
        <v>4</v>
      </c>
      <c r="H118" s="52" t="s">
        <v>14</v>
      </c>
      <c r="I118" s="52"/>
      <c r="J118" s="52"/>
      <c r="K118" s="52"/>
      <c r="L118" s="52"/>
      <c r="M118" s="52" t="s">
        <v>385</v>
      </c>
      <c r="N118" s="52"/>
      <c r="O118" s="52" t="s">
        <v>361</v>
      </c>
      <c r="P118" s="52"/>
      <c r="Q118" s="54"/>
      <c r="R118" s="54"/>
      <c r="S118" s="54"/>
      <c r="T118" s="54"/>
      <c r="U118" s="55"/>
      <c r="V118" s="52"/>
      <c r="W118" s="52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49" t="s">
        <v>285</v>
      </c>
      <c r="B119" s="48" t="s">
        <v>286</v>
      </c>
      <c r="C119" s="48"/>
      <c r="D119" s="48" t="s">
        <v>394</v>
      </c>
      <c r="E119" s="48"/>
      <c r="F119" s="48" t="s">
        <v>287</v>
      </c>
      <c r="G119" s="48" t="s">
        <v>4</v>
      </c>
      <c r="H119" s="48" t="s">
        <v>49</v>
      </c>
      <c r="I119" s="48"/>
      <c r="J119" s="48"/>
      <c r="K119" s="48"/>
      <c r="L119" s="48"/>
      <c r="M119" s="48" t="s">
        <v>375</v>
      </c>
      <c r="N119" s="48"/>
      <c r="O119" s="48" t="s">
        <v>361</v>
      </c>
      <c r="P119" s="48"/>
      <c r="Q119" s="50"/>
      <c r="R119" s="50"/>
      <c r="S119" s="50"/>
      <c r="T119" s="50"/>
      <c r="U119" s="51"/>
      <c r="V119" s="48"/>
      <c r="W119" s="48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53" t="s">
        <v>288</v>
      </c>
      <c r="B120" s="52" t="s">
        <v>286</v>
      </c>
      <c r="C120" s="52" t="s">
        <v>69</v>
      </c>
      <c r="D120" s="52" t="s">
        <v>289</v>
      </c>
      <c r="E120" s="52"/>
      <c r="F120" s="52" t="s">
        <v>290</v>
      </c>
      <c r="G120" s="52" t="s">
        <v>13</v>
      </c>
      <c r="H120" s="52" t="s">
        <v>49</v>
      </c>
      <c r="I120" s="52"/>
      <c r="J120" s="52"/>
      <c r="K120" s="52"/>
      <c r="L120" s="52"/>
      <c r="M120" s="52" t="s">
        <v>372</v>
      </c>
      <c r="N120" s="52"/>
      <c r="O120" s="52" t="s">
        <v>361</v>
      </c>
      <c r="P120" s="52"/>
      <c r="Q120" s="54"/>
      <c r="R120" s="54"/>
      <c r="S120" s="54"/>
      <c r="T120" s="54"/>
      <c r="U120" s="55"/>
      <c r="V120" s="52"/>
      <c r="W120" s="52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49" t="s">
        <v>291</v>
      </c>
      <c r="B121" s="48" t="s">
        <v>75</v>
      </c>
      <c r="C121" s="48" t="s">
        <v>69</v>
      </c>
      <c r="D121" s="48" t="s">
        <v>292</v>
      </c>
      <c r="E121" s="48"/>
      <c r="F121" s="48"/>
      <c r="G121" s="48"/>
      <c r="H121" s="48"/>
      <c r="I121" s="48"/>
      <c r="J121" s="48"/>
      <c r="K121" s="48"/>
      <c r="L121" s="48"/>
      <c r="M121" s="48" t="s">
        <v>367</v>
      </c>
      <c r="N121" s="48"/>
      <c r="O121" s="48"/>
      <c r="P121" s="48"/>
      <c r="Q121" s="50"/>
      <c r="R121" s="50"/>
      <c r="S121" s="50"/>
      <c r="T121" s="50"/>
      <c r="U121" s="51"/>
      <c r="V121" s="48"/>
      <c r="W121" s="48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53" t="s">
        <v>293</v>
      </c>
      <c r="B122" s="52" t="s">
        <v>227</v>
      </c>
      <c r="C122" s="52" t="s">
        <v>116</v>
      </c>
      <c r="D122" s="52" t="s">
        <v>294</v>
      </c>
      <c r="E122" s="52"/>
      <c r="F122" s="52" t="s">
        <v>228</v>
      </c>
      <c r="G122" s="52" t="s">
        <v>13</v>
      </c>
      <c r="H122" s="52" t="s">
        <v>14</v>
      </c>
      <c r="I122" s="52"/>
      <c r="J122" s="52"/>
      <c r="K122" s="52"/>
      <c r="L122" s="52"/>
      <c r="M122" s="52" t="s">
        <v>364</v>
      </c>
      <c r="N122" s="52"/>
      <c r="O122" s="52" t="s">
        <v>365</v>
      </c>
      <c r="P122" s="52"/>
      <c r="Q122" s="54"/>
      <c r="R122" s="54"/>
      <c r="S122" s="54"/>
      <c r="T122" s="54"/>
      <c r="U122" s="55"/>
      <c r="V122" s="52"/>
      <c r="W122" s="52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49" t="s">
        <v>295</v>
      </c>
      <c r="B123" s="48" t="s">
        <v>45</v>
      </c>
      <c r="C123" s="48" t="s">
        <v>296</v>
      </c>
      <c r="D123" s="48" t="s">
        <v>297</v>
      </c>
      <c r="E123" s="48"/>
      <c r="F123" s="48" t="s">
        <v>48</v>
      </c>
      <c r="G123" s="48" t="s">
        <v>13</v>
      </c>
      <c r="H123" s="48" t="s">
        <v>14</v>
      </c>
      <c r="I123" s="48"/>
      <c r="J123" s="48"/>
      <c r="K123" s="48"/>
      <c r="L123" s="48"/>
      <c r="M123" s="48" t="s">
        <v>367</v>
      </c>
      <c r="N123" s="48"/>
      <c r="O123" s="48" t="s">
        <v>363</v>
      </c>
      <c r="P123" s="48"/>
      <c r="Q123" s="50"/>
      <c r="R123" s="50"/>
      <c r="S123" s="50"/>
      <c r="T123" s="50"/>
      <c r="U123" s="51"/>
      <c r="V123" s="48"/>
      <c r="W123" s="48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53" t="s">
        <v>298</v>
      </c>
      <c r="B124" s="52" t="s">
        <v>299</v>
      </c>
      <c r="C124" s="52" t="s">
        <v>16</v>
      </c>
      <c r="D124" s="52" t="s">
        <v>300</v>
      </c>
      <c r="E124" s="52"/>
      <c r="F124" s="52" t="s">
        <v>109</v>
      </c>
      <c r="G124" s="52" t="s">
        <v>4</v>
      </c>
      <c r="H124" s="52" t="s">
        <v>49</v>
      </c>
      <c r="I124" s="52"/>
      <c r="J124" s="52"/>
      <c r="K124" s="52"/>
      <c r="L124" s="52"/>
      <c r="M124" s="52" t="s">
        <v>375</v>
      </c>
      <c r="N124" s="52"/>
      <c r="O124" s="52" t="s">
        <v>361</v>
      </c>
      <c r="P124" s="52"/>
      <c r="Q124" s="54"/>
      <c r="R124" s="54"/>
      <c r="S124" s="54"/>
      <c r="T124" s="54"/>
      <c r="U124" s="55"/>
      <c r="V124" s="52"/>
      <c r="W124" s="52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49" t="s">
        <v>301</v>
      </c>
      <c r="B125" s="48" t="s">
        <v>302</v>
      </c>
      <c r="C125" s="48" t="s">
        <v>69</v>
      </c>
      <c r="D125" s="48" t="s">
        <v>303</v>
      </c>
      <c r="E125" s="48"/>
      <c r="F125" s="48"/>
      <c r="G125" s="48" t="s">
        <v>4</v>
      </c>
      <c r="H125" s="48" t="s">
        <v>49</v>
      </c>
      <c r="I125" s="48"/>
      <c r="J125" s="48"/>
      <c r="K125" s="48"/>
      <c r="L125" s="48"/>
      <c r="M125" s="48" t="s">
        <v>375</v>
      </c>
      <c r="N125" s="48"/>
      <c r="O125" s="48" t="s">
        <v>361</v>
      </c>
      <c r="P125" s="48"/>
      <c r="Q125" s="50"/>
      <c r="R125" s="50"/>
      <c r="S125" s="50"/>
      <c r="T125" s="50"/>
      <c r="U125" s="51"/>
      <c r="V125" s="48"/>
      <c r="W125" s="48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53" t="s">
        <v>304</v>
      </c>
      <c r="B126" s="52" t="s">
        <v>305</v>
      </c>
      <c r="C126" s="52"/>
      <c r="D126" s="52"/>
      <c r="E126" s="52"/>
      <c r="F126" s="52" t="s">
        <v>306</v>
      </c>
      <c r="G126" s="52" t="s">
        <v>13</v>
      </c>
      <c r="H126" s="52"/>
      <c r="I126" s="52"/>
      <c r="J126" s="52"/>
      <c r="K126" s="52"/>
      <c r="L126" s="52"/>
      <c r="M126" s="52" t="s">
        <v>367</v>
      </c>
      <c r="N126" s="52"/>
      <c r="O126" s="52" t="s">
        <v>359</v>
      </c>
      <c r="P126" s="52"/>
      <c r="Q126" s="54"/>
      <c r="R126" s="54"/>
      <c r="S126" s="54"/>
      <c r="T126" s="54"/>
      <c r="U126" s="55"/>
      <c r="V126" s="52"/>
      <c r="W126" s="52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49" t="s">
        <v>307</v>
      </c>
      <c r="B127" s="48" t="s">
        <v>305</v>
      </c>
      <c r="C127" s="48"/>
      <c r="D127" s="48"/>
      <c r="E127" s="48"/>
      <c r="F127" s="48" t="s">
        <v>306</v>
      </c>
      <c r="G127" s="48" t="s">
        <v>308</v>
      </c>
      <c r="H127" s="48"/>
      <c r="I127" s="48"/>
      <c r="J127" s="48"/>
      <c r="K127" s="48"/>
      <c r="L127" s="48"/>
      <c r="M127" s="48" t="s">
        <v>367</v>
      </c>
      <c r="N127" s="48"/>
      <c r="O127" s="48" t="s">
        <v>359</v>
      </c>
      <c r="P127" s="48"/>
      <c r="Q127" s="50"/>
      <c r="R127" s="50"/>
      <c r="S127" s="50"/>
      <c r="T127" s="50"/>
      <c r="U127" s="51"/>
      <c r="V127" s="48"/>
      <c r="W127" s="48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53" t="s">
        <v>309</v>
      </c>
      <c r="B128" s="52" t="s">
        <v>9</v>
      </c>
      <c r="C128" s="52" t="s">
        <v>69</v>
      </c>
      <c r="D128" s="52" t="s">
        <v>310</v>
      </c>
      <c r="E128" s="52"/>
      <c r="F128" s="52" t="s">
        <v>311</v>
      </c>
      <c r="G128" s="52" t="s">
        <v>13</v>
      </c>
      <c r="H128" s="52" t="s">
        <v>49</v>
      </c>
      <c r="I128" s="52"/>
      <c r="J128" s="52"/>
      <c r="K128" s="52"/>
      <c r="L128" s="52"/>
      <c r="M128" s="52" t="s">
        <v>372</v>
      </c>
      <c r="N128" s="52"/>
      <c r="O128" s="52" t="s">
        <v>361</v>
      </c>
      <c r="P128" s="52"/>
      <c r="Q128" s="54"/>
      <c r="R128" s="54"/>
      <c r="S128" s="54"/>
      <c r="T128" s="54"/>
      <c r="U128" s="55"/>
      <c r="V128" s="52"/>
      <c r="W128" s="52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49" t="s">
        <v>312</v>
      </c>
      <c r="B129" s="48" t="s">
        <v>75</v>
      </c>
      <c r="C129" s="48" t="s">
        <v>69</v>
      </c>
      <c r="D129" s="48" t="s">
        <v>313</v>
      </c>
      <c r="E129" s="48"/>
      <c r="F129" s="48" t="s">
        <v>314</v>
      </c>
      <c r="G129" s="48" t="s">
        <v>4</v>
      </c>
      <c r="H129" s="48" t="s">
        <v>49</v>
      </c>
      <c r="I129" s="48"/>
      <c r="J129" s="48"/>
      <c r="K129" s="48"/>
      <c r="L129" s="48"/>
      <c r="M129" s="48" t="s">
        <v>375</v>
      </c>
      <c r="N129" s="48"/>
      <c r="O129" s="48" t="s">
        <v>366</v>
      </c>
      <c r="P129" s="48"/>
      <c r="Q129" s="50"/>
      <c r="R129" s="50"/>
      <c r="S129" s="50"/>
      <c r="T129" s="50"/>
      <c r="U129" s="51"/>
      <c r="V129" s="48"/>
      <c r="W129" s="48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53" t="s">
        <v>315</v>
      </c>
      <c r="B130" s="52" t="s">
        <v>45</v>
      </c>
      <c r="C130" s="52" t="s">
        <v>316</v>
      </c>
      <c r="D130" s="52" t="s">
        <v>317</v>
      </c>
      <c r="E130" s="52"/>
      <c r="F130" s="52"/>
      <c r="G130" s="52" t="s">
        <v>13</v>
      </c>
      <c r="H130" s="52"/>
      <c r="I130" s="52"/>
      <c r="J130" s="52"/>
      <c r="K130" s="52"/>
      <c r="L130" s="52"/>
      <c r="M130" s="52" t="s">
        <v>395</v>
      </c>
      <c r="N130" s="52" t="s">
        <v>370</v>
      </c>
      <c r="O130" s="52" t="s">
        <v>363</v>
      </c>
      <c r="P130" s="52"/>
      <c r="Q130" s="54"/>
      <c r="R130" s="54"/>
      <c r="S130" s="54"/>
      <c r="T130" s="54"/>
      <c r="U130" s="55"/>
      <c r="V130" s="52"/>
      <c r="W130" s="52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49" t="s">
        <v>318</v>
      </c>
      <c r="B131" s="48" t="s">
        <v>45</v>
      </c>
      <c r="C131" s="48" t="s">
        <v>316</v>
      </c>
      <c r="D131" s="48" t="s">
        <v>319</v>
      </c>
      <c r="E131" s="48"/>
      <c r="F131" s="48" t="s">
        <v>48</v>
      </c>
      <c r="G131" s="48" t="s">
        <v>320</v>
      </c>
      <c r="H131" s="48"/>
      <c r="I131" s="48"/>
      <c r="J131" s="48"/>
      <c r="K131" s="48"/>
      <c r="L131" s="48"/>
      <c r="M131" s="48" t="s">
        <v>395</v>
      </c>
      <c r="N131" s="48" t="s">
        <v>370</v>
      </c>
      <c r="O131" s="48" t="s">
        <v>367</v>
      </c>
      <c r="P131" s="48"/>
      <c r="Q131" s="50"/>
      <c r="R131" s="50"/>
      <c r="S131" s="50"/>
      <c r="T131" s="50"/>
      <c r="U131" s="51"/>
      <c r="V131" s="48"/>
      <c r="W131" s="48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53" t="s">
        <v>321</v>
      </c>
      <c r="B132" s="52" t="s">
        <v>45</v>
      </c>
      <c r="C132" s="52" t="s">
        <v>316</v>
      </c>
      <c r="D132" s="52" t="s">
        <v>322</v>
      </c>
      <c r="E132" s="52"/>
      <c r="F132" s="52" t="s">
        <v>48</v>
      </c>
      <c r="G132" s="52" t="s">
        <v>320</v>
      </c>
      <c r="H132" s="52"/>
      <c r="I132" s="52"/>
      <c r="J132" s="52"/>
      <c r="K132" s="52"/>
      <c r="L132" s="52"/>
      <c r="M132" s="52" t="s">
        <v>375</v>
      </c>
      <c r="N132" s="52" t="s">
        <v>370</v>
      </c>
      <c r="O132" s="52" t="s">
        <v>366</v>
      </c>
      <c r="P132" s="52"/>
      <c r="Q132" s="54"/>
      <c r="R132" s="54"/>
      <c r="S132" s="54"/>
      <c r="T132" s="54"/>
      <c r="U132" s="55"/>
      <c r="V132" s="52"/>
      <c r="W132" s="52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49" t="s">
        <v>323</v>
      </c>
      <c r="B133" s="48" t="s">
        <v>305</v>
      </c>
      <c r="C133" s="48"/>
      <c r="D133" s="48"/>
      <c r="E133" s="48"/>
      <c r="F133" s="48" t="s">
        <v>306</v>
      </c>
      <c r="G133" s="48" t="s">
        <v>4</v>
      </c>
      <c r="H133" s="48"/>
      <c r="I133" s="48"/>
      <c r="J133" s="48"/>
      <c r="K133" s="48"/>
      <c r="L133" s="48"/>
      <c r="M133" s="48" t="s">
        <v>367</v>
      </c>
      <c r="N133" s="48"/>
      <c r="O133" s="48" t="s">
        <v>361</v>
      </c>
      <c r="P133" s="48"/>
      <c r="Q133" s="50"/>
      <c r="R133" s="50"/>
      <c r="S133" s="50"/>
      <c r="T133" s="50"/>
      <c r="U133" s="51"/>
      <c r="V133" s="48"/>
      <c r="W133" s="48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53" t="s">
        <v>324</v>
      </c>
      <c r="B134" s="52" t="s">
        <v>75</v>
      </c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 t="s">
        <v>367</v>
      </c>
      <c r="N134" s="52"/>
      <c r="O134" s="52" t="s">
        <v>367</v>
      </c>
      <c r="P134" s="52"/>
      <c r="Q134" s="54"/>
      <c r="R134" s="54"/>
      <c r="S134" s="54"/>
      <c r="T134" s="54"/>
      <c r="U134" s="55"/>
      <c r="V134" s="52"/>
      <c r="W134" s="52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49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50"/>
      <c r="R135" s="50"/>
      <c r="S135" s="50"/>
      <c r="T135" s="50"/>
      <c r="U135" s="51"/>
      <c r="V135" s="48"/>
      <c r="W135" s="48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53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4"/>
      <c r="R136" s="54"/>
      <c r="S136" s="54"/>
      <c r="T136" s="54"/>
      <c r="U136" s="55"/>
      <c r="V136" s="52"/>
      <c r="W136" s="52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49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50"/>
      <c r="R137" s="50"/>
      <c r="S137" s="50"/>
      <c r="T137" s="50"/>
      <c r="U137" s="51"/>
      <c r="V137" s="48"/>
      <c r="W137" s="48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53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4"/>
      <c r="R138" s="54"/>
      <c r="S138" s="54"/>
      <c r="T138" s="54"/>
      <c r="U138" s="55"/>
      <c r="V138" s="52"/>
      <c r="W138" s="52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49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50"/>
      <c r="R139" s="50"/>
      <c r="S139" s="50"/>
      <c r="T139" s="50"/>
      <c r="U139" s="51"/>
      <c r="V139" s="48"/>
      <c r="W139" s="48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53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4"/>
      <c r="R140" s="54"/>
      <c r="S140" s="54"/>
      <c r="T140" s="54"/>
      <c r="U140" s="55"/>
      <c r="V140" s="52"/>
      <c r="W140" s="52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49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50"/>
      <c r="R141" s="50"/>
      <c r="S141" s="50"/>
      <c r="T141" s="50"/>
      <c r="U141" s="51"/>
      <c r="V141" s="48"/>
      <c r="W141" s="48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53"/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4"/>
      <c r="R142" s="54"/>
      <c r="S142" s="54"/>
      <c r="T142" s="54"/>
      <c r="U142" s="55"/>
      <c r="V142" s="52"/>
      <c r="W142" s="52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49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50"/>
      <c r="R143" s="50"/>
      <c r="S143" s="50"/>
      <c r="T143" s="50"/>
      <c r="U143" s="51"/>
      <c r="V143" s="48"/>
      <c r="W143" s="48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53"/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4"/>
      <c r="R144" s="54"/>
      <c r="S144" s="54"/>
      <c r="T144" s="54"/>
      <c r="U144" s="55"/>
      <c r="V144" s="52"/>
      <c r="W144" s="52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49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50"/>
      <c r="R145" s="50"/>
      <c r="S145" s="50"/>
      <c r="T145" s="50"/>
      <c r="U145" s="51"/>
      <c r="V145" s="48"/>
      <c r="W145" s="48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53"/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4"/>
      <c r="R146" s="54"/>
      <c r="S146" s="54"/>
      <c r="T146" s="54"/>
      <c r="U146" s="55"/>
      <c r="V146" s="52"/>
      <c r="W146" s="52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49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50"/>
      <c r="R147" s="50"/>
      <c r="S147" s="50"/>
      <c r="T147" s="50"/>
      <c r="U147" s="51"/>
      <c r="V147" s="48"/>
      <c r="W147" s="48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53"/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4"/>
      <c r="R148" s="54"/>
      <c r="S148" s="54"/>
      <c r="T148" s="54"/>
      <c r="U148" s="55"/>
      <c r="V148" s="52"/>
      <c r="W148" s="52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49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50"/>
      <c r="R149" s="50"/>
      <c r="S149" s="50"/>
      <c r="T149" s="50"/>
      <c r="U149" s="51"/>
      <c r="V149" s="48"/>
      <c r="W149" s="48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53"/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4"/>
      <c r="R150" s="54"/>
      <c r="S150" s="54"/>
      <c r="T150" s="54"/>
      <c r="U150" s="55"/>
      <c r="V150" s="52"/>
      <c r="W150" s="52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49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50"/>
      <c r="R151" s="50"/>
      <c r="S151" s="50"/>
      <c r="T151" s="50"/>
      <c r="U151" s="51"/>
      <c r="V151" s="48"/>
      <c r="W151" s="48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53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4"/>
      <c r="R152" s="54"/>
      <c r="S152" s="54"/>
      <c r="T152" s="54"/>
      <c r="U152" s="55"/>
      <c r="V152" s="52"/>
      <c r="W152" s="52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49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50"/>
      <c r="R153" s="50"/>
      <c r="S153" s="50"/>
      <c r="T153" s="50"/>
      <c r="U153" s="51"/>
      <c r="V153" s="48"/>
      <c r="W153" s="48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53"/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4"/>
      <c r="R154" s="54"/>
      <c r="S154" s="54"/>
      <c r="T154" s="54"/>
      <c r="U154" s="55"/>
      <c r="V154" s="52"/>
      <c r="W154" s="52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49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50"/>
      <c r="R155" s="50"/>
      <c r="S155" s="50"/>
      <c r="T155" s="50"/>
      <c r="U155" s="51"/>
      <c r="V155" s="48"/>
      <c r="W155" s="48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53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4"/>
      <c r="R156" s="54"/>
      <c r="S156" s="54"/>
      <c r="T156" s="54"/>
      <c r="U156" s="55"/>
      <c r="V156" s="52"/>
      <c r="W156" s="52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49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50"/>
      <c r="R157" s="50"/>
      <c r="S157" s="50"/>
      <c r="T157" s="50"/>
      <c r="U157" s="51"/>
      <c r="V157" s="48"/>
      <c r="W157" s="48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53"/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4"/>
      <c r="R158" s="54"/>
      <c r="S158" s="54"/>
      <c r="T158" s="54"/>
      <c r="U158" s="55"/>
      <c r="V158" s="52"/>
      <c r="W158" s="52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49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50"/>
      <c r="R159" s="50"/>
      <c r="S159" s="50"/>
      <c r="T159" s="50"/>
      <c r="U159" s="51"/>
      <c r="V159" s="48"/>
      <c r="W159" s="48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53"/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4"/>
      <c r="R160" s="54"/>
      <c r="S160" s="54"/>
      <c r="T160" s="54"/>
      <c r="U160" s="55"/>
      <c r="V160" s="52"/>
      <c r="W160" s="52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49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50"/>
      <c r="R161" s="50"/>
      <c r="S161" s="50"/>
      <c r="T161" s="50"/>
      <c r="U161" s="51"/>
      <c r="V161" s="48"/>
      <c r="W161" s="48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53"/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4"/>
      <c r="R162" s="54"/>
      <c r="S162" s="54"/>
      <c r="T162" s="54"/>
      <c r="U162" s="55"/>
      <c r="V162" s="52"/>
      <c r="W162" s="52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49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50"/>
      <c r="R163" s="50"/>
      <c r="S163" s="50"/>
      <c r="T163" s="50"/>
      <c r="U163" s="51"/>
      <c r="V163" s="48"/>
      <c r="W163" s="48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53"/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4"/>
      <c r="R164" s="54"/>
      <c r="S164" s="54"/>
      <c r="T164" s="54"/>
      <c r="U164" s="55"/>
      <c r="V164" s="52"/>
      <c r="W164" s="52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5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83492-4741-43FA-9229-7166BD43D9C1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57" t="s">
        <v>0</v>
      </c>
      <c r="B3" s="56" t="s">
        <v>1</v>
      </c>
      <c r="C3" s="56" t="s">
        <v>2</v>
      </c>
      <c r="D3" s="56">
        <v>35381421000194</v>
      </c>
      <c r="E3" s="56"/>
      <c r="F3" s="56" t="s">
        <v>3</v>
      </c>
      <c r="G3" s="56" t="s">
        <v>4</v>
      </c>
      <c r="H3" s="56" t="s">
        <v>5</v>
      </c>
      <c r="I3" s="56" t="s">
        <v>341</v>
      </c>
      <c r="J3" s="56"/>
      <c r="K3" s="56"/>
      <c r="L3" s="56"/>
      <c r="M3" s="56"/>
      <c r="N3" s="56"/>
      <c r="O3" s="56"/>
      <c r="P3" s="56"/>
      <c r="Q3" s="58"/>
      <c r="R3" s="58"/>
      <c r="S3" s="58"/>
      <c r="T3" s="58"/>
      <c r="U3" s="59"/>
      <c r="V3" s="56"/>
      <c r="W3" s="56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61" t="s">
        <v>6</v>
      </c>
      <c r="B4" s="60" t="s">
        <v>1</v>
      </c>
      <c r="C4" s="60" t="s">
        <v>2</v>
      </c>
      <c r="D4" s="60" t="s">
        <v>7</v>
      </c>
      <c r="E4" s="60"/>
      <c r="F4" s="60" t="s">
        <v>3</v>
      </c>
      <c r="G4" s="60" t="s">
        <v>4</v>
      </c>
      <c r="H4" s="60" t="s">
        <v>5</v>
      </c>
      <c r="I4" s="60" t="s">
        <v>341</v>
      </c>
      <c r="J4" s="60"/>
      <c r="K4" s="60"/>
      <c r="L4" s="60"/>
      <c r="M4" s="60"/>
      <c r="N4" s="60"/>
      <c r="O4" s="60"/>
      <c r="P4" s="60"/>
      <c r="Q4" s="62"/>
      <c r="R4" s="62"/>
      <c r="S4" s="62"/>
      <c r="T4" s="62"/>
      <c r="U4" s="63"/>
      <c r="V4" s="60"/>
      <c r="W4" s="60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57" t="s">
        <v>8</v>
      </c>
      <c r="B5" s="56" t="s">
        <v>9</v>
      </c>
      <c r="C5" s="56" t="s">
        <v>10</v>
      </c>
      <c r="D5" s="56" t="s">
        <v>11</v>
      </c>
      <c r="E5" s="56"/>
      <c r="F5" s="56" t="s">
        <v>12</v>
      </c>
      <c r="G5" s="56" t="s">
        <v>13</v>
      </c>
      <c r="H5" s="56" t="s">
        <v>14</v>
      </c>
      <c r="I5" s="56" t="s">
        <v>341</v>
      </c>
      <c r="J5" s="56"/>
      <c r="K5" s="56"/>
      <c r="L5" s="56"/>
      <c r="M5" s="56"/>
      <c r="N5" s="56"/>
      <c r="O5" s="56"/>
      <c r="P5" s="56"/>
      <c r="Q5" s="58"/>
      <c r="R5" s="58"/>
      <c r="S5" s="58"/>
      <c r="T5" s="58"/>
      <c r="U5" s="59"/>
      <c r="V5" s="56"/>
      <c r="W5" s="56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61" t="s">
        <v>15</v>
      </c>
      <c r="B6" s="60" t="s">
        <v>9</v>
      </c>
      <c r="C6" s="60" t="s">
        <v>16</v>
      </c>
      <c r="D6" s="60" t="s">
        <v>17</v>
      </c>
      <c r="E6" s="60"/>
      <c r="F6" s="60" t="s">
        <v>12</v>
      </c>
      <c r="G6" s="60" t="s">
        <v>13</v>
      </c>
      <c r="H6" s="60" t="s">
        <v>14</v>
      </c>
      <c r="I6" s="60" t="s">
        <v>341</v>
      </c>
      <c r="J6" s="60" t="s">
        <v>341</v>
      </c>
      <c r="K6" s="60" t="s">
        <v>341</v>
      </c>
      <c r="L6" s="60" t="s">
        <v>341</v>
      </c>
      <c r="M6" s="60" t="s">
        <v>341</v>
      </c>
      <c r="N6" s="60" t="s">
        <v>341</v>
      </c>
      <c r="O6" s="60" t="s">
        <v>341</v>
      </c>
      <c r="P6" s="60" t="s">
        <v>341</v>
      </c>
      <c r="Q6" s="62"/>
      <c r="R6" s="62"/>
      <c r="S6" s="62"/>
      <c r="T6" s="62"/>
      <c r="U6" s="63"/>
      <c r="V6" s="60"/>
      <c r="W6" s="60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57" t="s">
        <v>18</v>
      </c>
      <c r="B7" s="56" t="s">
        <v>9</v>
      </c>
      <c r="C7" s="56" t="s">
        <v>19</v>
      </c>
      <c r="D7" s="56" t="s">
        <v>20</v>
      </c>
      <c r="E7" s="56"/>
      <c r="F7" s="56" t="s">
        <v>12</v>
      </c>
      <c r="G7" s="56" t="s">
        <v>13</v>
      </c>
      <c r="H7" s="56" t="s">
        <v>14</v>
      </c>
      <c r="I7" s="56" t="s">
        <v>341</v>
      </c>
      <c r="J7" s="56" t="s">
        <v>341</v>
      </c>
      <c r="K7" s="56" t="s">
        <v>341</v>
      </c>
      <c r="L7" s="56" t="s">
        <v>341</v>
      </c>
      <c r="M7" s="56" t="s">
        <v>341</v>
      </c>
      <c r="N7" s="56" t="s">
        <v>341</v>
      </c>
      <c r="O7" s="56" t="s">
        <v>341</v>
      </c>
      <c r="P7" s="56" t="s">
        <v>341</v>
      </c>
      <c r="Q7" s="58"/>
      <c r="R7" s="58"/>
      <c r="S7" s="58"/>
      <c r="T7" s="58"/>
      <c r="U7" s="59"/>
      <c r="V7" s="56"/>
      <c r="W7" s="56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61" t="s">
        <v>21</v>
      </c>
      <c r="B8" s="60" t="s">
        <v>9</v>
      </c>
      <c r="C8" s="60" t="s">
        <v>19</v>
      </c>
      <c r="D8" s="60" t="s">
        <v>22</v>
      </c>
      <c r="E8" s="60"/>
      <c r="F8" s="60" t="s">
        <v>12</v>
      </c>
      <c r="G8" s="60" t="s">
        <v>13</v>
      </c>
      <c r="H8" s="60" t="s">
        <v>14</v>
      </c>
      <c r="I8" s="60" t="s">
        <v>341</v>
      </c>
      <c r="J8" s="60" t="s">
        <v>341</v>
      </c>
      <c r="K8" s="60" t="s">
        <v>341</v>
      </c>
      <c r="L8" s="60" t="s">
        <v>341</v>
      </c>
      <c r="M8" s="60" t="s">
        <v>341</v>
      </c>
      <c r="N8" s="60" t="s">
        <v>341</v>
      </c>
      <c r="O8" s="60" t="s">
        <v>341</v>
      </c>
      <c r="P8" s="60" t="s">
        <v>341</v>
      </c>
      <c r="Q8" s="62"/>
      <c r="R8" s="62"/>
      <c r="S8" s="62"/>
      <c r="T8" s="62"/>
      <c r="U8" s="63"/>
      <c r="V8" s="60"/>
      <c r="W8" s="60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57" t="s">
        <v>23</v>
      </c>
      <c r="B9" s="56" t="s">
        <v>9</v>
      </c>
      <c r="C9" s="56" t="s">
        <v>24</v>
      </c>
      <c r="D9" s="56" t="s">
        <v>25</v>
      </c>
      <c r="E9" s="56"/>
      <c r="F9" s="56" t="s">
        <v>12</v>
      </c>
      <c r="G9" s="56" t="s">
        <v>13</v>
      </c>
      <c r="H9" s="56" t="s">
        <v>14</v>
      </c>
      <c r="I9" s="56" t="s">
        <v>341</v>
      </c>
      <c r="J9" s="56" t="s">
        <v>341</v>
      </c>
      <c r="K9" s="56" t="s">
        <v>341</v>
      </c>
      <c r="L9" s="56" t="s">
        <v>341</v>
      </c>
      <c r="M9" s="56" t="s">
        <v>341</v>
      </c>
      <c r="N9" s="56" t="s">
        <v>341</v>
      </c>
      <c r="O9" s="56" t="s">
        <v>341</v>
      </c>
      <c r="P9" s="56" t="s">
        <v>341</v>
      </c>
      <c r="Q9" s="58"/>
      <c r="R9" s="58"/>
      <c r="S9" s="58"/>
      <c r="T9" s="58"/>
      <c r="U9" s="59"/>
      <c r="V9" s="56"/>
      <c r="W9" s="56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61" t="s">
        <v>26</v>
      </c>
      <c r="B10" s="60" t="s">
        <v>9</v>
      </c>
      <c r="C10" s="60" t="s">
        <v>27</v>
      </c>
      <c r="D10" s="60" t="s">
        <v>28</v>
      </c>
      <c r="E10" s="60"/>
      <c r="F10" s="60" t="s">
        <v>12</v>
      </c>
      <c r="G10" s="60" t="s">
        <v>13</v>
      </c>
      <c r="H10" s="60" t="s">
        <v>14</v>
      </c>
      <c r="I10" s="60" t="s">
        <v>341</v>
      </c>
      <c r="J10" s="60" t="s">
        <v>341</v>
      </c>
      <c r="K10" s="60" t="s">
        <v>341</v>
      </c>
      <c r="L10" s="60" t="s">
        <v>341</v>
      </c>
      <c r="M10" s="60" t="s">
        <v>341</v>
      </c>
      <c r="N10" s="60" t="s">
        <v>341</v>
      </c>
      <c r="O10" s="60" t="s">
        <v>341</v>
      </c>
      <c r="P10" s="60" t="s">
        <v>341</v>
      </c>
      <c r="Q10" s="62"/>
      <c r="R10" s="62"/>
      <c r="S10" s="62"/>
      <c r="T10" s="62"/>
      <c r="U10" s="63"/>
      <c r="V10" s="60"/>
      <c r="W10" s="60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57" t="s">
        <v>29</v>
      </c>
      <c r="B11" s="56" t="s">
        <v>9</v>
      </c>
      <c r="C11" s="56" t="s">
        <v>16</v>
      </c>
      <c r="D11" s="56" t="s">
        <v>30</v>
      </c>
      <c r="E11" s="56"/>
      <c r="F11" s="56" t="s">
        <v>12</v>
      </c>
      <c r="G11" s="56" t="s">
        <v>13</v>
      </c>
      <c r="H11" s="56" t="s">
        <v>14</v>
      </c>
      <c r="I11" s="56" t="s">
        <v>341</v>
      </c>
      <c r="J11" s="56" t="s">
        <v>341</v>
      </c>
      <c r="K11" s="56" t="s">
        <v>341</v>
      </c>
      <c r="L11" s="56" t="s">
        <v>341</v>
      </c>
      <c r="M11" s="56" t="s">
        <v>341</v>
      </c>
      <c r="N11" s="56" t="s">
        <v>341</v>
      </c>
      <c r="O11" s="56" t="s">
        <v>341</v>
      </c>
      <c r="P11" s="56" t="s">
        <v>341</v>
      </c>
      <c r="Q11" s="58"/>
      <c r="R11" s="58"/>
      <c r="S11" s="58"/>
      <c r="T11" s="58"/>
      <c r="U11" s="59"/>
      <c r="V11" s="56"/>
      <c r="W11" s="56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61" t="s">
        <v>31</v>
      </c>
      <c r="B12" s="60" t="s">
        <v>9</v>
      </c>
      <c r="C12" s="60" t="s">
        <v>24</v>
      </c>
      <c r="D12" s="60" t="s">
        <v>32</v>
      </c>
      <c r="E12" s="60"/>
      <c r="F12" s="60" t="s">
        <v>12</v>
      </c>
      <c r="G12" s="60" t="s">
        <v>13</v>
      </c>
      <c r="H12" s="60" t="s">
        <v>14</v>
      </c>
      <c r="I12" s="60" t="s">
        <v>341</v>
      </c>
      <c r="J12" s="60" t="s">
        <v>341</v>
      </c>
      <c r="K12" s="60" t="s">
        <v>341</v>
      </c>
      <c r="L12" s="60" t="s">
        <v>341</v>
      </c>
      <c r="M12" s="60" t="s">
        <v>341</v>
      </c>
      <c r="N12" s="60" t="s">
        <v>341</v>
      </c>
      <c r="O12" s="60" t="s">
        <v>341</v>
      </c>
      <c r="P12" s="60" t="s">
        <v>341</v>
      </c>
      <c r="Q12" s="62"/>
      <c r="R12" s="62"/>
      <c r="S12" s="62"/>
      <c r="T12" s="62"/>
      <c r="U12" s="63"/>
      <c r="V12" s="60"/>
      <c r="W12" s="60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57" t="s">
        <v>33</v>
      </c>
      <c r="B13" s="56" t="s">
        <v>9</v>
      </c>
      <c r="C13" s="56" t="s">
        <v>24</v>
      </c>
      <c r="D13" s="56" t="s">
        <v>34</v>
      </c>
      <c r="E13" s="56"/>
      <c r="F13" s="56" t="s">
        <v>12</v>
      </c>
      <c r="G13" s="56" t="s">
        <v>13</v>
      </c>
      <c r="H13" s="56" t="s">
        <v>14</v>
      </c>
      <c r="I13" s="56" t="s">
        <v>341</v>
      </c>
      <c r="J13" s="56" t="s">
        <v>341</v>
      </c>
      <c r="K13" s="56" t="s">
        <v>341</v>
      </c>
      <c r="L13" s="56" t="s">
        <v>341</v>
      </c>
      <c r="M13" s="56" t="s">
        <v>341</v>
      </c>
      <c r="N13" s="56" t="s">
        <v>341</v>
      </c>
      <c r="O13" s="56" t="s">
        <v>341</v>
      </c>
      <c r="P13" s="56" t="s">
        <v>341</v>
      </c>
      <c r="Q13" s="58"/>
      <c r="R13" s="58"/>
      <c r="S13" s="58"/>
      <c r="T13" s="58"/>
      <c r="U13" s="59"/>
      <c r="V13" s="56"/>
      <c r="W13" s="56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61" t="s">
        <v>35</v>
      </c>
      <c r="B14" s="60" t="s">
        <v>9</v>
      </c>
      <c r="C14" s="60" t="s">
        <v>24</v>
      </c>
      <c r="D14" s="60" t="s">
        <v>36</v>
      </c>
      <c r="E14" s="60"/>
      <c r="F14" s="60" t="s">
        <v>37</v>
      </c>
      <c r="G14" s="60" t="s">
        <v>13</v>
      </c>
      <c r="H14" s="60" t="s">
        <v>14</v>
      </c>
      <c r="I14" s="60" t="s">
        <v>341</v>
      </c>
      <c r="J14" s="60" t="s">
        <v>341</v>
      </c>
      <c r="K14" s="60" t="s">
        <v>341</v>
      </c>
      <c r="L14" s="60" t="s">
        <v>341</v>
      </c>
      <c r="M14" s="60" t="s">
        <v>341</v>
      </c>
      <c r="N14" s="60" t="s">
        <v>341</v>
      </c>
      <c r="O14" s="60" t="s">
        <v>341</v>
      </c>
      <c r="P14" s="60" t="s">
        <v>341</v>
      </c>
      <c r="Q14" s="62"/>
      <c r="R14" s="62"/>
      <c r="S14" s="62"/>
      <c r="T14" s="62"/>
      <c r="U14" s="63"/>
      <c r="V14" s="60"/>
      <c r="W14" s="60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57" t="s">
        <v>38</v>
      </c>
      <c r="B15" s="56" t="s">
        <v>9</v>
      </c>
      <c r="C15" s="56" t="s">
        <v>16</v>
      </c>
      <c r="D15" s="56" t="s">
        <v>39</v>
      </c>
      <c r="E15" s="56"/>
      <c r="F15" s="56" t="s">
        <v>37</v>
      </c>
      <c r="G15" s="56" t="s">
        <v>13</v>
      </c>
      <c r="H15" s="56" t="s">
        <v>14</v>
      </c>
      <c r="I15" s="56" t="s">
        <v>341</v>
      </c>
      <c r="J15" s="56" t="s">
        <v>341</v>
      </c>
      <c r="K15" s="56" t="s">
        <v>341</v>
      </c>
      <c r="L15" s="56" t="s">
        <v>341</v>
      </c>
      <c r="M15" s="56" t="s">
        <v>341</v>
      </c>
      <c r="N15" s="56" t="s">
        <v>341</v>
      </c>
      <c r="O15" s="56" t="s">
        <v>341</v>
      </c>
      <c r="P15" s="56" t="s">
        <v>341</v>
      </c>
      <c r="Q15" s="58"/>
      <c r="R15" s="58"/>
      <c r="S15" s="58"/>
      <c r="T15" s="58"/>
      <c r="U15" s="59"/>
      <c r="V15" s="56"/>
      <c r="W15" s="56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61" t="s">
        <v>40</v>
      </c>
      <c r="B16" s="60" t="s">
        <v>9</v>
      </c>
      <c r="C16" s="60" t="s">
        <v>24</v>
      </c>
      <c r="D16" s="60">
        <v>17608570000161</v>
      </c>
      <c r="E16" s="60"/>
      <c r="F16" s="60" t="s">
        <v>12</v>
      </c>
      <c r="G16" s="60" t="s">
        <v>41</v>
      </c>
      <c r="H16" s="60" t="s">
        <v>5</v>
      </c>
      <c r="I16" s="60" t="s">
        <v>341</v>
      </c>
      <c r="J16" s="60" t="s">
        <v>341</v>
      </c>
      <c r="K16" s="60" t="s">
        <v>341</v>
      </c>
      <c r="L16" s="60" t="s">
        <v>341</v>
      </c>
      <c r="M16" s="60" t="s">
        <v>341</v>
      </c>
      <c r="N16" s="60" t="s">
        <v>341</v>
      </c>
      <c r="O16" s="60" t="s">
        <v>341</v>
      </c>
      <c r="P16" s="60" t="s">
        <v>341</v>
      </c>
      <c r="Q16" s="62"/>
      <c r="R16" s="62"/>
      <c r="S16" s="62"/>
      <c r="T16" s="62"/>
      <c r="U16" s="63"/>
      <c r="V16" s="60"/>
      <c r="W16" s="60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57" t="s">
        <v>42</v>
      </c>
      <c r="B17" s="56" t="s">
        <v>9</v>
      </c>
      <c r="C17" s="56" t="s">
        <v>24</v>
      </c>
      <c r="D17" s="56" t="s">
        <v>43</v>
      </c>
      <c r="E17" s="56"/>
      <c r="F17" s="56" t="s">
        <v>12</v>
      </c>
      <c r="G17" s="56" t="s">
        <v>41</v>
      </c>
      <c r="H17" s="56" t="s">
        <v>5</v>
      </c>
      <c r="I17" s="56"/>
      <c r="J17" s="56"/>
      <c r="K17" s="56"/>
      <c r="L17" s="56"/>
      <c r="M17" s="56" t="s">
        <v>372</v>
      </c>
      <c r="N17" s="56"/>
      <c r="O17" s="56" t="s">
        <v>342</v>
      </c>
      <c r="P17" s="56" t="s">
        <v>343</v>
      </c>
      <c r="Q17" s="58"/>
      <c r="R17" s="58"/>
      <c r="S17" s="58"/>
      <c r="T17" s="58"/>
      <c r="U17" s="59"/>
      <c r="V17" s="56"/>
      <c r="W17" s="56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61" t="s">
        <v>44</v>
      </c>
      <c r="B18" s="60" t="s">
        <v>45</v>
      </c>
      <c r="C18" s="60" t="s">
        <v>46</v>
      </c>
      <c r="D18" s="60" t="s">
        <v>47</v>
      </c>
      <c r="E18" s="60"/>
      <c r="F18" s="60" t="s">
        <v>48</v>
      </c>
      <c r="G18" s="60" t="s">
        <v>13</v>
      </c>
      <c r="H18" s="60" t="s">
        <v>49</v>
      </c>
      <c r="I18" s="60"/>
      <c r="J18" s="60"/>
      <c r="K18" s="60"/>
      <c r="L18" s="60"/>
      <c r="M18" s="60" t="s">
        <v>373</v>
      </c>
      <c r="N18" s="60"/>
      <c r="O18" s="60" t="s">
        <v>344</v>
      </c>
      <c r="P18" s="60"/>
      <c r="Q18" s="62"/>
      <c r="R18" s="62"/>
      <c r="S18" s="62"/>
      <c r="T18" s="62"/>
      <c r="U18" s="63"/>
      <c r="V18" s="60"/>
      <c r="W18" s="60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57" t="s">
        <v>50</v>
      </c>
      <c r="B19" s="56" t="s">
        <v>45</v>
      </c>
      <c r="C19" s="56" t="s">
        <v>46</v>
      </c>
      <c r="D19" s="56" t="s">
        <v>51</v>
      </c>
      <c r="E19" s="56"/>
      <c r="F19" s="56" t="s">
        <v>48</v>
      </c>
      <c r="G19" s="56" t="s">
        <v>13</v>
      </c>
      <c r="H19" s="56" t="s">
        <v>49</v>
      </c>
      <c r="I19" s="56"/>
      <c r="J19" s="56"/>
      <c r="K19" s="56"/>
      <c r="L19" s="56"/>
      <c r="M19" s="56" t="s">
        <v>373</v>
      </c>
      <c r="N19" s="56"/>
      <c r="O19" s="56" t="s">
        <v>344</v>
      </c>
      <c r="P19" s="56"/>
      <c r="Q19" s="58"/>
      <c r="R19" s="58"/>
      <c r="S19" s="58"/>
      <c r="T19" s="58"/>
      <c r="U19" s="59"/>
      <c r="V19" s="56"/>
      <c r="W19" s="56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61" t="s">
        <v>52</v>
      </c>
      <c r="B20" s="60" t="s">
        <v>45</v>
      </c>
      <c r="C20" s="60" t="s">
        <v>46</v>
      </c>
      <c r="D20" s="60" t="s">
        <v>53</v>
      </c>
      <c r="E20" s="60"/>
      <c r="F20" s="60" t="s">
        <v>48</v>
      </c>
      <c r="G20" s="60" t="s">
        <v>13</v>
      </c>
      <c r="H20" s="60" t="s">
        <v>14</v>
      </c>
      <c r="I20" s="60"/>
      <c r="J20" s="60"/>
      <c r="K20" s="60"/>
      <c r="L20" s="60"/>
      <c r="M20" s="60" t="s">
        <v>373</v>
      </c>
      <c r="N20" s="60"/>
      <c r="O20" s="60" t="s">
        <v>344</v>
      </c>
      <c r="P20" s="60"/>
      <c r="Q20" s="62"/>
      <c r="R20" s="62"/>
      <c r="S20" s="62"/>
      <c r="T20" s="62"/>
      <c r="U20" s="63"/>
      <c r="V20" s="60"/>
      <c r="W20" s="60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57" t="s">
        <v>54</v>
      </c>
      <c r="B21" s="56" t="s">
        <v>55</v>
      </c>
      <c r="C21" s="56" t="s">
        <v>56</v>
      </c>
      <c r="D21" s="56">
        <v>57123358000129</v>
      </c>
      <c r="E21" s="56"/>
      <c r="F21" s="56" t="s">
        <v>57</v>
      </c>
      <c r="G21" s="56" t="s">
        <v>4</v>
      </c>
      <c r="H21" s="56" t="s">
        <v>14</v>
      </c>
      <c r="I21" s="56"/>
      <c r="J21" s="56"/>
      <c r="K21" s="56"/>
      <c r="L21" s="56"/>
      <c r="M21" s="56" t="s">
        <v>372</v>
      </c>
      <c r="N21" s="56"/>
      <c r="O21" s="56" t="s">
        <v>346</v>
      </c>
      <c r="P21" s="56"/>
      <c r="Q21" s="58"/>
      <c r="R21" s="58"/>
      <c r="S21" s="58"/>
      <c r="T21" s="58"/>
      <c r="U21" s="59"/>
      <c r="V21" s="56"/>
      <c r="W21" s="56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61" t="s">
        <v>58</v>
      </c>
      <c r="B22" s="60" t="s">
        <v>45</v>
      </c>
      <c r="C22" s="60" t="s">
        <v>59</v>
      </c>
      <c r="D22" s="60">
        <v>40870380000130</v>
      </c>
      <c r="E22" s="60"/>
      <c r="F22" s="60" t="s">
        <v>48</v>
      </c>
      <c r="G22" s="60" t="s">
        <v>4</v>
      </c>
      <c r="H22" s="60" t="s">
        <v>14</v>
      </c>
      <c r="I22" s="60"/>
      <c r="J22" s="60"/>
      <c r="K22" s="60"/>
      <c r="L22" s="60"/>
      <c r="M22" s="60" t="s">
        <v>374</v>
      </c>
      <c r="N22" s="60"/>
      <c r="O22" s="60" t="s">
        <v>345</v>
      </c>
      <c r="P22" s="60"/>
      <c r="Q22" s="62"/>
      <c r="R22" s="62"/>
      <c r="S22" s="62"/>
      <c r="T22" s="62"/>
      <c r="U22" s="63"/>
      <c r="V22" s="60"/>
      <c r="W22" s="60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57" t="s">
        <v>60</v>
      </c>
      <c r="B23" s="56" t="s">
        <v>61</v>
      </c>
      <c r="C23" s="56" t="s">
        <v>62</v>
      </c>
      <c r="D23" s="56">
        <v>26837949000134</v>
      </c>
      <c r="E23" s="56"/>
      <c r="F23" s="56" t="s">
        <v>63</v>
      </c>
      <c r="G23" s="56" t="s">
        <v>41</v>
      </c>
      <c r="H23" s="56" t="s">
        <v>5</v>
      </c>
      <c r="I23" s="56"/>
      <c r="J23" s="56"/>
      <c r="K23" s="56"/>
      <c r="L23" s="56"/>
      <c r="M23" s="56" t="s">
        <v>375</v>
      </c>
      <c r="N23" s="56"/>
      <c r="O23" s="56"/>
      <c r="P23" s="56"/>
      <c r="Q23" s="58"/>
      <c r="R23" s="58"/>
      <c r="S23" s="58"/>
      <c r="T23" s="58"/>
      <c r="U23" s="59"/>
      <c r="V23" s="56"/>
      <c r="W23" s="56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61" t="s">
        <v>64</v>
      </c>
      <c r="B24" s="60" t="s">
        <v>65</v>
      </c>
      <c r="C24" s="60" t="s">
        <v>62</v>
      </c>
      <c r="D24" s="60">
        <v>12923820000134</v>
      </c>
      <c r="E24" s="60"/>
      <c r="F24" s="60" t="s">
        <v>66</v>
      </c>
      <c r="G24" s="60" t="s">
        <v>13</v>
      </c>
      <c r="H24" s="60" t="s">
        <v>49</v>
      </c>
      <c r="I24" s="60"/>
      <c r="J24" s="60"/>
      <c r="K24" s="60"/>
      <c r="L24" s="60"/>
      <c r="M24" s="60" t="s">
        <v>373</v>
      </c>
      <c r="N24" s="60"/>
      <c r="O24" s="60" t="s">
        <v>344</v>
      </c>
      <c r="P24" s="60"/>
      <c r="Q24" s="62"/>
      <c r="R24" s="62"/>
      <c r="S24" s="62"/>
      <c r="T24" s="62"/>
      <c r="U24" s="63"/>
      <c r="V24" s="60"/>
      <c r="W24" s="60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57" t="s">
        <v>67</v>
      </c>
      <c r="B25" s="56" t="s">
        <v>68</v>
      </c>
      <c r="C25" s="56" t="s">
        <v>69</v>
      </c>
      <c r="D25" s="56" t="s">
        <v>70</v>
      </c>
      <c r="E25" s="56"/>
      <c r="F25" s="56" t="s">
        <v>71</v>
      </c>
      <c r="G25" s="56" t="s">
        <v>4</v>
      </c>
      <c r="H25" s="56" t="s">
        <v>49</v>
      </c>
      <c r="I25" s="56"/>
      <c r="J25" s="56"/>
      <c r="K25" s="56"/>
      <c r="L25" s="56"/>
      <c r="M25" s="56" t="s">
        <v>375</v>
      </c>
      <c r="N25" s="56"/>
      <c r="O25" s="56" t="s">
        <v>346</v>
      </c>
      <c r="P25" s="56"/>
      <c r="Q25" s="58"/>
      <c r="R25" s="58"/>
      <c r="S25" s="58"/>
      <c r="T25" s="58"/>
      <c r="U25" s="59"/>
      <c r="V25" s="56"/>
      <c r="W25" s="56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61" t="s">
        <v>72</v>
      </c>
      <c r="B26" s="60" t="s">
        <v>9</v>
      </c>
      <c r="C26" s="60" t="s">
        <v>24</v>
      </c>
      <c r="D26" s="60">
        <v>41597807000130</v>
      </c>
      <c r="E26" s="60"/>
      <c r="F26" s="60" t="s">
        <v>73</v>
      </c>
      <c r="G26" s="60" t="s">
        <v>4</v>
      </c>
      <c r="H26" s="60" t="s">
        <v>5</v>
      </c>
      <c r="I26" s="60"/>
      <c r="J26" s="60"/>
      <c r="K26" s="60"/>
      <c r="L26" s="60"/>
      <c r="M26" s="60" t="s">
        <v>375</v>
      </c>
      <c r="N26" s="60"/>
      <c r="O26" s="60" t="s">
        <v>344</v>
      </c>
      <c r="P26" s="60"/>
      <c r="Q26" s="62"/>
      <c r="R26" s="62"/>
      <c r="S26" s="62"/>
      <c r="T26" s="62"/>
      <c r="U26" s="63"/>
      <c r="V26" s="60"/>
      <c r="W26" s="60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57" t="s">
        <v>74</v>
      </c>
      <c r="B27" s="56" t="s">
        <v>75</v>
      </c>
      <c r="C27" s="56" t="s">
        <v>62</v>
      </c>
      <c r="D27" s="56">
        <v>21430001000146</v>
      </c>
      <c r="E27" s="56"/>
      <c r="F27" s="56" t="s">
        <v>76</v>
      </c>
      <c r="G27" s="56" t="s">
        <v>4</v>
      </c>
      <c r="H27" s="56" t="s">
        <v>5</v>
      </c>
      <c r="I27" s="56"/>
      <c r="J27" s="56"/>
      <c r="K27" s="56"/>
      <c r="L27" s="56"/>
      <c r="M27" s="56" t="s">
        <v>373</v>
      </c>
      <c r="N27" s="56"/>
      <c r="O27" s="56" t="s">
        <v>344</v>
      </c>
      <c r="P27" s="56"/>
      <c r="Q27" s="58"/>
      <c r="R27" s="58"/>
      <c r="S27" s="58"/>
      <c r="T27" s="58"/>
      <c r="U27" s="59"/>
      <c r="V27" s="56"/>
      <c r="W27" s="56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61" t="s">
        <v>77</v>
      </c>
      <c r="B28" s="60" t="s">
        <v>78</v>
      </c>
      <c r="C28" s="60" t="s">
        <v>79</v>
      </c>
      <c r="D28" s="60" t="s">
        <v>80</v>
      </c>
      <c r="E28" s="60"/>
      <c r="F28" s="60" t="s">
        <v>81</v>
      </c>
      <c r="G28" s="60" t="s">
        <v>13</v>
      </c>
      <c r="H28" s="60" t="s">
        <v>49</v>
      </c>
      <c r="I28" s="60"/>
      <c r="J28" s="60"/>
      <c r="K28" s="60"/>
      <c r="L28" s="60"/>
      <c r="M28" s="60" t="s">
        <v>373</v>
      </c>
      <c r="N28" s="60"/>
      <c r="O28" s="60" t="s">
        <v>344</v>
      </c>
      <c r="P28" s="60"/>
      <c r="Q28" s="62"/>
      <c r="R28" s="62"/>
      <c r="S28" s="62"/>
      <c r="T28" s="62"/>
      <c r="U28" s="63"/>
      <c r="V28" s="60"/>
      <c r="W28" s="60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57" t="s">
        <v>82</v>
      </c>
      <c r="B29" s="56" t="s">
        <v>78</v>
      </c>
      <c r="C29" s="56" t="s">
        <v>83</v>
      </c>
      <c r="D29" s="56">
        <v>62220305000166</v>
      </c>
      <c r="E29" s="56"/>
      <c r="F29" s="56" t="s">
        <v>81</v>
      </c>
      <c r="G29" s="56" t="s">
        <v>4</v>
      </c>
      <c r="H29" s="56" t="s">
        <v>5</v>
      </c>
      <c r="I29" s="56"/>
      <c r="J29" s="56"/>
      <c r="K29" s="56"/>
      <c r="L29" s="56"/>
      <c r="M29" s="56" t="s">
        <v>374</v>
      </c>
      <c r="N29" s="56"/>
      <c r="O29" s="56" t="s">
        <v>346</v>
      </c>
      <c r="P29" s="56"/>
      <c r="Q29" s="58"/>
      <c r="R29" s="58"/>
      <c r="S29" s="58"/>
      <c r="T29" s="58"/>
      <c r="U29" s="59"/>
      <c r="V29" s="56"/>
      <c r="W29" s="56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61" t="s">
        <v>84</v>
      </c>
      <c r="B30" s="60" t="s">
        <v>85</v>
      </c>
      <c r="C30" s="60" t="s">
        <v>46</v>
      </c>
      <c r="D30" s="60">
        <v>10712858000132</v>
      </c>
      <c r="E30" s="60"/>
      <c r="F30" s="60" t="s">
        <v>86</v>
      </c>
      <c r="G30" s="60" t="s">
        <v>13</v>
      </c>
      <c r="H30" s="60" t="s">
        <v>5</v>
      </c>
      <c r="I30" s="60"/>
      <c r="J30" s="60"/>
      <c r="K30" s="60"/>
      <c r="L30" s="60"/>
      <c r="M30" s="60" t="s">
        <v>373</v>
      </c>
      <c r="N30" s="60"/>
      <c r="O30" s="60" t="s">
        <v>346</v>
      </c>
      <c r="P30" s="60"/>
      <c r="Q30" s="62"/>
      <c r="R30" s="62"/>
      <c r="S30" s="62"/>
      <c r="T30" s="62"/>
      <c r="U30" s="63"/>
      <c r="V30" s="60"/>
      <c r="W30" s="60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57" t="s">
        <v>87</v>
      </c>
      <c r="B31" s="56" t="s">
        <v>61</v>
      </c>
      <c r="C31" s="56" t="s">
        <v>62</v>
      </c>
      <c r="D31" s="56">
        <v>53665434000177</v>
      </c>
      <c r="E31" s="56"/>
      <c r="F31" s="56" t="s">
        <v>63</v>
      </c>
      <c r="G31" s="56" t="s">
        <v>4</v>
      </c>
      <c r="H31" s="56" t="s">
        <v>5</v>
      </c>
      <c r="I31" s="56"/>
      <c r="J31" s="56"/>
      <c r="K31" s="56"/>
      <c r="L31" s="56"/>
      <c r="M31" s="56" t="s">
        <v>375</v>
      </c>
      <c r="N31" s="56"/>
      <c r="O31" s="56" t="s">
        <v>346</v>
      </c>
      <c r="P31" s="56"/>
      <c r="Q31" s="58"/>
      <c r="R31" s="58"/>
      <c r="S31" s="58"/>
      <c r="T31" s="58"/>
      <c r="U31" s="59"/>
      <c r="V31" s="56"/>
      <c r="W31" s="56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61" t="s">
        <v>88</v>
      </c>
      <c r="B32" s="60" t="s">
        <v>61</v>
      </c>
      <c r="C32" s="60" t="s">
        <v>62</v>
      </c>
      <c r="D32" s="60">
        <v>53665515000177</v>
      </c>
      <c r="E32" s="60"/>
      <c r="F32" s="60" t="s">
        <v>63</v>
      </c>
      <c r="G32" s="60" t="s">
        <v>4</v>
      </c>
      <c r="H32" s="60" t="s">
        <v>5</v>
      </c>
      <c r="I32" s="60"/>
      <c r="J32" s="60"/>
      <c r="K32" s="60"/>
      <c r="L32" s="60"/>
      <c r="M32" s="60" t="s">
        <v>375</v>
      </c>
      <c r="N32" s="60"/>
      <c r="O32" s="60" t="s">
        <v>346</v>
      </c>
      <c r="P32" s="60"/>
      <c r="Q32" s="62"/>
      <c r="R32" s="62"/>
      <c r="S32" s="62"/>
      <c r="T32" s="62"/>
      <c r="U32" s="63"/>
      <c r="V32" s="60"/>
      <c r="W32" s="60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57" t="s">
        <v>89</v>
      </c>
      <c r="B33" s="56" t="s">
        <v>61</v>
      </c>
      <c r="C33" s="56" t="s">
        <v>62</v>
      </c>
      <c r="D33" s="56">
        <v>53666225000148</v>
      </c>
      <c r="E33" s="56"/>
      <c r="F33" s="56" t="s">
        <v>63</v>
      </c>
      <c r="G33" s="56" t="s">
        <v>4</v>
      </c>
      <c r="H33" s="56" t="s">
        <v>5</v>
      </c>
      <c r="I33" s="56"/>
      <c r="J33" s="56"/>
      <c r="K33" s="56"/>
      <c r="L33" s="56"/>
      <c r="M33" s="56" t="s">
        <v>375</v>
      </c>
      <c r="N33" s="56"/>
      <c r="O33" s="56" t="s">
        <v>346</v>
      </c>
      <c r="P33" s="56"/>
      <c r="Q33" s="58"/>
      <c r="R33" s="58"/>
      <c r="S33" s="58"/>
      <c r="T33" s="58"/>
      <c r="U33" s="59"/>
      <c r="V33" s="56"/>
      <c r="W33" s="56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61" t="s">
        <v>90</v>
      </c>
      <c r="B34" s="60" t="s">
        <v>61</v>
      </c>
      <c r="C34" s="60" t="s">
        <v>62</v>
      </c>
      <c r="D34" s="60">
        <v>17845752000156</v>
      </c>
      <c r="E34" s="60"/>
      <c r="F34" s="60" t="s">
        <v>63</v>
      </c>
      <c r="G34" s="60" t="s">
        <v>41</v>
      </c>
      <c r="H34" s="60" t="s">
        <v>5</v>
      </c>
      <c r="I34" s="60"/>
      <c r="J34" s="60"/>
      <c r="K34" s="60"/>
      <c r="L34" s="60"/>
      <c r="M34" s="60" t="s">
        <v>376</v>
      </c>
      <c r="N34" s="60"/>
      <c r="O34" s="60" t="s">
        <v>346</v>
      </c>
      <c r="P34" s="60"/>
      <c r="Q34" s="62"/>
      <c r="R34" s="62"/>
      <c r="S34" s="62"/>
      <c r="T34" s="62"/>
      <c r="U34" s="63"/>
      <c r="V34" s="60"/>
      <c r="W34" s="60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57" t="s">
        <v>91</v>
      </c>
      <c r="B35" s="56" t="s">
        <v>61</v>
      </c>
      <c r="C35" s="56" t="s">
        <v>62</v>
      </c>
      <c r="D35" s="56">
        <v>17813257000165</v>
      </c>
      <c r="E35" s="56"/>
      <c r="F35" s="56" t="s">
        <v>63</v>
      </c>
      <c r="G35" s="56" t="s">
        <v>13</v>
      </c>
      <c r="H35" s="56" t="s">
        <v>5</v>
      </c>
      <c r="I35" s="56"/>
      <c r="J35" s="56"/>
      <c r="K35" s="56"/>
      <c r="L35" s="56"/>
      <c r="M35" s="56" t="s">
        <v>377</v>
      </c>
      <c r="N35" s="56"/>
      <c r="O35" s="56" t="s">
        <v>346</v>
      </c>
      <c r="P35" s="56"/>
      <c r="Q35" s="58"/>
      <c r="R35" s="58"/>
      <c r="S35" s="58"/>
      <c r="T35" s="58"/>
      <c r="U35" s="59"/>
      <c r="V35" s="56"/>
      <c r="W35" s="56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61" t="s">
        <v>92</v>
      </c>
      <c r="B36" s="60" t="s">
        <v>1</v>
      </c>
      <c r="C36" s="60" t="s">
        <v>93</v>
      </c>
      <c r="D36" s="60" t="s">
        <v>94</v>
      </c>
      <c r="E36" s="60"/>
      <c r="F36" s="60" t="s">
        <v>3</v>
      </c>
      <c r="G36" s="60" t="s">
        <v>4</v>
      </c>
      <c r="H36" s="60" t="s">
        <v>5</v>
      </c>
      <c r="I36" s="60"/>
      <c r="J36" s="60"/>
      <c r="K36" s="60"/>
      <c r="L36" s="60"/>
      <c r="M36" s="60" t="s">
        <v>373</v>
      </c>
      <c r="N36" s="60"/>
      <c r="O36" s="60" t="s">
        <v>346</v>
      </c>
      <c r="P36" s="60"/>
      <c r="Q36" s="62"/>
      <c r="R36" s="62"/>
      <c r="S36" s="62"/>
      <c r="T36" s="62"/>
      <c r="U36" s="63"/>
      <c r="V36" s="60"/>
      <c r="W36" s="60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57" t="s">
        <v>95</v>
      </c>
      <c r="B37" s="56" t="s">
        <v>96</v>
      </c>
      <c r="C37" s="56" t="s">
        <v>97</v>
      </c>
      <c r="D37" s="56" t="s">
        <v>98</v>
      </c>
      <c r="E37" s="56"/>
      <c r="F37" s="56" t="s">
        <v>99</v>
      </c>
      <c r="G37" s="56" t="s">
        <v>41</v>
      </c>
      <c r="H37" s="56" t="s">
        <v>14</v>
      </c>
      <c r="I37" s="56"/>
      <c r="J37" s="56"/>
      <c r="K37" s="56"/>
      <c r="L37" s="56"/>
      <c r="M37" s="56" t="s">
        <v>379</v>
      </c>
      <c r="N37" s="56" t="s">
        <v>358</v>
      </c>
      <c r="O37" s="56" t="s">
        <v>346</v>
      </c>
      <c r="P37" s="56"/>
      <c r="Q37" s="58"/>
      <c r="R37" s="58"/>
      <c r="S37" s="58"/>
      <c r="T37" s="58"/>
      <c r="U37" s="59"/>
      <c r="V37" s="56"/>
      <c r="W37" s="56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61" t="s">
        <v>95</v>
      </c>
      <c r="B38" s="60" t="s">
        <v>96</v>
      </c>
      <c r="C38" s="60" t="s">
        <v>97</v>
      </c>
      <c r="D38" s="60" t="s">
        <v>100</v>
      </c>
      <c r="E38" s="60"/>
      <c r="F38" s="60" t="s">
        <v>99</v>
      </c>
      <c r="G38" s="60" t="s">
        <v>13</v>
      </c>
      <c r="H38" s="60" t="s">
        <v>14</v>
      </c>
      <c r="I38" s="60"/>
      <c r="J38" s="60"/>
      <c r="K38" s="60"/>
      <c r="L38" s="60"/>
      <c r="M38" s="60" t="s">
        <v>378</v>
      </c>
      <c r="N38" s="60" t="s">
        <v>358</v>
      </c>
      <c r="O38" s="60" t="s">
        <v>346</v>
      </c>
      <c r="P38" s="60"/>
      <c r="Q38" s="62"/>
      <c r="R38" s="62"/>
      <c r="S38" s="62"/>
      <c r="T38" s="62"/>
      <c r="U38" s="63"/>
      <c r="V38" s="60"/>
      <c r="W38" s="60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57" t="s">
        <v>95</v>
      </c>
      <c r="B39" s="56" t="s">
        <v>96</v>
      </c>
      <c r="C39" s="56" t="s">
        <v>97</v>
      </c>
      <c r="D39" s="56" t="s">
        <v>101</v>
      </c>
      <c r="E39" s="56"/>
      <c r="F39" s="56" t="s">
        <v>99</v>
      </c>
      <c r="G39" s="56" t="s">
        <v>13</v>
      </c>
      <c r="H39" s="56" t="s">
        <v>14</v>
      </c>
      <c r="I39" s="56"/>
      <c r="J39" s="56"/>
      <c r="K39" s="56"/>
      <c r="L39" s="56"/>
      <c r="M39" s="56" t="s">
        <v>378</v>
      </c>
      <c r="N39" s="56" t="s">
        <v>358</v>
      </c>
      <c r="O39" s="56" t="s">
        <v>346</v>
      </c>
      <c r="P39" s="56"/>
      <c r="Q39" s="58"/>
      <c r="R39" s="58"/>
      <c r="S39" s="58"/>
      <c r="T39" s="58"/>
      <c r="U39" s="59"/>
      <c r="V39" s="56"/>
      <c r="W39" s="56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61" t="s">
        <v>95</v>
      </c>
      <c r="B40" s="60" t="s">
        <v>96</v>
      </c>
      <c r="C40" s="60" t="s">
        <v>97</v>
      </c>
      <c r="D40" s="60" t="s">
        <v>102</v>
      </c>
      <c r="E40" s="60"/>
      <c r="F40" s="60" t="s">
        <v>99</v>
      </c>
      <c r="G40" s="60" t="s">
        <v>13</v>
      </c>
      <c r="H40" s="60" t="s">
        <v>14</v>
      </c>
      <c r="I40" s="60"/>
      <c r="J40" s="60"/>
      <c r="K40" s="60"/>
      <c r="L40" s="60"/>
      <c r="M40" s="60" t="s">
        <v>378</v>
      </c>
      <c r="N40" s="60" t="s">
        <v>358</v>
      </c>
      <c r="O40" s="60" t="s">
        <v>346</v>
      </c>
      <c r="P40" s="60"/>
      <c r="Q40" s="62"/>
      <c r="R40" s="62"/>
      <c r="S40" s="62"/>
      <c r="T40" s="62"/>
      <c r="U40" s="63"/>
      <c r="V40" s="60"/>
      <c r="W40" s="60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57" t="s">
        <v>95</v>
      </c>
      <c r="B41" s="56" t="s">
        <v>96</v>
      </c>
      <c r="C41" s="56" t="s">
        <v>97</v>
      </c>
      <c r="D41" s="56" t="s">
        <v>103</v>
      </c>
      <c r="E41" s="56"/>
      <c r="F41" s="56" t="s">
        <v>99</v>
      </c>
      <c r="G41" s="56" t="s">
        <v>13</v>
      </c>
      <c r="H41" s="56" t="s">
        <v>14</v>
      </c>
      <c r="I41" s="56"/>
      <c r="J41" s="56"/>
      <c r="K41" s="56"/>
      <c r="L41" s="56"/>
      <c r="M41" s="56" t="s">
        <v>378</v>
      </c>
      <c r="N41" s="56" t="s">
        <v>358</v>
      </c>
      <c r="O41" s="56" t="s">
        <v>346</v>
      </c>
      <c r="P41" s="56"/>
      <c r="Q41" s="58"/>
      <c r="R41" s="58"/>
      <c r="S41" s="58"/>
      <c r="T41" s="58"/>
      <c r="U41" s="59"/>
      <c r="V41" s="56"/>
      <c r="W41" s="56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61" t="s">
        <v>95</v>
      </c>
      <c r="B42" s="60" t="s">
        <v>96</v>
      </c>
      <c r="C42" s="60" t="s">
        <v>104</v>
      </c>
      <c r="D42" s="60" t="s">
        <v>105</v>
      </c>
      <c r="E42" s="60"/>
      <c r="F42" s="60" t="s">
        <v>99</v>
      </c>
      <c r="G42" s="60" t="s">
        <v>13</v>
      </c>
      <c r="H42" s="60" t="s">
        <v>14</v>
      </c>
      <c r="I42" s="60"/>
      <c r="J42" s="60"/>
      <c r="K42" s="60"/>
      <c r="L42" s="60"/>
      <c r="M42" s="60" t="s">
        <v>378</v>
      </c>
      <c r="N42" s="60" t="s">
        <v>358</v>
      </c>
      <c r="O42" s="60" t="s">
        <v>346</v>
      </c>
      <c r="P42" s="60"/>
      <c r="Q42" s="62"/>
      <c r="R42" s="62"/>
      <c r="S42" s="62"/>
      <c r="T42" s="62"/>
      <c r="U42" s="63"/>
      <c r="V42" s="60"/>
      <c r="W42" s="60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57" t="s">
        <v>95</v>
      </c>
      <c r="B43" s="56" t="s">
        <v>96</v>
      </c>
      <c r="C43" s="56" t="s">
        <v>104</v>
      </c>
      <c r="D43" s="56" t="s">
        <v>106</v>
      </c>
      <c r="E43" s="56"/>
      <c r="F43" s="56" t="s">
        <v>99</v>
      </c>
      <c r="G43" s="56" t="s">
        <v>13</v>
      </c>
      <c r="H43" s="56" t="s">
        <v>14</v>
      </c>
      <c r="I43" s="56"/>
      <c r="J43" s="56"/>
      <c r="K43" s="56"/>
      <c r="L43" s="56"/>
      <c r="M43" s="56" t="s">
        <v>378</v>
      </c>
      <c r="N43" s="56" t="s">
        <v>358</v>
      </c>
      <c r="O43" s="56" t="s">
        <v>346</v>
      </c>
      <c r="P43" s="56"/>
      <c r="Q43" s="58"/>
      <c r="R43" s="58"/>
      <c r="S43" s="58"/>
      <c r="T43" s="58"/>
      <c r="U43" s="59"/>
      <c r="V43" s="56"/>
      <c r="W43" s="56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61" t="s">
        <v>107</v>
      </c>
      <c r="B44" s="60" t="s">
        <v>108</v>
      </c>
      <c r="C44" s="60" t="s">
        <v>62</v>
      </c>
      <c r="D44" s="60">
        <v>50056304000149</v>
      </c>
      <c r="E44" s="60"/>
      <c r="F44" s="60" t="s">
        <v>109</v>
      </c>
      <c r="G44" s="60" t="s">
        <v>4</v>
      </c>
      <c r="H44" s="60" t="s">
        <v>49</v>
      </c>
      <c r="I44" s="60"/>
      <c r="J44" s="60"/>
      <c r="K44" s="60"/>
      <c r="L44" s="60"/>
      <c r="M44" s="60" t="s">
        <v>375</v>
      </c>
      <c r="N44" s="60"/>
      <c r="O44" s="60" t="s">
        <v>346</v>
      </c>
      <c r="P44" s="60"/>
      <c r="Q44" s="62"/>
      <c r="R44" s="62"/>
      <c r="S44" s="62"/>
      <c r="T44" s="62"/>
      <c r="U44" s="63"/>
      <c r="V44" s="60"/>
      <c r="W44" s="60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57" t="s">
        <v>110</v>
      </c>
      <c r="B45" s="56" t="s">
        <v>108</v>
      </c>
      <c r="C45" s="56" t="s">
        <v>62</v>
      </c>
      <c r="D45" s="56">
        <v>59971731000127</v>
      </c>
      <c r="E45" s="56"/>
      <c r="F45" s="56" t="s">
        <v>109</v>
      </c>
      <c r="G45" s="56" t="s">
        <v>4</v>
      </c>
      <c r="H45" s="56" t="s">
        <v>49</v>
      </c>
      <c r="I45" s="56"/>
      <c r="J45" s="56"/>
      <c r="K45" s="56"/>
      <c r="L45" s="56"/>
      <c r="M45" s="56" t="s">
        <v>375</v>
      </c>
      <c r="N45" s="56"/>
      <c r="O45" s="56" t="s">
        <v>346</v>
      </c>
      <c r="P45" s="56"/>
      <c r="Q45" s="58"/>
      <c r="R45" s="58"/>
      <c r="S45" s="58"/>
      <c r="T45" s="58"/>
      <c r="U45" s="59"/>
      <c r="V45" s="56"/>
      <c r="W45" s="56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61" t="s">
        <v>111</v>
      </c>
      <c r="B46" s="60" t="s">
        <v>108</v>
      </c>
      <c r="C46" s="60" t="s">
        <v>69</v>
      </c>
      <c r="D46" s="60" t="s">
        <v>112</v>
      </c>
      <c r="E46" s="60"/>
      <c r="F46" s="60" t="s">
        <v>113</v>
      </c>
      <c r="G46" s="60" t="s">
        <v>13</v>
      </c>
      <c r="H46" s="60" t="s">
        <v>49</v>
      </c>
      <c r="I46" s="60"/>
      <c r="J46" s="60"/>
      <c r="K46" s="60"/>
      <c r="L46" s="60"/>
      <c r="M46" s="60" t="s">
        <v>373</v>
      </c>
      <c r="N46" s="60"/>
      <c r="O46" s="60" t="s">
        <v>344</v>
      </c>
      <c r="P46" s="60"/>
      <c r="Q46" s="62"/>
      <c r="R46" s="62"/>
      <c r="S46" s="62"/>
      <c r="T46" s="62"/>
      <c r="U46" s="63"/>
      <c r="V46" s="60"/>
      <c r="W46" s="60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57" t="s">
        <v>114</v>
      </c>
      <c r="B47" s="56" t="s">
        <v>115</v>
      </c>
      <c r="C47" s="56" t="s">
        <v>116</v>
      </c>
      <c r="D47" s="56" t="s">
        <v>117</v>
      </c>
      <c r="E47" s="56"/>
      <c r="F47" s="56" t="s">
        <v>118</v>
      </c>
      <c r="G47" s="56" t="s">
        <v>13</v>
      </c>
      <c r="H47" s="56" t="s">
        <v>14</v>
      </c>
      <c r="I47" s="56"/>
      <c r="J47" s="56"/>
      <c r="K47" s="56"/>
      <c r="L47" s="56"/>
      <c r="M47" s="56" t="s">
        <v>373</v>
      </c>
      <c r="N47" s="56"/>
      <c r="O47" s="56" t="s">
        <v>347</v>
      </c>
      <c r="P47" s="56"/>
      <c r="Q47" s="58"/>
      <c r="R47" s="58"/>
      <c r="S47" s="58"/>
      <c r="T47" s="58"/>
      <c r="U47" s="59"/>
      <c r="V47" s="56"/>
      <c r="W47" s="56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61" t="s">
        <v>119</v>
      </c>
      <c r="B48" s="60" t="s">
        <v>115</v>
      </c>
      <c r="C48" s="60" t="s">
        <v>116</v>
      </c>
      <c r="D48" s="60" t="s">
        <v>120</v>
      </c>
      <c r="E48" s="60"/>
      <c r="F48" s="60" t="s">
        <v>118</v>
      </c>
      <c r="G48" s="60" t="s">
        <v>13</v>
      </c>
      <c r="H48" s="60" t="s">
        <v>14</v>
      </c>
      <c r="I48" s="60"/>
      <c r="J48" s="60"/>
      <c r="K48" s="60"/>
      <c r="L48" s="60"/>
      <c r="M48" s="60" t="s">
        <v>372</v>
      </c>
      <c r="N48" s="60"/>
      <c r="O48" s="60" t="s">
        <v>344</v>
      </c>
      <c r="P48" s="60"/>
      <c r="Q48" s="62"/>
      <c r="R48" s="62"/>
      <c r="S48" s="62"/>
      <c r="T48" s="62"/>
      <c r="U48" s="63"/>
      <c r="V48" s="60"/>
      <c r="W48" s="60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57" t="s">
        <v>121</v>
      </c>
      <c r="B49" s="56" t="s">
        <v>115</v>
      </c>
      <c r="C49" s="56" t="s">
        <v>122</v>
      </c>
      <c r="D49" s="56">
        <v>44742752000101</v>
      </c>
      <c r="E49" s="56"/>
      <c r="F49" s="56" t="s">
        <v>118</v>
      </c>
      <c r="G49" s="56" t="s">
        <v>4</v>
      </c>
      <c r="H49" s="56" t="s">
        <v>5</v>
      </c>
      <c r="I49" s="56"/>
      <c r="J49" s="56"/>
      <c r="K49" s="56"/>
      <c r="L49" s="56"/>
      <c r="M49" s="56" t="s">
        <v>372</v>
      </c>
      <c r="N49" s="56"/>
      <c r="O49" s="56" t="s">
        <v>346</v>
      </c>
      <c r="P49" s="56"/>
      <c r="Q49" s="58"/>
      <c r="R49" s="58"/>
      <c r="S49" s="58"/>
      <c r="T49" s="58"/>
      <c r="U49" s="59"/>
      <c r="V49" s="56"/>
      <c r="W49" s="56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61" t="s">
        <v>123</v>
      </c>
      <c r="B50" s="60" t="s">
        <v>115</v>
      </c>
      <c r="C50" s="60" t="s">
        <v>116</v>
      </c>
      <c r="D50" s="60" t="s">
        <v>124</v>
      </c>
      <c r="E50" s="60"/>
      <c r="F50" s="60" t="s">
        <v>125</v>
      </c>
      <c r="G50" s="60" t="s">
        <v>13</v>
      </c>
      <c r="H50" s="60" t="s">
        <v>14</v>
      </c>
      <c r="I50" s="60"/>
      <c r="J50" s="60"/>
      <c r="K50" s="60"/>
      <c r="L50" s="60"/>
      <c r="M50" s="60" t="s">
        <v>375</v>
      </c>
      <c r="N50" s="60"/>
      <c r="O50" s="60" t="s">
        <v>346</v>
      </c>
      <c r="P50" s="60"/>
      <c r="Q50" s="62"/>
      <c r="R50" s="62"/>
      <c r="S50" s="62"/>
      <c r="T50" s="62"/>
      <c r="U50" s="63"/>
      <c r="V50" s="60"/>
      <c r="W50" s="60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57" t="s">
        <v>126</v>
      </c>
      <c r="B51" s="56" t="s">
        <v>115</v>
      </c>
      <c r="C51" s="56" t="s">
        <v>122</v>
      </c>
      <c r="D51" s="56">
        <v>44777527000100</v>
      </c>
      <c r="E51" s="56"/>
      <c r="F51" s="56" t="s">
        <v>125</v>
      </c>
      <c r="G51" s="56" t="s">
        <v>4</v>
      </c>
      <c r="H51" s="56" t="s">
        <v>5</v>
      </c>
      <c r="I51" s="56"/>
      <c r="J51" s="56"/>
      <c r="K51" s="56"/>
      <c r="L51" s="56"/>
      <c r="M51" s="56" t="s">
        <v>375</v>
      </c>
      <c r="N51" s="56"/>
      <c r="O51" s="56" t="s">
        <v>346</v>
      </c>
      <c r="P51" s="56"/>
      <c r="Q51" s="58"/>
      <c r="R51" s="58"/>
      <c r="S51" s="58"/>
      <c r="T51" s="58"/>
      <c r="U51" s="59"/>
      <c r="V51" s="56"/>
      <c r="W51" s="56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61" t="s">
        <v>127</v>
      </c>
      <c r="B52" s="60" t="s">
        <v>115</v>
      </c>
      <c r="C52" s="60" t="s">
        <v>122</v>
      </c>
      <c r="D52" s="60">
        <v>44796284000140</v>
      </c>
      <c r="E52" s="60"/>
      <c r="F52" s="60" t="s">
        <v>125</v>
      </c>
      <c r="G52" s="60" t="s">
        <v>4</v>
      </c>
      <c r="H52" s="60" t="s">
        <v>5</v>
      </c>
      <c r="I52" s="60"/>
      <c r="J52" s="60"/>
      <c r="K52" s="60"/>
      <c r="L52" s="60"/>
      <c r="M52" s="60" t="s">
        <v>375</v>
      </c>
      <c r="N52" s="60"/>
      <c r="O52" s="60" t="s">
        <v>346</v>
      </c>
      <c r="P52" s="60"/>
      <c r="Q52" s="62"/>
      <c r="R52" s="62"/>
      <c r="S52" s="62"/>
      <c r="T52" s="62"/>
      <c r="U52" s="63"/>
      <c r="V52" s="60"/>
      <c r="W52" s="60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57" t="s">
        <v>128</v>
      </c>
      <c r="B53" s="56" t="s">
        <v>129</v>
      </c>
      <c r="C53" s="56" t="s">
        <v>16</v>
      </c>
      <c r="D53" s="56" t="s">
        <v>130</v>
      </c>
      <c r="E53" s="56"/>
      <c r="F53" s="56" t="s">
        <v>109</v>
      </c>
      <c r="G53" s="56" t="s">
        <v>13</v>
      </c>
      <c r="H53" s="56" t="s">
        <v>14</v>
      </c>
      <c r="I53" s="56"/>
      <c r="J53" s="56"/>
      <c r="K53" s="56"/>
      <c r="L53" s="56"/>
      <c r="M53" s="56" t="s">
        <v>380</v>
      </c>
      <c r="N53" s="56"/>
      <c r="O53" s="56"/>
      <c r="P53" s="56"/>
      <c r="Q53" s="58"/>
      <c r="R53" s="58"/>
      <c r="S53" s="58"/>
      <c r="T53" s="58"/>
      <c r="U53" s="59"/>
      <c r="V53" s="56"/>
      <c r="W53" s="56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61" t="s">
        <v>131</v>
      </c>
      <c r="B54" s="60" t="s">
        <v>132</v>
      </c>
      <c r="C54" s="60" t="s">
        <v>62</v>
      </c>
      <c r="D54" s="60">
        <v>19318532000108</v>
      </c>
      <c r="E54" s="60"/>
      <c r="F54" s="60" t="s">
        <v>66</v>
      </c>
      <c r="G54" s="60" t="s">
        <v>4</v>
      </c>
      <c r="H54" s="60" t="s">
        <v>5</v>
      </c>
      <c r="I54" s="60"/>
      <c r="J54" s="60"/>
      <c r="K54" s="60"/>
      <c r="L54" s="60"/>
      <c r="M54" s="60" t="s">
        <v>373</v>
      </c>
      <c r="N54" s="60"/>
      <c r="O54" s="60" t="s">
        <v>344</v>
      </c>
      <c r="P54" s="60"/>
      <c r="Q54" s="62"/>
      <c r="R54" s="62"/>
      <c r="S54" s="62"/>
      <c r="T54" s="62"/>
      <c r="U54" s="63"/>
      <c r="V54" s="60"/>
      <c r="W54" s="60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57" t="s">
        <v>133</v>
      </c>
      <c r="B55" s="56" t="s">
        <v>134</v>
      </c>
      <c r="C55" s="56" t="s">
        <v>116</v>
      </c>
      <c r="D55" s="56" t="s">
        <v>135</v>
      </c>
      <c r="E55" s="56"/>
      <c r="F55" s="56" t="s">
        <v>136</v>
      </c>
      <c r="G55" s="56" t="s">
        <v>41</v>
      </c>
      <c r="H55" s="56" t="s">
        <v>5</v>
      </c>
      <c r="I55" s="56"/>
      <c r="J55" s="56"/>
      <c r="K55" s="56"/>
      <c r="L55" s="56"/>
      <c r="M55" s="56" t="s">
        <v>375</v>
      </c>
      <c r="N55" s="56"/>
      <c r="O55" s="56" t="s">
        <v>348</v>
      </c>
      <c r="P55" s="56"/>
      <c r="Q55" s="58"/>
      <c r="R55" s="58"/>
      <c r="S55" s="58"/>
      <c r="T55" s="58"/>
      <c r="U55" s="59"/>
      <c r="V55" s="56"/>
      <c r="W55" s="56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61" t="s">
        <v>137</v>
      </c>
      <c r="B56" s="60" t="s">
        <v>134</v>
      </c>
      <c r="C56" s="60" t="s">
        <v>122</v>
      </c>
      <c r="D56" s="60">
        <v>34046667000147</v>
      </c>
      <c r="E56" s="60"/>
      <c r="F56" s="60" t="s">
        <v>138</v>
      </c>
      <c r="G56" s="60" t="s">
        <v>4</v>
      </c>
      <c r="H56" s="60" t="s">
        <v>5</v>
      </c>
      <c r="I56" s="60"/>
      <c r="J56" s="60"/>
      <c r="K56" s="60"/>
      <c r="L56" s="60"/>
      <c r="M56" s="60" t="s">
        <v>381</v>
      </c>
      <c r="N56" s="60"/>
      <c r="O56" s="60" t="s">
        <v>348</v>
      </c>
      <c r="P56" s="60"/>
      <c r="Q56" s="62"/>
      <c r="R56" s="62"/>
      <c r="S56" s="62"/>
      <c r="T56" s="62"/>
      <c r="U56" s="63"/>
      <c r="V56" s="60"/>
      <c r="W56" s="60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57" t="s">
        <v>139</v>
      </c>
      <c r="B57" s="56" t="s">
        <v>134</v>
      </c>
      <c r="C57" s="56" t="s">
        <v>122</v>
      </c>
      <c r="D57" s="56">
        <v>40932575000167</v>
      </c>
      <c r="E57" s="56"/>
      <c r="F57" s="56" t="s">
        <v>140</v>
      </c>
      <c r="G57" s="56" t="s">
        <v>4</v>
      </c>
      <c r="H57" s="56" t="s">
        <v>5</v>
      </c>
      <c r="I57" s="56"/>
      <c r="J57" s="56"/>
      <c r="K57" s="56"/>
      <c r="L57" s="56"/>
      <c r="M57" s="56" t="s">
        <v>375</v>
      </c>
      <c r="N57" s="56"/>
      <c r="O57" s="56" t="s">
        <v>348</v>
      </c>
      <c r="P57" s="56"/>
      <c r="Q57" s="58"/>
      <c r="R57" s="58"/>
      <c r="S57" s="58"/>
      <c r="T57" s="58"/>
      <c r="U57" s="59"/>
      <c r="V57" s="56"/>
      <c r="W57" s="56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61" t="s">
        <v>141</v>
      </c>
      <c r="B58" s="60" t="s">
        <v>142</v>
      </c>
      <c r="C58" s="60" t="s">
        <v>62</v>
      </c>
      <c r="D58" s="60" t="s">
        <v>143</v>
      </c>
      <c r="E58" s="60"/>
      <c r="F58" s="60" t="s">
        <v>144</v>
      </c>
      <c r="G58" s="60" t="s">
        <v>13</v>
      </c>
      <c r="H58" s="60" t="s">
        <v>49</v>
      </c>
      <c r="I58" s="60"/>
      <c r="J58" s="60"/>
      <c r="K58" s="60"/>
      <c r="L58" s="60"/>
      <c r="M58" s="60" t="s">
        <v>381</v>
      </c>
      <c r="N58" s="60"/>
      <c r="O58" s="60" t="s">
        <v>344</v>
      </c>
      <c r="P58" s="60"/>
      <c r="Q58" s="62"/>
      <c r="R58" s="62"/>
      <c r="S58" s="62"/>
      <c r="T58" s="62"/>
      <c r="U58" s="63"/>
      <c r="V58" s="60"/>
      <c r="W58" s="60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57" t="s">
        <v>145</v>
      </c>
      <c r="B59" s="56" t="s">
        <v>142</v>
      </c>
      <c r="C59" s="56" t="s">
        <v>62</v>
      </c>
      <c r="D59" s="56">
        <v>60906391000130</v>
      </c>
      <c r="E59" s="56"/>
      <c r="F59" s="56" t="s">
        <v>144</v>
      </c>
      <c r="G59" s="56" t="s">
        <v>4</v>
      </c>
      <c r="H59" s="56" t="s">
        <v>49</v>
      </c>
      <c r="I59" s="56"/>
      <c r="J59" s="56"/>
      <c r="K59" s="56"/>
      <c r="L59" s="56"/>
      <c r="M59" s="56" t="s">
        <v>381</v>
      </c>
      <c r="N59" s="56"/>
      <c r="O59" s="56" t="s">
        <v>348</v>
      </c>
      <c r="P59" s="56"/>
      <c r="Q59" s="58"/>
      <c r="R59" s="58"/>
      <c r="S59" s="58"/>
      <c r="T59" s="58"/>
      <c r="U59" s="59"/>
      <c r="V59" s="56"/>
      <c r="W59" s="56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61" t="s">
        <v>146</v>
      </c>
      <c r="B60" s="60" t="s">
        <v>75</v>
      </c>
      <c r="C60" s="60" t="s">
        <v>62</v>
      </c>
      <c r="D60" s="60">
        <v>41762299000107</v>
      </c>
      <c r="E60" s="60"/>
      <c r="F60" s="60" t="s">
        <v>147</v>
      </c>
      <c r="G60" s="60" t="s">
        <v>4</v>
      </c>
      <c r="H60" s="60" t="s">
        <v>5</v>
      </c>
      <c r="I60" s="60"/>
      <c r="J60" s="60"/>
      <c r="K60" s="60"/>
      <c r="L60" s="60"/>
      <c r="M60" s="60" t="s">
        <v>375</v>
      </c>
      <c r="N60" s="60"/>
      <c r="O60" s="60" t="s">
        <v>349</v>
      </c>
      <c r="P60" s="60"/>
      <c r="Q60" s="62"/>
      <c r="R60" s="62"/>
      <c r="S60" s="62"/>
      <c r="T60" s="62"/>
      <c r="U60" s="63"/>
      <c r="V60" s="60"/>
      <c r="W60" s="60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57" t="s">
        <v>148</v>
      </c>
      <c r="B61" s="56" t="s">
        <v>149</v>
      </c>
      <c r="C61" s="56" t="s">
        <v>59</v>
      </c>
      <c r="D61" s="56">
        <v>52090662000101</v>
      </c>
      <c r="E61" s="56"/>
      <c r="F61" s="56" t="s">
        <v>150</v>
      </c>
      <c r="G61" s="56" t="s">
        <v>4</v>
      </c>
      <c r="H61" s="56" t="s">
        <v>5</v>
      </c>
      <c r="I61" s="56"/>
      <c r="J61" s="56"/>
      <c r="K61" s="56"/>
      <c r="L61" s="56"/>
      <c r="M61" s="56" t="s">
        <v>375</v>
      </c>
      <c r="N61" s="56"/>
      <c r="O61" s="56" t="s">
        <v>348</v>
      </c>
      <c r="P61" s="56"/>
      <c r="Q61" s="58"/>
      <c r="R61" s="58"/>
      <c r="S61" s="58"/>
      <c r="T61" s="58"/>
      <c r="U61" s="59"/>
      <c r="V61" s="56"/>
      <c r="W61" s="56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61" t="s">
        <v>151</v>
      </c>
      <c r="B62" s="60" t="s">
        <v>149</v>
      </c>
      <c r="C62" s="60" t="s">
        <v>46</v>
      </c>
      <c r="D62" s="60" t="s">
        <v>152</v>
      </c>
      <c r="E62" s="60"/>
      <c r="F62" s="60" t="s">
        <v>150</v>
      </c>
      <c r="G62" s="60" t="s">
        <v>13</v>
      </c>
      <c r="H62" s="60" t="s">
        <v>49</v>
      </c>
      <c r="I62" s="60"/>
      <c r="J62" s="60"/>
      <c r="K62" s="60"/>
      <c r="L62" s="60"/>
      <c r="M62" s="60" t="s">
        <v>373</v>
      </c>
      <c r="N62" s="60"/>
      <c r="O62" s="60" t="s">
        <v>344</v>
      </c>
      <c r="P62" s="60"/>
      <c r="Q62" s="62"/>
      <c r="R62" s="62"/>
      <c r="S62" s="62"/>
      <c r="T62" s="62"/>
      <c r="U62" s="63"/>
      <c r="V62" s="60"/>
      <c r="W62" s="60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57" t="s">
        <v>153</v>
      </c>
      <c r="B63" s="56" t="s">
        <v>149</v>
      </c>
      <c r="C63" s="56" t="s">
        <v>46</v>
      </c>
      <c r="D63" s="56" t="s">
        <v>154</v>
      </c>
      <c r="E63" s="56"/>
      <c r="F63" s="56" t="s">
        <v>150</v>
      </c>
      <c r="G63" s="56" t="s">
        <v>13</v>
      </c>
      <c r="H63" s="56" t="s">
        <v>49</v>
      </c>
      <c r="I63" s="56"/>
      <c r="J63" s="56"/>
      <c r="K63" s="56"/>
      <c r="L63" s="56"/>
      <c r="M63" s="56" t="s">
        <v>373</v>
      </c>
      <c r="N63" s="56"/>
      <c r="O63" s="56" t="s">
        <v>344</v>
      </c>
      <c r="P63" s="56"/>
      <c r="Q63" s="58"/>
      <c r="R63" s="58"/>
      <c r="S63" s="58"/>
      <c r="T63" s="58"/>
      <c r="U63" s="59"/>
      <c r="V63" s="56"/>
      <c r="W63" s="56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61" t="s">
        <v>155</v>
      </c>
      <c r="B64" s="60" t="s">
        <v>61</v>
      </c>
      <c r="C64" s="60" t="s">
        <v>62</v>
      </c>
      <c r="D64" s="60">
        <v>8587897000103</v>
      </c>
      <c r="E64" s="60"/>
      <c r="F64" s="60" t="s">
        <v>63</v>
      </c>
      <c r="G64" s="60" t="s">
        <v>41</v>
      </c>
      <c r="H64" s="60" t="s">
        <v>5</v>
      </c>
      <c r="I64" s="60"/>
      <c r="J64" s="60"/>
      <c r="K64" s="60"/>
      <c r="L64" s="60"/>
      <c r="M64" s="60" t="s">
        <v>375</v>
      </c>
      <c r="N64" s="60"/>
      <c r="O64" s="60" t="s">
        <v>348</v>
      </c>
      <c r="P64" s="60"/>
      <c r="Q64" s="62"/>
      <c r="R64" s="62"/>
      <c r="S64" s="62"/>
      <c r="T64" s="62"/>
      <c r="U64" s="63"/>
      <c r="V64" s="60"/>
      <c r="W64" s="60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57" t="s">
        <v>156</v>
      </c>
      <c r="B65" s="56" t="s">
        <v>61</v>
      </c>
      <c r="C65" s="56" t="s">
        <v>62</v>
      </c>
      <c r="D65" s="56">
        <v>17845713000159</v>
      </c>
      <c r="E65" s="56"/>
      <c r="F65" s="56" t="s">
        <v>63</v>
      </c>
      <c r="G65" s="56" t="s">
        <v>41</v>
      </c>
      <c r="H65" s="56" t="s">
        <v>5</v>
      </c>
      <c r="I65" s="56"/>
      <c r="J65" s="56"/>
      <c r="K65" s="56"/>
      <c r="L65" s="56"/>
      <c r="M65" s="56" t="s">
        <v>375</v>
      </c>
      <c r="N65" s="56"/>
      <c r="O65" s="56" t="s">
        <v>348</v>
      </c>
      <c r="P65" s="56"/>
      <c r="Q65" s="58"/>
      <c r="R65" s="58"/>
      <c r="S65" s="58"/>
      <c r="T65" s="58"/>
      <c r="U65" s="59"/>
      <c r="V65" s="56"/>
      <c r="W65" s="56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61" t="s">
        <v>157</v>
      </c>
      <c r="B66" s="60" t="s">
        <v>61</v>
      </c>
      <c r="C66" s="60" t="s">
        <v>62</v>
      </c>
      <c r="D66" s="60">
        <v>37646098000169</v>
      </c>
      <c r="E66" s="60"/>
      <c r="F66" s="60" t="s">
        <v>63</v>
      </c>
      <c r="G66" s="60" t="s">
        <v>41</v>
      </c>
      <c r="H66" s="60" t="s">
        <v>5</v>
      </c>
      <c r="I66" s="60"/>
      <c r="J66" s="60"/>
      <c r="K66" s="60"/>
      <c r="L66" s="60"/>
      <c r="M66" s="60" t="s">
        <v>375</v>
      </c>
      <c r="N66" s="60"/>
      <c r="O66" s="60" t="s">
        <v>350</v>
      </c>
      <c r="P66" s="60"/>
      <c r="Q66" s="62"/>
      <c r="R66" s="62"/>
      <c r="S66" s="62"/>
      <c r="T66" s="62"/>
      <c r="U66" s="63"/>
      <c r="V66" s="60"/>
      <c r="W66" s="60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57" t="s">
        <v>158</v>
      </c>
      <c r="B67" s="56" t="s">
        <v>159</v>
      </c>
      <c r="C67" s="56" t="s">
        <v>62</v>
      </c>
      <c r="D67" s="56">
        <v>44470328000147</v>
      </c>
      <c r="E67" s="56"/>
      <c r="F67" s="56" t="s">
        <v>160</v>
      </c>
      <c r="G67" s="56" t="s">
        <v>4</v>
      </c>
      <c r="H67" s="56" t="s">
        <v>5</v>
      </c>
      <c r="I67" s="56"/>
      <c r="J67" s="56"/>
      <c r="K67" s="56"/>
      <c r="L67" s="56"/>
      <c r="M67" s="56" t="s">
        <v>373</v>
      </c>
      <c r="N67" s="56"/>
      <c r="O67" s="56" t="s">
        <v>344</v>
      </c>
      <c r="P67" s="56"/>
      <c r="Q67" s="58"/>
      <c r="R67" s="58"/>
      <c r="S67" s="58"/>
      <c r="T67" s="58"/>
      <c r="U67" s="59"/>
      <c r="V67" s="56"/>
      <c r="W67" s="56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61" t="s">
        <v>161</v>
      </c>
      <c r="B68" s="60" t="s">
        <v>162</v>
      </c>
      <c r="C68" s="60" t="s">
        <v>163</v>
      </c>
      <c r="D68" s="60" t="s">
        <v>164</v>
      </c>
      <c r="E68" s="60"/>
      <c r="F68" s="60"/>
      <c r="G68" s="60" t="s">
        <v>41</v>
      </c>
      <c r="H68" s="60" t="s">
        <v>14</v>
      </c>
      <c r="I68" s="60"/>
      <c r="J68" s="60"/>
      <c r="K68" s="60"/>
      <c r="L68" s="60"/>
      <c r="M68" s="60" t="s">
        <v>381</v>
      </c>
      <c r="N68" s="60" t="s">
        <v>358</v>
      </c>
      <c r="O68" s="60" t="s">
        <v>358</v>
      </c>
      <c r="P68" s="60"/>
      <c r="Q68" s="62"/>
      <c r="R68" s="62"/>
      <c r="S68" s="62"/>
      <c r="T68" s="62"/>
      <c r="U68" s="63"/>
      <c r="V68" s="60"/>
      <c r="W68" s="60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57" t="s">
        <v>165</v>
      </c>
      <c r="B69" s="56" t="s">
        <v>162</v>
      </c>
      <c r="C69" s="56" t="s">
        <v>163</v>
      </c>
      <c r="D69" s="56" t="s">
        <v>166</v>
      </c>
      <c r="E69" s="56"/>
      <c r="F69" s="56" t="s">
        <v>167</v>
      </c>
      <c r="G69" s="56" t="s">
        <v>13</v>
      </c>
      <c r="H69" s="56" t="s">
        <v>14</v>
      </c>
      <c r="I69" s="56"/>
      <c r="J69" s="56"/>
      <c r="K69" s="56"/>
      <c r="L69" s="56"/>
      <c r="M69" s="56" t="s">
        <v>381</v>
      </c>
      <c r="N69" s="56" t="s">
        <v>358</v>
      </c>
      <c r="O69" s="56" t="s">
        <v>358</v>
      </c>
      <c r="P69" s="56"/>
      <c r="Q69" s="58"/>
      <c r="R69" s="58"/>
      <c r="S69" s="58"/>
      <c r="T69" s="58"/>
      <c r="U69" s="59"/>
      <c r="V69" s="56"/>
      <c r="W69" s="56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61" t="s">
        <v>168</v>
      </c>
      <c r="B70" s="60" t="s">
        <v>162</v>
      </c>
      <c r="C70" s="60" t="s">
        <v>163</v>
      </c>
      <c r="D70" s="60" t="s">
        <v>169</v>
      </c>
      <c r="E70" s="60"/>
      <c r="F70" s="60" t="s">
        <v>167</v>
      </c>
      <c r="G70" s="60" t="s">
        <v>13</v>
      </c>
      <c r="H70" s="60" t="s">
        <v>14</v>
      </c>
      <c r="I70" s="60"/>
      <c r="J70" s="60"/>
      <c r="K70" s="60"/>
      <c r="L70" s="60"/>
      <c r="M70" s="60" t="s">
        <v>381</v>
      </c>
      <c r="N70" s="60" t="s">
        <v>358</v>
      </c>
      <c r="O70" s="60" t="s">
        <v>358</v>
      </c>
      <c r="P70" s="60"/>
      <c r="Q70" s="62"/>
      <c r="R70" s="62"/>
      <c r="S70" s="62"/>
      <c r="T70" s="62"/>
      <c r="U70" s="63"/>
      <c r="V70" s="60"/>
      <c r="W70" s="60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57" t="s">
        <v>170</v>
      </c>
      <c r="B71" s="56" t="s">
        <v>162</v>
      </c>
      <c r="C71" s="56" t="s">
        <v>163</v>
      </c>
      <c r="D71" s="56" t="s">
        <v>171</v>
      </c>
      <c r="E71" s="56"/>
      <c r="F71" s="56" t="s">
        <v>167</v>
      </c>
      <c r="G71" s="56" t="s">
        <v>13</v>
      </c>
      <c r="H71" s="56" t="s">
        <v>14</v>
      </c>
      <c r="I71" s="56"/>
      <c r="J71" s="56"/>
      <c r="K71" s="56"/>
      <c r="L71" s="56"/>
      <c r="M71" s="56" t="s">
        <v>381</v>
      </c>
      <c r="N71" s="56" t="s">
        <v>358</v>
      </c>
      <c r="O71" s="56" t="s">
        <v>358</v>
      </c>
      <c r="P71" s="56"/>
      <c r="Q71" s="58"/>
      <c r="R71" s="58"/>
      <c r="S71" s="58"/>
      <c r="T71" s="58"/>
      <c r="U71" s="59"/>
      <c r="V71" s="56"/>
      <c r="W71" s="56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61" t="s">
        <v>172</v>
      </c>
      <c r="B72" s="60" t="s">
        <v>162</v>
      </c>
      <c r="C72" s="60" t="s">
        <v>163</v>
      </c>
      <c r="D72" s="60" t="s">
        <v>173</v>
      </c>
      <c r="E72" s="60"/>
      <c r="F72" s="60" t="s">
        <v>167</v>
      </c>
      <c r="G72" s="60" t="s">
        <v>13</v>
      </c>
      <c r="H72" s="60" t="s">
        <v>14</v>
      </c>
      <c r="I72" s="60"/>
      <c r="J72" s="60"/>
      <c r="K72" s="60"/>
      <c r="L72" s="60"/>
      <c r="M72" s="60" t="s">
        <v>381</v>
      </c>
      <c r="N72" s="60" t="s">
        <v>358</v>
      </c>
      <c r="O72" s="60" t="s">
        <v>358</v>
      </c>
      <c r="P72" s="60"/>
      <c r="Q72" s="62"/>
      <c r="R72" s="62"/>
      <c r="S72" s="62"/>
      <c r="T72" s="62"/>
      <c r="U72" s="63"/>
      <c r="V72" s="60"/>
      <c r="W72" s="60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57" t="s">
        <v>174</v>
      </c>
      <c r="B73" s="56" t="s">
        <v>162</v>
      </c>
      <c r="C73" s="56" t="s">
        <v>163</v>
      </c>
      <c r="D73" s="56" t="s">
        <v>175</v>
      </c>
      <c r="E73" s="56"/>
      <c r="F73" s="56" t="s">
        <v>167</v>
      </c>
      <c r="G73" s="56" t="s">
        <v>13</v>
      </c>
      <c r="H73" s="56" t="s">
        <v>14</v>
      </c>
      <c r="I73" s="56"/>
      <c r="J73" s="56"/>
      <c r="K73" s="56"/>
      <c r="L73" s="56"/>
      <c r="M73" s="56" t="s">
        <v>381</v>
      </c>
      <c r="N73" s="56" t="s">
        <v>358</v>
      </c>
      <c r="O73" s="56" t="s">
        <v>358</v>
      </c>
      <c r="P73" s="56"/>
      <c r="Q73" s="58"/>
      <c r="R73" s="58"/>
      <c r="S73" s="58"/>
      <c r="T73" s="58"/>
      <c r="U73" s="59"/>
      <c r="V73" s="56"/>
      <c r="W73" s="56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61" t="s">
        <v>176</v>
      </c>
      <c r="B74" s="60" t="s">
        <v>162</v>
      </c>
      <c r="C74" s="60" t="s">
        <v>163</v>
      </c>
      <c r="D74" s="60" t="s">
        <v>177</v>
      </c>
      <c r="E74" s="60"/>
      <c r="F74" s="60"/>
      <c r="G74" s="60" t="s">
        <v>4</v>
      </c>
      <c r="H74" s="60" t="s">
        <v>14</v>
      </c>
      <c r="I74" s="60"/>
      <c r="J74" s="60"/>
      <c r="K74" s="60"/>
      <c r="L74" s="60"/>
      <c r="M74" s="60" t="s">
        <v>381</v>
      </c>
      <c r="N74" s="60" t="s">
        <v>358</v>
      </c>
      <c r="O74" s="60" t="s">
        <v>347</v>
      </c>
      <c r="P74" s="60"/>
      <c r="Q74" s="62"/>
      <c r="R74" s="62"/>
      <c r="S74" s="62"/>
      <c r="T74" s="62"/>
      <c r="U74" s="63"/>
      <c r="V74" s="60"/>
      <c r="W74" s="60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57" t="s">
        <v>178</v>
      </c>
      <c r="B75" s="56" t="s">
        <v>162</v>
      </c>
      <c r="C75" s="56" t="s">
        <v>163</v>
      </c>
      <c r="D75" s="56" t="s">
        <v>179</v>
      </c>
      <c r="E75" s="56"/>
      <c r="F75" s="56"/>
      <c r="G75" s="56" t="s">
        <v>4</v>
      </c>
      <c r="H75" s="56" t="s">
        <v>14</v>
      </c>
      <c r="I75" s="56"/>
      <c r="J75" s="56"/>
      <c r="K75" s="56"/>
      <c r="L75" s="56"/>
      <c r="M75" s="56" t="s">
        <v>381</v>
      </c>
      <c r="N75" s="56" t="s">
        <v>358</v>
      </c>
      <c r="O75" s="56" t="s">
        <v>347</v>
      </c>
      <c r="P75" s="56"/>
      <c r="Q75" s="58"/>
      <c r="R75" s="58"/>
      <c r="S75" s="58"/>
      <c r="T75" s="58"/>
      <c r="U75" s="59"/>
      <c r="V75" s="56"/>
      <c r="W75" s="56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61" t="s">
        <v>180</v>
      </c>
      <c r="B76" s="60" t="s">
        <v>9</v>
      </c>
      <c r="C76" s="60" t="s">
        <v>24</v>
      </c>
      <c r="D76" s="60">
        <v>10977876000146</v>
      </c>
      <c r="E76" s="60"/>
      <c r="F76" s="60" t="s">
        <v>12</v>
      </c>
      <c r="G76" s="60" t="s">
        <v>4</v>
      </c>
      <c r="H76" s="60" t="s">
        <v>5</v>
      </c>
      <c r="I76" s="60"/>
      <c r="J76" s="60"/>
      <c r="K76" s="60"/>
      <c r="L76" s="60"/>
      <c r="M76" s="60" t="s">
        <v>381</v>
      </c>
      <c r="N76" s="60"/>
      <c r="O76" s="60" t="s">
        <v>348</v>
      </c>
      <c r="P76" s="60"/>
      <c r="Q76" s="62"/>
      <c r="R76" s="62"/>
      <c r="S76" s="62"/>
      <c r="T76" s="62"/>
      <c r="U76" s="63"/>
      <c r="V76" s="60"/>
      <c r="W76" s="60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57" t="s">
        <v>181</v>
      </c>
      <c r="B77" s="56" t="s">
        <v>182</v>
      </c>
      <c r="C77" s="56" t="s">
        <v>79</v>
      </c>
      <c r="D77" s="56" t="s">
        <v>183</v>
      </c>
      <c r="E77" s="56"/>
      <c r="F77" s="56" t="s">
        <v>184</v>
      </c>
      <c r="G77" s="56" t="s">
        <v>13</v>
      </c>
      <c r="H77" s="56" t="s">
        <v>5</v>
      </c>
      <c r="I77" s="56"/>
      <c r="J77" s="56"/>
      <c r="K77" s="56"/>
      <c r="L77" s="56"/>
      <c r="M77" s="56" t="s">
        <v>371</v>
      </c>
      <c r="N77" s="56"/>
      <c r="O77" s="56" t="s">
        <v>348</v>
      </c>
      <c r="P77" s="56"/>
      <c r="Q77" s="58"/>
      <c r="R77" s="58"/>
      <c r="S77" s="58"/>
      <c r="T77" s="58"/>
      <c r="U77" s="59"/>
      <c r="V77" s="56"/>
      <c r="W77" s="56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61" t="s">
        <v>185</v>
      </c>
      <c r="B78" s="60" t="s">
        <v>182</v>
      </c>
      <c r="C78" s="60" t="s">
        <v>79</v>
      </c>
      <c r="D78" s="60" t="s">
        <v>186</v>
      </c>
      <c r="E78" s="60"/>
      <c r="F78" s="60" t="s">
        <v>184</v>
      </c>
      <c r="G78" s="60" t="s">
        <v>13</v>
      </c>
      <c r="H78" s="60" t="s">
        <v>14</v>
      </c>
      <c r="I78" s="60"/>
      <c r="J78" s="60"/>
      <c r="K78" s="60"/>
      <c r="L78" s="60"/>
      <c r="M78" s="60" t="s">
        <v>352</v>
      </c>
      <c r="N78" s="60"/>
      <c r="O78" s="60" t="s">
        <v>351</v>
      </c>
      <c r="P78" s="60"/>
      <c r="Q78" s="62"/>
      <c r="R78" s="62"/>
      <c r="S78" s="62"/>
      <c r="T78" s="62"/>
      <c r="U78" s="63"/>
      <c r="V78" s="60"/>
      <c r="W78" s="60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57" t="s">
        <v>187</v>
      </c>
      <c r="B79" s="56" t="s">
        <v>188</v>
      </c>
      <c r="C79" s="56" t="s">
        <v>62</v>
      </c>
      <c r="D79" s="56">
        <v>40920539000183</v>
      </c>
      <c r="E79" s="56"/>
      <c r="F79" s="56" t="s">
        <v>189</v>
      </c>
      <c r="G79" s="56" t="s">
        <v>4</v>
      </c>
      <c r="H79" s="56" t="s">
        <v>5</v>
      </c>
      <c r="I79" s="56"/>
      <c r="J79" s="56"/>
      <c r="K79" s="56"/>
      <c r="L79" s="56"/>
      <c r="M79" s="56" t="s">
        <v>381</v>
      </c>
      <c r="N79" s="56"/>
      <c r="O79" s="56"/>
      <c r="P79" s="56"/>
      <c r="Q79" s="58"/>
      <c r="R79" s="58"/>
      <c r="S79" s="58"/>
      <c r="T79" s="58"/>
      <c r="U79" s="59"/>
      <c r="V79" s="56"/>
      <c r="W79" s="56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61" t="s">
        <v>190</v>
      </c>
      <c r="B80" s="60" t="s">
        <v>188</v>
      </c>
      <c r="C80" s="60" t="s">
        <v>69</v>
      </c>
      <c r="D80" s="60" t="s">
        <v>191</v>
      </c>
      <c r="E80" s="60"/>
      <c r="F80" s="60" t="s">
        <v>189</v>
      </c>
      <c r="G80" s="60" t="s">
        <v>41</v>
      </c>
      <c r="H80" s="60" t="s">
        <v>5</v>
      </c>
      <c r="I80" s="60"/>
      <c r="J80" s="60"/>
      <c r="K80" s="60"/>
      <c r="L80" s="60"/>
      <c r="M80" s="60" t="s">
        <v>375</v>
      </c>
      <c r="N80" s="60"/>
      <c r="O80" s="60" t="s">
        <v>347</v>
      </c>
      <c r="P80" s="60"/>
      <c r="Q80" s="62"/>
      <c r="R80" s="62"/>
      <c r="S80" s="62"/>
      <c r="T80" s="62"/>
      <c r="U80" s="63"/>
      <c r="V80" s="60"/>
      <c r="W80" s="60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57" t="s">
        <v>192</v>
      </c>
      <c r="B81" s="56" t="s">
        <v>188</v>
      </c>
      <c r="C81" s="56" t="s">
        <v>69</v>
      </c>
      <c r="D81" s="56" t="s">
        <v>193</v>
      </c>
      <c r="E81" s="56"/>
      <c r="F81" s="56" t="s">
        <v>189</v>
      </c>
      <c r="G81" s="56" t="s">
        <v>13</v>
      </c>
      <c r="H81" s="56" t="s">
        <v>14</v>
      </c>
      <c r="I81" s="56"/>
      <c r="J81" s="56"/>
      <c r="K81" s="56"/>
      <c r="L81" s="56"/>
      <c r="M81" s="56" t="s">
        <v>382</v>
      </c>
      <c r="N81" s="56"/>
      <c r="O81" s="56" t="s">
        <v>344</v>
      </c>
      <c r="P81" s="56"/>
      <c r="Q81" s="58"/>
      <c r="R81" s="58"/>
      <c r="S81" s="58"/>
      <c r="T81" s="58"/>
      <c r="U81" s="59"/>
      <c r="V81" s="56"/>
      <c r="W81" s="56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61" t="s">
        <v>194</v>
      </c>
      <c r="B82" s="60" t="s">
        <v>1</v>
      </c>
      <c r="C82" s="60" t="s">
        <v>195</v>
      </c>
      <c r="D82" s="60" t="s">
        <v>196</v>
      </c>
      <c r="E82" s="60"/>
      <c r="F82" s="60" t="s">
        <v>3</v>
      </c>
      <c r="G82" s="60" t="s">
        <v>197</v>
      </c>
      <c r="H82" s="60" t="s">
        <v>49</v>
      </c>
      <c r="I82" s="60"/>
      <c r="J82" s="60"/>
      <c r="K82" s="60"/>
      <c r="L82" s="60"/>
      <c r="M82" s="60" t="s">
        <v>372</v>
      </c>
      <c r="N82" s="60" t="s">
        <v>357</v>
      </c>
      <c r="O82" s="60" t="s">
        <v>348</v>
      </c>
      <c r="P82" s="60"/>
      <c r="Q82" s="62"/>
      <c r="R82" s="62"/>
      <c r="S82" s="62"/>
      <c r="T82" s="62"/>
      <c r="U82" s="63"/>
      <c r="V82" s="60"/>
      <c r="W82" s="60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57" t="s">
        <v>198</v>
      </c>
      <c r="B83" s="56" t="s">
        <v>1</v>
      </c>
      <c r="C83" s="56" t="s">
        <v>195</v>
      </c>
      <c r="D83" s="56" t="s">
        <v>199</v>
      </c>
      <c r="E83" s="56"/>
      <c r="F83" s="56" t="s">
        <v>3</v>
      </c>
      <c r="G83" s="56" t="s">
        <v>4</v>
      </c>
      <c r="H83" s="56" t="s">
        <v>49</v>
      </c>
      <c r="I83" s="56"/>
      <c r="J83" s="56"/>
      <c r="K83" s="56"/>
      <c r="L83" s="56"/>
      <c r="M83" s="56" t="s">
        <v>372</v>
      </c>
      <c r="N83" s="56" t="s">
        <v>357</v>
      </c>
      <c r="O83" s="56" t="s">
        <v>348</v>
      </c>
      <c r="P83" s="56"/>
      <c r="Q83" s="58"/>
      <c r="R83" s="58"/>
      <c r="S83" s="58"/>
      <c r="T83" s="58"/>
      <c r="U83" s="59"/>
      <c r="V83" s="56"/>
      <c r="W83" s="56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61" t="s">
        <v>200</v>
      </c>
      <c r="B84" s="60" t="s">
        <v>1</v>
      </c>
      <c r="C84" s="60" t="s">
        <v>195</v>
      </c>
      <c r="D84" s="60" t="s">
        <v>201</v>
      </c>
      <c r="E84" s="60"/>
      <c r="F84" s="60" t="s">
        <v>3</v>
      </c>
      <c r="G84" s="60" t="s">
        <v>4</v>
      </c>
      <c r="H84" s="60" t="s">
        <v>49</v>
      </c>
      <c r="I84" s="60"/>
      <c r="J84" s="60"/>
      <c r="K84" s="60"/>
      <c r="L84" s="60"/>
      <c r="M84" s="60" t="s">
        <v>372</v>
      </c>
      <c r="N84" s="60" t="s">
        <v>357</v>
      </c>
      <c r="O84" s="60" t="s">
        <v>348</v>
      </c>
      <c r="P84" s="60"/>
      <c r="Q84" s="62"/>
      <c r="R84" s="62"/>
      <c r="S84" s="62"/>
      <c r="T84" s="62"/>
      <c r="U84" s="63"/>
      <c r="V84" s="60"/>
      <c r="W84" s="60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57" t="s">
        <v>202</v>
      </c>
      <c r="B85" s="56" t="s">
        <v>203</v>
      </c>
      <c r="C85" s="56" t="s">
        <v>204</v>
      </c>
      <c r="D85" s="56">
        <v>48579725000102</v>
      </c>
      <c r="E85" s="56"/>
      <c r="F85" s="56" t="s">
        <v>205</v>
      </c>
      <c r="G85" s="56" t="s">
        <v>13</v>
      </c>
      <c r="H85" s="56" t="s">
        <v>5</v>
      </c>
      <c r="I85" s="56"/>
      <c r="J85" s="56"/>
      <c r="K85" s="56"/>
      <c r="L85" s="56"/>
      <c r="M85" s="56" t="s">
        <v>375</v>
      </c>
      <c r="N85" s="56"/>
      <c r="O85" s="56" t="s">
        <v>353</v>
      </c>
      <c r="P85" s="56"/>
      <c r="Q85" s="58"/>
      <c r="R85" s="58"/>
      <c r="S85" s="58"/>
      <c r="T85" s="58"/>
      <c r="U85" s="59"/>
      <c r="V85" s="56"/>
      <c r="W85" s="56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61" t="s">
        <v>206</v>
      </c>
      <c r="B86" s="60" t="s">
        <v>207</v>
      </c>
      <c r="C86" s="60" t="s">
        <v>62</v>
      </c>
      <c r="D86" s="60">
        <v>21879417000146</v>
      </c>
      <c r="E86" s="60"/>
      <c r="F86" s="60" t="s">
        <v>208</v>
      </c>
      <c r="G86" s="60" t="s">
        <v>41</v>
      </c>
      <c r="H86" s="60" t="s">
        <v>5</v>
      </c>
      <c r="I86" s="60"/>
      <c r="J86" s="60"/>
      <c r="K86" s="60"/>
      <c r="L86" s="60"/>
      <c r="M86" s="60" t="s">
        <v>375</v>
      </c>
      <c r="N86" s="60"/>
      <c r="O86" s="60" t="s">
        <v>346</v>
      </c>
      <c r="P86" s="60"/>
      <c r="Q86" s="62"/>
      <c r="R86" s="62"/>
      <c r="S86" s="62"/>
      <c r="T86" s="62"/>
      <c r="U86" s="63"/>
      <c r="V86" s="60"/>
      <c r="W86" s="60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57" t="s">
        <v>209</v>
      </c>
      <c r="B87" s="56" t="s">
        <v>207</v>
      </c>
      <c r="C87" s="56" t="s">
        <v>62</v>
      </c>
      <c r="D87" s="56" t="s">
        <v>384</v>
      </c>
      <c r="E87" s="56"/>
      <c r="F87" s="56" t="s">
        <v>208</v>
      </c>
      <c r="G87" s="56" t="s">
        <v>4</v>
      </c>
      <c r="H87" s="56" t="s">
        <v>5</v>
      </c>
      <c r="I87" s="56"/>
      <c r="J87" s="56"/>
      <c r="K87" s="56"/>
      <c r="L87" s="56"/>
      <c r="M87" s="56" t="s">
        <v>375</v>
      </c>
      <c r="N87" s="56"/>
      <c r="O87" s="56" t="s">
        <v>346</v>
      </c>
      <c r="P87" s="56"/>
      <c r="Q87" s="58"/>
      <c r="R87" s="58"/>
      <c r="S87" s="58"/>
      <c r="T87" s="58"/>
      <c r="U87" s="59"/>
      <c r="V87" s="56"/>
      <c r="W87" s="56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61" t="s">
        <v>210</v>
      </c>
      <c r="B88" s="60" t="s">
        <v>211</v>
      </c>
      <c r="C88" s="60" t="s">
        <v>69</v>
      </c>
      <c r="D88" s="60" t="s">
        <v>383</v>
      </c>
      <c r="E88" s="60"/>
      <c r="F88" s="60"/>
      <c r="G88" s="60" t="s">
        <v>4</v>
      </c>
      <c r="H88" s="60" t="s">
        <v>49</v>
      </c>
      <c r="I88" s="60"/>
      <c r="J88" s="60"/>
      <c r="K88" s="60"/>
      <c r="L88" s="60"/>
      <c r="M88" s="60" t="s">
        <v>375</v>
      </c>
      <c r="N88" s="60"/>
      <c r="O88" s="60" t="s">
        <v>346</v>
      </c>
      <c r="P88" s="60"/>
      <c r="Q88" s="62"/>
      <c r="R88" s="62"/>
      <c r="S88" s="62"/>
      <c r="T88" s="62"/>
      <c r="U88" s="63"/>
      <c r="V88" s="60"/>
      <c r="W88" s="60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57" t="s">
        <v>212</v>
      </c>
      <c r="B89" s="56" t="s">
        <v>211</v>
      </c>
      <c r="C89" s="56" t="s">
        <v>69</v>
      </c>
      <c r="D89" s="56"/>
      <c r="E89" s="56"/>
      <c r="F89" s="56"/>
      <c r="G89" s="56" t="s">
        <v>4</v>
      </c>
      <c r="H89" s="56" t="s">
        <v>49</v>
      </c>
      <c r="I89" s="56"/>
      <c r="J89" s="56"/>
      <c r="K89" s="56"/>
      <c r="L89" s="56"/>
      <c r="M89" s="56" t="s">
        <v>375</v>
      </c>
      <c r="N89" s="56"/>
      <c r="O89" s="56" t="s">
        <v>346</v>
      </c>
      <c r="P89" s="56"/>
      <c r="Q89" s="58"/>
      <c r="R89" s="58"/>
      <c r="S89" s="58"/>
      <c r="T89" s="58"/>
      <c r="U89" s="59"/>
      <c r="V89" s="56"/>
      <c r="W89" s="56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61" t="s">
        <v>213</v>
      </c>
      <c r="B90" s="60" t="s">
        <v>214</v>
      </c>
      <c r="C90" s="60" t="s">
        <v>62</v>
      </c>
      <c r="D90" s="60">
        <v>44868733000118</v>
      </c>
      <c r="E90" s="60"/>
      <c r="F90" s="60" t="s">
        <v>215</v>
      </c>
      <c r="G90" s="60" t="s">
        <v>4</v>
      </c>
      <c r="H90" s="60" t="s">
        <v>5</v>
      </c>
      <c r="I90" s="60"/>
      <c r="J90" s="60"/>
      <c r="K90" s="60"/>
      <c r="L90" s="60"/>
      <c r="M90" s="60" t="s">
        <v>375</v>
      </c>
      <c r="N90" s="60"/>
      <c r="O90" s="60" t="s">
        <v>347</v>
      </c>
      <c r="P90" s="60"/>
      <c r="Q90" s="62"/>
      <c r="R90" s="62"/>
      <c r="S90" s="62"/>
      <c r="T90" s="62"/>
      <c r="U90" s="63"/>
      <c r="V90" s="60"/>
      <c r="W90" s="60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57" t="s">
        <v>216</v>
      </c>
      <c r="B91" s="56" t="s">
        <v>9</v>
      </c>
      <c r="C91" s="56" t="s">
        <v>69</v>
      </c>
      <c r="D91" s="56" t="s">
        <v>217</v>
      </c>
      <c r="E91" s="56"/>
      <c r="F91" s="56" t="s">
        <v>12</v>
      </c>
      <c r="G91" s="56" t="s">
        <v>13</v>
      </c>
      <c r="H91" s="56" t="s">
        <v>49</v>
      </c>
      <c r="I91" s="56"/>
      <c r="J91" s="56"/>
      <c r="K91" s="56"/>
      <c r="L91" s="56"/>
      <c r="M91" s="56" t="s">
        <v>375</v>
      </c>
      <c r="N91" s="56"/>
      <c r="O91" s="56" t="s">
        <v>346</v>
      </c>
      <c r="P91" s="56"/>
      <c r="Q91" s="58"/>
      <c r="R91" s="58"/>
      <c r="S91" s="58"/>
      <c r="T91" s="58"/>
      <c r="U91" s="59"/>
      <c r="V91" s="56"/>
      <c r="W91" s="56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61" t="s">
        <v>218</v>
      </c>
      <c r="B92" s="60" t="s">
        <v>219</v>
      </c>
      <c r="C92" s="60" t="s">
        <v>62</v>
      </c>
      <c r="D92" s="60">
        <v>51987426000111</v>
      </c>
      <c r="E92" s="60"/>
      <c r="F92" s="60" t="s">
        <v>220</v>
      </c>
      <c r="G92" s="60" t="s">
        <v>4</v>
      </c>
      <c r="H92" s="60" t="s">
        <v>5</v>
      </c>
      <c r="I92" s="60"/>
      <c r="J92" s="60"/>
      <c r="K92" s="60"/>
      <c r="L92" s="60"/>
      <c r="M92" s="60" t="s">
        <v>385</v>
      </c>
      <c r="N92" s="60"/>
      <c r="O92" s="60" t="s">
        <v>347</v>
      </c>
      <c r="P92" s="60"/>
      <c r="Q92" s="62"/>
      <c r="R92" s="62"/>
      <c r="S92" s="62"/>
      <c r="T92" s="62"/>
      <c r="U92" s="63"/>
      <c r="V92" s="60"/>
      <c r="W92" s="60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57" t="s">
        <v>221</v>
      </c>
      <c r="B93" s="56" t="s">
        <v>222</v>
      </c>
      <c r="C93" s="56" t="s">
        <v>62</v>
      </c>
      <c r="D93" s="56" t="s">
        <v>386</v>
      </c>
      <c r="E93" s="56"/>
      <c r="F93" s="56" t="s">
        <v>223</v>
      </c>
      <c r="G93" s="56" t="s">
        <v>13</v>
      </c>
      <c r="H93" s="56" t="s">
        <v>49</v>
      </c>
      <c r="I93" s="56"/>
      <c r="J93" s="56"/>
      <c r="K93" s="56"/>
      <c r="L93" s="56"/>
      <c r="M93" s="56" t="s">
        <v>385</v>
      </c>
      <c r="N93" s="56"/>
      <c r="O93" s="56" t="s">
        <v>347</v>
      </c>
      <c r="P93" s="56"/>
      <c r="Q93" s="58"/>
      <c r="R93" s="58"/>
      <c r="S93" s="58"/>
      <c r="T93" s="58"/>
      <c r="U93" s="59"/>
      <c r="V93" s="56"/>
      <c r="W93" s="56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61" t="s">
        <v>224</v>
      </c>
      <c r="B94" s="60" t="s">
        <v>182</v>
      </c>
      <c r="C94" s="60" t="s">
        <v>83</v>
      </c>
      <c r="D94" s="60">
        <v>21371431000134</v>
      </c>
      <c r="E94" s="60"/>
      <c r="F94" s="60" t="s">
        <v>225</v>
      </c>
      <c r="G94" s="60" t="s">
        <v>4</v>
      </c>
      <c r="H94" s="60" t="s">
        <v>5</v>
      </c>
      <c r="I94" s="60"/>
      <c r="J94" s="60"/>
      <c r="K94" s="60"/>
      <c r="L94" s="60"/>
      <c r="M94" s="60" t="s">
        <v>371</v>
      </c>
      <c r="N94" s="60"/>
      <c r="O94" s="60" t="s">
        <v>354</v>
      </c>
      <c r="P94" s="60"/>
      <c r="Q94" s="62"/>
      <c r="R94" s="62"/>
      <c r="S94" s="62"/>
      <c r="T94" s="62"/>
      <c r="U94" s="63"/>
      <c r="V94" s="60"/>
      <c r="W94" s="60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57" t="s">
        <v>226</v>
      </c>
      <c r="B95" s="56" t="s">
        <v>227</v>
      </c>
      <c r="C95" s="56" t="s">
        <v>122</v>
      </c>
      <c r="D95" s="56">
        <v>9421791000106</v>
      </c>
      <c r="E95" s="56"/>
      <c r="F95" s="56" t="s">
        <v>228</v>
      </c>
      <c r="G95" s="56" t="s">
        <v>4</v>
      </c>
      <c r="H95" s="56" t="s">
        <v>5</v>
      </c>
      <c r="I95" s="56"/>
      <c r="J95" s="56"/>
      <c r="K95" s="56"/>
      <c r="L95" s="56"/>
      <c r="M95" s="56" t="s">
        <v>375</v>
      </c>
      <c r="N95" s="56"/>
      <c r="O95" s="56" t="s">
        <v>346</v>
      </c>
      <c r="P95" s="56"/>
      <c r="Q95" s="58"/>
      <c r="R95" s="58"/>
      <c r="S95" s="58"/>
      <c r="T95" s="58"/>
      <c r="U95" s="59"/>
      <c r="V95" s="56"/>
      <c r="W95" s="56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61" t="s">
        <v>229</v>
      </c>
      <c r="B96" s="60" t="s">
        <v>96</v>
      </c>
      <c r="C96" s="60" t="s">
        <v>230</v>
      </c>
      <c r="D96" s="60" t="s">
        <v>387</v>
      </c>
      <c r="E96" s="60"/>
      <c r="F96" s="60" t="s">
        <v>99</v>
      </c>
      <c r="G96" s="60" t="s">
        <v>4</v>
      </c>
      <c r="H96" s="60" t="s">
        <v>14</v>
      </c>
      <c r="I96" s="60"/>
      <c r="J96" s="60"/>
      <c r="K96" s="60"/>
      <c r="L96" s="60"/>
      <c r="M96" s="60" t="s">
        <v>372</v>
      </c>
      <c r="N96" s="60"/>
      <c r="O96" s="60" t="s">
        <v>346</v>
      </c>
      <c r="P96" s="60"/>
      <c r="Q96" s="62"/>
      <c r="R96" s="62"/>
      <c r="S96" s="62"/>
      <c r="T96" s="62"/>
      <c r="U96" s="63"/>
      <c r="V96" s="60"/>
      <c r="W96" s="60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57" t="s">
        <v>231</v>
      </c>
      <c r="B97" s="56" t="s">
        <v>211</v>
      </c>
      <c r="C97" s="56" t="s">
        <v>69</v>
      </c>
      <c r="D97" s="56" t="s">
        <v>232</v>
      </c>
      <c r="E97" s="56"/>
      <c r="F97" s="56"/>
      <c r="G97" s="56" t="s">
        <v>4</v>
      </c>
      <c r="H97" s="56" t="s">
        <v>49</v>
      </c>
      <c r="I97" s="56"/>
      <c r="J97" s="56"/>
      <c r="K97" s="56"/>
      <c r="L97" s="56"/>
      <c r="M97" s="56" t="s">
        <v>375</v>
      </c>
      <c r="N97" s="56"/>
      <c r="O97" s="56" t="s">
        <v>346</v>
      </c>
      <c r="P97" s="56"/>
      <c r="Q97" s="58"/>
      <c r="R97" s="58"/>
      <c r="S97" s="58"/>
      <c r="T97" s="58"/>
      <c r="U97" s="59"/>
      <c r="V97" s="56"/>
      <c r="W97" s="56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61" t="s">
        <v>233</v>
      </c>
      <c r="B98" s="60" t="s">
        <v>134</v>
      </c>
      <c r="C98" s="60" t="s">
        <v>116</v>
      </c>
      <c r="D98" s="60" t="s">
        <v>234</v>
      </c>
      <c r="E98" s="60"/>
      <c r="F98" s="60" t="s">
        <v>138</v>
      </c>
      <c r="G98" s="60" t="s">
        <v>13</v>
      </c>
      <c r="H98" s="60" t="s">
        <v>14</v>
      </c>
      <c r="I98" s="60"/>
      <c r="J98" s="60"/>
      <c r="K98" s="60"/>
      <c r="L98" s="60"/>
      <c r="M98" s="60" t="s">
        <v>356</v>
      </c>
      <c r="N98" s="60"/>
      <c r="O98" s="60" t="s">
        <v>355</v>
      </c>
      <c r="P98" s="60"/>
      <c r="Q98" s="62"/>
      <c r="R98" s="62"/>
      <c r="S98" s="62"/>
      <c r="T98" s="62"/>
      <c r="U98" s="63"/>
      <c r="V98" s="60"/>
      <c r="W98" s="60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57" t="s">
        <v>235</v>
      </c>
      <c r="B99" s="56" t="s">
        <v>134</v>
      </c>
      <c r="C99" s="56" t="s">
        <v>116</v>
      </c>
      <c r="D99" s="56" t="s">
        <v>236</v>
      </c>
      <c r="E99" s="56"/>
      <c r="F99" s="56" t="s">
        <v>138</v>
      </c>
      <c r="G99" s="56" t="s">
        <v>13</v>
      </c>
      <c r="H99" s="56" t="s">
        <v>14</v>
      </c>
      <c r="I99" s="56"/>
      <c r="J99" s="56"/>
      <c r="K99" s="56"/>
      <c r="L99" s="56"/>
      <c r="M99" s="56" t="s">
        <v>356</v>
      </c>
      <c r="N99" s="56"/>
      <c r="O99" s="56" t="s">
        <v>355</v>
      </c>
      <c r="P99" s="56"/>
      <c r="Q99" s="58"/>
      <c r="R99" s="58"/>
      <c r="S99" s="58"/>
      <c r="T99" s="58"/>
      <c r="U99" s="59"/>
      <c r="V99" s="56"/>
      <c r="W99" s="56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61" t="s">
        <v>237</v>
      </c>
      <c r="B100" s="60" t="s">
        <v>134</v>
      </c>
      <c r="C100" s="60" t="s">
        <v>116</v>
      </c>
      <c r="D100" s="60" t="s">
        <v>238</v>
      </c>
      <c r="E100" s="60"/>
      <c r="F100" s="60" t="s">
        <v>138</v>
      </c>
      <c r="G100" s="60" t="s">
        <v>13</v>
      </c>
      <c r="H100" s="60" t="s">
        <v>14</v>
      </c>
      <c r="I100" s="60"/>
      <c r="J100" s="60"/>
      <c r="K100" s="60"/>
      <c r="L100" s="60"/>
      <c r="M100" s="60" t="s">
        <v>356</v>
      </c>
      <c r="N100" s="60"/>
      <c r="O100" s="60" t="s">
        <v>355</v>
      </c>
      <c r="P100" s="60"/>
      <c r="Q100" s="62"/>
      <c r="R100" s="62"/>
      <c r="S100" s="62"/>
      <c r="T100" s="62"/>
      <c r="U100" s="63"/>
      <c r="V100" s="60"/>
      <c r="W100" s="60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57" t="s">
        <v>239</v>
      </c>
      <c r="B101" s="56" t="s">
        <v>55</v>
      </c>
      <c r="C101" s="56" t="s">
        <v>56</v>
      </c>
      <c r="D101" s="56" t="s">
        <v>240</v>
      </c>
      <c r="E101" s="56"/>
      <c r="F101" s="56" t="s">
        <v>57</v>
      </c>
      <c r="G101" s="56" t="s">
        <v>13</v>
      </c>
      <c r="H101" s="56" t="s">
        <v>5</v>
      </c>
      <c r="I101" s="56"/>
      <c r="J101" s="56"/>
      <c r="K101" s="56"/>
      <c r="L101" s="56"/>
      <c r="M101" s="56" t="s">
        <v>372</v>
      </c>
      <c r="N101" s="56" t="s">
        <v>357</v>
      </c>
      <c r="O101" s="56" t="s">
        <v>346</v>
      </c>
      <c r="P101" s="56"/>
      <c r="Q101" s="58"/>
      <c r="R101" s="58"/>
      <c r="S101" s="58"/>
      <c r="T101" s="58"/>
      <c r="U101" s="59"/>
      <c r="V101" s="56"/>
      <c r="W101" s="56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61" t="s">
        <v>241</v>
      </c>
      <c r="B102" s="60" t="s">
        <v>55</v>
      </c>
      <c r="C102" s="60" t="s">
        <v>242</v>
      </c>
      <c r="D102" s="60" t="s">
        <v>243</v>
      </c>
      <c r="E102" s="60"/>
      <c r="F102" s="60" t="s">
        <v>57</v>
      </c>
      <c r="G102" s="60" t="s">
        <v>13</v>
      </c>
      <c r="H102" s="60" t="s">
        <v>5</v>
      </c>
      <c r="I102" s="60"/>
      <c r="J102" s="60"/>
      <c r="K102" s="60"/>
      <c r="L102" s="60"/>
      <c r="M102" s="60" t="s">
        <v>372</v>
      </c>
      <c r="N102" s="60" t="s">
        <v>368</v>
      </c>
      <c r="O102" s="60" t="s">
        <v>346</v>
      </c>
      <c r="P102" s="60"/>
      <c r="Q102" s="62"/>
      <c r="R102" s="62"/>
      <c r="S102" s="62"/>
      <c r="T102" s="62"/>
      <c r="U102" s="63"/>
      <c r="V102" s="60"/>
      <c r="W102" s="60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57" t="s">
        <v>244</v>
      </c>
      <c r="B103" s="56" t="s">
        <v>55</v>
      </c>
      <c r="C103" s="56" t="s">
        <v>245</v>
      </c>
      <c r="D103" s="56" t="s">
        <v>246</v>
      </c>
      <c r="E103" s="56"/>
      <c r="F103" s="56" t="s">
        <v>57</v>
      </c>
      <c r="G103" s="56" t="s">
        <v>13</v>
      </c>
      <c r="H103" s="56" t="s">
        <v>5</v>
      </c>
      <c r="I103" s="56"/>
      <c r="J103" s="56"/>
      <c r="K103" s="56"/>
      <c r="L103" s="56"/>
      <c r="M103" s="56" t="s">
        <v>372</v>
      </c>
      <c r="N103" s="56" t="s">
        <v>357</v>
      </c>
      <c r="O103" s="56" t="s">
        <v>346</v>
      </c>
      <c r="P103" s="56"/>
      <c r="Q103" s="58"/>
      <c r="R103" s="58"/>
      <c r="S103" s="58"/>
      <c r="T103" s="58"/>
      <c r="U103" s="59"/>
      <c r="V103" s="56"/>
      <c r="W103" s="56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61" t="s">
        <v>247</v>
      </c>
      <c r="B104" s="60" t="s">
        <v>55</v>
      </c>
      <c r="C104" s="60" t="s">
        <v>248</v>
      </c>
      <c r="D104" s="60" t="s">
        <v>249</v>
      </c>
      <c r="E104" s="60"/>
      <c r="F104" s="60" t="s">
        <v>57</v>
      </c>
      <c r="G104" s="60" t="s">
        <v>13</v>
      </c>
      <c r="H104" s="60" t="s">
        <v>49</v>
      </c>
      <c r="I104" s="60"/>
      <c r="J104" s="60"/>
      <c r="K104" s="60"/>
      <c r="L104" s="60"/>
      <c r="M104" s="60" t="s">
        <v>372</v>
      </c>
      <c r="N104" s="60" t="s">
        <v>369</v>
      </c>
      <c r="O104" s="60" t="s">
        <v>346</v>
      </c>
      <c r="P104" s="60"/>
      <c r="Q104" s="62"/>
      <c r="R104" s="62"/>
      <c r="S104" s="62"/>
      <c r="T104" s="62"/>
      <c r="U104" s="63"/>
      <c r="V104" s="60"/>
      <c r="W104" s="60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57" t="s">
        <v>250</v>
      </c>
      <c r="B105" s="56" t="s">
        <v>1</v>
      </c>
      <c r="C105" s="56" t="s">
        <v>2</v>
      </c>
      <c r="D105" s="56" t="s">
        <v>251</v>
      </c>
      <c r="E105" s="56"/>
      <c r="F105" s="56" t="s">
        <v>252</v>
      </c>
      <c r="G105" s="56" t="s">
        <v>4</v>
      </c>
      <c r="H105" s="56" t="s">
        <v>49</v>
      </c>
      <c r="I105" s="56"/>
      <c r="J105" s="56"/>
      <c r="K105" s="56"/>
      <c r="L105" s="56"/>
      <c r="M105" s="56" t="s">
        <v>367</v>
      </c>
      <c r="N105" s="56" t="s">
        <v>357</v>
      </c>
      <c r="O105" s="56" t="s">
        <v>346</v>
      </c>
      <c r="P105" s="56"/>
      <c r="Q105" s="58"/>
      <c r="R105" s="58"/>
      <c r="S105" s="58"/>
      <c r="T105" s="58"/>
      <c r="U105" s="59"/>
      <c r="V105" s="56"/>
      <c r="W105" s="56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61" t="s">
        <v>253</v>
      </c>
      <c r="B106" s="60" t="s">
        <v>214</v>
      </c>
      <c r="C106" s="60" t="s">
        <v>62</v>
      </c>
      <c r="D106" s="60" t="s">
        <v>388</v>
      </c>
      <c r="E106" s="60"/>
      <c r="F106" s="60" t="s">
        <v>254</v>
      </c>
      <c r="G106" s="60" t="s">
        <v>13</v>
      </c>
      <c r="H106" s="60" t="s">
        <v>5</v>
      </c>
      <c r="I106" s="60"/>
      <c r="J106" s="60"/>
      <c r="K106" s="60"/>
      <c r="L106" s="60"/>
      <c r="M106" s="60" t="s">
        <v>372</v>
      </c>
      <c r="N106" s="60"/>
      <c r="O106" s="60" t="s">
        <v>346</v>
      </c>
      <c r="P106" s="60"/>
      <c r="Q106" s="62"/>
      <c r="R106" s="62"/>
      <c r="S106" s="62"/>
      <c r="T106" s="62"/>
      <c r="U106" s="63"/>
      <c r="V106" s="60"/>
      <c r="W106" s="60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57" t="s">
        <v>255</v>
      </c>
      <c r="B107" s="56" t="s">
        <v>214</v>
      </c>
      <c r="C107" s="56" t="s">
        <v>62</v>
      </c>
      <c r="D107" s="56" t="s">
        <v>389</v>
      </c>
      <c r="E107" s="56"/>
      <c r="F107" s="56" t="s">
        <v>254</v>
      </c>
      <c r="G107" s="56" t="s">
        <v>13</v>
      </c>
      <c r="H107" s="56" t="s">
        <v>49</v>
      </c>
      <c r="I107" s="56"/>
      <c r="J107" s="56"/>
      <c r="K107" s="56"/>
      <c r="L107" s="56"/>
      <c r="M107" s="56" t="s">
        <v>385</v>
      </c>
      <c r="N107" s="56"/>
      <c r="O107" s="56" t="s">
        <v>346</v>
      </c>
      <c r="P107" s="56"/>
      <c r="Q107" s="58"/>
      <c r="R107" s="58"/>
      <c r="S107" s="58"/>
      <c r="T107" s="58"/>
      <c r="U107" s="59"/>
      <c r="V107" s="56"/>
      <c r="W107" s="56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61" t="s">
        <v>256</v>
      </c>
      <c r="B108" s="60" t="s">
        <v>214</v>
      </c>
      <c r="C108" s="60" t="s">
        <v>62</v>
      </c>
      <c r="D108" s="60" t="s">
        <v>390</v>
      </c>
      <c r="E108" s="60"/>
      <c r="F108" s="60" t="s">
        <v>257</v>
      </c>
      <c r="G108" s="60" t="s">
        <v>4</v>
      </c>
      <c r="H108" s="60" t="s">
        <v>5</v>
      </c>
      <c r="I108" s="60"/>
      <c r="J108" s="60"/>
      <c r="K108" s="60"/>
      <c r="L108" s="60"/>
      <c r="M108" s="60" t="s">
        <v>375</v>
      </c>
      <c r="N108" s="60"/>
      <c r="O108" s="60" t="s">
        <v>346</v>
      </c>
      <c r="P108" s="60"/>
      <c r="Q108" s="62"/>
      <c r="R108" s="62"/>
      <c r="S108" s="62"/>
      <c r="T108" s="62"/>
      <c r="U108" s="63"/>
      <c r="V108" s="60"/>
      <c r="W108" s="60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57" t="s">
        <v>258</v>
      </c>
      <c r="B109" s="56" t="s">
        <v>259</v>
      </c>
      <c r="C109" s="56" t="s">
        <v>69</v>
      </c>
      <c r="D109" s="56" t="s">
        <v>260</v>
      </c>
      <c r="E109" s="56"/>
      <c r="F109" s="56" t="s">
        <v>261</v>
      </c>
      <c r="G109" s="56" t="s">
        <v>4</v>
      </c>
      <c r="H109" s="56" t="s">
        <v>5</v>
      </c>
      <c r="I109" s="56"/>
      <c r="J109" s="56"/>
      <c r="K109" s="56"/>
      <c r="L109" s="56"/>
      <c r="M109" s="56" t="s">
        <v>367</v>
      </c>
      <c r="N109" s="56"/>
      <c r="O109" s="56"/>
      <c r="P109" s="56"/>
      <c r="Q109" s="58"/>
      <c r="R109" s="58"/>
      <c r="S109" s="58"/>
      <c r="T109" s="58"/>
      <c r="U109" s="59"/>
      <c r="V109" s="56"/>
      <c r="W109" s="56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61" t="s">
        <v>262</v>
      </c>
      <c r="B110" s="60" t="s">
        <v>259</v>
      </c>
      <c r="C110" s="60" t="s">
        <v>69</v>
      </c>
      <c r="D110" s="60" t="s">
        <v>263</v>
      </c>
      <c r="E110" s="60"/>
      <c r="F110" s="60" t="s">
        <v>261</v>
      </c>
      <c r="G110" s="60" t="s">
        <v>13</v>
      </c>
      <c r="H110" s="60" t="s">
        <v>5</v>
      </c>
      <c r="I110" s="60"/>
      <c r="J110" s="60"/>
      <c r="K110" s="60"/>
      <c r="L110" s="60"/>
      <c r="M110" s="60" t="s">
        <v>367</v>
      </c>
      <c r="N110" s="60"/>
      <c r="O110" s="60"/>
      <c r="P110" s="60"/>
      <c r="Q110" s="62"/>
      <c r="R110" s="62"/>
      <c r="S110" s="62"/>
      <c r="T110" s="62"/>
      <c r="U110" s="63"/>
      <c r="V110" s="60"/>
      <c r="W110" s="60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57" t="s">
        <v>264</v>
      </c>
      <c r="B111" s="56" t="s">
        <v>159</v>
      </c>
      <c r="C111" s="56" t="s">
        <v>69</v>
      </c>
      <c r="D111" s="56" t="s">
        <v>265</v>
      </c>
      <c r="E111" s="56"/>
      <c r="F111" s="56" t="s">
        <v>266</v>
      </c>
      <c r="G111" s="56" t="s">
        <v>13</v>
      </c>
      <c r="H111" s="56" t="s">
        <v>5</v>
      </c>
      <c r="I111" s="56"/>
      <c r="J111" s="56"/>
      <c r="K111" s="56"/>
      <c r="L111" s="56"/>
      <c r="M111" s="56" t="s">
        <v>385</v>
      </c>
      <c r="N111" s="56"/>
      <c r="O111" s="56" t="s">
        <v>359</v>
      </c>
      <c r="P111" s="56"/>
      <c r="Q111" s="58"/>
      <c r="R111" s="58"/>
      <c r="S111" s="58"/>
      <c r="T111" s="58"/>
      <c r="U111" s="59"/>
      <c r="V111" s="56"/>
      <c r="W111" s="56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61" t="s">
        <v>267</v>
      </c>
      <c r="B112" s="60" t="s">
        <v>159</v>
      </c>
      <c r="C112" s="60" t="s">
        <v>268</v>
      </c>
      <c r="D112" s="60" t="s">
        <v>269</v>
      </c>
      <c r="E112" s="60"/>
      <c r="F112" s="60" t="s">
        <v>266</v>
      </c>
      <c r="G112" s="60" t="s">
        <v>13</v>
      </c>
      <c r="H112" s="60" t="s">
        <v>14</v>
      </c>
      <c r="I112" s="60"/>
      <c r="J112" s="60"/>
      <c r="K112" s="60"/>
      <c r="L112" s="60"/>
      <c r="M112" s="60" t="s">
        <v>372</v>
      </c>
      <c r="N112" s="60"/>
      <c r="O112" s="60" t="s">
        <v>346</v>
      </c>
      <c r="P112" s="60"/>
      <c r="Q112" s="62"/>
      <c r="R112" s="62"/>
      <c r="S112" s="62"/>
      <c r="T112" s="62"/>
      <c r="U112" s="63"/>
      <c r="V112" s="60"/>
      <c r="W112" s="60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57" t="s">
        <v>270</v>
      </c>
      <c r="B113" s="56" t="s">
        <v>271</v>
      </c>
      <c r="C113" s="56"/>
      <c r="D113" s="56" t="s">
        <v>272</v>
      </c>
      <c r="E113" s="56"/>
      <c r="F113" s="56" t="s">
        <v>273</v>
      </c>
      <c r="G113" s="56" t="s">
        <v>41</v>
      </c>
      <c r="H113" s="56" t="s">
        <v>49</v>
      </c>
      <c r="I113" s="56"/>
      <c r="J113" s="56"/>
      <c r="K113" s="56"/>
      <c r="L113" s="56"/>
      <c r="M113" s="56" t="s">
        <v>375</v>
      </c>
      <c r="N113" s="56"/>
      <c r="O113" s="56" t="s">
        <v>360</v>
      </c>
      <c r="P113" s="56"/>
      <c r="Q113" s="58"/>
      <c r="R113" s="58"/>
      <c r="S113" s="58"/>
      <c r="T113" s="58"/>
      <c r="U113" s="59"/>
      <c r="V113" s="56"/>
      <c r="W113" s="56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61" t="s">
        <v>274</v>
      </c>
      <c r="B114" s="60" t="s">
        <v>134</v>
      </c>
      <c r="C114" s="60" t="s">
        <v>122</v>
      </c>
      <c r="D114" s="60" t="s">
        <v>391</v>
      </c>
      <c r="E114" s="60"/>
      <c r="F114" s="60" t="s">
        <v>275</v>
      </c>
      <c r="G114" s="60" t="s">
        <v>4</v>
      </c>
      <c r="H114" s="60" t="s">
        <v>5</v>
      </c>
      <c r="I114" s="60"/>
      <c r="J114" s="60"/>
      <c r="K114" s="60"/>
      <c r="L114" s="60"/>
      <c r="M114" s="60" t="s">
        <v>375</v>
      </c>
      <c r="N114" s="60"/>
      <c r="O114" s="60" t="s">
        <v>361</v>
      </c>
      <c r="P114" s="60"/>
      <c r="Q114" s="62"/>
      <c r="R114" s="62"/>
      <c r="S114" s="62"/>
      <c r="T114" s="62"/>
      <c r="U114" s="63"/>
      <c r="V114" s="60"/>
      <c r="W114" s="60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57" t="s">
        <v>276</v>
      </c>
      <c r="B115" s="56" t="s">
        <v>182</v>
      </c>
      <c r="C115" s="56" t="s">
        <v>83</v>
      </c>
      <c r="D115" s="56" t="s">
        <v>392</v>
      </c>
      <c r="E115" s="56"/>
      <c r="F115" s="56" t="s">
        <v>225</v>
      </c>
      <c r="G115" s="56" t="s">
        <v>4</v>
      </c>
      <c r="H115" s="56" t="s">
        <v>5</v>
      </c>
      <c r="I115" s="56"/>
      <c r="J115" s="56"/>
      <c r="K115" s="56"/>
      <c r="L115" s="56"/>
      <c r="M115" s="56" t="s">
        <v>372</v>
      </c>
      <c r="N115" s="56"/>
      <c r="O115" s="56" t="s">
        <v>361</v>
      </c>
      <c r="P115" s="56"/>
      <c r="Q115" s="58"/>
      <c r="R115" s="58"/>
      <c r="S115" s="58"/>
      <c r="T115" s="58"/>
      <c r="U115" s="59"/>
      <c r="V115" s="56"/>
      <c r="W115" s="56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61" t="s">
        <v>277</v>
      </c>
      <c r="B116" s="60" t="s">
        <v>211</v>
      </c>
      <c r="C116" s="60" t="s">
        <v>69</v>
      </c>
      <c r="D116" s="60" t="s">
        <v>278</v>
      </c>
      <c r="E116" s="60"/>
      <c r="F116" s="60" t="s">
        <v>279</v>
      </c>
      <c r="G116" s="60" t="s">
        <v>13</v>
      </c>
      <c r="H116" s="60" t="s">
        <v>49</v>
      </c>
      <c r="I116" s="60">
        <v>46147</v>
      </c>
      <c r="J116" s="60"/>
      <c r="K116" s="60"/>
      <c r="L116" s="60"/>
      <c r="M116" s="60" t="s">
        <v>362</v>
      </c>
      <c r="N116" s="60"/>
      <c r="O116" s="60" t="s">
        <v>359</v>
      </c>
      <c r="P116" s="60"/>
      <c r="Q116" s="62"/>
      <c r="R116" s="62"/>
      <c r="S116" s="62"/>
      <c r="T116" s="62"/>
      <c r="U116" s="63"/>
      <c r="V116" s="60"/>
      <c r="W116" s="60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57" t="s">
        <v>280</v>
      </c>
      <c r="B117" s="56" t="s">
        <v>162</v>
      </c>
      <c r="C117" s="56" t="s">
        <v>281</v>
      </c>
      <c r="D117" s="56" t="s">
        <v>282</v>
      </c>
      <c r="E117" s="56"/>
      <c r="F117" s="56"/>
      <c r="G117" s="56" t="s">
        <v>4</v>
      </c>
      <c r="H117" s="56" t="s">
        <v>49</v>
      </c>
      <c r="I117" s="56"/>
      <c r="J117" s="56"/>
      <c r="K117" s="56"/>
      <c r="L117" s="56"/>
      <c r="M117" s="56" t="s">
        <v>372</v>
      </c>
      <c r="N117" s="56" t="s">
        <v>358</v>
      </c>
      <c r="O117" s="56" t="s">
        <v>361</v>
      </c>
      <c r="P117" s="56"/>
      <c r="Q117" s="58"/>
      <c r="R117" s="58"/>
      <c r="S117" s="58"/>
      <c r="T117" s="58"/>
      <c r="U117" s="59"/>
      <c r="V117" s="56"/>
      <c r="W117" s="56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61" t="s">
        <v>283</v>
      </c>
      <c r="B118" s="60" t="s">
        <v>75</v>
      </c>
      <c r="C118" s="60" t="s">
        <v>62</v>
      </c>
      <c r="D118" s="60" t="s">
        <v>393</v>
      </c>
      <c r="E118" s="60"/>
      <c r="F118" s="60" t="s">
        <v>284</v>
      </c>
      <c r="G118" s="60" t="s">
        <v>4</v>
      </c>
      <c r="H118" s="60" t="s">
        <v>14</v>
      </c>
      <c r="I118" s="60"/>
      <c r="J118" s="60"/>
      <c r="K118" s="60"/>
      <c r="L118" s="60"/>
      <c r="M118" s="60" t="s">
        <v>385</v>
      </c>
      <c r="N118" s="60"/>
      <c r="O118" s="60" t="s">
        <v>361</v>
      </c>
      <c r="P118" s="60"/>
      <c r="Q118" s="62"/>
      <c r="R118" s="62"/>
      <c r="S118" s="62"/>
      <c r="T118" s="62"/>
      <c r="U118" s="63"/>
      <c r="V118" s="60"/>
      <c r="W118" s="60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57" t="s">
        <v>285</v>
      </c>
      <c r="B119" s="56" t="s">
        <v>286</v>
      </c>
      <c r="C119" s="56"/>
      <c r="D119" s="56" t="s">
        <v>394</v>
      </c>
      <c r="E119" s="56"/>
      <c r="F119" s="56" t="s">
        <v>287</v>
      </c>
      <c r="G119" s="56" t="s">
        <v>4</v>
      </c>
      <c r="H119" s="56" t="s">
        <v>49</v>
      </c>
      <c r="I119" s="56"/>
      <c r="J119" s="56"/>
      <c r="K119" s="56"/>
      <c r="L119" s="56"/>
      <c r="M119" s="56" t="s">
        <v>375</v>
      </c>
      <c r="N119" s="56"/>
      <c r="O119" s="56" t="s">
        <v>361</v>
      </c>
      <c r="P119" s="56"/>
      <c r="Q119" s="58"/>
      <c r="R119" s="58"/>
      <c r="S119" s="58"/>
      <c r="T119" s="58"/>
      <c r="U119" s="59"/>
      <c r="V119" s="56"/>
      <c r="W119" s="56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61" t="s">
        <v>288</v>
      </c>
      <c r="B120" s="60" t="s">
        <v>286</v>
      </c>
      <c r="C120" s="60" t="s">
        <v>69</v>
      </c>
      <c r="D120" s="60" t="s">
        <v>289</v>
      </c>
      <c r="E120" s="60"/>
      <c r="F120" s="60" t="s">
        <v>290</v>
      </c>
      <c r="G120" s="60" t="s">
        <v>13</v>
      </c>
      <c r="H120" s="60" t="s">
        <v>49</v>
      </c>
      <c r="I120" s="60"/>
      <c r="J120" s="60"/>
      <c r="K120" s="60"/>
      <c r="L120" s="60"/>
      <c r="M120" s="60" t="s">
        <v>372</v>
      </c>
      <c r="N120" s="60"/>
      <c r="O120" s="60" t="s">
        <v>361</v>
      </c>
      <c r="P120" s="60"/>
      <c r="Q120" s="62"/>
      <c r="R120" s="62"/>
      <c r="S120" s="62"/>
      <c r="T120" s="62"/>
      <c r="U120" s="63"/>
      <c r="V120" s="60"/>
      <c r="W120" s="60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57" t="s">
        <v>291</v>
      </c>
      <c r="B121" s="56" t="s">
        <v>75</v>
      </c>
      <c r="C121" s="56" t="s">
        <v>69</v>
      </c>
      <c r="D121" s="56" t="s">
        <v>292</v>
      </c>
      <c r="E121" s="56"/>
      <c r="F121" s="56"/>
      <c r="G121" s="56"/>
      <c r="H121" s="56"/>
      <c r="I121" s="56"/>
      <c r="J121" s="56"/>
      <c r="K121" s="56"/>
      <c r="L121" s="56"/>
      <c r="M121" s="56" t="s">
        <v>367</v>
      </c>
      <c r="N121" s="56"/>
      <c r="O121" s="56"/>
      <c r="P121" s="56"/>
      <c r="Q121" s="58"/>
      <c r="R121" s="58"/>
      <c r="S121" s="58"/>
      <c r="T121" s="58"/>
      <c r="U121" s="59"/>
      <c r="V121" s="56"/>
      <c r="W121" s="56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61" t="s">
        <v>293</v>
      </c>
      <c r="B122" s="60" t="s">
        <v>227</v>
      </c>
      <c r="C122" s="60" t="s">
        <v>116</v>
      </c>
      <c r="D122" s="60" t="s">
        <v>294</v>
      </c>
      <c r="E122" s="60"/>
      <c r="F122" s="60" t="s">
        <v>228</v>
      </c>
      <c r="G122" s="60" t="s">
        <v>13</v>
      </c>
      <c r="H122" s="60" t="s">
        <v>14</v>
      </c>
      <c r="I122" s="60"/>
      <c r="J122" s="60"/>
      <c r="K122" s="60"/>
      <c r="L122" s="60"/>
      <c r="M122" s="60" t="s">
        <v>364</v>
      </c>
      <c r="N122" s="60"/>
      <c r="O122" s="60" t="s">
        <v>365</v>
      </c>
      <c r="P122" s="60"/>
      <c r="Q122" s="62"/>
      <c r="R122" s="62"/>
      <c r="S122" s="62"/>
      <c r="T122" s="62"/>
      <c r="U122" s="63"/>
      <c r="V122" s="60"/>
      <c r="W122" s="60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57" t="s">
        <v>295</v>
      </c>
      <c r="B123" s="56" t="s">
        <v>45</v>
      </c>
      <c r="C123" s="56" t="s">
        <v>296</v>
      </c>
      <c r="D123" s="56" t="s">
        <v>297</v>
      </c>
      <c r="E123" s="56"/>
      <c r="F123" s="56" t="s">
        <v>48</v>
      </c>
      <c r="G123" s="56" t="s">
        <v>13</v>
      </c>
      <c r="H123" s="56" t="s">
        <v>14</v>
      </c>
      <c r="I123" s="56"/>
      <c r="J123" s="56"/>
      <c r="K123" s="56"/>
      <c r="L123" s="56"/>
      <c r="M123" s="56" t="s">
        <v>367</v>
      </c>
      <c r="N123" s="56"/>
      <c r="O123" s="56" t="s">
        <v>363</v>
      </c>
      <c r="P123" s="56"/>
      <c r="Q123" s="58"/>
      <c r="R123" s="58"/>
      <c r="S123" s="58"/>
      <c r="T123" s="58"/>
      <c r="U123" s="59"/>
      <c r="V123" s="56"/>
      <c r="W123" s="56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61" t="s">
        <v>298</v>
      </c>
      <c r="B124" s="60" t="s">
        <v>299</v>
      </c>
      <c r="C124" s="60" t="s">
        <v>16</v>
      </c>
      <c r="D124" s="60" t="s">
        <v>300</v>
      </c>
      <c r="E124" s="60"/>
      <c r="F124" s="60" t="s">
        <v>109</v>
      </c>
      <c r="G124" s="60" t="s">
        <v>4</v>
      </c>
      <c r="H124" s="60" t="s">
        <v>49</v>
      </c>
      <c r="I124" s="60"/>
      <c r="J124" s="60"/>
      <c r="K124" s="60"/>
      <c r="L124" s="60"/>
      <c r="M124" s="60" t="s">
        <v>375</v>
      </c>
      <c r="N124" s="60"/>
      <c r="O124" s="60" t="s">
        <v>361</v>
      </c>
      <c r="P124" s="60"/>
      <c r="Q124" s="62"/>
      <c r="R124" s="62"/>
      <c r="S124" s="62"/>
      <c r="T124" s="62"/>
      <c r="U124" s="63"/>
      <c r="V124" s="60"/>
      <c r="W124" s="60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57" t="s">
        <v>301</v>
      </c>
      <c r="B125" s="56" t="s">
        <v>302</v>
      </c>
      <c r="C125" s="56" t="s">
        <v>69</v>
      </c>
      <c r="D125" s="56" t="s">
        <v>303</v>
      </c>
      <c r="E125" s="56"/>
      <c r="F125" s="56"/>
      <c r="G125" s="56" t="s">
        <v>4</v>
      </c>
      <c r="H125" s="56" t="s">
        <v>49</v>
      </c>
      <c r="I125" s="56"/>
      <c r="J125" s="56"/>
      <c r="K125" s="56"/>
      <c r="L125" s="56"/>
      <c r="M125" s="56" t="s">
        <v>375</v>
      </c>
      <c r="N125" s="56"/>
      <c r="O125" s="56" t="s">
        <v>361</v>
      </c>
      <c r="P125" s="56"/>
      <c r="Q125" s="58"/>
      <c r="R125" s="58"/>
      <c r="S125" s="58"/>
      <c r="T125" s="58"/>
      <c r="U125" s="59"/>
      <c r="V125" s="56"/>
      <c r="W125" s="56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61" t="s">
        <v>304</v>
      </c>
      <c r="B126" s="60" t="s">
        <v>305</v>
      </c>
      <c r="C126" s="60"/>
      <c r="D126" s="60"/>
      <c r="E126" s="60"/>
      <c r="F126" s="60" t="s">
        <v>306</v>
      </c>
      <c r="G126" s="60" t="s">
        <v>13</v>
      </c>
      <c r="H126" s="60"/>
      <c r="I126" s="60"/>
      <c r="J126" s="60"/>
      <c r="K126" s="60"/>
      <c r="L126" s="60"/>
      <c r="M126" s="60" t="s">
        <v>367</v>
      </c>
      <c r="N126" s="60"/>
      <c r="O126" s="60" t="s">
        <v>359</v>
      </c>
      <c r="P126" s="60"/>
      <c r="Q126" s="62"/>
      <c r="R126" s="62"/>
      <c r="S126" s="62"/>
      <c r="T126" s="62"/>
      <c r="U126" s="63"/>
      <c r="V126" s="60"/>
      <c r="W126" s="60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57" t="s">
        <v>307</v>
      </c>
      <c r="B127" s="56" t="s">
        <v>305</v>
      </c>
      <c r="C127" s="56"/>
      <c r="D127" s="56"/>
      <c r="E127" s="56"/>
      <c r="F127" s="56" t="s">
        <v>306</v>
      </c>
      <c r="G127" s="56" t="s">
        <v>308</v>
      </c>
      <c r="H127" s="56"/>
      <c r="I127" s="56"/>
      <c r="J127" s="56"/>
      <c r="K127" s="56"/>
      <c r="L127" s="56"/>
      <c r="M127" s="56" t="s">
        <v>367</v>
      </c>
      <c r="N127" s="56"/>
      <c r="O127" s="56" t="s">
        <v>359</v>
      </c>
      <c r="P127" s="56"/>
      <c r="Q127" s="58"/>
      <c r="R127" s="58"/>
      <c r="S127" s="58"/>
      <c r="T127" s="58"/>
      <c r="U127" s="59"/>
      <c r="V127" s="56"/>
      <c r="W127" s="56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61" t="s">
        <v>309</v>
      </c>
      <c r="B128" s="60" t="s">
        <v>9</v>
      </c>
      <c r="C128" s="60" t="s">
        <v>69</v>
      </c>
      <c r="D128" s="60" t="s">
        <v>310</v>
      </c>
      <c r="E128" s="60"/>
      <c r="F128" s="60" t="s">
        <v>311</v>
      </c>
      <c r="G128" s="60" t="s">
        <v>13</v>
      </c>
      <c r="H128" s="60" t="s">
        <v>49</v>
      </c>
      <c r="I128" s="60"/>
      <c r="J128" s="60"/>
      <c r="K128" s="60"/>
      <c r="L128" s="60"/>
      <c r="M128" s="60" t="s">
        <v>372</v>
      </c>
      <c r="N128" s="60"/>
      <c r="O128" s="60" t="s">
        <v>361</v>
      </c>
      <c r="P128" s="60"/>
      <c r="Q128" s="62"/>
      <c r="R128" s="62"/>
      <c r="S128" s="62"/>
      <c r="T128" s="62"/>
      <c r="U128" s="63"/>
      <c r="V128" s="60"/>
      <c r="W128" s="60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57" t="s">
        <v>312</v>
      </c>
      <c r="B129" s="56" t="s">
        <v>75</v>
      </c>
      <c r="C129" s="56" t="s">
        <v>69</v>
      </c>
      <c r="D129" s="56" t="s">
        <v>313</v>
      </c>
      <c r="E129" s="56"/>
      <c r="F129" s="56" t="s">
        <v>314</v>
      </c>
      <c r="G129" s="56" t="s">
        <v>4</v>
      </c>
      <c r="H129" s="56" t="s">
        <v>49</v>
      </c>
      <c r="I129" s="56"/>
      <c r="J129" s="56"/>
      <c r="K129" s="56"/>
      <c r="L129" s="56"/>
      <c r="M129" s="56" t="s">
        <v>375</v>
      </c>
      <c r="N129" s="56"/>
      <c r="O129" s="56" t="s">
        <v>366</v>
      </c>
      <c r="P129" s="56"/>
      <c r="Q129" s="58"/>
      <c r="R129" s="58"/>
      <c r="S129" s="58"/>
      <c r="T129" s="58"/>
      <c r="U129" s="59"/>
      <c r="V129" s="56"/>
      <c r="W129" s="56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61" t="s">
        <v>315</v>
      </c>
      <c r="B130" s="60" t="s">
        <v>45</v>
      </c>
      <c r="C130" s="60" t="s">
        <v>316</v>
      </c>
      <c r="D130" s="60" t="s">
        <v>317</v>
      </c>
      <c r="E130" s="60"/>
      <c r="F130" s="60"/>
      <c r="G130" s="60" t="s">
        <v>13</v>
      </c>
      <c r="H130" s="60"/>
      <c r="I130" s="60"/>
      <c r="J130" s="60"/>
      <c r="K130" s="60"/>
      <c r="L130" s="60"/>
      <c r="M130" s="60" t="s">
        <v>395</v>
      </c>
      <c r="N130" s="60" t="s">
        <v>370</v>
      </c>
      <c r="O130" s="60" t="s">
        <v>363</v>
      </c>
      <c r="P130" s="60"/>
      <c r="Q130" s="62"/>
      <c r="R130" s="62"/>
      <c r="S130" s="62"/>
      <c r="T130" s="62"/>
      <c r="U130" s="63"/>
      <c r="V130" s="60"/>
      <c r="W130" s="60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57" t="s">
        <v>318</v>
      </c>
      <c r="B131" s="56" t="s">
        <v>45</v>
      </c>
      <c r="C131" s="56" t="s">
        <v>316</v>
      </c>
      <c r="D131" s="56" t="s">
        <v>319</v>
      </c>
      <c r="E131" s="56"/>
      <c r="F131" s="56" t="s">
        <v>48</v>
      </c>
      <c r="G131" s="56" t="s">
        <v>320</v>
      </c>
      <c r="H131" s="56"/>
      <c r="I131" s="56"/>
      <c r="J131" s="56"/>
      <c r="K131" s="56"/>
      <c r="L131" s="56"/>
      <c r="M131" s="56" t="s">
        <v>395</v>
      </c>
      <c r="N131" s="56" t="s">
        <v>370</v>
      </c>
      <c r="O131" s="56" t="s">
        <v>367</v>
      </c>
      <c r="P131" s="56"/>
      <c r="Q131" s="58"/>
      <c r="R131" s="58"/>
      <c r="S131" s="58"/>
      <c r="T131" s="58"/>
      <c r="U131" s="59"/>
      <c r="V131" s="56"/>
      <c r="W131" s="56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61" t="s">
        <v>321</v>
      </c>
      <c r="B132" s="60" t="s">
        <v>45</v>
      </c>
      <c r="C132" s="60" t="s">
        <v>316</v>
      </c>
      <c r="D132" s="60" t="s">
        <v>322</v>
      </c>
      <c r="E132" s="60"/>
      <c r="F132" s="60" t="s">
        <v>48</v>
      </c>
      <c r="G132" s="60" t="s">
        <v>320</v>
      </c>
      <c r="H132" s="60"/>
      <c r="I132" s="60"/>
      <c r="J132" s="60"/>
      <c r="K132" s="60"/>
      <c r="L132" s="60"/>
      <c r="M132" s="60" t="s">
        <v>375</v>
      </c>
      <c r="N132" s="60" t="s">
        <v>370</v>
      </c>
      <c r="O132" s="60" t="s">
        <v>366</v>
      </c>
      <c r="P132" s="60"/>
      <c r="Q132" s="62"/>
      <c r="R132" s="62"/>
      <c r="S132" s="62"/>
      <c r="T132" s="62"/>
      <c r="U132" s="63"/>
      <c r="V132" s="60"/>
      <c r="W132" s="60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57" t="s">
        <v>323</v>
      </c>
      <c r="B133" s="56" t="s">
        <v>305</v>
      </c>
      <c r="C133" s="56"/>
      <c r="D133" s="56"/>
      <c r="E133" s="56"/>
      <c r="F133" s="56" t="s">
        <v>306</v>
      </c>
      <c r="G133" s="56" t="s">
        <v>4</v>
      </c>
      <c r="H133" s="56"/>
      <c r="I133" s="56"/>
      <c r="J133" s="56"/>
      <c r="K133" s="56"/>
      <c r="L133" s="56"/>
      <c r="M133" s="56" t="s">
        <v>367</v>
      </c>
      <c r="N133" s="56"/>
      <c r="O133" s="56" t="s">
        <v>361</v>
      </c>
      <c r="P133" s="56"/>
      <c r="Q133" s="58"/>
      <c r="R133" s="58"/>
      <c r="S133" s="58"/>
      <c r="T133" s="58"/>
      <c r="U133" s="59"/>
      <c r="V133" s="56"/>
      <c r="W133" s="56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61" t="s">
        <v>324</v>
      </c>
      <c r="B134" s="60" t="s">
        <v>75</v>
      </c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 t="s">
        <v>367</v>
      </c>
      <c r="N134" s="60"/>
      <c r="O134" s="60" t="s">
        <v>367</v>
      </c>
      <c r="P134" s="60"/>
      <c r="Q134" s="62"/>
      <c r="R134" s="62"/>
      <c r="S134" s="62"/>
      <c r="T134" s="62"/>
      <c r="U134" s="63"/>
      <c r="V134" s="60"/>
      <c r="W134" s="60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57"/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8"/>
      <c r="R135" s="58"/>
      <c r="S135" s="58"/>
      <c r="T135" s="58"/>
      <c r="U135" s="59"/>
      <c r="V135" s="56"/>
      <c r="W135" s="56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61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2"/>
      <c r="R136" s="62"/>
      <c r="S136" s="62"/>
      <c r="T136" s="62"/>
      <c r="U136" s="63"/>
      <c r="V136" s="60"/>
      <c r="W136" s="60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57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8"/>
      <c r="R137" s="58"/>
      <c r="S137" s="58"/>
      <c r="T137" s="58"/>
      <c r="U137" s="59"/>
      <c r="V137" s="56"/>
      <c r="W137" s="56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61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2"/>
      <c r="R138" s="62"/>
      <c r="S138" s="62"/>
      <c r="T138" s="62"/>
      <c r="U138" s="63"/>
      <c r="V138" s="60"/>
      <c r="W138" s="60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57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8"/>
      <c r="R139" s="58"/>
      <c r="S139" s="58"/>
      <c r="T139" s="58"/>
      <c r="U139" s="59"/>
      <c r="V139" s="56"/>
      <c r="W139" s="56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61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2"/>
      <c r="R140" s="62"/>
      <c r="S140" s="62"/>
      <c r="T140" s="62"/>
      <c r="U140" s="63"/>
      <c r="V140" s="60"/>
      <c r="W140" s="60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57"/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8"/>
      <c r="R141" s="58"/>
      <c r="S141" s="58"/>
      <c r="T141" s="58"/>
      <c r="U141" s="59"/>
      <c r="V141" s="56"/>
      <c r="W141" s="56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61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2"/>
      <c r="R142" s="62"/>
      <c r="S142" s="62"/>
      <c r="T142" s="62"/>
      <c r="U142" s="63"/>
      <c r="V142" s="60"/>
      <c r="W142" s="60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57"/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8"/>
      <c r="R143" s="58"/>
      <c r="S143" s="58"/>
      <c r="T143" s="58"/>
      <c r="U143" s="59"/>
      <c r="V143" s="56"/>
      <c r="W143" s="56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61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2"/>
      <c r="R144" s="62"/>
      <c r="S144" s="62"/>
      <c r="T144" s="62"/>
      <c r="U144" s="63"/>
      <c r="V144" s="60"/>
      <c r="W144" s="60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57"/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8"/>
      <c r="R145" s="58"/>
      <c r="S145" s="58"/>
      <c r="T145" s="58"/>
      <c r="U145" s="59"/>
      <c r="V145" s="56"/>
      <c r="W145" s="56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61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2"/>
      <c r="R146" s="62"/>
      <c r="S146" s="62"/>
      <c r="T146" s="62"/>
      <c r="U146" s="63"/>
      <c r="V146" s="60"/>
      <c r="W146" s="60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57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8"/>
      <c r="R147" s="58"/>
      <c r="S147" s="58"/>
      <c r="T147" s="58"/>
      <c r="U147" s="59"/>
      <c r="V147" s="56"/>
      <c r="W147" s="56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61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2"/>
      <c r="R148" s="62"/>
      <c r="S148" s="62"/>
      <c r="T148" s="62"/>
      <c r="U148" s="63"/>
      <c r="V148" s="60"/>
      <c r="W148" s="60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57"/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8"/>
      <c r="R149" s="58"/>
      <c r="S149" s="58"/>
      <c r="T149" s="58"/>
      <c r="U149" s="59"/>
      <c r="V149" s="56"/>
      <c r="W149" s="56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61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2"/>
      <c r="R150" s="62"/>
      <c r="S150" s="62"/>
      <c r="T150" s="62"/>
      <c r="U150" s="63"/>
      <c r="V150" s="60"/>
      <c r="W150" s="60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57"/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8"/>
      <c r="R151" s="58"/>
      <c r="S151" s="58"/>
      <c r="T151" s="58"/>
      <c r="U151" s="59"/>
      <c r="V151" s="56"/>
      <c r="W151" s="56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61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2"/>
      <c r="R152" s="62"/>
      <c r="S152" s="62"/>
      <c r="T152" s="62"/>
      <c r="U152" s="63"/>
      <c r="V152" s="60"/>
      <c r="W152" s="60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57"/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8"/>
      <c r="R153" s="58"/>
      <c r="S153" s="58"/>
      <c r="T153" s="58"/>
      <c r="U153" s="59"/>
      <c r="V153" s="56"/>
      <c r="W153" s="56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61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2"/>
      <c r="R154" s="62"/>
      <c r="S154" s="62"/>
      <c r="T154" s="62"/>
      <c r="U154" s="63"/>
      <c r="V154" s="60"/>
      <c r="W154" s="60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57"/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8"/>
      <c r="R155" s="58"/>
      <c r="S155" s="58"/>
      <c r="T155" s="58"/>
      <c r="U155" s="59"/>
      <c r="V155" s="56"/>
      <c r="W155" s="56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61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2"/>
      <c r="R156" s="62"/>
      <c r="S156" s="62"/>
      <c r="T156" s="62"/>
      <c r="U156" s="63"/>
      <c r="V156" s="60"/>
      <c r="W156" s="60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57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8"/>
      <c r="R157" s="58"/>
      <c r="S157" s="58"/>
      <c r="T157" s="58"/>
      <c r="U157" s="59"/>
      <c r="V157" s="56"/>
      <c r="W157" s="56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61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2"/>
      <c r="R158" s="62"/>
      <c r="S158" s="62"/>
      <c r="T158" s="62"/>
      <c r="U158" s="63"/>
      <c r="V158" s="60"/>
      <c r="W158" s="60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57"/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8"/>
      <c r="R159" s="58"/>
      <c r="S159" s="58"/>
      <c r="T159" s="58"/>
      <c r="U159" s="59"/>
      <c r="V159" s="56"/>
      <c r="W159" s="56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61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2"/>
      <c r="R160" s="62"/>
      <c r="S160" s="62"/>
      <c r="T160" s="62"/>
      <c r="U160" s="63"/>
      <c r="V160" s="60"/>
      <c r="W160" s="60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57"/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8"/>
      <c r="R161" s="58"/>
      <c r="S161" s="58"/>
      <c r="T161" s="58"/>
      <c r="U161" s="59"/>
      <c r="V161" s="56"/>
      <c r="W161" s="56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61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2"/>
      <c r="R162" s="62"/>
      <c r="S162" s="62"/>
      <c r="T162" s="62"/>
      <c r="U162" s="63"/>
      <c r="V162" s="60"/>
      <c r="W162" s="60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57"/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8"/>
      <c r="R163" s="58"/>
      <c r="S163" s="58"/>
      <c r="T163" s="58"/>
      <c r="U163" s="59"/>
      <c r="V163" s="56"/>
      <c r="W163" s="56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61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2"/>
      <c r="R164" s="62"/>
      <c r="S164" s="62"/>
      <c r="T164" s="62"/>
      <c r="U164" s="63"/>
      <c r="V164" s="60"/>
      <c r="W164" s="60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6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45D6-CDFA-42EA-ACEA-3A619FAB7E33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65" t="s">
        <v>0</v>
      </c>
      <c r="B3" s="64" t="s">
        <v>1</v>
      </c>
      <c r="C3" s="64" t="s">
        <v>2</v>
      </c>
      <c r="D3" s="64">
        <v>35381421000194</v>
      </c>
      <c r="E3" s="64"/>
      <c r="F3" s="64" t="s">
        <v>3</v>
      </c>
      <c r="G3" s="64" t="s">
        <v>4</v>
      </c>
      <c r="H3" s="64" t="s">
        <v>5</v>
      </c>
      <c r="I3" s="64" t="s">
        <v>341</v>
      </c>
      <c r="J3" s="64"/>
      <c r="K3" s="64"/>
      <c r="L3" s="64"/>
      <c r="M3" s="64"/>
      <c r="N3" s="64"/>
      <c r="O3" s="64"/>
      <c r="P3" s="64"/>
      <c r="Q3" s="66"/>
      <c r="R3" s="66"/>
      <c r="S3" s="66"/>
      <c r="T3" s="66"/>
      <c r="U3" s="67"/>
      <c r="V3" s="64"/>
      <c r="W3" s="64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69" t="s">
        <v>6</v>
      </c>
      <c r="B4" s="68" t="s">
        <v>1</v>
      </c>
      <c r="C4" s="68" t="s">
        <v>2</v>
      </c>
      <c r="D4" s="68" t="s">
        <v>7</v>
      </c>
      <c r="E4" s="68"/>
      <c r="F4" s="68" t="s">
        <v>3</v>
      </c>
      <c r="G4" s="68" t="s">
        <v>4</v>
      </c>
      <c r="H4" s="68" t="s">
        <v>5</v>
      </c>
      <c r="I4" s="68" t="s">
        <v>341</v>
      </c>
      <c r="J4" s="68"/>
      <c r="K4" s="68"/>
      <c r="L4" s="68"/>
      <c r="M4" s="68"/>
      <c r="N4" s="68"/>
      <c r="O4" s="68"/>
      <c r="P4" s="68"/>
      <c r="Q4" s="70"/>
      <c r="R4" s="70"/>
      <c r="S4" s="70"/>
      <c r="T4" s="70"/>
      <c r="U4" s="71"/>
      <c r="V4" s="68"/>
      <c r="W4" s="68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65" t="s">
        <v>8</v>
      </c>
      <c r="B5" s="64" t="s">
        <v>9</v>
      </c>
      <c r="C5" s="64" t="s">
        <v>10</v>
      </c>
      <c r="D5" s="64" t="s">
        <v>11</v>
      </c>
      <c r="E5" s="64"/>
      <c r="F5" s="64" t="s">
        <v>12</v>
      </c>
      <c r="G5" s="64" t="s">
        <v>13</v>
      </c>
      <c r="H5" s="64" t="s">
        <v>14</v>
      </c>
      <c r="I5" s="64" t="s">
        <v>341</v>
      </c>
      <c r="J5" s="64"/>
      <c r="K5" s="64"/>
      <c r="L5" s="64"/>
      <c r="M5" s="64"/>
      <c r="N5" s="64"/>
      <c r="O5" s="64"/>
      <c r="P5" s="64"/>
      <c r="Q5" s="66"/>
      <c r="R5" s="66"/>
      <c r="S5" s="66"/>
      <c r="T5" s="66"/>
      <c r="U5" s="67"/>
      <c r="V5" s="64"/>
      <c r="W5" s="64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69" t="s">
        <v>15</v>
      </c>
      <c r="B6" s="68" t="s">
        <v>9</v>
      </c>
      <c r="C6" s="68" t="s">
        <v>16</v>
      </c>
      <c r="D6" s="68" t="s">
        <v>17</v>
      </c>
      <c r="E6" s="68"/>
      <c r="F6" s="68" t="s">
        <v>12</v>
      </c>
      <c r="G6" s="68" t="s">
        <v>13</v>
      </c>
      <c r="H6" s="68" t="s">
        <v>14</v>
      </c>
      <c r="I6" s="68" t="s">
        <v>341</v>
      </c>
      <c r="J6" s="68" t="s">
        <v>341</v>
      </c>
      <c r="K6" s="68" t="s">
        <v>341</v>
      </c>
      <c r="L6" s="68" t="s">
        <v>341</v>
      </c>
      <c r="M6" s="68" t="s">
        <v>341</v>
      </c>
      <c r="N6" s="68" t="s">
        <v>341</v>
      </c>
      <c r="O6" s="68" t="s">
        <v>341</v>
      </c>
      <c r="P6" s="68" t="s">
        <v>341</v>
      </c>
      <c r="Q6" s="70"/>
      <c r="R6" s="70"/>
      <c r="S6" s="70"/>
      <c r="T6" s="70"/>
      <c r="U6" s="71"/>
      <c r="V6" s="68"/>
      <c r="W6" s="68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65" t="s">
        <v>18</v>
      </c>
      <c r="B7" s="64" t="s">
        <v>9</v>
      </c>
      <c r="C7" s="64" t="s">
        <v>19</v>
      </c>
      <c r="D7" s="64" t="s">
        <v>20</v>
      </c>
      <c r="E7" s="64"/>
      <c r="F7" s="64" t="s">
        <v>12</v>
      </c>
      <c r="G7" s="64" t="s">
        <v>13</v>
      </c>
      <c r="H7" s="64" t="s">
        <v>14</v>
      </c>
      <c r="I7" s="64" t="s">
        <v>341</v>
      </c>
      <c r="J7" s="64" t="s">
        <v>341</v>
      </c>
      <c r="K7" s="64" t="s">
        <v>341</v>
      </c>
      <c r="L7" s="64" t="s">
        <v>341</v>
      </c>
      <c r="M7" s="64" t="s">
        <v>341</v>
      </c>
      <c r="N7" s="64" t="s">
        <v>341</v>
      </c>
      <c r="O7" s="64" t="s">
        <v>341</v>
      </c>
      <c r="P7" s="64" t="s">
        <v>341</v>
      </c>
      <c r="Q7" s="66"/>
      <c r="R7" s="66"/>
      <c r="S7" s="66"/>
      <c r="T7" s="66"/>
      <c r="U7" s="67"/>
      <c r="V7" s="64"/>
      <c r="W7" s="64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69" t="s">
        <v>21</v>
      </c>
      <c r="B8" s="68" t="s">
        <v>9</v>
      </c>
      <c r="C8" s="68" t="s">
        <v>19</v>
      </c>
      <c r="D8" s="68" t="s">
        <v>22</v>
      </c>
      <c r="E8" s="68"/>
      <c r="F8" s="68" t="s">
        <v>12</v>
      </c>
      <c r="G8" s="68" t="s">
        <v>13</v>
      </c>
      <c r="H8" s="68" t="s">
        <v>14</v>
      </c>
      <c r="I8" s="68" t="s">
        <v>341</v>
      </c>
      <c r="J8" s="68" t="s">
        <v>341</v>
      </c>
      <c r="K8" s="68" t="s">
        <v>341</v>
      </c>
      <c r="L8" s="68" t="s">
        <v>341</v>
      </c>
      <c r="M8" s="68" t="s">
        <v>341</v>
      </c>
      <c r="N8" s="68" t="s">
        <v>341</v>
      </c>
      <c r="O8" s="68" t="s">
        <v>341</v>
      </c>
      <c r="P8" s="68" t="s">
        <v>341</v>
      </c>
      <c r="Q8" s="70"/>
      <c r="R8" s="70"/>
      <c r="S8" s="70"/>
      <c r="T8" s="70"/>
      <c r="U8" s="71"/>
      <c r="V8" s="68"/>
      <c r="W8" s="68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65" t="s">
        <v>23</v>
      </c>
      <c r="B9" s="64" t="s">
        <v>9</v>
      </c>
      <c r="C9" s="64" t="s">
        <v>24</v>
      </c>
      <c r="D9" s="64" t="s">
        <v>25</v>
      </c>
      <c r="E9" s="64"/>
      <c r="F9" s="64" t="s">
        <v>12</v>
      </c>
      <c r="G9" s="64" t="s">
        <v>13</v>
      </c>
      <c r="H9" s="64" t="s">
        <v>14</v>
      </c>
      <c r="I9" s="64" t="s">
        <v>341</v>
      </c>
      <c r="J9" s="64" t="s">
        <v>341</v>
      </c>
      <c r="K9" s="64" t="s">
        <v>341</v>
      </c>
      <c r="L9" s="64" t="s">
        <v>341</v>
      </c>
      <c r="M9" s="64" t="s">
        <v>341</v>
      </c>
      <c r="N9" s="64" t="s">
        <v>341</v>
      </c>
      <c r="O9" s="64" t="s">
        <v>341</v>
      </c>
      <c r="P9" s="64" t="s">
        <v>341</v>
      </c>
      <c r="Q9" s="66"/>
      <c r="R9" s="66"/>
      <c r="S9" s="66"/>
      <c r="T9" s="66"/>
      <c r="U9" s="67"/>
      <c r="V9" s="64"/>
      <c r="W9" s="64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69" t="s">
        <v>26</v>
      </c>
      <c r="B10" s="68" t="s">
        <v>9</v>
      </c>
      <c r="C10" s="68" t="s">
        <v>27</v>
      </c>
      <c r="D10" s="68" t="s">
        <v>28</v>
      </c>
      <c r="E10" s="68"/>
      <c r="F10" s="68" t="s">
        <v>12</v>
      </c>
      <c r="G10" s="68" t="s">
        <v>13</v>
      </c>
      <c r="H10" s="68" t="s">
        <v>14</v>
      </c>
      <c r="I10" s="68" t="s">
        <v>341</v>
      </c>
      <c r="J10" s="68" t="s">
        <v>341</v>
      </c>
      <c r="K10" s="68" t="s">
        <v>341</v>
      </c>
      <c r="L10" s="68" t="s">
        <v>341</v>
      </c>
      <c r="M10" s="68" t="s">
        <v>341</v>
      </c>
      <c r="N10" s="68" t="s">
        <v>341</v>
      </c>
      <c r="O10" s="68" t="s">
        <v>341</v>
      </c>
      <c r="P10" s="68" t="s">
        <v>341</v>
      </c>
      <c r="Q10" s="70"/>
      <c r="R10" s="70"/>
      <c r="S10" s="70"/>
      <c r="T10" s="70"/>
      <c r="U10" s="71"/>
      <c r="V10" s="68"/>
      <c r="W10" s="68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65" t="s">
        <v>29</v>
      </c>
      <c r="B11" s="64" t="s">
        <v>9</v>
      </c>
      <c r="C11" s="64" t="s">
        <v>16</v>
      </c>
      <c r="D11" s="64" t="s">
        <v>30</v>
      </c>
      <c r="E11" s="64"/>
      <c r="F11" s="64" t="s">
        <v>12</v>
      </c>
      <c r="G11" s="64" t="s">
        <v>13</v>
      </c>
      <c r="H11" s="64" t="s">
        <v>14</v>
      </c>
      <c r="I11" s="64" t="s">
        <v>341</v>
      </c>
      <c r="J11" s="64" t="s">
        <v>341</v>
      </c>
      <c r="K11" s="64" t="s">
        <v>341</v>
      </c>
      <c r="L11" s="64" t="s">
        <v>341</v>
      </c>
      <c r="M11" s="64" t="s">
        <v>341</v>
      </c>
      <c r="N11" s="64" t="s">
        <v>341</v>
      </c>
      <c r="O11" s="64" t="s">
        <v>341</v>
      </c>
      <c r="P11" s="64" t="s">
        <v>341</v>
      </c>
      <c r="Q11" s="66"/>
      <c r="R11" s="66"/>
      <c r="S11" s="66"/>
      <c r="T11" s="66"/>
      <c r="U11" s="67"/>
      <c r="V11" s="64"/>
      <c r="W11" s="64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69" t="s">
        <v>31</v>
      </c>
      <c r="B12" s="68" t="s">
        <v>9</v>
      </c>
      <c r="C12" s="68" t="s">
        <v>24</v>
      </c>
      <c r="D12" s="68" t="s">
        <v>32</v>
      </c>
      <c r="E12" s="68"/>
      <c r="F12" s="68" t="s">
        <v>12</v>
      </c>
      <c r="G12" s="68" t="s">
        <v>13</v>
      </c>
      <c r="H12" s="68" t="s">
        <v>14</v>
      </c>
      <c r="I12" s="68" t="s">
        <v>341</v>
      </c>
      <c r="J12" s="68" t="s">
        <v>341</v>
      </c>
      <c r="K12" s="68" t="s">
        <v>341</v>
      </c>
      <c r="L12" s="68" t="s">
        <v>341</v>
      </c>
      <c r="M12" s="68" t="s">
        <v>341</v>
      </c>
      <c r="N12" s="68" t="s">
        <v>341</v>
      </c>
      <c r="O12" s="68" t="s">
        <v>341</v>
      </c>
      <c r="P12" s="68" t="s">
        <v>341</v>
      </c>
      <c r="Q12" s="70"/>
      <c r="R12" s="70"/>
      <c r="S12" s="70"/>
      <c r="T12" s="70"/>
      <c r="U12" s="71"/>
      <c r="V12" s="68"/>
      <c r="W12" s="68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65" t="s">
        <v>33</v>
      </c>
      <c r="B13" s="64" t="s">
        <v>9</v>
      </c>
      <c r="C13" s="64" t="s">
        <v>24</v>
      </c>
      <c r="D13" s="64" t="s">
        <v>34</v>
      </c>
      <c r="E13" s="64"/>
      <c r="F13" s="64" t="s">
        <v>12</v>
      </c>
      <c r="G13" s="64" t="s">
        <v>13</v>
      </c>
      <c r="H13" s="64" t="s">
        <v>14</v>
      </c>
      <c r="I13" s="64" t="s">
        <v>341</v>
      </c>
      <c r="J13" s="64" t="s">
        <v>341</v>
      </c>
      <c r="K13" s="64" t="s">
        <v>341</v>
      </c>
      <c r="L13" s="64" t="s">
        <v>341</v>
      </c>
      <c r="M13" s="64" t="s">
        <v>341</v>
      </c>
      <c r="N13" s="64" t="s">
        <v>341</v>
      </c>
      <c r="O13" s="64" t="s">
        <v>341</v>
      </c>
      <c r="P13" s="64" t="s">
        <v>341</v>
      </c>
      <c r="Q13" s="66"/>
      <c r="R13" s="66"/>
      <c r="S13" s="66"/>
      <c r="T13" s="66"/>
      <c r="U13" s="67"/>
      <c r="V13" s="64"/>
      <c r="W13" s="64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69" t="s">
        <v>35</v>
      </c>
      <c r="B14" s="68" t="s">
        <v>9</v>
      </c>
      <c r="C14" s="68" t="s">
        <v>24</v>
      </c>
      <c r="D14" s="68" t="s">
        <v>36</v>
      </c>
      <c r="E14" s="68"/>
      <c r="F14" s="68" t="s">
        <v>37</v>
      </c>
      <c r="G14" s="68" t="s">
        <v>13</v>
      </c>
      <c r="H14" s="68" t="s">
        <v>14</v>
      </c>
      <c r="I14" s="68" t="s">
        <v>341</v>
      </c>
      <c r="J14" s="68" t="s">
        <v>341</v>
      </c>
      <c r="K14" s="68" t="s">
        <v>341</v>
      </c>
      <c r="L14" s="68" t="s">
        <v>341</v>
      </c>
      <c r="M14" s="68" t="s">
        <v>341</v>
      </c>
      <c r="N14" s="68" t="s">
        <v>341</v>
      </c>
      <c r="O14" s="68" t="s">
        <v>341</v>
      </c>
      <c r="P14" s="68" t="s">
        <v>341</v>
      </c>
      <c r="Q14" s="70"/>
      <c r="R14" s="70"/>
      <c r="S14" s="70"/>
      <c r="T14" s="70"/>
      <c r="U14" s="71"/>
      <c r="V14" s="68"/>
      <c r="W14" s="68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65" t="s">
        <v>38</v>
      </c>
      <c r="B15" s="64" t="s">
        <v>9</v>
      </c>
      <c r="C15" s="64" t="s">
        <v>16</v>
      </c>
      <c r="D15" s="64" t="s">
        <v>39</v>
      </c>
      <c r="E15" s="64"/>
      <c r="F15" s="64" t="s">
        <v>37</v>
      </c>
      <c r="G15" s="64" t="s">
        <v>13</v>
      </c>
      <c r="H15" s="64" t="s">
        <v>14</v>
      </c>
      <c r="I15" s="64" t="s">
        <v>341</v>
      </c>
      <c r="J15" s="64" t="s">
        <v>341</v>
      </c>
      <c r="K15" s="64" t="s">
        <v>341</v>
      </c>
      <c r="L15" s="64" t="s">
        <v>341</v>
      </c>
      <c r="M15" s="64" t="s">
        <v>341</v>
      </c>
      <c r="N15" s="64" t="s">
        <v>341</v>
      </c>
      <c r="O15" s="64" t="s">
        <v>341</v>
      </c>
      <c r="P15" s="64" t="s">
        <v>341</v>
      </c>
      <c r="Q15" s="66"/>
      <c r="R15" s="66"/>
      <c r="S15" s="66"/>
      <c r="T15" s="66"/>
      <c r="U15" s="67"/>
      <c r="V15" s="64"/>
      <c r="W15" s="64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69" t="s">
        <v>40</v>
      </c>
      <c r="B16" s="68" t="s">
        <v>9</v>
      </c>
      <c r="C16" s="68" t="s">
        <v>24</v>
      </c>
      <c r="D16" s="68">
        <v>17608570000161</v>
      </c>
      <c r="E16" s="68"/>
      <c r="F16" s="68" t="s">
        <v>12</v>
      </c>
      <c r="G16" s="68" t="s">
        <v>41</v>
      </c>
      <c r="H16" s="68" t="s">
        <v>5</v>
      </c>
      <c r="I16" s="68" t="s">
        <v>341</v>
      </c>
      <c r="J16" s="68" t="s">
        <v>341</v>
      </c>
      <c r="K16" s="68" t="s">
        <v>341</v>
      </c>
      <c r="L16" s="68" t="s">
        <v>341</v>
      </c>
      <c r="M16" s="68" t="s">
        <v>341</v>
      </c>
      <c r="N16" s="68" t="s">
        <v>341</v>
      </c>
      <c r="O16" s="68" t="s">
        <v>341</v>
      </c>
      <c r="P16" s="68" t="s">
        <v>341</v>
      </c>
      <c r="Q16" s="70"/>
      <c r="R16" s="70"/>
      <c r="S16" s="70"/>
      <c r="T16" s="70"/>
      <c r="U16" s="71"/>
      <c r="V16" s="68"/>
      <c r="W16" s="68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65" t="s">
        <v>42</v>
      </c>
      <c r="B17" s="64" t="s">
        <v>9</v>
      </c>
      <c r="C17" s="64" t="s">
        <v>24</v>
      </c>
      <c r="D17" s="64" t="s">
        <v>43</v>
      </c>
      <c r="E17" s="64"/>
      <c r="F17" s="64" t="s">
        <v>12</v>
      </c>
      <c r="G17" s="64" t="s">
        <v>41</v>
      </c>
      <c r="H17" s="64" t="s">
        <v>5</v>
      </c>
      <c r="I17" s="64"/>
      <c r="J17" s="64"/>
      <c r="K17" s="64"/>
      <c r="L17" s="64"/>
      <c r="M17" s="64" t="s">
        <v>372</v>
      </c>
      <c r="N17" s="64"/>
      <c r="O17" s="64" t="s">
        <v>342</v>
      </c>
      <c r="P17" s="64" t="s">
        <v>343</v>
      </c>
      <c r="Q17" s="66"/>
      <c r="R17" s="66"/>
      <c r="S17" s="66"/>
      <c r="T17" s="66"/>
      <c r="U17" s="67"/>
      <c r="V17" s="64"/>
      <c r="W17" s="64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69" t="s">
        <v>44</v>
      </c>
      <c r="B18" s="68" t="s">
        <v>45</v>
      </c>
      <c r="C18" s="68" t="s">
        <v>46</v>
      </c>
      <c r="D18" s="68" t="s">
        <v>47</v>
      </c>
      <c r="E18" s="68"/>
      <c r="F18" s="68" t="s">
        <v>48</v>
      </c>
      <c r="G18" s="68" t="s">
        <v>13</v>
      </c>
      <c r="H18" s="68" t="s">
        <v>49</v>
      </c>
      <c r="I18" s="68"/>
      <c r="J18" s="68"/>
      <c r="K18" s="68"/>
      <c r="L18" s="68"/>
      <c r="M18" s="68" t="s">
        <v>373</v>
      </c>
      <c r="N18" s="68"/>
      <c r="O18" s="68" t="s">
        <v>344</v>
      </c>
      <c r="P18" s="68"/>
      <c r="Q18" s="70"/>
      <c r="R18" s="70"/>
      <c r="S18" s="70"/>
      <c r="T18" s="70"/>
      <c r="U18" s="71"/>
      <c r="V18" s="68"/>
      <c r="W18" s="68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65" t="s">
        <v>50</v>
      </c>
      <c r="B19" s="64" t="s">
        <v>45</v>
      </c>
      <c r="C19" s="64" t="s">
        <v>46</v>
      </c>
      <c r="D19" s="64" t="s">
        <v>51</v>
      </c>
      <c r="E19" s="64"/>
      <c r="F19" s="64" t="s">
        <v>48</v>
      </c>
      <c r="G19" s="64" t="s">
        <v>13</v>
      </c>
      <c r="H19" s="64" t="s">
        <v>49</v>
      </c>
      <c r="I19" s="64"/>
      <c r="J19" s="64"/>
      <c r="K19" s="64"/>
      <c r="L19" s="64"/>
      <c r="M19" s="64" t="s">
        <v>373</v>
      </c>
      <c r="N19" s="64"/>
      <c r="O19" s="64" t="s">
        <v>344</v>
      </c>
      <c r="P19" s="64"/>
      <c r="Q19" s="66"/>
      <c r="R19" s="66"/>
      <c r="S19" s="66"/>
      <c r="T19" s="66"/>
      <c r="U19" s="67"/>
      <c r="V19" s="64"/>
      <c r="W19" s="64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69" t="s">
        <v>52</v>
      </c>
      <c r="B20" s="68" t="s">
        <v>45</v>
      </c>
      <c r="C20" s="68" t="s">
        <v>46</v>
      </c>
      <c r="D20" s="68" t="s">
        <v>53</v>
      </c>
      <c r="E20" s="68"/>
      <c r="F20" s="68" t="s">
        <v>48</v>
      </c>
      <c r="G20" s="68" t="s">
        <v>13</v>
      </c>
      <c r="H20" s="68" t="s">
        <v>14</v>
      </c>
      <c r="I20" s="68"/>
      <c r="J20" s="68"/>
      <c r="K20" s="68"/>
      <c r="L20" s="68"/>
      <c r="M20" s="68" t="s">
        <v>373</v>
      </c>
      <c r="N20" s="68"/>
      <c r="O20" s="68" t="s">
        <v>344</v>
      </c>
      <c r="P20" s="68"/>
      <c r="Q20" s="70"/>
      <c r="R20" s="70"/>
      <c r="S20" s="70"/>
      <c r="T20" s="70"/>
      <c r="U20" s="71"/>
      <c r="V20" s="68"/>
      <c r="W20" s="68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65" t="s">
        <v>54</v>
      </c>
      <c r="B21" s="64" t="s">
        <v>55</v>
      </c>
      <c r="C21" s="64" t="s">
        <v>56</v>
      </c>
      <c r="D21" s="64">
        <v>57123358000129</v>
      </c>
      <c r="E21" s="64"/>
      <c r="F21" s="64" t="s">
        <v>57</v>
      </c>
      <c r="G21" s="64" t="s">
        <v>4</v>
      </c>
      <c r="H21" s="64" t="s">
        <v>14</v>
      </c>
      <c r="I21" s="64"/>
      <c r="J21" s="64"/>
      <c r="K21" s="64"/>
      <c r="L21" s="64"/>
      <c r="M21" s="64" t="s">
        <v>372</v>
      </c>
      <c r="N21" s="64"/>
      <c r="O21" s="64" t="s">
        <v>346</v>
      </c>
      <c r="P21" s="64"/>
      <c r="Q21" s="66"/>
      <c r="R21" s="66"/>
      <c r="S21" s="66"/>
      <c r="T21" s="66"/>
      <c r="U21" s="67"/>
      <c r="V21" s="64"/>
      <c r="W21" s="64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69" t="s">
        <v>58</v>
      </c>
      <c r="B22" s="68" t="s">
        <v>45</v>
      </c>
      <c r="C22" s="68" t="s">
        <v>59</v>
      </c>
      <c r="D22" s="68">
        <v>40870380000130</v>
      </c>
      <c r="E22" s="68"/>
      <c r="F22" s="68" t="s">
        <v>48</v>
      </c>
      <c r="G22" s="68" t="s">
        <v>4</v>
      </c>
      <c r="H22" s="68" t="s">
        <v>14</v>
      </c>
      <c r="I22" s="68"/>
      <c r="J22" s="68"/>
      <c r="K22" s="68"/>
      <c r="L22" s="68"/>
      <c r="M22" s="68" t="s">
        <v>374</v>
      </c>
      <c r="N22" s="68"/>
      <c r="O22" s="68" t="s">
        <v>345</v>
      </c>
      <c r="P22" s="68"/>
      <c r="Q22" s="70"/>
      <c r="R22" s="70"/>
      <c r="S22" s="70"/>
      <c r="T22" s="70"/>
      <c r="U22" s="71"/>
      <c r="V22" s="68"/>
      <c r="W22" s="68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65" t="s">
        <v>60</v>
      </c>
      <c r="B23" s="64" t="s">
        <v>61</v>
      </c>
      <c r="C23" s="64" t="s">
        <v>62</v>
      </c>
      <c r="D23" s="64">
        <v>26837949000134</v>
      </c>
      <c r="E23" s="64"/>
      <c r="F23" s="64" t="s">
        <v>63</v>
      </c>
      <c r="G23" s="64" t="s">
        <v>41</v>
      </c>
      <c r="H23" s="64" t="s">
        <v>5</v>
      </c>
      <c r="I23" s="64"/>
      <c r="J23" s="64"/>
      <c r="K23" s="64"/>
      <c r="L23" s="64"/>
      <c r="M23" s="64" t="s">
        <v>375</v>
      </c>
      <c r="N23" s="64"/>
      <c r="O23" s="64"/>
      <c r="P23" s="64"/>
      <c r="Q23" s="66"/>
      <c r="R23" s="66"/>
      <c r="S23" s="66"/>
      <c r="T23" s="66"/>
      <c r="U23" s="67"/>
      <c r="V23" s="64"/>
      <c r="W23" s="64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69" t="s">
        <v>64</v>
      </c>
      <c r="B24" s="68" t="s">
        <v>65</v>
      </c>
      <c r="C24" s="68" t="s">
        <v>62</v>
      </c>
      <c r="D24" s="68">
        <v>12923820000134</v>
      </c>
      <c r="E24" s="68"/>
      <c r="F24" s="68" t="s">
        <v>66</v>
      </c>
      <c r="G24" s="68" t="s">
        <v>13</v>
      </c>
      <c r="H24" s="68" t="s">
        <v>49</v>
      </c>
      <c r="I24" s="68"/>
      <c r="J24" s="68"/>
      <c r="K24" s="68"/>
      <c r="L24" s="68"/>
      <c r="M24" s="68" t="s">
        <v>373</v>
      </c>
      <c r="N24" s="68"/>
      <c r="O24" s="68" t="s">
        <v>344</v>
      </c>
      <c r="P24" s="68"/>
      <c r="Q24" s="70"/>
      <c r="R24" s="70"/>
      <c r="S24" s="70"/>
      <c r="T24" s="70"/>
      <c r="U24" s="71"/>
      <c r="V24" s="68"/>
      <c r="W24" s="68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65" t="s">
        <v>67</v>
      </c>
      <c r="B25" s="64" t="s">
        <v>68</v>
      </c>
      <c r="C25" s="64" t="s">
        <v>69</v>
      </c>
      <c r="D25" s="64" t="s">
        <v>70</v>
      </c>
      <c r="E25" s="64"/>
      <c r="F25" s="64" t="s">
        <v>71</v>
      </c>
      <c r="G25" s="64" t="s">
        <v>4</v>
      </c>
      <c r="H25" s="64" t="s">
        <v>49</v>
      </c>
      <c r="I25" s="64"/>
      <c r="J25" s="64"/>
      <c r="K25" s="64"/>
      <c r="L25" s="64"/>
      <c r="M25" s="64" t="s">
        <v>375</v>
      </c>
      <c r="N25" s="64"/>
      <c r="O25" s="64" t="s">
        <v>346</v>
      </c>
      <c r="P25" s="64"/>
      <c r="Q25" s="66"/>
      <c r="R25" s="66"/>
      <c r="S25" s="66"/>
      <c r="T25" s="66"/>
      <c r="U25" s="67"/>
      <c r="V25" s="64"/>
      <c r="W25" s="64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69" t="s">
        <v>72</v>
      </c>
      <c r="B26" s="68" t="s">
        <v>9</v>
      </c>
      <c r="C26" s="68" t="s">
        <v>24</v>
      </c>
      <c r="D26" s="68">
        <v>41597807000130</v>
      </c>
      <c r="E26" s="68"/>
      <c r="F26" s="68" t="s">
        <v>73</v>
      </c>
      <c r="G26" s="68" t="s">
        <v>4</v>
      </c>
      <c r="H26" s="68" t="s">
        <v>5</v>
      </c>
      <c r="I26" s="68"/>
      <c r="J26" s="68"/>
      <c r="K26" s="68"/>
      <c r="L26" s="68"/>
      <c r="M26" s="68" t="s">
        <v>375</v>
      </c>
      <c r="N26" s="68"/>
      <c r="O26" s="68" t="s">
        <v>344</v>
      </c>
      <c r="P26" s="68"/>
      <c r="Q26" s="70"/>
      <c r="R26" s="70"/>
      <c r="S26" s="70"/>
      <c r="T26" s="70"/>
      <c r="U26" s="71"/>
      <c r="V26" s="68"/>
      <c r="W26" s="68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65" t="s">
        <v>74</v>
      </c>
      <c r="B27" s="64" t="s">
        <v>75</v>
      </c>
      <c r="C27" s="64" t="s">
        <v>62</v>
      </c>
      <c r="D27" s="64">
        <v>21430001000146</v>
      </c>
      <c r="E27" s="64"/>
      <c r="F27" s="64" t="s">
        <v>76</v>
      </c>
      <c r="G27" s="64" t="s">
        <v>4</v>
      </c>
      <c r="H27" s="64" t="s">
        <v>5</v>
      </c>
      <c r="I27" s="64"/>
      <c r="J27" s="64"/>
      <c r="K27" s="64"/>
      <c r="L27" s="64"/>
      <c r="M27" s="64" t="s">
        <v>373</v>
      </c>
      <c r="N27" s="64"/>
      <c r="O27" s="64" t="s">
        <v>344</v>
      </c>
      <c r="P27" s="64"/>
      <c r="Q27" s="66"/>
      <c r="R27" s="66"/>
      <c r="S27" s="66"/>
      <c r="T27" s="66"/>
      <c r="U27" s="67"/>
      <c r="V27" s="64"/>
      <c r="W27" s="64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69" t="s">
        <v>77</v>
      </c>
      <c r="B28" s="68" t="s">
        <v>78</v>
      </c>
      <c r="C28" s="68" t="s">
        <v>79</v>
      </c>
      <c r="D28" s="68" t="s">
        <v>80</v>
      </c>
      <c r="E28" s="68"/>
      <c r="F28" s="68" t="s">
        <v>81</v>
      </c>
      <c r="G28" s="68" t="s">
        <v>13</v>
      </c>
      <c r="H28" s="68" t="s">
        <v>49</v>
      </c>
      <c r="I28" s="68"/>
      <c r="J28" s="68"/>
      <c r="K28" s="68"/>
      <c r="L28" s="68"/>
      <c r="M28" s="68" t="s">
        <v>373</v>
      </c>
      <c r="N28" s="68"/>
      <c r="O28" s="68" t="s">
        <v>344</v>
      </c>
      <c r="P28" s="68"/>
      <c r="Q28" s="70"/>
      <c r="R28" s="70"/>
      <c r="S28" s="70"/>
      <c r="T28" s="70"/>
      <c r="U28" s="71"/>
      <c r="V28" s="68"/>
      <c r="W28" s="68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65" t="s">
        <v>82</v>
      </c>
      <c r="B29" s="64" t="s">
        <v>78</v>
      </c>
      <c r="C29" s="64" t="s">
        <v>83</v>
      </c>
      <c r="D29" s="64">
        <v>62220305000166</v>
      </c>
      <c r="E29" s="64"/>
      <c r="F29" s="64" t="s">
        <v>81</v>
      </c>
      <c r="G29" s="64" t="s">
        <v>4</v>
      </c>
      <c r="H29" s="64" t="s">
        <v>5</v>
      </c>
      <c r="I29" s="64"/>
      <c r="J29" s="64"/>
      <c r="K29" s="64"/>
      <c r="L29" s="64"/>
      <c r="M29" s="64" t="s">
        <v>374</v>
      </c>
      <c r="N29" s="64"/>
      <c r="O29" s="64" t="s">
        <v>346</v>
      </c>
      <c r="P29" s="64"/>
      <c r="Q29" s="66"/>
      <c r="R29" s="66"/>
      <c r="S29" s="66"/>
      <c r="T29" s="66"/>
      <c r="U29" s="67"/>
      <c r="V29" s="64"/>
      <c r="W29" s="64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69" t="s">
        <v>84</v>
      </c>
      <c r="B30" s="68" t="s">
        <v>85</v>
      </c>
      <c r="C30" s="68" t="s">
        <v>46</v>
      </c>
      <c r="D30" s="68">
        <v>10712858000132</v>
      </c>
      <c r="E30" s="68"/>
      <c r="F30" s="68" t="s">
        <v>86</v>
      </c>
      <c r="G30" s="68" t="s">
        <v>13</v>
      </c>
      <c r="H30" s="68" t="s">
        <v>5</v>
      </c>
      <c r="I30" s="68"/>
      <c r="J30" s="68"/>
      <c r="K30" s="68"/>
      <c r="L30" s="68"/>
      <c r="M30" s="68" t="s">
        <v>373</v>
      </c>
      <c r="N30" s="68"/>
      <c r="O30" s="68" t="s">
        <v>346</v>
      </c>
      <c r="P30" s="68"/>
      <c r="Q30" s="70"/>
      <c r="R30" s="70"/>
      <c r="S30" s="70"/>
      <c r="T30" s="70"/>
      <c r="U30" s="71"/>
      <c r="V30" s="68"/>
      <c r="W30" s="68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65" t="s">
        <v>87</v>
      </c>
      <c r="B31" s="64" t="s">
        <v>61</v>
      </c>
      <c r="C31" s="64" t="s">
        <v>62</v>
      </c>
      <c r="D31" s="64">
        <v>53665434000177</v>
      </c>
      <c r="E31" s="64"/>
      <c r="F31" s="64" t="s">
        <v>63</v>
      </c>
      <c r="G31" s="64" t="s">
        <v>4</v>
      </c>
      <c r="H31" s="64" t="s">
        <v>5</v>
      </c>
      <c r="I31" s="64"/>
      <c r="J31" s="64"/>
      <c r="K31" s="64"/>
      <c r="L31" s="64"/>
      <c r="M31" s="64" t="s">
        <v>375</v>
      </c>
      <c r="N31" s="64"/>
      <c r="O31" s="64" t="s">
        <v>346</v>
      </c>
      <c r="P31" s="64"/>
      <c r="Q31" s="66"/>
      <c r="R31" s="66"/>
      <c r="S31" s="66"/>
      <c r="T31" s="66"/>
      <c r="U31" s="67"/>
      <c r="V31" s="64"/>
      <c r="W31" s="64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69" t="s">
        <v>88</v>
      </c>
      <c r="B32" s="68" t="s">
        <v>61</v>
      </c>
      <c r="C32" s="68" t="s">
        <v>62</v>
      </c>
      <c r="D32" s="68">
        <v>53665515000177</v>
      </c>
      <c r="E32" s="68"/>
      <c r="F32" s="68" t="s">
        <v>63</v>
      </c>
      <c r="G32" s="68" t="s">
        <v>4</v>
      </c>
      <c r="H32" s="68" t="s">
        <v>5</v>
      </c>
      <c r="I32" s="68"/>
      <c r="J32" s="68"/>
      <c r="K32" s="68"/>
      <c r="L32" s="68"/>
      <c r="M32" s="68" t="s">
        <v>375</v>
      </c>
      <c r="N32" s="68"/>
      <c r="O32" s="68" t="s">
        <v>346</v>
      </c>
      <c r="P32" s="68"/>
      <c r="Q32" s="70"/>
      <c r="R32" s="70"/>
      <c r="S32" s="70"/>
      <c r="T32" s="70"/>
      <c r="U32" s="71"/>
      <c r="V32" s="68"/>
      <c r="W32" s="68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65" t="s">
        <v>89</v>
      </c>
      <c r="B33" s="64" t="s">
        <v>61</v>
      </c>
      <c r="C33" s="64" t="s">
        <v>62</v>
      </c>
      <c r="D33" s="64">
        <v>53666225000148</v>
      </c>
      <c r="E33" s="64"/>
      <c r="F33" s="64" t="s">
        <v>63</v>
      </c>
      <c r="G33" s="64" t="s">
        <v>4</v>
      </c>
      <c r="H33" s="64" t="s">
        <v>5</v>
      </c>
      <c r="I33" s="64"/>
      <c r="J33" s="64"/>
      <c r="K33" s="64"/>
      <c r="L33" s="64"/>
      <c r="M33" s="64" t="s">
        <v>375</v>
      </c>
      <c r="N33" s="64"/>
      <c r="O33" s="64" t="s">
        <v>346</v>
      </c>
      <c r="P33" s="64"/>
      <c r="Q33" s="66"/>
      <c r="R33" s="66"/>
      <c r="S33" s="66"/>
      <c r="T33" s="66"/>
      <c r="U33" s="67"/>
      <c r="V33" s="64"/>
      <c r="W33" s="64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69" t="s">
        <v>90</v>
      </c>
      <c r="B34" s="68" t="s">
        <v>61</v>
      </c>
      <c r="C34" s="68" t="s">
        <v>62</v>
      </c>
      <c r="D34" s="68">
        <v>17845752000156</v>
      </c>
      <c r="E34" s="68"/>
      <c r="F34" s="68" t="s">
        <v>63</v>
      </c>
      <c r="G34" s="68" t="s">
        <v>41</v>
      </c>
      <c r="H34" s="68" t="s">
        <v>5</v>
      </c>
      <c r="I34" s="68"/>
      <c r="J34" s="68"/>
      <c r="K34" s="68"/>
      <c r="L34" s="68"/>
      <c r="M34" s="68" t="s">
        <v>376</v>
      </c>
      <c r="N34" s="68"/>
      <c r="O34" s="68" t="s">
        <v>346</v>
      </c>
      <c r="P34" s="68"/>
      <c r="Q34" s="70"/>
      <c r="R34" s="70"/>
      <c r="S34" s="70"/>
      <c r="T34" s="70"/>
      <c r="U34" s="71"/>
      <c r="V34" s="68"/>
      <c r="W34" s="68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65" t="s">
        <v>91</v>
      </c>
      <c r="B35" s="64" t="s">
        <v>61</v>
      </c>
      <c r="C35" s="64" t="s">
        <v>62</v>
      </c>
      <c r="D35" s="64">
        <v>17813257000165</v>
      </c>
      <c r="E35" s="64"/>
      <c r="F35" s="64" t="s">
        <v>63</v>
      </c>
      <c r="G35" s="64" t="s">
        <v>13</v>
      </c>
      <c r="H35" s="64" t="s">
        <v>5</v>
      </c>
      <c r="I35" s="64"/>
      <c r="J35" s="64"/>
      <c r="K35" s="64"/>
      <c r="L35" s="64"/>
      <c r="M35" s="64" t="s">
        <v>377</v>
      </c>
      <c r="N35" s="64"/>
      <c r="O35" s="64" t="s">
        <v>346</v>
      </c>
      <c r="P35" s="64"/>
      <c r="Q35" s="66"/>
      <c r="R35" s="66"/>
      <c r="S35" s="66"/>
      <c r="T35" s="66"/>
      <c r="U35" s="67"/>
      <c r="V35" s="64"/>
      <c r="W35" s="64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69" t="s">
        <v>92</v>
      </c>
      <c r="B36" s="68" t="s">
        <v>1</v>
      </c>
      <c r="C36" s="68" t="s">
        <v>93</v>
      </c>
      <c r="D36" s="68" t="s">
        <v>94</v>
      </c>
      <c r="E36" s="68"/>
      <c r="F36" s="68" t="s">
        <v>3</v>
      </c>
      <c r="G36" s="68" t="s">
        <v>4</v>
      </c>
      <c r="H36" s="68" t="s">
        <v>5</v>
      </c>
      <c r="I36" s="68"/>
      <c r="J36" s="68"/>
      <c r="K36" s="68"/>
      <c r="L36" s="68"/>
      <c r="M36" s="68" t="s">
        <v>373</v>
      </c>
      <c r="N36" s="68"/>
      <c r="O36" s="68" t="s">
        <v>346</v>
      </c>
      <c r="P36" s="68"/>
      <c r="Q36" s="70"/>
      <c r="R36" s="70"/>
      <c r="S36" s="70"/>
      <c r="T36" s="70"/>
      <c r="U36" s="71"/>
      <c r="V36" s="68"/>
      <c r="W36" s="68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65" t="s">
        <v>95</v>
      </c>
      <c r="B37" s="64" t="s">
        <v>96</v>
      </c>
      <c r="C37" s="64" t="s">
        <v>97</v>
      </c>
      <c r="D37" s="64" t="s">
        <v>98</v>
      </c>
      <c r="E37" s="64"/>
      <c r="F37" s="64" t="s">
        <v>99</v>
      </c>
      <c r="G37" s="64" t="s">
        <v>41</v>
      </c>
      <c r="H37" s="64" t="s">
        <v>14</v>
      </c>
      <c r="I37" s="64"/>
      <c r="J37" s="64"/>
      <c r="K37" s="64"/>
      <c r="L37" s="64"/>
      <c r="M37" s="64" t="s">
        <v>379</v>
      </c>
      <c r="N37" s="64" t="s">
        <v>358</v>
      </c>
      <c r="O37" s="64" t="s">
        <v>346</v>
      </c>
      <c r="P37" s="64"/>
      <c r="Q37" s="66"/>
      <c r="R37" s="66"/>
      <c r="S37" s="66"/>
      <c r="T37" s="66"/>
      <c r="U37" s="67"/>
      <c r="V37" s="64"/>
      <c r="W37" s="64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69" t="s">
        <v>95</v>
      </c>
      <c r="B38" s="68" t="s">
        <v>96</v>
      </c>
      <c r="C38" s="68" t="s">
        <v>97</v>
      </c>
      <c r="D38" s="68" t="s">
        <v>100</v>
      </c>
      <c r="E38" s="68"/>
      <c r="F38" s="68" t="s">
        <v>99</v>
      </c>
      <c r="G38" s="68" t="s">
        <v>13</v>
      </c>
      <c r="H38" s="68" t="s">
        <v>14</v>
      </c>
      <c r="I38" s="68"/>
      <c r="J38" s="68"/>
      <c r="K38" s="68"/>
      <c r="L38" s="68"/>
      <c r="M38" s="68" t="s">
        <v>378</v>
      </c>
      <c r="N38" s="68" t="s">
        <v>358</v>
      </c>
      <c r="O38" s="68" t="s">
        <v>346</v>
      </c>
      <c r="P38" s="68"/>
      <c r="Q38" s="70"/>
      <c r="R38" s="70"/>
      <c r="S38" s="70"/>
      <c r="T38" s="70"/>
      <c r="U38" s="71"/>
      <c r="V38" s="68"/>
      <c r="W38" s="68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65" t="s">
        <v>95</v>
      </c>
      <c r="B39" s="64" t="s">
        <v>96</v>
      </c>
      <c r="C39" s="64" t="s">
        <v>97</v>
      </c>
      <c r="D39" s="64" t="s">
        <v>101</v>
      </c>
      <c r="E39" s="64"/>
      <c r="F39" s="64" t="s">
        <v>99</v>
      </c>
      <c r="G39" s="64" t="s">
        <v>13</v>
      </c>
      <c r="H39" s="64" t="s">
        <v>14</v>
      </c>
      <c r="I39" s="64"/>
      <c r="J39" s="64"/>
      <c r="K39" s="64"/>
      <c r="L39" s="64"/>
      <c r="M39" s="64" t="s">
        <v>378</v>
      </c>
      <c r="N39" s="64" t="s">
        <v>358</v>
      </c>
      <c r="O39" s="64" t="s">
        <v>346</v>
      </c>
      <c r="P39" s="64"/>
      <c r="Q39" s="66"/>
      <c r="R39" s="66"/>
      <c r="S39" s="66"/>
      <c r="T39" s="66"/>
      <c r="U39" s="67"/>
      <c r="V39" s="64"/>
      <c r="W39" s="64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69" t="s">
        <v>95</v>
      </c>
      <c r="B40" s="68" t="s">
        <v>96</v>
      </c>
      <c r="C40" s="68" t="s">
        <v>97</v>
      </c>
      <c r="D40" s="68" t="s">
        <v>102</v>
      </c>
      <c r="E40" s="68"/>
      <c r="F40" s="68" t="s">
        <v>99</v>
      </c>
      <c r="G40" s="68" t="s">
        <v>13</v>
      </c>
      <c r="H40" s="68" t="s">
        <v>14</v>
      </c>
      <c r="I40" s="68"/>
      <c r="J40" s="68"/>
      <c r="K40" s="68"/>
      <c r="L40" s="68"/>
      <c r="M40" s="68" t="s">
        <v>378</v>
      </c>
      <c r="N40" s="68" t="s">
        <v>358</v>
      </c>
      <c r="O40" s="68" t="s">
        <v>346</v>
      </c>
      <c r="P40" s="68"/>
      <c r="Q40" s="70"/>
      <c r="R40" s="70"/>
      <c r="S40" s="70"/>
      <c r="T40" s="70"/>
      <c r="U40" s="71"/>
      <c r="V40" s="68"/>
      <c r="W40" s="68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65" t="s">
        <v>95</v>
      </c>
      <c r="B41" s="64" t="s">
        <v>96</v>
      </c>
      <c r="C41" s="64" t="s">
        <v>97</v>
      </c>
      <c r="D41" s="64" t="s">
        <v>103</v>
      </c>
      <c r="E41" s="64"/>
      <c r="F41" s="64" t="s">
        <v>99</v>
      </c>
      <c r="G41" s="64" t="s">
        <v>13</v>
      </c>
      <c r="H41" s="64" t="s">
        <v>14</v>
      </c>
      <c r="I41" s="64"/>
      <c r="J41" s="64"/>
      <c r="K41" s="64"/>
      <c r="L41" s="64"/>
      <c r="M41" s="64" t="s">
        <v>378</v>
      </c>
      <c r="N41" s="64" t="s">
        <v>358</v>
      </c>
      <c r="O41" s="64" t="s">
        <v>346</v>
      </c>
      <c r="P41" s="64"/>
      <c r="Q41" s="66"/>
      <c r="R41" s="66"/>
      <c r="S41" s="66"/>
      <c r="T41" s="66"/>
      <c r="U41" s="67"/>
      <c r="V41" s="64"/>
      <c r="W41" s="64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69" t="s">
        <v>95</v>
      </c>
      <c r="B42" s="68" t="s">
        <v>96</v>
      </c>
      <c r="C42" s="68" t="s">
        <v>104</v>
      </c>
      <c r="D42" s="68" t="s">
        <v>105</v>
      </c>
      <c r="E42" s="68"/>
      <c r="F42" s="68" t="s">
        <v>99</v>
      </c>
      <c r="G42" s="68" t="s">
        <v>13</v>
      </c>
      <c r="H42" s="68" t="s">
        <v>14</v>
      </c>
      <c r="I42" s="68"/>
      <c r="J42" s="68"/>
      <c r="K42" s="68"/>
      <c r="L42" s="68"/>
      <c r="M42" s="68" t="s">
        <v>378</v>
      </c>
      <c r="N42" s="68" t="s">
        <v>358</v>
      </c>
      <c r="O42" s="68" t="s">
        <v>346</v>
      </c>
      <c r="P42" s="68"/>
      <c r="Q42" s="70"/>
      <c r="R42" s="70"/>
      <c r="S42" s="70"/>
      <c r="T42" s="70"/>
      <c r="U42" s="71"/>
      <c r="V42" s="68"/>
      <c r="W42" s="68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65" t="s">
        <v>95</v>
      </c>
      <c r="B43" s="64" t="s">
        <v>96</v>
      </c>
      <c r="C43" s="64" t="s">
        <v>104</v>
      </c>
      <c r="D43" s="64" t="s">
        <v>106</v>
      </c>
      <c r="E43" s="64"/>
      <c r="F43" s="64" t="s">
        <v>99</v>
      </c>
      <c r="G43" s="64" t="s">
        <v>13</v>
      </c>
      <c r="H43" s="64" t="s">
        <v>14</v>
      </c>
      <c r="I43" s="64"/>
      <c r="J43" s="64"/>
      <c r="K43" s="64"/>
      <c r="L43" s="64"/>
      <c r="M43" s="64" t="s">
        <v>378</v>
      </c>
      <c r="N43" s="64" t="s">
        <v>358</v>
      </c>
      <c r="O43" s="64" t="s">
        <v>346</v>
      </c>
      <c r="P43" s="64"/>
      <c r="Q43" s="66"/>
      <c r="R43" s="66"/>
      <c r="S43" s="66"/>
      <c r="T43" s="66"/>
      <c r="U43" s="67"/>
      <c r="V43" s="64"/>
      <c r="W43" s="64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69" t="s">
        <v>107</v>
      </c>
      <c r="B44" s="68" t="s">
        <v>108</v>
      </c>
      <c r="C44" s="68" t="s">
        <v>62</v>
      </c>
      <c r="D44" s="68">
        <v>50056304000149</v>
      </c>
      <c r="E44" s="68"/>
      <c r="F44" s="68" t="s">
        <v>109</v>
      </c>
      <c r="G44" s="68" t="s">
        <v>4</v>
      </c>
      <c r="H44" s="68" t="s">
        <v>49</v>
      </c>
      <c r="I44" s="68"/>
      <c r="J44" s="68"/>
      <c r="K44" s="68"/>
      <c r="L44" s="68"/>
      <c r="M44" s="68" t="s">
        <v>375</v>
      </c>
      <c r="N44" s="68"/>
      <c r="O44" s="68" t="s">
        <v>346</v>
      </c>
      <c r="P44" s="68"/>
      <c r="Q44" s="70"/>
      <c r="R44" s="70"/>
      <c r="S44" s="70"/>
      <c r="T44" s="70"/>
      <c r="U44" s="71"/>
      <c r="V44" s="68"/>
      <c r="W44" s="68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65" t="s">
        <v>110</v>
      </c>
      <c r="B45" s="64" t="s">
        <v>108</v>
      </c>
      <c r="C45" s="64" t="s">
        <v>62</v>
      </c>
      <c r="D45" s="64">
        <v>59971731000127</v>
      </c>
      <c r="E45" s="64"/>
      <c r="F45" s="64" t="s">
        <v>109</v>
      </c>
      <c r="G45" s="64" t="s">
        <v>4</v>
      </c>
      <c r="H45" s="64" t="s">
        <v>49</v>
      </c>
      <c r="I45" s="64"/>
      <c r="J45" s="64"/>
      <c r="K45" s="64"/>
      <c r="L45" s="64"/>
      <c r="M45" s="64" t="s">
        <v>375</v>
      </c>
      <c r="N45" s="64"/>
      <c r="O45" s="64" t="s">
        <v>346</v>
      </c>
      <c r="P45" s="64"/>
      <c r="Q45" s="66"/>
      <c r="R45" s="66"/>
      <c r="S45" s="66"/>
      <c r="T45" s="66"/>
      <c r="U45" s="67"/>
      <c r="V45" s="64"/>
      <c r="W45" s="64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69" t="s">
        <v>111</v>
      </c>
      <c r="B46" s="68" t="s">
        <v>108</v>
      </c>
      <c r="C46" s="68" t="s">
        <v>69</v>
      </c>
      <c r="D46" s="68" t="s">
        <v>112</v>
      </c>
      <c r="E46" s="68"/>
      <c r="F46" s="68" t="s">
        <v>113</v>
      </c>
      <c r="G46" s="68" t="s">
        <v>13</v>
      </c>
      <c r="H46" s="68" t="s">
        <v>49</v>
      </c>
      <c r="I46" s="68"/>
      <c r="J46" s="68"/>
      <c r="K46" s="68"/>
      <c r="L46" s="68"/>
      <c r="M46" s="68" t="s">
        <v>373</v>
      </c>
      <c r="N46" s="68"/>
      <c r="O46" s="68" t="s">
        <v>344</v>
      </c>
      <c r="P46" s="68"/>
      <c r="Q46" s="70"/>
      <c r="R46" s="70"/>
      <c r="S46" s="70"/>
      <c r="T46" s="70"/>
      <c r="U46" s="71"/>
      <c r="V46" s="68"/>
      <c r="W46" s="68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65" t="s">
        <v>114</v>
      </c>
      <c r="B47" s="64" t="s">
        <v>115</v>
      </c>
      <c r="C47" s="64" t="s">
        <v>116</v>
      </c>
      <c r="D47" s="64" t="s">
        <v>117</v>
      </c>
      <c r="E47" s="64"/>
      <c r="F47" s="64" t="s">
        <v>118</v>
      </c>
      <c r="G47" s="64" t="s">
        <v>13</v>
      </c>
      <c r="H47" s="64" t="s">
        <v>14</v>
      </c>
      <c r="I47" s="64"/>
      <c r="J47" s="64"/>
      <c r="K47" s="64"/>
      <c r="L47" s="64"/>
      <c r="M47" s="64" t="s">
        <v>373</v>
      </c>
      <c r="N47" s="64"/>
      <c r="O47" s="64" t="s">
        <v>347</v>
      </c>
      <c r="P47" s="64"/>
      <c r="Q47" s="66"/>
      <c r="R47" s="66"/>
      <c r="S47" s="66"/>
      <c r="T47" s="66"/>
      <c r="U47" s="67"/>
      <c r="V47" s="64"/>
      <c r="W47" s="64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69" t="s">
        <v>119</v>
      </c>
      <c r="B48" s="68" t="s">
        <v>115</v>
      </c>
      <c r="C48" s="68" t="s">
        <v>116</v>
      </c>
      <c r="D48" s="68" t="s">
        <v>120</v>
      </c>
      <c r="E48" s="68"/>
      <c r="F48" s="68" t="s">
        <v>118</v>
      </c>
      <c r="G48" s="68" t="s">
        <v>13</v>
      </c>
      <c r="H48" s="68" t="s">
        <v>14</v>
      </c>
      <c r="I48" s="68"/>
      <c r="J48" s="68"/>
      <c r="K48" s="68"/>
      <c r="L48" s="68"/>
      <c r="M48" s="68" t="s">
        <v>372</v>
      </c>
      <c r="N48" s="68"/>
      <c r="O48" s="68" t="s">
        <v>344</v>
      </c>
      <c r="P48" s="68"/>
      <c r="Q48" s="70"/>
      <c r="R48" s="70"/>
      <c r="S48" s="70"/>
      <c r="T48" s="70"/>
      <c r="U48" s="71"/>
      <c r="V48" s="68"/>
      <c r="W48" s="68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65" t="s">
        <v>121</v>
      </c>
      <c r="B49" s="64" t="s">
        <v>115</v>
      </c>
      <c r="C49" s="64" t="s">
        <v>122</v>
      </c>
      <c r="D49" s="64">
        <v>44742752000101</v>
      </c>
      <c r="E49" s="64"/>
      <c r="F49" s="64" t="s">
        <v>118</v>
      </c>
      <c r="G49" s="64" t="s">
        <v>4</v>
      </c>
      <c r="H49" s="64" t="s">
        <v>5</v>
      </c>
      <c r="I49" s="64"/>
      <c r="J49" s="64"/>
      <c r="K49" s="64"/>
      <c r="L49" s="64"/>
      <c r="M49" s="64" t="s">
        <v>372</v>
      </c>
      <c r="N49" s="64"/>
      <c r="O49" s="64" t="s">
        <v>346</v>
      </c>
      <c r="P49" s="64"/>
      <c r="Q49" s="66"/>
      <c r="R49" s="66"/>
      <c r="S49" s="66"/>
      <c r="T49" s="66"/>
      <c r="U49" s="67"/>
      <c r="V49" s="64"/>
      <c r="W49" s="64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69" t="s">
        <v>123</v>
      </c>
      <c r="B50" s="68" t="s">
        <v>115</v>
      </c>
      <c r="C50" s="68" t="s">
        <v>116</v>
      </c>
      <c r="D50" s="68" t="s">
        <v>124</v>
      </c>
      <c r="E50" s="68"/>
      <c r="F50" s="68" t="s">
        <v>125</v>
      </c>
      <c r="G50" s="68" t="s">
        <v>13</v>
      </c>
      <c r="H50" s="68" t="s">
        <v>14</v>
      </c>
      <c r="I50" s="68"/>
      <c r="J50" s="68"/>
      <c r="K50" s="68"/>
      <c r="L50" s="68"/>
      <c r="M50" s="68" t="s">
        <v>375</v>
      </c>
      <c r="N50" s="68"/>
      <c r="O50" s="68" t="s">
        <v>346</v>
      </c>
      <c r="P50" s="68"/>
      <c r="Q50" s="70"/>
      <c r="R50" s="70"/>
      <c r="S50" s="70"/>
      <c r="T50" s="70"/>
      <c r="U50" s="71"/>
      <c r="V50" s="68"/>
      <c r="W50" s="68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65" t="s">
        <v>126</v>
      </c>
      <c r="B51" s="64" t="s">
        <v>115</v>
      </c>
      <c r="C51" s="64" t="s">
        <v>122</v>
      </c>
      <c r="D51" s="64">
        <v>44777527000100</v>
      </c>
      <c r="E51" s="64"/>
      <c r="F51" s="64" t="s">
        <v>125</v>
      </c>
      <c r="G51" s="64" t="s">
        <v>4</v>
      </c>
      <c r="H51" s="64" t="s">
        <v>5</v>
      </c>
      <c r="I51" s="64"/>
      <c r="J51" s="64"/>
      <c r="K51" s="64"/>
      <c r="L51" s="64"/>
      <c r="M51" s="64" t="s">
        <v>375</v>
      </c>
      <c r="N51" s="64"/>
      <c r="O51" s="64" t="s">
        <v>346</v>
      </c>
      <c r="P51" s="64"/>
      <c r="Q51" s="66"/>
      <c r="R51" s="66"/>
      <c r="S51" s="66"/>
      <c r="T51" s="66"/>
      <c r="U51" s="67"/>
      <c r="V51" s="64"/>
      <c r="W51" s="64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69" t="s">
        <v>127</v>
      </c>
      <c r="B52" s="68" t="s">
        <v>115</v>
      </c>
      <c r="C52" s="68" t="s">
        <v>122</v>
      </c>
      <c r="D52" s="68">
        <v>44796284000140</v>
      </c>
      <c r="E52" s="68"/>
      <c r="F52" s="68" t="s">
        <v>125</v>
      </c>
      <c r="G52" s="68" t="s">
        <v>4</v>
      </c>
      <c r="H52" s="68" t="s">
        <v>5</v>
      </c>
      <c r="I52" s="68"/>
      <c r="J52" s="68"/>
      <c r="K52" s="68"/>
      <c r="L52" s="68"/>
      <c r="M52" s="68" t="s">
        <v>375</v>
      </c>
      <c r="N52" s="68"/>
      <c r="O52" s="68" t="s">
        <v>346</v>
      </c>
      <c r="P52" s="68"/>
      <c r="Q52" s="70"/>
      <c r="R52" s="70"/>
      <c r="S52" s="70"/>
      <c r="T52" s="70"/>
      <c r="U52" s="71"/>
      <c r="V52" s="68"/>
      <c r="W52" s="68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65" t="s">
        <v>128</v>
      </c>
      <c r="B53" s="64" t="s">
        <v>129</v>
      </c>
      <c r="C53" s="64" t="s">
        <v>16</v>
      </c>
      <c r="D53" s="64" t="s">
        <v>130</v>
      </c>
      <c r="E53" s="64"/>
      <c r="F53" s="64" t="s">
        <v>109</v>
      </c>
      <c r="G53" s="64" t="s">
        <v>13</v>
      </c>
      <c r="H53" s="64" t="s">
        <v>14</v>
      </c>
      <c r="I53" s="64"/>
      <c r="J53" s="64"/>
      <c r="K53" s="64"/>
      <c r="L53" s="64"/>
      <c r="M53" s="64" t="s">
        <v>380</v>
      </c>
      <c r="N53" s="64"/>
      <c r="O53" s="64"/>
      <c r="P53" s="64"/>
      <c r="Q53" s="66"/>
      <c r="R53" s="66"/>
      <c r="S53" s="66"/>
      <c r="T53" s="66"/>
      <c r="U53" s="67"/>
      <c r="V53" s="64"/>
      <c r="W53" s="64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69" t="s">
        <v>131</v>
      </c>
      <c r="B54" s="68" t="s">
        <v>132</v>
      </c>
      <c r="C54" s="68" t="s">
        <v>62</v>
      </c>
      <c r="D54" s="68">
        <v>19318532000108</v>
      </c>
      <c r="E54" s="68"/>
      <c r="F54" s="68" t="s">
        <v>66</v>
      </c>
      <c r="G54" s="68" t="s">
        <v>4</v>
      </c>
      <c r="H54" s="68" t="s">
        <v>5</v>
      </c>
      <c r="I54" s="68"/>
      <c r="J54" s="68"/>
      <c r="K54" s="68"/>
      <c r="L54" s="68"/>
      <c r="M54" s="68" t="s">
        <v>373</v>
      </c>
      <c r="N54" s="68"/>
      <c r="O54" s="68" t="s">
        <v>344</v>
      </c>
      <c r="P54" s="68"/>
      <c r="Q54" s="70"/>
      <c r="R54" s="70"/>
      <c r="S54" s="70"/>
      <c r="T54" s="70"/>
      <c r="U54" s="71"/>
      <c r="V54" s="68"/>
      <c r="W54" s="68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65" t="s">
        <v>133</v>
      </c>
      <c r="B55" s="64" t="s">
        <v>134</v>
      </c>
      <c r="C55" s="64" t="s">
        <v>116</v>
      </c>
      <c r="D55" s="64" t="s">
        <v>135</v>
      </c>
      <c r="E55" s="64"/>
      <c r="F55" s="64" t="s">
        <v>136</v>
      </c>
      <c r="G55" s="64" t="s">
        <v>41</v>
      </c>
      <c r="H55" s="64" t="s">
        <v>5</v>
      </c>
      <c r="I55" s="64"/>
      <c r="J55" s="64"/>
      <c r="K55" s="64"/>
      <c r="L55" s="64"/>
      <c r="M55" s="64" t="s">
        <v>375</v>
      </c>
      <c r="N55" s="64"/>
      <c r="O55" s="64" t="s">
        <v>348</v>
      </c>
      <c r="P55" s="64"/>
      <c r="Q55" s="66"/>
      <c r="R55" s="66"/>
      <c r="S55" s="66"/>
      <c r="T55" s="66"/>
      <c r="U55" s="67"/>
      <c r="V55" s="64"/>
      <c r="W55" s="64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69" t="s">
        <v>137</v>
      </c>
      <c r="B56" s="68" t="s">
        <v>134</v>
      </c>
      <c r="C56" s="68" t="s">
        <v>122</v>
      </c>
      <c r="D56" s="68">
        <v>34046667000147</v>
      </c>
      <c r="E56" s="68"/>
      <c r="F56" s="68" t="s">
        <v>138</v>
      </c>
      <c r="G56" s="68" t="s">
        <v>4</v>
      </c>
      <c r="H56" s="68" t="s">
        <v>5</v>
      </c>
      <c r="I56" s="68"/>
      <c r="J56" s="68"/>
      <c r="K56" s="68"/>
      <c r="L56" s="68"/>
      <c r="M56" s="68" t="s">
        <v>381</v>
      </c>
      <c r="N56" s="68"/>
      <c r="O56" s="68" t="s">
        <v>348</v>
      </c>
      <c r="P56" s="68"/>
      <c r="Q56" s="70"/>
      <c r="R56" s="70"/>
      <c r="S56" s="70"/>
      <c r="T56" s="70"/>
      <c r="U56" s="71"/>
      <c r="V56" s="68"/>
      <c r="W56" s="68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65" t="s">
        <v>139</v>
      </c>
      <c r="B57" s="64" t="s">
        <v>134</v>
      </c>
      <c r="C57" s="64" t="s">
        <v>122</v>
      </c>
      <c r="D57" s="64">
        <v>40932575000167</v>
      </c>
      <c r="E57" s="64"/>
      <c r="F57" s="64" t="s">
        <v>140</v>
      </c>
      <c r="G57" s="64" t="s">
        <v>4</v>
      </c>
      <c r="H57" s="64" t="s">
        <v>5</v>
      </c>
      <c r="I57" s="64"/>
      <c r="J57" s="64"/>
      <c r="K57" s="64"/>
      <c r="L57" s="64"/>
      <c r="M57" s="64" t="s">
        <v>375</v>
      </c>
      <c r="N57" s="64"/>
      <c r="O57" s="64" t="s">
        <v>348</v>
      </c>
      <c r="P57" s="64"/>
      <c r="Q57" s="66"/>
      <c r="R57" s="66"/>
      <c r="S57" s="66"/>
      <c r="T57" s="66"/>
      <c r="U57" s="67"/>
      <c r="V57" s="64"/>
      <c r="W57" s="64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69" t="s">
        <v>141</v>
      </c>
      <c r="B58" s="68" t="s">
        <v>142</v>
      </c>
      <c r="C58" s="68" t="s">
        <v>62</v>
      </c>
      <c r="D58" s="68" t="s">
        <v>143</v>
      </c>
      <c r="E58" s="68"/>
      <c r="F58" s="68" t="s">
        <v>144</v>
      </c>
      <c r="G58" s="68" t="s">
        <v>13</v>
      </c>
      <c r="H58" s="68" t="s">
        <v>49</v>
      </c>
      <c r="I58" s="68"/>
      <c r="J58" s="68"/>
      <c r="K58" s="68"/>
      <c r="L58" s="68"/>
      <c r="M58" s="68" t="s">
        <v>381</v>
      </c>
      <c r="N58" s="68"/>
      <c r="O58" s="68" t="s">
        <v>344</v>
      </c>
      <c r="P58" s="68"/>
      <c r="Q58" s="70"/>
      <c r="R58" s="70"/>
      <c r="S58" s="70"/>
      <c r="T58" s="70"/>
      <c r="U58" s="71"/>
      <c r="V58" s="68"/>
      <c r="W58" s="68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65" t="s">
        <v>145</v>
      </c>
      <c r="B59" s="64" t="s">
        <v>142</v>
      </c>
      <c r="C59" s="64" t="s">
        <v>62</v>
      </c>
      <c r="D59" s="64">
        <v>60906391000130</v>
      </c>
      <c r="E59" s="64"/>
      <c r="F59" s="64" t="s">
        <v>144</v>
      </c>
      <c r="G59" s="64" t="s">
        <v>4</v>
      </c>
      <c r="H59" s="64" t="s">
        <v>49</v>
      </c>
      <c r="I59" s="64"/>
      <c r="J59" s="64"/>
      <c r="K59" s="64"/>
      <c r="L59" s="64"/>
      <c r="M59" s="64" t="s">
        <v>381</v>
      </c>
      <c r="N59" s="64"/>
      <c r="O59" s="64" t="s">
        <v>348</v>
      </c>
      <c r="P59" s="64"/>
      <c r="Q59" s="66"/>
      <c r="R59" s="66"/>
      <c r="S59" s="66"/>
      <c r="T59" s="66"/>
      <c r="U59" s="67"/>
      <c r="V59" s="64"/>
      <c r="W59" s="64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69" t="s">
        <v>146</v>
      </c>
      <c r="B60" s="68" t="s">
        <v>75</v>
      </c>
      <c r="C60" s="68" t="s">
        <v>62</v>
      </c>
      <c r="D60" s="68">
        <v>41762299000107</v>
      </c>
      <c r="E60" s="68"/>
      <c r="F60" s="68" t="s">
        <v>147</v>
      </c>
      <c r="G60" s="68" t="s">
        <v>4</v>
      </c>
      <c r="H60" s="68" t="s">
        <v>5</v>
      </c>
      <c r="I60" s="68"/>
      <c r="J60" s="68"/>
      <c r="K60" s="68"/>
      <c r="L60" s="68"/>
      <c r="M60" s="68" t="s">
        <v>375</v>
      </c>
      <c r="N60" s="68"/>
      <c r="O60" s="68" t="s">
        <v>349</v>
      </c>
      <c r="P60" s="68"/>
      <c r="Q60" s="70"/>
      <c r="R60" s="70"/>
      <c r="S60" s="70"/>
      <c r="T60" s="70"/>
      <c r="U60" s="71"/>
      <c r="V60" s="68"/>
      <c r="W60" s="68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65" t="s">
        <v>148</v>
      </c>
      <c r="B61" s="64" t="s">
        <v>149</v>
      </c>
      <c r="C61" s="64" t="s">
        <v>59</v>
      </c>
      <c r="D61" s="64">
        <v>52090662000101</v>
      </c>
      <c r="E61" s="64"/>
      <c r="F61" s="64" t="s">
        <v>150</v>
      </c>
      <c r="G61" s="64" t="s">
        <v>4</v>
      </c>
      <c r="H61" s="64" t="s">
        <v>5</v>
      </c>
      <c r="I61" s="64"/>
      <c r="J61" s="64"/>
      <c r="K61" s="64"/>
      <c r="L61" s="64"/>
      <c r="M61" s="64" t="s">
        <v>375</v>
      </c>
      <c r="N61" s="64"/>
      <c r="O61" s="64" t="s">
        <v>348</v>
      </c>
      <c r="P61" s="64"/>
      <c r="Q61" s="66"/>
      <c r="R61" s="66"/>
      <c r="S61" s="66"/>
      <c r="T61" s="66"/>
      <c r="U61" s="67"/>
      <c r="V61" s="64"/>
      <c r="W61" s="64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69" t="s">
        <v>151</v>
      </c>
      <c r="B62" s="68" t="s">
        <v>149</v>
      </c>
      <c r="C62" s="68" t="s">
        <v>46</v>
      </c>
      <c r="D62" s="68" t="s">
        <v>152</v>
      </c>
      <c r="E62" s="68"/>
      <c r="F62" s="68" t="s">
        <v>150</v>
      </c>
      <c r="G62" s="68" t="s">
        <v>13</v>
      </c>
      <c r="H62" s="68" t="s">
        <v>49</v>
      </c>
      <c r="I62" s="68"/>
      <c r="J62" s="68"/>
      <c r="K62" s="68"/>
      <c r="L62" s="68"/>
      <c r="M62" s="68" t="s">
        <v>373</v>
      </c>
      <c r="N62" s="68"/>
      <c r="O62" s="68" t="s">
        <v>344</v>
      </c>
      <c r="P62" s="68"/>
      <c r="Q62" s="70"/>
      <c r="R62" s="70"/>
      <c r="S62" s="70"/>
      <c r="T62" s="70"/>
      <c r="U62" s="71"/>
      <c r="V62" s="68"/>
      <c r="W62" s="68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65" t="s">
        <v>153</v>
      </c>
      <c r="B63" s="64" t="s">
        <v>149</v>
      </c>
      <c r="C63" s="64" t="s">
        <v>46</v>
      </c>
      <c r="D63" s="64" t="s">
        <v>154</v>
      </c>
      <c r="E63" s="64"/>
      <c r="F63" s="64" t="s">
        <v>150</v>
      </c>
      <c r="G63" s="64" t="s">
        <v>13</v>
      </c>
      <c r="H63" s="64" t="s">
        <v>49</v>
      </c>
      <c r="I63" s="64"/>
      <c r="J63" s="64"/>
      <c r="K63" s="64"/>
      <c r="L63" s="64"/>
      <c r="M63" s="64" t="s">
        <v>373</v>
      </c>
      <c r="N63" s="64"/>
      <c r="O63" s="64" t="s">
        <v>344</v>
      </c>
      <c r="P63" s="64"/>
      <c r="Q63" s="66"/>
      <c r="R63" s="66"/>
      <c r="S63" s="66"/>
      <c r="T63" s="66"/>
      <c r="U63" s="67"/>
      <c r="V63" s="64"/>
      <c r="W63" s="64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69" t="s">
        <v>155</v>
      </c>
      <c r="B64" s="68" t="s">
        <v>61</v>
      </c>
      <c r="C64" s="68" t="s">
        <v>62</v>
      </c>
      <c r="D64" s="68">
        <v>8587897000103</v>
      </c>
      <c r="E64" s="68"/>
      <c r="F64" s="68" t="s">
        <v>63</v>
      </c>
      <c r="G64" s="68" t="s">
        <v>41</v>
      </c>
      <c r="H64" s="68" t="s">
        <v>5</v>
      </c>
      <c r="I64" s="68"/>
      <c r="J64" s="68"/>
      <c r="K64" s="68"/>
      <c r="L64" s="68"/>
      <c r="M64" s="68" t="s">
        <v>375</v>
      </c>
      <c r="N64" s="68"/>
      <c r="O64" s="68" t="s">
        <v>348</v>
      </c>
      <c r="P64" s="68"/>
      <c r="Q64" s="70"/>
      <c r="R64" s="70"/>
      <c r="S64" s="70"/>
      <c r="T64" s="70"/>
      <c r="U64" s="71"/>
      <c r="V64" s="68"/>
      <c r="W64" s="68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65" t="s">
        <v>156</v>
      </c>
      <c r="B65" s="64" t="s">
        <v>61</v>
      </c>
      <c r="C65" s="64" t="s">
        <v>62</v>
      </c>
      <c r="D65" s="64">
        <v>17845713000159</v>
      </c>
      <c r="E65" s="64"/>
      <c r="F65" s="64" t="s">
        <v>63</v>
      </c>
      <c r="G65" s="64" t="s">
        <v>41</v>
      </c>
      <c r="H65" s="64" t="s">
        <v>5</v>
      </c>
      <c r="I65" s="64"/>
      <c r="J65" s="64"/>
      <c r="K65" s="64"/>
      <c r="L65" s="64"/>
      <c r="M65" s="64" t="s">
        <v>375</v>
      </c>
      <c r="N65" s="64"/>
      <c r="O65" s="64" t="s">
        <v>348</v>
      </c>
      <c r="P65" s="64"/>
      <c r="Q65" s="66"/>
      <c r="R65" s="66"/>
      <c r="S65" s="66"/>
      <c r="T65" s="66"/>
      <c r="U65" s="67"/>
      <c r="V65" s="64"/>
      <c r="W65" s="64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69" t="s">
        <v>157</v>
      </c>
      <c r="B66" s="68" t="s">
        <v>61</v>
      </c>
      <c r="C66" s="68" t="s">
        <v>62</v>
      </c>
      <c r="D66" s="68">
        <v>37646098000169</v>
      </c>
      <c r="E66" s="68"/>
      <c r="F66" s="68" t="s">
        <v>63</v>
      </c>
      <c r="G66" s="68" t="s">
        <v>41</v>
      </c>
      <c r="H66" s="68" t="s">
        <v>5</v>
      </c>
      <c r="I66" s="68"/>
      <c r="J66" s="68"/>
      <c r="K66" s="68"/>
      <c r="L66" s="68"/>
      <c r="M66" s="68" t="s">
        <v>375</v>
      </c>
      <c r="N66" s="68"/>
      <c r="O66" s="68" t="s">
        <v>350</v>
      </c>
      <c r="P66" s="68"/>
      <c r="Q66" s="70"/>
      <c r="R66" s="70"/>
      <c r="S66" s="70"/>
      <c r="T66" s="70"/>
      <c r="U66" s="71"/>
      <c r="V66" s="68"/>
      <c r="W66" s="68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65" t="s">
        <v>158</v>
      </c>
      <c r="B67" s="64" t="s">
        <v>159</v>
      </c>
      <c r="C67" s="64" t="s">
        <v>62</v>
      </c>
      <c r="D67" s="64">
        <v>44470328000147</v>
      </c>
      <c r="E67" s="64"/>
      <c r="F67" s="64" t="s">
        <v>160</v>
      </c>
      <c r="G67" s="64" t="s">
        <v>4</v>
      </c>
      <c r="H67" s="64" t="s">
        <v>5</v>
      </c>
      <c r="I67" s="64"/>
      <c r="J67" s="64"/>
      <c r="K67" s="64"/>
      <c r="L67" s="64"/>
      <c r="M67" s="64" t="s">
        <v>373</v>
      </c>
      <c r="N67" s="64"/>
      <c r="O67" s="64" t="s">
        <v>344</v>
      </c>
      <c r="P67" s="64"/>
      <c r="Q67" s="66"/>
      <c r="R67" s="66"/>
      <c r="S67" s="66"/>
      <c r="T67" s="66"/>
      <c r="U67" s="67"/>
      <c r="V67" s="64"/>
      <c r="W67" s="64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69" t="s">
        <v>161</v>
      </c>
      <c r="B68" s="68" t="s">
        <v>162</v>
      </c>
      <c r="C68" s="68" t="s">
        <v>163</v>
      </c>
      <c r="D68" s="68" t="s">
        <v>164</v>
      </c>
      <c r="E68" s="68"/>
      <c r="F68" s="68"/>
      <c r="G68" s="68" t="s">
        <v>41</v>
      </c>
      <c r="H68" s="68" t="s">
        <v>14</v>
      </c>
      <c r="I68" s="68"/>
      <c r="J68" s="68"/>
      <c r="K68" s="68"/>
      <c r="L68" s="68"/>
      <c r="M68" s="68" t="s">
        <v>381</v>
      </c>
      <c r="N68" s="68" t="s">
        <v>358</v>
      </c>
      <c r="O68" s="68" t="s">
        <v>358</v>
      </c>
      <c r="P68" s="68"/>
      <c r="Q68" s="70"/>
      <c r="R68" s="70"/>
      <c r="S68" s="70"/>
      <c r="T68" s="70"/>
      <c r="U68" s="71"/>
      <c r="V68" s="68"/>
      <c r="W68" s="68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65" t="s">
        <v>165</v>
      </c>
      <c r="B69" s="64" t="s">
        <v>162</v>
      </c>
      <c r="C69" s="64" t="s">
        <v>163</v>
      </c>
      <c r="D69" s="64" t="s">
        <v>166</v>
      </c>
      <c r="E69" s="64"/>
      <c r="F69" s="64" t="s">
        <v>167</v>
      </c>
      <c r="G69" s="64" t="s">
        <v>13</v>
      </c>
      <c r="H69" s="64" t="s">
        <v>14</v>
      </c>
      <c r="I69" s="64"/>
      <c r="J69" s="64"/>
      <c r="K69" s="64"/>
      <c r="L69" s="64"/>
      <c r="M69" s="64" t="s">
        <v>381</v>
      </c>
      <c r="N69" s="64" t="s">
        <v>358</v>
      </c>
      <c r="O69" s="64" t="s">
        <v>358</v>
      </c>
      <c r="P69" s="64"/>
      <c r="Q69" s="66"/>
      <c r="R69" s="66"/>
      <c r="S69" s="66"/>
      <c r="T69" s="66"/>
      <c r="U69" s="67"/>
      <c r="V69" s="64"/>
      <c r="W69" s="64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69" t="s">
        <v>168</v>
      </c>
      <c r="B70" s="68" t="s">
        <v>162</v>
      </c>
      <c r="C70" s="68" t="s">
        <v>163</v>
      </c>
      <c r="D70" s="68" t="s">
        <v>169</v>
      </c>
      <c r="E70" s="68"/>
      <c r="F70" s="68" t="s">
        <v>167</v>
      </c>
      <c r="G70" s="68" t="s">
        <v>13</v>
      </c>
      <c r="H70" s="68" t="s">
        <v>14</v>
      </c>
      <c r="I70" s="68"/>
      <c r="J70" s="68"/>
      <c r="K70" s="68"/>
      <c r="L70" s="68"/>
      <c r="M70" s="68" t="s">
        <v>381</v>
      </c>
      <c r="N70" s="68" t="s">
        <v>358</v>
      </c>
      <c r="O70" s="68" t="s">
        <v>358</v>
      </c>
      <c r="P70" s="68"/>
      <c r="Q70" s="70"/>
      <c r="R70" s="70"/>
      <c r="S70" s="70"/>
      <c r="T70" s="70"/>
      <c r="U70" s="71"/>
      <c r="V70" s="68"/>
      <c r="W70" s="68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65" t="s">
        <v>170</v>
      </c>
      <c r="B71" s="64" t="s">
        <v>162</v>
      </c>
      <c r="C71" s="64" t="s">
        <v>163</v>
      </c>
      <c r="D71" s="64" t="s">
        <v>171</v>
      </c>
      <c r="E71" s="64"/>
      <c r="F71" s="64" t="s">
        <v>167</v>
      </c>
      <c r="G71" s="64" t="s">
        <v>13</v>
      </c>
      <c r="H71" s="64" t="s">
        <v>14</v>
      </c>
      <c r="I71" s="64"/>
      <c r="J71" s="64"/>
      <c r="K71" s="64"/>
      <c r="L71" s="64"/>
      <c r="M71" s="64" t="s">
        <v>381</v>
      </c>
      <c r="N71" s="64" t="s">
        <v>358</v>
      </c>
      <c r="O71" s="64" t="s">
        <v>358</v>
      </c>
      <c r="P71" s="64"/>
      <c r="Q71" s="66"/>
      <c r="R71" s="66"/>
      <c r="S71" s="66"/>
      <c r="T71" s="66"/>
      <c r="U71" s="67"/>
      <c r="V71" s="64"/>
      <c r="W71" s="64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69" t="s">
        <v>172</v>
      </c>
      <c r="B72" s="68" t="s">
        <v>162</v>
      </c>
      <c r="C72" s="68" t="s">
        <v>163</v>
      </c>
      <c r="D72" s="68" t="s">
        <v>173</v>
      </c>
      <c r="E72" s="68"/>
      <c r="F72" s="68" t="s">
        <v>167</v>
      </c>
      <c r="G72" s="68" t="s">
        <v>13</v>
      </c>
      <c r="H72" s="68" t="s">
        <v>14</v>
      </c>
      <c r="I72" s="68"/>
      <c r="J72" s="68"/>
      <c r="K72" s="68"/>
      <c r="L72" s="68"/>
      <c r="M72" s="68" t="s">
        <v>381</v>
      </c>
      <c r="N72" s="68" t="s">
        <v>358</v>
      </c>
      <c r="O72" s="68" t="s">
        <v>358</v>
      </c>
      <c r="P72" s="68"/>
      <c r="Q72" s="70"/>
      <c r="R72" s="70"/>
      <c r="S72" s="70"/>
      <c r="T72" s="70"/>
      <c r="U72" s="71"/>
      <c r="V72" s="68"/>
      <c r="W72" s="68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65" t="s">
        <v>174</v>
      </c>
      <c r="B73" s="64" t="s">
        <v>162</v>
      </c>
      <c r="C73" s="64" t="s">
        <v>163</v>
      </c>
      <c r="D73" s="64" t="s">
        <v>175</v>
      </c>
      <c r="E73" s="64"/>
      <c r="F73" s="64" t="s">
        <v>167</v>
      </c>
      <c r="G73" s="64" t="s">
        <v>13</v>
      </c>
      <c r="H73" s="64" t="s">
        <v>14</v>
      </c>
      <c r="I73" s="64"/>
      <c r="J73" s="64"/>
      <c r="K73" s="64"/>
      <c r="L73" s="64"/>
      <c r="M73" s="64" t="s">
        <v>381</v>
      </c>
      <c r="N73" s="64" t="s">
        <v>358</v>
      </c>
      <c r="O73" s="64" t="s">
        <v>358</v>
      </c>
      <c r="P73" s="64"/>
      <c r="Q73" s="66"/>
      <c r="R73" s="66"/>
      <c r="S73" s="66"/>
      <c r="T73" s="66"/>
      <c r="U73" s="67"/>
      <c r="V73" s="64"/>
      <c r="W73" s="64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69" t="s">
        <v>176</v>
      </c>
      <c r="B74" s="68" t="s">
        <v>162</v>
      </c>
      <c r="C74" s="68" t="s">
        <v>163</v>
      </c>
      <c r="D74" s="68" t="s">
        <v>177</v>
      </c>
      <c r="E74" s="68"/>
      <c r="F74" s="68"/>
      <c r="G74" s="68" t="s">
        <v>4</v>
      </c>
      <c r="H74" s="68" t="s">
        <v>14</v>
      </c>
      <c r="I74" s="68"/>
      <c r="J74" s="68"/>
      <c r="K74" s="68"/>
      <c r="L74" s="68"/>
      <c r="M74" s="68" t="s">
        <v>381</v>
      </c>
      <c r="N74" s="68" t="s">
        <v>358</v>
      </c>
      <c r="O74" s="68" t="s">
        <v>347</v>
      </c>
      <c r="P74" s="68"/>
      <c r="Q74" s="70"/>
      <c r="R74" s="70"/>
      <c r="S74" s="70"/>
      <c r="T74" s="70"/>
      <c r="U74" s="71"/>
      <c r="V74" s="68"/>
      <c r="W74" s="68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65" t="s">
        <v>178</v>
      </c>
      <c r="B75" s="64" t="s">
        <v>162</v>
      </c>
      <c r="C75" s="64" t="s">
        <v>163</v>
      </c>
      <c r="D75" s="64" t="s">
        <v>179</v>
      </c>
      <c r="E75" s="64"/>
      <c r="F75" s="64"/>
      <c r="G75" s="64" t="s">
        <v>4</v>
      </c>
      <c r="H75" s="64" t="s">
        <v>14</v>
      </c>
      <c r="I75" s="64"/>
      <c r="J75" s="64"/>
      <c r="K75" s="64"/>
      <c r="L75" s="64"/>
      <c r="M75" s="64" t="s">
        <v>381</v>
      </c>
      <c r="N75" s="64" t="s">
        <v>358</v>
      </c>
      <c r="O75" s="64" t="s">
        <v>347</v>
      </c>
      <c r="P75" s="64"/>
      <c r="Q75" s="66"/>
      <c r="R75" s="66"/>
      <c r="S75" s="66"/>
      <c r="T75" s="66"/>
      <c r="U75" s="67"/>
      <c r="V75" s="64"/>
      <c r="W75" s="64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69" t="s">
        <v>180</v>
      </c>
      <c r="B76" s="68" t="s">
        <v>9</v>
      </c>
      <c r="C76" s="68" t="s">
        <v>24</v>
      </c>
      <c r="D76" s="68">
        <v>10977876000146</v>
      </c>
      <c r="E76" s="68"/>
      <c r="F76" s="68" t="s">
        <v>12</v>
      </c>
      <c r="G76" s="68" t="s">
        <v>4</v>
      </c>
      <c r="H76" s="68" t="s">
        <v>5</v>
      </c>
      <c r="I76" s="68"/>
      <c r="J76" s="68"/>
      <c r="K76" s="68"/>
      <c r="L76" s="68"/>
      <c r="M76" s="68" t="s">
        <v>381</v>
      </c>
      <c r="N76" s="68"/>
      <c r="O76" s="68" t="s">
        <v>348</v>
      </c>
      <c r="P76" s="68"/>
      <c r="Q76" s="70"/>
      <c r="R76" s="70"/>
      <c r="S76" s="70"/>
      <c r="T76" s="70"/>
      <c r="U76" s="71"/>
      <c r="V76" s="68"/>
      <c r="W76" s="68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65" t="s">
        <v>181</v>
      </c>
      <c r="B77" s="64" t="s">
        <v>182</v>
      </c>
      <c r="C77" s="64" t="s">
        <v>79</v>
      </c>
      <c r="D77" s="64" t="s">
        <v>183</v>
      </c>
      <c r="E77" s="64"/>
      <c r="F77" s="64" t="s">
        <v>184</v>
      </c>
      <c r="G77" s="64" t="s">
        <v>13</v>
      </c>
      <c r="H77" s="64" t="s">
        <v>5</v>
      </c>
      <c r="I77" s="64"/>
      <c r="J77" s="64"/>
      <c r="K77" s="64"/>
      <c r="L77" s="64"/>
      <c r="M77" s="64" t="s">
        <v>371</v>
      </c>
      <c r="N77" s="64"/>
      <c r="O77" s="64" t="s">
        <v>348</v>
      </c>
      <c r="P77" s="64"/>
      <c r="Q77" s="66"/>
      <c r="R77" s="66"/>
      <c r="S77" s="66"/>
      <c r="T77" s="66"/>
      <c r="U77" s="67"/>
      <c r="V77" s="64"/>
      <c r="W77" s="64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69" t="s">
        <v>185</v>
      </c>
      <c r="B78" s="68" t="s">
        <v>182</v>
      </c>
      <c r="C78" s="68" t="s">
        <v>79</v>
      </c>
      <c r="D78" s="68" t="s">
        <v>186</v>
      </c>
      <c r="E78" s="68"/>
      <c r="F78" s="68" t="s">
        <v>184</v>
      </c>
      <c r="G78" s="68" t="s">
        <v>13</v>
      </c>
      <c r="H78" s="68" t="s">
        <v>14</v>
      </c>
      <c r="I78" s="68"/>
      <c r="J78" s="68"/>
      <c r="K78" s="68"/>
      <c r="L78" s="68"/>
      <c r="M78" s="68" t="s">
        <v>352</v>
      </c>
      <c r="N78" s="68"/>
      <c r="O78" s="68" t="s">
        <v>351</v>
      </c>
      <c r="P78" s="68"/>
      <c r="Q78" s="70"/>
      <c r="R78" s="70"/>
      <c r="S78" s="70"/>
      <c r="T78" s="70"/>
      <c r="U78" s="71"/>
      <c r="V78" s="68"/>
      <c r="W78" s="68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65" t="s">
        <v>187</v>
      </c>
      <c r="B79" s="64" t="s">
        <v>188</v>
      </c>
      <c r="C79" s="64" t="s">
        <v>62</v>
      </c>
      <c r="D79" s="64">
        <v>40920539000183</v>
      </c>
      <c r="E79" s="64"/>
      <c r="F79" s="64" t="s">
        <v>189</v>
      </c>
      <c r="G79" s="64" t="s">
        <v>4</v>
      </c>
      <c r="H79" s="64" t="s">
        <v>5</v>
      </c>
      <c r="I79" s="64"/>
      <c r="J79" s="64"/>
      <c r="K79" s="64"/>
      <c r="L79" s="64"/>
      <c r="M79" s="64" t="s">
        <v>381</v>
      </c>
      <c r="N79" s="64"/>
      <c r="O79" s="64"/>
      <c r="P79" s="64"/>
      <c r="Q79" s="66"/>
      <c r="R79" s="66"/>
      <c r="S79" s="66"/>
      <c r="T79" s="66"/>
      <c r="U79" s="67"/>
      <c r="V79" s="64"/>
      <c r="W79" s="64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69" t="s">
        <v>190</v>
      </c>
      <c r="B80" s="68" t="s">
        <v>188</v>
      </c>
      <c r="C80" s="68" t="s">
        <v>69</v>
      </c>
      <c r="D80" s="68" t="s">
        <v>191</v>
      </c>
      <c r="E80" s="68"/>
      <c r="F80" s="68" t="s">
        <v>189</v>
      </c>
      <c r="G80" s="68" t="s">
        <v>41</v>
      </c>
      <c r="H80" s="68" t="s">
        <v>5</v>
      </c>
      <c r="I80" s="68"/>
      <c r="J80" s="68"/>
      <c r="K80" s="68"/>
      <c r="L80" s="68"/>
      <c r="M80" s="68" t="s">
        <v>375</v>
      </c>
      <c r="N80" s="68"/>
      <c r="O80" s="68" t="s">
        <v>347</v>
      </c>
      <c r="P80" s="68"/>
      <c r="Q80" s="70"/>
      <c r="R80" s="70"/>
      <c r="S80" s="70"/>
      <c r="T80" s="70"/>
      <c r="U80" s="71"/>
      <c r="V80" s="68"/>
      <c r="W80" s="68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65" t="s">
        <v>192</v>
      </c>
      <c r="B81" s="64" t="s">
        <v>188</v>
      </c>
      <c r="C81" s="64" t="s">
        <v>69</v>
      </c>
      <c r="D81" s="64" t="s">
        <v>193</v>
      </c>
      <c r="E81" s="64"/>
      <c r="F81" s="64" t="s">
        <v>189</v>
      </c>
      <c r="G81" s="64" t="s">
        <v>13</v>
      </c>
      <c r="H81" s="64" t="s">
        <v>14</v>
      </c>
      <c r="I81" s="64"/>
      <c r="J81" s="64"/>
      <c r="K81" s="64"/>
      <c r="L81" s="64"/>
      <c r="M81" s="64" t="s">
        <v>382</v>
      </c>
      <c r="N81" s="64"/>
      <c r="O81" s="64" t="s">
        <v>344</v>
      </c>
      <c r="P81" s="64"/>
      <c r="Q81" s="66"/>
      <c r="R81" s="66"/>
      <c r="S81" s="66"/>
      <c r="T81" s="66"/>
      <c r="U81" s="67"/>
      <c r="V81" s="64"/>
      <c r="W81" s="64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69" t="s">
        <v>194</v>
      </c>
      <c r="B82" s="68" t="s">
        <v>1</v>
      </c>
      <c r="C82" s="68" t="s">
        <v>195</v>
      </c>
      <c r="D82" s="68" t="s">
        <v>196</v>
      </c>
      <c r="E82" s="68"/>
      <c r="F82" s="68" t="s">
        <v>3</v>
      </c>
      <c r="G82" s="68" t="s">
        <v>197</v>
      </c>
      <c r="H82" s="68" t="s">
        <v>49</v>
      </c>
      <c r="I82" s="68"/>
      <c r="J82" s="68"/>
      <c r="K82" s="68"/>
      <c r="L82" s="68"/>
      <c r="M82" s="68" t="s">
        <v>372</v>
      </c>
      <c r="N82" s="68" t="s">
        <v>357</v>
      </c>
      <c r="O82" s="68" t="s">
        <v>348</v>
      </c>
      <c r="P82" s="68"/>
      <c r="Q82" s="70"/>
      <c r="R82" s="70"/>
      <c r="S82" s="70"/>
      <c r="T82" s="70"/>
      <c r="U82" s="71"/>
      <c r="V82" s="68"/>
      <c r="W82" s="68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65" t="s">
        <v>198</v>
      </c>
      <c r="B83" s="64" t="s">
        <v>1</v>
      </c>
      <c r="C83" s="64" t="s">
        <v>195</v>
      </c>
      <c r="D83" s="64" t="s">
        <v>199</v>
      </c>
      <c r="E83" s="64"/>
      <c r="F83" s="64" t="s">
        <v>3</v>
      </c>
      <c r="G83" s="64" t="s">
        <v>4</v>
      </c>
      <c r="H83" s="64" t="s">
        <v>49</v>
      </c>
      <c r="I83" s="64"/>
      <c r="J83" s="64"/>
      <c r="K83" s="64"/>
      <c r="L83" s="64"/>
      <c r="M83" s="64" t="s">
        <v>372</v>
      </c>
      <c r="N83" s="64" t="s">
        <v>357</v>
      </c>
      <c r="O83" s="64" t="s">
        <v>348</v>
      </c>
      <c r="P83" s="64"/>
      <c r="Q83" s="66"/>
      <c r="R83" s="66"/>
      <c r="S83" s="66"/>
      <c r="T83" s="66"/>
      <c r="U83" s="67"/>
      <c r="V83" s="64"/>
      <c r="W83" s="64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69" t="s">
        <v>200</v>
      </c>
      <c r="B84" s="68" t="s">
        <v>1</v>
      </c>
      <c r="C84" s="68" t="s">
        <v>195</v>
      </c>
      <c r="D84" s="68" t="s">
        <v>201</v>
      </c>
      <c r="E84" s="68"/>
      <c r="F84" s="68" t="s">
        <v>3</v>
      </c>
      <c r="G84" s="68" t="s">
        <v>4</v>
      </c>
      <c r="H84" s="68" t="s">
        <v>49</v>
      </c>
      <c r="I84" s="68"/>
      <c r="J84" s="68"/>
      <c r="K84" s="68"/>
      <c r="L84" s="68"/>
      <c r="M84" s="68" t="s">
        <v>372</v>
      </c>
      <c r="N84" s="68" t="s">
        <v>357</v>
      </c>
      <c r="O84" s="68" t="s">
        <v>348</v>
      </c>
      <c r="P84" s="68"/>
      <c r="Q84" s="70"/>
      <c r="R84" s="70"/>
      <c r="S84" s="70"/>
      <c r="T84" s="70"/>
      <c r="U84" s="71"/>
      <c r="V84" s="68"/>
      <c r="W84" s="68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65" t="s">
        <v>202</v>
      </c>
      <c r="B85" s="64" t="s">
        <v>203</v>
      </c>
      <c r="C85" s="64" t="s">
        <v>204</v>
      </c>
      <c r="D85" s="64">
        <v>48579725000102</v>
      </c>
      <c r="E85" s="64"/>
      <c r="F85" s="64" t="s">
        <v>205</v>
      </c>
      <c r="G85" s="64" t="s">
        <v>13</v>
      </c>
      <c r="H85" s="64" t="s">
        <v>5</v>
      </c>
      <c r="I85" s="64"/>
      <c r="J85" s="64"/>
      <c r="K85" s="64"/>
      <c r="L85" s="64"/>
      <c r="M85" s="64" t="s">
        <v>375</v>
      </c>
      <c r="N85" s="64"/>
      <c r="O85" s="64" t="s">
        <v>353</v>
      </c>
      <c r="P85" s="64"/>
      <c r="Q85" s="66"/>
      <c r="R85" s="66"/>
      <c r="S85" s="66"/>
      <c r="T85" s="66"/>
      <c r="U85" s="67"/>
      <c r="V85" s="64"/>
      <c r="W85" s="64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69" t="s">
        <v>206</v>
      </c>
      <c r="B86" s="68" t="s">
        <v>207</v>
      </c>
      <c r="C86" s="68" t="s">
        <v>62</v>
      </c>
      <c r="D86" s="68">
        <v>21879417000146</v>
      </c>
      <c r="E86" s="68"/>
      <c r="F86" s="68" t="s">
        <v>208</v>
      </c>
      <c r="G86" s="68" t="s">
        <v>41</v>
      </c>
      <c r="H86" s="68" t="s">
        <v>5</v>
      </c>
      <c r="I86" s="68"/>
      <c r="J86" s="68"/>
      <c r="K86" s="68"/>
      <c r="L86" s="68"/>
      <c r="M86" s="68" t="s">
        <v>375</v>
      </c>
      <c r="N86" s="68"/>
      <c r="O86" s="68" t="s">
        <v>346</v>
      </c>
      <c r="P86" s="68"/>
      <c r="Q86" s="70"/>
      <c r="R86" s="70"/>
      <c r="S86" s="70"/>
      <c r="T86" s="70"/>
      <c r="U86" s="71"/>
      <c r="V86" s="68"/>
      <c r="W86" s="68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65" t="s">
        <v>209</v>
      </c>
      <c r="B87" s="64" t="s">
        <v>207</v>
      </c>
      <c r="C87" s="64" t="s">
        <v>62</v>
      </c>
      <c r="D87" s="64" t="s">
        <v>384</v>
      </c>
      <c r="E87" s="64"/>
      <c r="F87" s="64" t="s">
        <v>208</v>
      </c>
      <c r="G87" s="64" t="s">
        <v>4</v>
      </c>
      <c r="H87" s="64" t="s">
        <v>5</v>
      </c>
      <c r="I87" s="64"/>
      <c r="J87" s="64"/>
      <c r="K87" s="64"/>
      <c r="L87" s="64"/>
      <c r="M87" s="64" t="s">
        <v>375</v>
      </c>
      <c r="N87" s="64"/>
      <c r="O87" s="64" t="s">
        <v>346</v>
      </c>
      <c r="P87" s="64"/>
      <c r="Q87" s="66"/>
      <c r="R87" s="66"/>
      <c r="S87" s="66"/>
      <c r="T87" s="66"/>
      <c r="U87" s="67"/>
      <c r="V87" s="64"/>
      <c r="W87" s="64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69" t="s">
        <v>210</v>
      </c>
      <c r="B88" s="68" t="s">
        <v>211</v>
      </c>
      <c r="C88" s="68" t="s">
        <v>69</v>
      </c>
      <c r="D88" s="68" t="s">
        <v>383</v>
      </c>
      <c r="E88" s="68"/>
      <c r="F88" s="68"/>
      <c r="G88" s="68" t="s">
        <v>4</v>
      </c>
      <c r="H88" s="68" t="s">
        <v>49</v>
      </c>
      <c r="I88" s="68"/>
      <c r="J88" s="68"/>
      <c r="K88" s="68"/>
      <c r="L88" s="68"/>
      <c r="M88" s="68" t="s">
        <v>375</v>
      </c>
      <c r="N88" s="68"/>
      <c r="O88" s="68" t="s">
        <v>346</v>
      </c>
      <c r="P88" s="68"/>
      <c r="Q88" s="70"/>
      <c r="R88" s="70"/>
      <c r="S88" s="70"/>
      <c r="T88" s="70"/>
      <c r="U88" s="71"/>
      <c r="V88" s="68"/>
      <c r="W88" s="68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65" t="s">
        <v>212</v>
      </c>
      <c r="B89" s="64" t="s">
        <v>211</v>
      </c>
      <c r="C89" s="64" t="s">
        <v>69</v>
      </c>
      <c r="D89" s="64"/>
      <c r="E89" s="64"/>
      <c r="F89" s="64"/>
      <c r="G89" s="64" t="s">
        <v>4</v>
      </c>
      <c r="H89" s="64" t="s">
        <v>49</v>
      </c>
      <c r="I89" s="64"/>
      <c r="J89" s="64"/>
      <c r="K89" s="64"/>
      <c r="L89" s="64"/>
      <c r="M89" s="64" t="s">
        <v>375</v>
      </c>
      <c r="N89" s="64"/>
      <c r="O89" s="64" t="s">
        <v>346</v>
      </c>
      <c r="P89" s="64"/>
      <c r="Q89" s="66"/>
      <c r="R89" s="66"/>
      <c r="S89" s="66"/>
      <c r="T89" s="66"/>
      <c r="U89" s="67"/>
      <c r="V89" s="64"/>
      <c r="W89" s="64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69" t="s">
        <v>213</v>
      </c>
      <c r="B90" s="68" t="s">
        <v>214</v>
      </c>
      <c r="C90" s="68" t="s">
        <v>62</v>
      </c>
      <c r="D90" s="68">
        <v>44868733000118</v>
      </c>
      <c r="E90" s="68"/>
      <c r="F90" s="68" t="s">
        <v>215</v>
      </c>
      <c r="G90" s="68" t="s">
        <v>4</v>
      </c>
      <c r="H90" s="68" t="s">
        <v>5</v>
      </c>
      <c r="I90" s="68"/>
      <c r="J90" s="68"/>
      <c r="K90" s="68"/>
      <c r="L90" s="68"/>
      <c r="M90" s="68" t="s">
        <v>375</v>
      </c>
      <c r="N90" s="68"/>
      <c r="O90" s="68" t="s">
        <v>347</v>
      </c>
      <c r="P90" s="68"/>
      <c r="Q90" s="70"/>
      <c r="R90" s="70"/>
      <c r="S90" s="70"/>
      <c r="T90" s="70"/>
      <c r="U90" s="71"/>
      <c r="V90" s="68"/>
      <c r="W90" s="68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65" t="s">
        <v>216</v>
      </c>
      <c r="B91" s="64" t="s">
        <v>9</v>
      </c>
      <c r="C91" s="64" t="s">
        <v>69</v>
      </c>
      <c r="D91" s="64" t="s">
        <v>217</v>
      </c>
      <c r="E91" s="64"/>
      <c r="F91" s="64" t="s">
        <v>12</v>
      </c>
      <c r="G91" s="64" t="s">
        <v>13</v>
      </c>
      <c r="H91" s="64" t="s">
        <v>49</v>
      </c>
      <c r="I91" s="64"/>
      <c r="J91" s="64"/>
      <c r="K91" s="64"/>
      <c r="L91" s="64"/>
      <c r="M91" s="64" t="s">
        <v>375</v>
      </c>
      <c r="N91" s="64"/>
      <c r="O91" s="64" t="s">
        <v>346</v>
      </c>
      <c r="P91" s="64"/>
      <c r="Q91" s="66"/>
      <c r="R91" s="66"/>
      <c r="S91" s="66"/>
      <c r="T91" s="66"/>
      <c r="U91" s="67"/>
      <c r="V91" s="64"/>
      <c r="W91" s="64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69" t="s">
        <v>218</v>
      </c>
      <c r="B92" s="68" t="s">
        <v>219</v>
      </c>
      <c r="C92" s="68" t="s">
        <v>62</v>
      </c>
      <c r="D92" s="68">
        <v>51987426000111</v>
      </c>
      <c r="E92" s="68"/>
      <c r="F92" s="68" t="s">
        <v>220</v>
      </c>
      <c r="G92" s="68" t="s">
        <v>4</v>
      </c>
      <c r="H92" s="68" t="s">
        <v>5</v>
      </c>
      <c r="I92" s="68"/>
      <c r="J92" s="68"/>
      <c r="K92" s="68"/>
      <c r="L92" s="68"/>
      <c r="M92" s="68" t="s">
        <v>385</v>
      </c>
      <c r="N92" s="68"/>
      <c r="O92" s="68" t="s">
        <v>347</v>
      </c>
      <c r="P92" s="68"/>
      <c r="Q92" s="70"/>
      <c r="R92" s="70"/>
      <c r="S92" s="70"/>
      <c r="T92" s="70"/>
      <c r="U92" s="71"/>
      <c r="V92" s="68"/>
      <c r="W92" s="68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65" t="s">
        <v>221</v>
      </c>
      <c r="B93" s="64" t="s">
        <v>222</v>
      </c>
      <c r="C93" s="64" t="s">
        <v>62</v>
      </c>
      <c r="D93" s="64" t="s">
        <v>386</v>
      </c>
      <c r="E93" s="64"/>
      <c r="F93" s="64" t="s">
        <v>223</v>
      </c>
      <c r="G93" s="64" t="s">
        <v>13</v>
      </c>
      <c r="H93" s="64" t="s">
        <v>49</v>
      </c>
      <c r="I93" s="64"/>
      <c r="J93" s="64"/>
      <c r="K93" s="64"/>
      <c r="L93" s="64"/>
      <c r="M93" s="64" t="s">
        <v>385</v>
      </c>
      <c r="N93" s="64"/>
      <c r="O93" s="64" t="s">
        <v>347</v>
      </c>
      <c r="P93" s="64"/>
      <c r="Q93" s="66"/>
      <c r="R93" s="66"/>
      <c r="S93" s="66"/>
      <c r="T93" s="66"/>
      <c r="U93" s="67"/>
      <c r="V93" s="64"/>
      <c r="W93" s="64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69" t="s">
        <v>224</v>
      </c>
      <c r="B94" s="68" t="s">
        <v>182</v>
      </c>
      <c r="C94" s="68" t="s">
        <v>83</v>
      </c>
      <c r="D94" s="68">
        <v>21371431000134</v>
      </c>
      <c r="E94" s="68"/>
      <c r="F94" s="68" t="s">
        <v>225</v>
      </c>
      <c r="G94" s="68" t="s">
        <v>4</v>
      </c>
      <c r="H94" s="68" t="s">
        <v>5</v>
      </c>
      <c r="I94" s="68"/>
      <c r="J94" s="68"/>
      <c r="K94" s="68"/>
      <c r="L94" s="68"/>
      <c r="M94" s="68" t="s">
        <v>371</v>
      </c>
      <c r="N94" s="68"/>
      <c r="O94" s="68" t="s">
        <v>354</v>
      </c>
      <c r="P94" s="68"/>
      <c r="Q94" s="70"/>
      <c r="R94" s="70"/>
      <c r="S94" s="70"/>
      <c r="T94" s="70"/>
      <c r="U94" s="71"/>
      <c r="V94" s="68"/>
      <c r="W94" s="68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65" t="s">
        <v>226</v>
      </c>
      <c r="B95" s="64" t="s">
        <v>227</v>
      </c>
      <c r="C95" s="64" t="s">
        <v>122</v>
      </c>
      <c r="D95" s="64">
        <v>9421791000106</v>
      </c>
      <c r="E95" s="64"/>
      <c r="F95" s="64" t="s">
        <v>228</v>
      </c>
      <c r="G95" s="64" t="s">
        <v>4</v>
      </c>
      <c r="H95" s="64" t="s">
        <v>5</v>
      </c>
      <c r="I95" s="64"/>
      <c r="J95" s="64"/>
      <c r="K95" s="64"/>
      <c r="L95" s="64"/>
      <c r="M95" s="64" t="s">
        <v>375</v>
      </c>
      <c r="N95" s="64"/>
      <c r="O95" s="64" t="s">
        <v>346</v>
      </c>
      <c r="P95" s="64"/>
      <c r="Q95" s="66"/>
      <c r="R95" s="66"/>
      <c r="S95" s="66"/>
      <c r="T95" s="66"/>
      <c r="U95" s="67"/>
      <c r="V95" s="64"/>
      <c r="W95" s="64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69" t="s">
        <v>229</v>
      </c>
      <c r="B96" s="68" t="s">
        <v>96</v>
      </c>
      <c r="C96" s="68" t="s">
        <v>230</v>
      </c>
      <c r="D96" s="68" t="s">
        <v>387</v>
      </c>
      <c r="E96" s="68"/>
      <c r="F96" s="68" t="s">
        <v>99</v>
      </c>
      <c r="G96" s="68" t="s">
        <v>4</v>
      </c>
      <c r="H96" s="68" t="s">
        <v>14</v>
      </c>
      <c r="I96" s="68"/>
      <c r="J96" s="68"/>
      <c r="K96" s="68"/>
      <c r="L96" s="68"/>
      <c r="M96" s="68" t="s">
        <v>372</v>
      </c>
      <c r="N96" s="68"/>
      <c r="O96" s="68" t="s">
        <v>346</v>
      </c>
      <c r="P96" s="68"/>
      <c r="Q96" s="70"/>
      <c r="R96" s="70"/>
      <c r="S96" s="70"/>
      <c r="T96" s="70"/>
      <c r="U96" s="71"/>
      <c r="V96" s="68"/>
      <c r="W96" s="68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65" t="s">
        <v>231</v>
      </c>
      <c r="B97" s="64" t="s">
        <v>211</v>
      </c>
      <c r="C97" s="64" t="s">
        <v>69</v>
      </c>
      <c r="D97" s="64" t="s">
        <v>232</v>
      </c>
      <c r="E97" s="64"/>
      <c r="F97" s="64"/>
      <c r="G97" s="64" t="s">
        <v>4</v>
      </c>
      <c r="H97" s="64" t="s">
        <v>49</v>
      </c>
      <c r="I97" s="64"/>
      <c r="J97" s="64"/>
      <c r="K97" s="64"/>
      <c r="L97" s="64"/>
      <c r="M97" s="64" t="s">
        <v>375</v>
      </c>
      <c r="N97" s="64"/>
      <c r="O97" s="64" t="s">
        <v>346</v>
      </c>
      <c r="P97" s="64"/>
      <c r="Q97" s="66"/>
      <c r="R97" s="66"/>
      <c r="S97" s="66"/>
      <c r="T97" s="66"/>
      <c r="U97" s="67"/>
      <c r="V97" s="64"/>
      <c r="W97" s="64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69" t="s">
        <v>233</v>
      </c>
      <c r="B98" s="68" t="s">
        <v>134</v>
      </c>
      <c r="C98" s="68" t="s">
        <v>116</v>
      </c>
      <c r="D98" s="68" t="s">
        <v>234</v>
      </c>
      <c r="E98" s="68"/>
      <c r="F98" s="68" t="s">
        <v>138</v>
      </c>
      <c r="G98" s="68" t="s">
        <v>13</v>
      </c>
      <c r="H98" s="68" t="s">
        <v>14</v>
      </c>
      <c r="I98" s="68"/>
      <c r="J98" s="68"/>
      <c r="K98" s="68"/>
      <c r="L98" s="68"/>
      <c r="M98" s="68" t="s">
        <v>356</v>
      </c>
      <c r="N98" s="68"/>
      <c r="O98" s="68" t="s">
        <v>355</v>
      </c>
      <c r="P98" s="68"/>
      <c r="Q98" s="70"/>
      <c r="R98" s="70"/>
      <c r="S98" s="70"/>
      <c r="T98" s="70"/>
      <c r="U98" s="71"/>
      <c r="V98" s="68"/>
      <c r="W98" s="68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65" t="s">
        <v>235</v>
      </c>
      <c r="B99" s="64" t="s">
        <v>134</v>
      </c>
      <c r="C99" s="64" t="s">
        <v>116</v>
      </c>
      <c r="D99" s="64" t="s">
        <v>236</v>
      </c>
      <c r="E99" s="64"/>
      <c r="F99" s="64" t="s">
        <v>138</v>
      </c>
      <c r="G99" s="64" t="s">
        <v>13</v>
      </c>
      <c r="H99" s="64" t="s">
        <v>14</v>
      </c>
      <c r="I99" s="64"/>
      <c r="J99" s="64"/>
      <c r="K99" s="64"/>
      <c r="L99" s="64"/>
      <c r="M99" s="64" t="s">
        <v>356</v>
      </c>
      <c r="N99" s="64"/>
      <c r="O99" s="64" t="s">
        <v>355</v>
      </c>
      <c r="P99" s="64"/>
      <c r="Q99" s="66"/>
      <c r="R99" s="66"/>
      <c r="S99" s="66"/>
      <c r="T99" s="66"/>
      <c r="U99" s="67"/>
      <c r="V99" s="64"/>
      <c r="W99" s="64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69" t="s">
        <v>237</v>
      </c>
      <c r="B100" s="68" t="s">
        <v>134</v>
      </c>
      <c r="C100" s="68" t="s">
        <v>116</v>
      </c>
      <c r="D100" s="68" t="s">
        <v>238</v>
      </c>
      <c r="E100" s="68"/>
      <c r="F100" s="68" t="s">
        <v>138</v>
      </c>
      <c r="G100" s="68" t="s">
        <v>13</v>
      </c>
      <c r="H100" s="68" t="s">
        <v>14</v>
      </c>
      <c r="I100" s="68"/>
      <c r="J100" s="68"/>
      <c r="K100" s="68"/>
      <c r="L100" s="68"/>
      <c r="M100" s="68" t="s">
        <v>356</v>
      </c>
      <c r="N100" s="68"/>
      <c r="O100" s="68" t="s">
        <v>355</v>
      </c>
      <c r="P100" s="68"/>
      <c r="Q100" s="70"/>
      <c r="R100" s="70"/>
      <c r="S100" s="70"/>
      <c r="T100" s="70"/>
      <c r="U100" s="71"/>
      <c r="V100" s="68"/>
      <c r="W100" s="68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65" t="s">
        <v>239</v>
      </c>
      <c r="B101" s="64" t="s">
        <v>55</v>
      </c>
      <c r="C101" s="64" t="s">
        <v>56</v>
      </c>
      <c r="D101" s="64" t="s">
        <v>240</v>
      </c>
      <c r="E101" s="64"/>
      <c r="F101" s="64" t="s">
        <v>57</v>
      </c>
      <c r="G101" s="64" t="s">
        <v>13</v>
      </c>
      <c r="H101" s="64" t="s">
        <v>5</v>
      </c>
      <c r="I101" s="64"/>
      <c r="J101" s="64"/>
      <c r="K101" s="64"/>
      <c r="L101" s="64"/>
      <c r="M101" s="64" t="s">
        <v>372</v>
      </c>
      <c r="N101" s="64" t="s">
        <v>357</v>
      </c>
      <c r="O101" s="64" t="s">
        <v>346</v>
      </c>
      <c r="P101" s="64"/>
      <c r="Q101" s="66"/>
      <c r="R101" s="66"/>
      <c r="S101" s="66"/>
      <c r="T101" s="66"/>
      <c r="U101" s="67"/>
      <c r="V101" s="64"/>
      <c r="W101" s="64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69" t="s">
        <v>241</v>
      </c>
      <c r="B102" s="68" t="s">
        <v>55</v>
      </c>
      <c r="C102" s="68" t="s">
        <v>242</v>
      </c>
      <c r="D102" s="68" t="s">
        <v>243</v>
      </c>
      <c r="E102" s="68"/>
      <c r="F102" s="68" t="s">
        <v>57</v>
      </c>
      <c r="G102" s="68" t="s">
        <v>13</v>
      </c>
      <c r="H102" s="68" t="s">
        <v>5</v>
      </c>
      <c r="I102" s="68"/>
      <c r="J102" s="68"/>
      <c r="K102" s="68"/>
      <c r="L102" s="68"/>
      <c r="M102" s="68" t="s">
        <v>372</v>
      </c>
      <c r="N102" s="68" t="s">
        <v>368</v>
      </c>
      <c r="O102" s="68" t="s">
        <v>346</v>
      </c>
      <c r="P102" s="68"/>
      <c r="Q102" s="70"/>
      <c r="R102" s="70"/>
      <c r="S102" s="70"/>
      <c r="T102" s="70"/>
      <c r="U102" s="71"/>
      <c r="V102" s="68"/>
      <c r="W102" s="68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65" t="s">
        <v>244</v>
      </c>
      <c r="B103" s="64" t="s">
        <v>55</v>
      </c>
      <c r="C103" s="64" t="s">
        <v>245</v>
      </c>
      <c r="D103" s="64" t="s">
        <v>246</v>
      </c>
      <c r="E103" s="64"/>
      <c r="F103" s="64" t="s">
        <v>57</v>
      </c>
      <c r="G103" s="64" t="s">
        <v>13</v>
      </c>
      <c r="H103" s="64" t="s">
        <v>5</v>
      </c>
      <c r="I103" s="64"/>
      <c r="J103" s="64"/>
      <c r="K103" s="64"/>
      <c r="L103" s="64"/>
      <c r="M103" s="64" t="s">
        <v>372</v>
      </c>
      <c r="N103" s="64" t="s">
        <v>357</v>
      </c>
      <c r="O103" s="64" t="s">
        <v>346</v>
      </c>
      <c r="P103" s="64"/>
      <c r="Q103" s="66"/>
      <c r="R103" s="66"/>
      <c r="S103" s="66"/>
      <c r="T103" s="66"/>
      <c r="U103" s="67"/>
      <c r="V103" s="64"/>
      <c r="W103" s="64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69" t="s">
        <v>247</v>
      </c>
      <c r="B104" s="68" t="s">
        <v>55</v>
      </c>
      <c r="C104" s="68" t="s">
        <v>248</v>
      </c>
      <c r="D104" s="68" t="s">
        <v>249</v>
      </c>
      <c r="E104" s="68"/>
      <c r="F104" s="68" t="s">
        <v>57</v>
      </c>
      <c r="G104" s="68" t="s">
        <v>13</v>
      </c>
      <c r="H104" s="68" t="s">
        <v>49</v>
      </c>
      <c r="I104" s="68"/>
      <c r="J104" s="68"/>
      <c r="K104" s="68"/>
      <c r="L104" s="68"/>
      <c r="M104" s="68" t="s">
        <v>372</v>
      </c>
      <c r="N104" s="68" t="s">
        <v>369</v>
      </c>
      <c r="O104" s="68" t="s">
        <v>346</v>
      </c>
      <c r="P104" s="68"/>
      <c r="Q104" s="70"/>
      <c r="R104" s="70"/>
      <c r="S104" s="70"/>
      <c r="T104" s="70"/>
      <c r="U104" s="71"/>
      <c r="V104" s="68"/>
      <c r="W104" s="68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65" t="s">
        <v>250</v>
      </c>
      <c r="B105" s="64" t="s">
        <v>1</v>
      </c>
      <c r="C105" s="64" t="s">
        <v>2</v>
      </c>
      <c r="D105" s="64" t="s">
        <v>251</v>
      </c>
      <c r="E105" s="64"/>
      <c r="F105" s="64" t="s">
        <v>252</v>
      </c>
      <c r="G105" s="64" t="s">
        <v>4</v>
      </c>
      <c r="H105" s="64" t="s">
        <v>49</v>
      </c>
      <c r="I105" s="64"/>
      <c r="J105" s="64"/>
      <c r="K105" s="64"/>
      <c r="L105" s="64"/>
      <c r="M105" s="64" t="s">
        <v>367</v>
      </c>
      <c r="N105" s="64" t="s">
        <v>357</v>
      </c>
      <c r="O105" s="64" t="s">
        <v>346</v>
      </c>
      <c r="P105" s="64"/>
      <c r="Q105" s="66"/>
      <c r="R105" s="66"/>
      <c r="S105" s="66"/>
      <c r="T105" s="66"/>
      <c r="U105" s="67"/>
      <c r="V105" s="64"/>
      <c r="W105" s="64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69" t="s">
        <v>253</v>
      </c>
      <c r="B106" s="68" t="s">
        <v>214</v>
      </c>
      <c r="C106" s="68" t="s">
        <v>62</v>
      </c>
      <c r="D106" s="68" t="s">
        <v>388</v>
      </c>
      <c r="E106" s="68"/>
      <c r="F106" s="68" t="s">
        <v>254</v>
      </c>
      <c r="G106" s="68" t="s">
        <v>13</v>
      </c>
      <c r="H106" s="68" t="s">
        <v>5</v>
      </c>
      <c r="I106" s="68"/>
      <c r="J106" s="68"/>
      <c r="K106" s="68"/>
      <c r="L106" s="68"/>
      <c r="M106" s="68" t="s">
        <v>372</v>
      </c>
      <c r="N106" s="68"/>
      <c r="O106" s="68" t="s">
        <v>346</v>
      </c>
      <c r="P106" s="68"/>
      <c r="Q106" s="70"/>
      <c r="R106" s="70"/>
      <c r="S106" s="70"/>
      <c r="T106" s="70"/>
      <c r="U106" s="71"/>
      <c r="V106" s="68"/>
      <c r="W106" s="68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65" t="s">
        <v>255</v>
      </c>
      <c r="B107" s="64" t="s">
        <v>214</v>
      </c>
      <c r="C107" s="64" t="s">
        <v>62</v>
      </c>
      <c r="D107" s="64" t="s">
        <v>389</v>
      </c>
      <c r="E107" s="64"/>
      <c r="F107" s="64" t="s">
        <v>254</v>
      </c>
      <c r="G107" s="64" t="s">
        <v>13</v>
      </c>
      <c r="H107" s="64" t="s">
        <v>49</v>
      </c>
      <c r="I107" s="64"/>
      <c r="J107" s="64"/>
      <c r="K107" s="64"/>
      <c r="L107" s="64"/>
      <c r="M107" s="64" t="s">
        <v>385</v>
      </c>
      <c r="N107" s="64"/>
      <c r="O107" s="64" t="s">
        <v>346</v>
      </c>
      <c r="P107" s="64"/>
      <c r="Q107" s="66"/>
      <c r="R107" s="66"/>
      <c r="S107" s="66"/>
      <c r="T107" s="66"/>
      <c r="U107" s="67"/>
      <c r="V107" s="64"/>
      <c r="W107" s="64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69" t="s">
        <v>256</v>
      </c>
      <c r="B108" s="68" t="s">
        <v>214</v>
      </c>
      <c r="C108" s="68" t="s">
        <v>62</v>
      </c>
      <c r="D108" s="68" t="s">
        <v>390</v>
      </c>
      <c r="E108" s="68"/>
      <c r="F108" s="68" t="s">
        <v>257</v>
      </c>
      <c r="G108" s="68" t="s">
        <v>4</v>
      </c>
      <c r="H108" s="68" t="s">
        <v>5</v>
      </c>
      <c r="I108" s="68"/>
      <c r="J108" s="68"/>
      <c r="K108" s="68"/>
      <c r="L108" s="68"/>
      <c r="M108" s="68" t="s">
        <v>375</v>
      </c>
      <c r="N108" s="68"/>
      <c r="O108" s="68" t="s">
        <v>346</v>
      </c>
      <c r="P108" s="68"/>
      <c r="Q108" s="70"/>
      <c r="R108" s="70"/>
      <c r="S108" s="70"/>
      <c r="T108" s="70"/>
      <c r="U108" s="71"/>
      <c r="V108" s="68"/>
      <c r="W108" s="68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65" t="s">
        <v>258</v>
      </c>
      <c r="B109" s="64" t="s">
        <v>259</v>
      </c>
      <c r="C109" s="64" t="s">
        <v>69</v>
      </c>
      <c r="D109" s="64" t="s">
        <v>260</v>
      </c>
      <c r="E109" s="64"/>
      <c r="F109" s="64" t="s">
        <v>261</v>
      </c>
      <c r="G109" s="64" t="s">
        <v>4</v>
      </c>
      <c r="H109" s="64" t="s">
        <v>5</v>
      </c>
      <c r="I109" s="64"/>
      <c r="J109" s="64"/>
      <c r="K109" s="64"/>
      <c r="L109" s="64"/>
      <c r="M109" s="64" t="s">
        <v>367</v>
      </c>
      <c r="N109" s="64"/>
      <c r="O109" s="64"/>
      <c r="P109" s="64"/>
      <c r="Q109" s="66"/>
      <c r="R109" s="66"/>
      <c r="S109" s="66"/>
      <c r="T109" s="66"/>
      <c r="U109" s="67"/>
      <c r="V109" s="64"/>
      <c r="W109" s="64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69" t="s">
        <v>262</v>
      </c>
      <c r="B110" s="68" t="s">
        <v>259</v>
      </c>
      <c r="C110" s="68" t="s">
        <v>69</v>
      </c>
      <c r="D110" s="68" t="s">
        <v>263</v>
      </c>
      <c r="E110" s="68"/>
      <c r="F110" s="68" t="s">
        <v>261</v>
      </c>
      <c r="G110" s="68" t="s">
        <v>13</v>
      </c>
      <c r="H110" s="68" t="s">
        <v>5</v>
      </c>
      <c r="I110" s="68"/>
      <c r="J110" s="68"/>
      <c r="K110" s="68"/>
      <c r="L110" s="68"/>
      <c r="M110" s="68" t="s">
        <v>367</v>
      </c>
      <c r="N110" s="68"/>
      <c r="O110" s="68"/>
      <c r="P110" s="68"/>
      <c r="Q110" s="70"/>
      <c r="R110" s="70"/>
      <c r="S110" s="70"/>
      <c r="T110" s="70"/>
      <c r="U110" s="71"/>
      <c r="V110" s="68"/>
      <c r="W110" s="68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65" t="s">
        <v>264</v>
      </c>
      <c r="B111" s="64" t="s">
        <v>159</v>
      </c>
      <c r="C111" s="64" t="s">
        <v>69</v>
      </c>
      <c r="D111" s="64" t="s">
        <v>265</v>
      </c>
      <c r="E111" s="64"/>
      <c r="F111" s="64" t="s">
        <v>266</v>
      </c>
      <c r="G111" s="64" t="s">
        <v>13</v>
      </c>
      <c r="H111" s="64" t="s">
        <v>5</v>
      </c>
      <c r="I111" s="64"/>
      <c r="J111" s="64"/>
      <c r="K111" s="64"/>
      <c r="L111" s="64"/>
      <c r="M111" s="64" t="s">
        <v>385</v>
      </c>
      <c r="N111" s="64"/>
      <c r="O111" s="64" t="s">
        <v>359</v>
      </c>
      <c r="P111" s="64"/>
      <c r="Q111" s="66"/>
      <c r="R111" s="66"/>
      <c r="S111" s="66"/>
      <c r="T111" s="66"/>
      <c r="U111" s="67"/>
      <c r="V111" s="64"/>
      <c r="W111" s="64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69" t="s">
        <v>267</v>
      </c>
      <c r="B112" s="68" t="s">
        <v>159</v>
      </c>
      <c r="C112" s="68" t="s">
        <v>268</v>
      </c>
      <c r="D112" s="68" t="s">
        <v>269</v>
      </c>
      <c r="E112" s="68"/>
      <c r="F112" s="68" t="s">
        <v>266</v>
      </c>
      <c r="G112" s="68" t="s">
        <v>13</v>
      </c>
      <c r="H112" s="68" t="s">
        <v>14</v>
      </c>
      <c r="I112" s="68"/>
      <c r="J112" s="68"/>
      <c r="K112" s="68"/>
      <c r="L112" s="68"/>
      <c r="M112" s="68" t="s">
        <v>372</v>
      </c>
      <c r="N112" s="68"/>
      <c r="O112" s="68" t="s">
        <v>346</v>
      </c>
      <c r="P112" s="68"/>
      <c r="Q112" s="70"/>
      <c r="R112" s="70"/>
      <c r="S112" s="70"/>
      <c r="T112" s="70"/>
      <c r="U112" s="71"/>
      <c r="V112" s="68"/>
      <c r="W112" s="68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65" t="s">
        <v>270</v>
      </c>
      <c r="B113" s="64" t="s">
        <v>271</v>
      </c>
      <c r="C113" s="64"/>
      <c r="D113" s="64" t="s">
        <v>272</v>
      </c>
      <c r="E113" s="64"/>
      <c r="F113" s="64" t="s">
        <v>273</v>
      </c>
      <c r="G113" s="64" t="s">
        <v>41</v>
      </c>
      <c r="H113" s="64" t="s">
        <v>49</v>
      </c>
      <c r="I113" s="64"/>
      <c r="J113" s="64"/>
      <c r="K113" s="64"/>
      <c r="L113" s="64"/>
      <c r="M113" s="64" t="s">
        <v>375</v>
      </c>
      <c r="N113" s="64"/>
      <c r="O113" s="64" t="s">
        <v>360</v>
      </c>
      <c r="P113" s="64"/>
      <c r="Q113" s="66"/>
      <c r="R113" s="66"/>
      <c r="S113" s="66"/>
      <c r="T113" s="66"/>
      <c r="U113" s="67"/>
      <c r="V113" s="64"/>
      <c r="W113" s="64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69" t="s">
        <v>274</v>
      </c>
      <c r="B114" s="68" t="s">
        <v>134</v>
      </c>
      <c r="C114" s="68" t="s">
        <v>122</v>
      </c>
      <c r="D114" s="68" t="s">
        <v>391</v>
      </c>
      <c r="E114" s="68"/>
      <c r="F114" s="68" t="s">
        <v>275</v>
      </c>
      <c r="G114" s="68" t="s">
        <v>4</v>
      </c>
      <c r="H114" s="68" t="s">
        <v>5</v>
      </c>
      <c r="I114" s="68"/>
      <c r="J114" s="68"/>
      <c r="K114" s="68"/>
      <c r="L114" s="68"/>
      <c r="M114" s="68" t="s">
        <v>375</v>
      </c>
      <c r="N114" s="68"/>
      <c r="O114" s="68" t="s">
        <v>361</v>
      </c>
      <c r="P114" s="68"/>
      <c r="Q114" s="70"/>
      <c r="R114" s="70"/>
      <c r="S114" s="70"/>
      <c r="T114" s="70"/>
      <c r="U114" s="71"/>
      <c r="V114" s="68"/>
      <c r="W114" s="68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65" t="s">
        <v>276</v>
      </c>
      <c r="B115" s="64" t="s">
        <v>182</v>
      </c>
      <c r="C115" s="64" t="s">
        <v>83</v>
      </c>
      <c r="D115" s="64" t="s">
        <v>392</v>
      </c>
      <c r="E115" s="64"/>
      <c r="F115" s="64" t="s">
        <v>225</v>
      </c>
      <c r="G115" s="64" t="s">
        <v>4</v>
      </c>
      <c r="H115" s="64" t="s">
        <v>5</v>
      </c>
      <c r="I115" s="64"/>
      <c r="J115" s="64"/>
      <c r="K115" s="64"/>
      <c r="L115" s="64"/>
      <c r="M115" s="64" t="s">
        <v>372</v>
      </c>
      <c r="N115" s="64"/>
      <c r="O115" s="64" t="s">
        <v>361</v>
      </c>
      <c r="P115" s="64"/>
      <c r="Q115" s="66"/>
      <c r="R115" s="66"/>
      <c r="S115" s="66"/>
      <c r="T115" s="66"/>
      <c r="U115" s="67"/>
      <c r="V115" s="64"/>
      <c r="W115" s="64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69" t="s">
        <v>277</v>
      </c>
      <c r="B116" s="68" t="s">
        <v>211</v>
      </c>
      <c r="C116" s="68" t="s">
        <v>69</v>
      </c>
      <c r="D116" s="68" t="s">
        <v>278</v>
      </c>
      <c r="E116" s="68"/>
      <c r="F116" s="68" t="s">
        <v>279</v>
      </c>
      <c r="G116" s="68" t="s">
        <v>13</v>
      </c>
      <c r="H116" s="68" t="s">
        <v>49</v>
      </c>
      <c r="I116" s="68">
        <v>46147</v>
      </c>
      <c r="J116" s="68"/>
      <c r="K116" s="68"/>
      <c r="L116" s="68"/>
      <c r="M116" s="68" t="s">
        <v>362</v>
      </c>
      <c r="N116" s="68"/>
      <c r="O116" s="68" t="s">
        <v>359</v>
      </c>
      <c r="P116" s="68"/>
      <c r="Q116" s="70"/>
      <c r="R116" s="70"/>
      <c r="S116" s="70"/>
      <c r="T116" s="70"/>
      <c r="U116" s="71"/>
      <c r="V116" s="68"/>
      <c r="W116" s="68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65" t="s">
        <v>280</v>
      </c>
      <c r="B117" s="64" t="s">
        <v>162</v>
      </c>
      <c r="C117" s="64" t="s">
        <v>281</v>
      </c>
      <c r="D117" s="64" t="s">
        <v>282</v>
      </c>
      <c r="E117" s="64"/>
      <c r="F117" s="64"/>
      <c r="G117" s="64" t="s">
        <v>4</v>
      </c>
      <c r="H117" s="64" t="s">
        <v>49</v>
      </c>
      <c r="I117" s="64"/>
      <c r="J117" s="64"/>
      <c r="K117" s="64"/>
      <c r="L117" s="64"/>
      <c r="M117" s="64" t="s">
        <v>372</v>
      </c>
      <c r="N117" s="64" t="s">
        <v>358</v>
      </c>
      <c r="O117" s="64" t="s">
        <v>361</v>
      </c>
      <c r="P117" s="64"/>
      <c r="Q117" s="66"/>
      <c r="R117" s="66"/>
      <c r="S117" s="66"/>
      <c r="T117" s="66"/>
      <c r="U117" s="67"/>
      <c r="V117" s="64"/>
      <c r="W117" s="64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69" t="s">
        <v>283</v>
      </c>
      <c r="B118" s="68" t="s">
        <v>75</v>
      </c>
      <c r="C118" s="68" t="s">
        <v>62</v>
      </c>
      <c r="D118" s="68" t="s">
        <v>393</v>
      </c>
      <c r="E118" s="68"/>
      <c r="F118" s="68" t="s">
        <v>284</v>
      </c>
      <c r="G118" s="68" t="s">
        <v>4</v>
      </c>
      <c r="H118" s="68" t="s">
        <v>14</v>
      </c>
      <c r="I118" s="68"/>
      <c r="J118" s="68"/>
      <c r="K118" s="68"/>
      <c r="L118" s="68"/>
      <c r="M118" s="68" t="s">
        <v>385</v>
      </c>
      <c r="N118" s="68"/>
      <c r="O118" s="68" t="s">
        <v>361</v>
      </c>
      <c r="P118" s="68"/>
      <c r="Q118" s="70"/>
      <c r="R118" s="70"/>
      <c r="S118" s="70"/>
      <c r="T118" s="70"/>
      <c r="U118" s="71"/>
      <c r="V118" s="68"/>
      <c r="W118" s="68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65" t="s">
        <v>285</v>
      </c>
      <c r="B119" s="64" t="s">
        <v>286</v>
      </c>
      <c r="C119" s="64"/>
      <c r="D119" s="64" t="s">
        <v>394</v>
      </c>
      <c r="E119" s="64"/>
      <c r="F119" s="64" t="s">
        <v>287</v>
      </c>
      <c r="G119" s="64" t="s">
        <v>4</v>
      </c>
      <c r="H119" s="64" t="s">
        <v>49</v>
      </c>
      <c r="I119" s="64"/>
      <c r="J119" s="64"/>
      <c r="K119" s="64"/>
      <c r="L119" s="64"/>
      <c r="M119" s="64" t="s">
        <v>375</v>
      </c>
      <c r="N119" s="64"/>
      <c r="O119" s="64" t="s">
        <v>361</v>
      </c>
      <c r="P119" s="64"/>
      <c r="Q119" s="66"/>
      <c r="R119" s="66"/>
      <c r="S119" s="66"/>
      <c r="T119" s="66"/>
      <c r="U119" s="67"/>
      <c r="V119" s="64"/>
      <c r="W119" s="64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69" t="s">
        <v>288</v>
      </c>
      <c r="B120" s="68" t="s">
        <v>286</v>
      </c>
      <c r="C120" s="68" t="s">
        <v>69</v>
      </c>
      <c r="D120" s="68" t="s">
        <v>289</v>
      </c>
      <c r="E120" s="68"/>
      <c r="F120" s="68" t="s">
        <v>290</v>
      </c>
      <c r="G120" s="68" t="s">
        <v>13</v>
      </c>
      <c r="H120" s="68" t="s">
        <v>49</v>
      </c>
      <c r="I120" s="68"/>
      <c r="J120" s="68"/>
      <c r="K120" s="68"/>
      <c r="L120" s="68"/>
      <c r="M120" s="68" t="s">
        <v>372</v>
      </c>
      <c r="N120" s="68"/>
      <c r="O120" s="68" t="s">
        <v>361</v>
      </c>
      <c r="P120" s="68"/>
      <c r="Q120" s="70"/>
      <c r="R120" s="70"/>
      <c r="S120" s="70"/>
      <c r="T120" s="70"/>
      <c r="U120" s="71"/>
      <c r="V120" s="68"/>
      <c r="W120" s="68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65" t="s">
        <v>291</v>
      </c>
      <c r="B121" s="64" t="s">
        <v>75</v>
      </c>
      <c r="C121" s="64" t="s">
        <v>69</v>
      </c>
      <c r="D121" s="64" t="s">
        <v>292</v>
      </c>
      <c r="E121" s="64"/>
      <c r="F121" s="64"/>
      <c r="G121" s="64"/>
      <c r="H121" s="64"/>
      <c r="I121" s="64"/>
      <c r="J121" s="64"/>
      <c r="K121" s="64"/>
      <c r="L121" s="64"/>
      <c r="M121" s="64" t="s">
        <v>367</v>
      </c>
      <c r="N121" s="64"/>
      <c r="O121" s="64"/>
      <c r="P121" s="64"/>
      <c r="Q121" s="66"/>
      <c r="R121" s="66"/>
      <c r="S121" s="66"/>
      <c r="T121" s="66"/>
      <c r="U121" s="67"/>
      <c r="V121" s="64"/>
      <c r="W121" s="64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69" t="s">
        <v>293</v>
      </c>
      <c r="B122" s="68" t="s">
        <v>227</v>
      </c>
      <c r="C122" s="68" t="s">
        <v>116</v>
      </c>
      <c r="D122" s="68" t="s">
        <v>294</v>
      </c>
      <c r="E122" s="68"/>
      <c r="F122" s="68" t="s">
        <v>228</v>
      </c>
      <c r="G122" s="68" t="s">
        <v>13</v>
      </c>
      <c r="H122" s="68" t="s">
        <v>14</v>
      </c>
      <c r="I122" s="68"/>
      <c r="J122" s="68"/>
      <c r="K122" s="68"/>
      <c r="L122" s="68"/>
      <c r="M122" s="68" t="s">
        <v>364</v>
      </c>
      <c r="N122" s="68"/>
      <c r="O122" s="68" t="s">
        <v>365</v>
      </c>
      <c r="P122" s="68"/>
      <c r="Q122" s="70"/>
      <c r="R122" s="70"/>
      <c r="S122" s="70"/>
      <c r="T122" s="70"/>
      <c r="U122" s="71"/>
      <c r="V122" s="68"/>
      <c r="W122" s="68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65" t="s">
        <v>295</v>
      </c>
      <c r="B123" s="64" t="s">
        <v>45</v>
      </c>
      <c r="C123" s="64" t="s">
        <v>296</v>
      </c>
      <c r="D123" s="64" t="s">
        <v>297</v>
      </c>
      <c r="E123" s="64"/>
      <c r="F123" s="64" t="s">
        <v>48</v>
      </c>
      <c r="G123" s="64" t="s">
        <v>13</v>
      </c>
      <c r="H123" s="64" t="s">
        <v>14</v>
      </c>
      <c r="I123" s="64"/>
      <c r="J123" s="64"/>
      <c r="K123" s="64"/>
      <c r="L123" s="64"/>
      <c r="M123" s="64" t="s">
        <v>367</v>
      </c>
      <c r="N123" s="64"/>
      <c r="O123" s="64" t="s">
        <v>363</v>
      </c>
      <c r="P123" s="64"/>
      <c r="Q123" s="66"/>
      <c r="R123" s="66"/>
      <c r="S123" s="66"/>
      <c r="T123" s="66"/>
      <c r="U123" s="67"/>
      <c r="V123" s="64"/>
      <c r="W123" s="64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69" t="s">
        <v>298</v>
      </c>
      <c r="B124" s="68" t="s">
        <v>299</v>
      </c>
      <c r="C124" s="68" t="s">
        <v>16</v>
      </c>
      <c r="D124" s="68" t="s">
        <v>300</v>
      </c>
      <c r="E124" s="68"/>
      <c r="F124" s="68" t="s">
        <v>109</v>
      </c>
      <c r="G124" s="68" t="s">
        <v>4</v>
      </c>
      <c r="H124" s="68" t="s">
        <v>49</v>
      </c>
      <c r="I124" s="68"/>
      <c r="J124" s="68"/>
      <c r="K124" s="68"/>
      <c r="L124" s="68"/>
      <c r="M124" s="68" t="s">
        <v>375</v>
      </c>
      <c r="N124" s="68"/>
      <c r="O124" s="68" t="s">
        <v>361</v>
      </c>
      <c r="P124" s="68"/>
      <c r="Q124" s="70"/>
      <c r="R124" s="70"/>
      <c r="S124" s="70"/>
      <c r="T124" s="70"/>
      <c r="U124" s="71"/>
      <c r="V124" s="68"/>
      <c r="W124" s="68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65" t="s">
        <v>301</v>
      </c>
      <c r="B125" s="64" t="s">
        <v>302</v>
      </c>
      <c r="C125" s="64" t="s">
        <v>69</v>
      </c>
      <c r="D125" s="64" t="s">
        <v>303</v>
      </c>
      <c r="E125" s="64"/>
      <c r="F125" s="64"/>
      <c r="G125" s="64" t="s">
        <v>4</v>
      </c>
      <c r="H125" s="64" t="s">
        <v>49</v>
      </c>
      <c r="I125" s="64"/>
      <c r="J125" s="64"/>
      <c r="K125" s="64"/>
      <c r="L125" s="64"/>
      <c r="M125" s="64" t="s">
        <v>375</v>
      </c>
      <c r="N125" s="64"/>
      <c r="O125" s="64" t="s">
        <v>361</v>
      </c>
      <c r="P125" s="64"/>
      <c r="Q125" s="66"/>
      <c r="R125" s="66"/>
      <c r="S125" s="66"/>
      <c r="T125" s="66"/>
      <c r="U125" s="67"/>
      <c r="V125" s="64"/>
      <c r="W125" s="64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69" t="s">
        <v>304</v>
      </c>
      <c r="B126" s="68" t="s">
        <v>305</v>
      </c>
      <c r="C126" s="68"/>
      <c r="D126" s="68"/>
      <c r="E126" s="68"/>
      <c r="F126" s="68" t="s">
        <v>306</v>
      </c>
      <c r="G126" s="68" t="s">
        <v>13</v>
      </c>
      <c r="H126" s="68"/>
      <c r="I126" s="68"/>
      <c r="J126" s="68"/>
      <c r="K126" s="68"/>
      <c r="L126" s="68"/>
      <c r="M126" s="68" t="s">
        <v>367</v>
      </c>
      <c r="N126" s="68"/>
      <c r="O126" s="68" t="s">
        <v>359</v>
      </c>
      <c r="P126" s="68"/>
      <c r="Q126" s="70"/>
      <c r="R126" s="70"/>
      <c r="S126" s="70"/>
      <c r="T126" s="70"/>
      <c r="U126" s="71"/>
      <c r="V126" s="68"/>
      <c r="W126" s="68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65" t="s">
        <v>307</v>
      </c>
      <c r="B127" s="64" t="s">
        <v>305</v>
      </c>
      <c r="C127" s="64"/>
      <c r="D127" s="64"/>
      <c r="E127" s="64"/>
      <c r="F127" s="64" t="s">
        <v>306</v>
      </c>
      <c r="G127" s="64" t="s">
        <v>308</v>
      </c>
      <c r="H127" s="64"/>
      <c r="I127" s="64"/>
      <c r="J127" s="64"/>
      <c r="K127" s="64"/>
      <c r="L127" s="64"/>
      <c r="M127" s="64" t="s">
        <v>367</v>
      </c>
      <c r="N127" s="64"/>
      <c r="O127" s="64" t="s">
        <v>359</v>
      </c>
      <c r="P127" s="64"/>
      <c r="Q127" s="66"/>
      <c r="R127" s="66"/>
      <c r="S127" s="66"/>
      <c r="T127" s="66"/>
      <c r="U127" s="67"/>
      <c r="V127" s="64"/>
      <c r="W127" s="64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69" t="s">
        <v>309</v>
      </c>
      <c r="B128" s="68" t="s">
        <v>9</v>
      </c>
      <c r="C128" s="68" t="s">
        <v>69</v>
      </c>
      <c r="D128" s="68" t="s">
        <v>310</v>
      </c>
      <c r="E128" s="68"/>
      <c r="F128" s="68" t="s">
        <v>311</v>
      </c>
      <c r="G128" s="68" t="s">
        <v>13</v>
      </c>
      <c r="H128" s="68" t="s">
        <v>49</v>
      </c>
      <c r="I128" s="68"/>
      <c r="J128" s="68"/>
      <c r="K128" s="68"/>
      <c r="L128" s="68"/>
      <c r="M128" s="68" t="s">
        <v>372</v>
      </c>
      <c r="N128" s="68"/>
      <c r="O128" s="68" t="s">
        <v>361</v>
      </c>
      <c r="P128" s="68"/>
      <c r="Q128" s="70"/>
      <c r="R128" s="70"/>
      <c r="S128" s="70"/>
      <c r="T128" s="70"/>
      <c r="U128" s="71"/>
      <c r="V128" s="68"/>
      <c r="W128" s="68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65" t="s">
        <v>312</v>
      </c>
      <c r="B129" s="64" t="s">
        <v>75</v>
      </c>
      <c r="C129" s="64" t="s">
        <v>69</v>
      </c>
      <c r="D129" s="64" t="s">
        <v>313</v>
      </c>
      <c r="E129" s="64"/>
      <c r="F129" s="64" t="s">
        <v>314</v>
      </c>
      <c r="G129" s="64" t="s">
        <v>4</v>
      </c>
      <c r="H129" s="64" t="s">
        <v>49</v>
      </c>
      <c r="I129" s="64"/>
      <c r="J129" s="64"/>
      <c r="K129" s="64"/>
      <c r="L129" s="64"/>
      <c r="M129" s="64" t="s">
        <v>375</v>
      </c>
      <c r="N129" s="64"/>
      <c r="O129" s="64" t="s">
        <v>366</v>
      </c>
      <c r="P129" s="64"/>
      <c r="Q129" s="66"/>
      <c r="R129" s="66"/>
      <c r="S129" s="66"/>
      <c r="T129" s="66"/>
      <c r="U129" s="67"/>
      <c r="V129" s="64"/>
      <c r="W129" s="64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69" t="s">
        <v>315</v>
      </c>
      <c r="B130" s="68" t="s">
        <v>45</v>
      </c>
      <c r="C130" s="68" t="s">
        <v>316</v>
      </c>
      <c r="D130" s="68" t="s">
        <v>317</v>
      </c>
      <c r="E130" s="68"/>
      <c r="F130" s="68"/>
      <c r="G130" s="68" t="s">
        <v>13</v>
      </c>
      <c r="H130" s="68"/>
      <c r="I130" s="68"/>
      <c r="J130" s="68"/>
      <c r="K130" s="68"/>
      <c r="L130" s="68"/>
      <c r="M130" s="68" t="s">
        <v>395</v>
      </c>
      <c r="N130" s="68" t="s">
        <v>370</v>
      </c>
      <c r="O130" s="68" t="s">
        <v>363</v>
      </c>
      <c r="P130" s="68"/>
      <c r="Q130" s="70"/>
      <c r="R130" s="70"/>
      <c r="S130" s="70"/>
      <c r="T130" s="70"/>
      <c r="U130" s="71"/>
      <c r="V130" s="68"/>
      <c r="W130" s="68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65" t="s">
        <v>318</v>
      </c>
      <c r="B131" s="64" t="s">
        <v>45</v>
      </c>
      <c r="C131" s="64" t="s">
        <v>316</v>
      </c>
      <c r="D131" s="64" t="s">
        <v>319</v>
      </c>
      <c r="E131" s="64"/>
      <c r="F131" s="64" t="s">
        <v>48</v>
      </c>
      <c r="G131" s="64" t="s">
        <v>320</v>
      </c>
      <c r="H131" s="64"/>
      <c r="I131" s="64"/>
      <c r="J131" s="64"/>
      <c r="K131" s="64"/>
      <c r="L131" s="64"/>
      <c r="M131" s="64" t="s">
        <v>395</v>
      </c>
      <c r="N131" s="64" t="s">
        <v>370</v>
      </c>
      <c r="O131" s="64" t="s">
        <v>367</v>
      </c>
      <c r="P131" s="64"/>
      <c r="Q131" s="66"/>
      <c r="R131" s="66"/>
      <c r="S131" s="66"/>
      <c r="T131" s="66"/>
      <c r="U131" s="67"/>
      <c r="V131" s="64"/>
      <c r="W131" s="64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69" t="s">
        <v>321</v>
      </c>
      <c r="B132" s="68" t="s">
        <v>45</v>
      </c>
      <c r="C132" s="68" t="s">
        <v>316</v>
      </c>
      <c r="D132" s="68" t="s">
        <v>322</v>
      </c>
      <c r="E132" s="68"/>
      <c r="F132" s="68" t="s">
        <v>48</v>
      </c>
      <c r="G132" s="68" t="s">
        <v>320</v>
      </c>
      <c r="H132" s="68"/>
      <c r="I132" s="68"/>
      <c r="J132" s="68"/>
      <c r="K132" s="68"/>
      <c r="L132" s="68"/>
      <c r="M132" s="68" t="s">
        <v>375</v>
      </c>
      <c r="N132" s="68" t="s">
        <v>370</v>
      </c>
      <c r="O132" s="68" t="s">
        <v>366</v>
      </c>
      <c r="P132" s="68"/>
      <c r="Q132" s="70"/>
      <c r="R132" s="70"/>
      <c r="S132" s="70"/>
      <c r="T132" s="70"/>
      <c r="U132" s="71"/>
      <c r="V132" s="68"/>
      <c r="W132" s="68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65" t="s">
        <v>323</v>
      </c>
      <c r="B133" s="64" t="s">
        <v>305</v>
      </c>
      <c r="C133" s="64"/>
      <c r="D133" s="64"/>
      <c r="E133" s="64"/>
      <c r="F133" s="64" t="s">
        <v>306</v>
      </c>
      <c r="G133" s="64" t="s">
        <v>4</v>
      </c>
      <c r="H133" s="64"/>
      <c r="I133" s="64"/>
      <c r="J133" s="64"/>
      <c r="K133" s="64"/>
      <c r="L133" s="64"/>
      <c r="M133" s="64" t="s">
        <v>367</v>
      </c>
      <c r="N133" s="64"/>
      <c r="O133" s="64" t="s">
        <v>361</v>
      </c>
      <c r="P133" s="64"/>
      <c r="Q133" s="66"/>
      <c r="R133" s="66"/>
      <c r="S133" s="66"/>
      <c r="T133" s="66"/>
      <c r="U133" s="67"/>
      <c r="V133" s="64"/>
      <c r="W133" s="64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69" t="s">
        <v>324</v>
      </c>
      <c r="B134" s="68" t="s">
        <v>75</v>
      </c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 t="s">
        <v>367</v>
      </c>
      <c r="N134" s="68"/>
      <c r="O134" s="68" t="s">
        <v>367</v>
      </c>
      <c r="P134" s="68"/>
      <c r="Q134" s="70"/>
      <c r="R134" s="70"/>
      <c r="S134" s="70"/>
      <c r="T134" s="70"/>
      <c r="U134" s="71"/>
      <c r="V134" s="68"/>
      <c r="W134" s="68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65"/>
      <c r="B135" s="64"/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6"/>
      <c r="R135" s="66"/>
      <c r="S135" s="66"/>
      <c r="T135" s="66"/>
      <c r="U135" s="67"/>
      <c r="V135" s="64"/>
      <c r="W135" s="64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69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70"/>
      <c r="R136" s="70"/>
      <c r="S136" s="70"/>
      <c r="T136" s="70"/>
      <c r="U136" s="71"/>
      <c r="V136" s="68"/>
      <c r="W136" s="68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65"/>
      <c r="B137" s="64"/>
      <c r="C137" s="64"/>
      <c r="D137" s="64"/>
      <c r="E137" s="64"/>
      <c r="F137" s="64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6"/>
      <c r="R137" s="66"/>
      <c r="S137" s="66"/>
      <c r="T137" s="66"/>
      <c r="U137" s="67"/>
      <c r="V137" s="64"/>
      <c r="W137" s="64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69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70"/>
      <c r="R138" s="70"/>
      <c r="S138" s="70"/>
      <c r="T138" s="70"/>
      <c r="U138" s="71"/>
      <c r="V138" s="68"/>
      <c r="W138" s="68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65"/>
      <c r="B139" s="64"/>
      <c r="C139" s="64"/>
      <c r="D139" s="64"/>
      <c r="E139" s="64"/>
      <c r="F139" s="64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6"/>
      <c r="R139" s="66"/>
      <c r="S139" s="66"/>
      <c r="T139" s="66"/>
      <c r="U139" s="67"/>
      <c r="V139" s="64"/>
      <c r="W139" s="64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69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70"/>
      <c r="R140" s="70"/>
      <c r="S140" s="70"/>
      <c r="T140" s="70"/>
      <c r="U140" s="71"/>
      <c r="V140" s="68"/>
      <c r="W140" s="68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65"/>
      <c r="B141" s="64"/>
      <c r="C141" s="64"/>
      <c r="D141" s="64"/>
      <c r="E141" s="64"/>
      <c r="F141" s="64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6"/>
      <c r="R141" s="66"/>
      <c r="S141" s="66"/>
      <c r="T141" s="66"/>
      <c r="U141" s="67"/>
      <c r="V141" s="64"/>
      <c r="W141" s="64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69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70"/>
      <c r="R142" s="70"/>
      <c r="S142" s="70"/>
      <c r="T142" s="70"/>
      <c r="U142" s="71"/>
      <c r="V142" s="68"/>
      <c r="W142" s="68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65"/>
      <c r="B143" s="64"/>
      <c r="C143" s="64"/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6"/>
      <c r="R143" s="66"/>
      <c r="S143" s="66"/>
      <c r="T143" s="66"/>
      <c r="U143" s="67"/>
      <c r="V143" s="64"/>
      <c r="W143" s="64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69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70"/>
      <c r="R144" s="70"/>
      <c r="S144" s="70"/>
      <c r="T144" s="70"/>
      <c r="U144" s="71"/>
      <c r="V144" s="68"/>
      <c r="W144" s="68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65"/>
      <c r="B145" s="64"/>
      <c r="C145" s="64"/>
      <c r="D145" s="64"/>
      <c r="E145" s="64"/>
      <c r="F145" s="64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6"/>
      <c r="R145" s="66"/>
      <c r="S145" s="66"/>
      <c r="T145" s="66"/>
      <c r="U145" s="67"/>
      <c r="V145" s="64"/>
      <c r="W145" s="64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69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70"/>
      <c r="R146" s="70"/>
      <c r="S146" s="70"/>
      <c r="T146" s="70"/>
      <c r="U146" s="71"/>
      <c r="V146" s="68"/>
      <c r="W146" s="68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65"/>
      <c r="B147" s="64"/>
      <c r="C147" s="64"/>
      <c r="D147" s="64"/>
      <c r="E147" s="64"/>
      <c r="F147" s="64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6"/>
      <c r="R147" s="66"/>
      <c r="S147" s="66"/>
      <c r="T147" s="66"/>
      <c r="U147" s="67"/>
      <c r="V147" s="64"/>
      <c r="W147" s="64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69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70"/>
      <c r="R148" s="70"/>
      <c r="S148" s="70"/>
      <c r="T148" s="70"/>
      <c r="U148" s="71"/>
      <c r="V148" s="68"/>
      <c r="W148" s="68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65"/>
      <c r="B149" s="64"/>
      <c r="C149" s="64"/>
      <c r="D149" s="64"/>
      <c r="E149" s="64"/>
      <c r="F149" s="64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6"/>
      <c r="R149" s="66"/>
      <c r="S149" s="66"/>
      <c r="T149" s="66"/>
      <c r="U149" s="67"/>
      <c r="V149" s="64"/>
      <c r="W149" s="64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69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70"/>
      <c r="R150" s="70"/>
      <c r="S150" s="70"/>
      <c r="T150" s="70"/>
      <c r="U150" s="71"/>
      <c r="V150" s="68"/>
      <c r="W150" s="68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65"/>
      <c r="B151" s="64"/>
      <c r="C151" s="64"/>
      <c r="D151" s="64"/>
      <c r="E151" s="64"/>
      <c r="F151" s="64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6"/>
      <c r="R151" s="66"/>
      <c r="S151" s="66"/>
      <c r="T151" s="66"/>
      <c r="U151" s="67"/>
      <c r="V151" s="64"/>
      <c r="W151" s="64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69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70"/>
      <c r="R152" s="70"/>
      <c r="S152" s="70"/>
      <c r="T152" s="70"/>
      <c r="U152" s="71"/>
      <c r="V152" s="68"/>
      <c r="W152" s="68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65"/>
      <c r="B153" s="64"/>
      <c r="C153" s="64"/>
      <c r="D153" s="64"/>
      <c r="E153" s="64"/>
      <c r="F153" s="64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6"/>
      <c r="R153" s="66"/>
      <c r="S153" s="66"/>
      <c r="T153" s="66"/>
      <c r="U153" s="67"/>
      <c r="V153" s="64"/>
      <c r="W153" s="64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69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70"/>
      <c r="R154" s="70"/>
      <c r="S154" s="70"/>
      <c r="T154" s="70"/>
      <c r="U154" s="71"/>
      <c r="V154" s="68"/>
      <c r="W154" s="68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65"/>
      <c r="B155" s="64"/>
      <c r="C155" s="64"/>
      <c r="D155" s="64"/>
      <c r="E155" s="64"/>
      <c r="F155" s="64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6"/>
      <c r="R155" s="66"/>
      <c r="S155" s="66"/>
      <c r="T155" s="66"/>
      <c r="U155" s="67"/>
      <c r="V155" s="64"/>
      <c r="W155" s="64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69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70"/>
      <c r="R156" s="70"/>
      <c r="S156" s="70"/>
      <c r="T156" s="70"/>
      <c r="U156" s="71"/>
      <c r="V156" s="68"/>
      <c r="W156" s="68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65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6"/>
      <c r="R157" s="66"/>
      <c r="S157" s="66"/>
      <c r="T157" s="66"/>
      <c r="U157" s="67"/>
      <c r="V157" s="64"/>
      <c r="W157" s="64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69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70"/>
      <c r="R158" s="70"/>
      <c r="S158" s="70"/>
      <c r="T158" s="70"/>
      <c r="U158" s="71"/>
      <c r="V158" s="68"/>
      <c r="W158" s="68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65"/>
      <c r="B159" s="64"/>
      <c r="C159" s="64"/>
      <c r="D159" s="64"/>
      <c r="E159" s="64"/>
      <c r="F159" s="64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6"/>
      <c r="R159" s="66"/>
      <c r="S159" s="66"/>
      <c r="T159" s="66"/>
      <c r="U159" s="67"/>
      <c r="V159" s="64"/>
      <c r="W159" s="64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69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70"/>
      <c r="R160" s="70"/>
      <c r="S160" s="70"/>
      <c r="T160" s="70"/>
      <c r="U160" s="71"/>
      <c r="V160" s="68"/>
      <c r="W160" s="68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65"/>
      <c r="B161" s="64"/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6"/>
      <c r="R161" s="66"/>
      <c r="S161" s="66"/>
      <c r="T161" s="66"/>
      <c r="U161" s="67"/>
      <c r="V161" s="64"/>
      <c r="W161" s="64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69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70"/>
      <c r="R162" s="70"/>
      <c r="S162" s="70"/>
      <c r="T162" s="70"/>
      <c r="U162" s="71"/>
      <c r="V162" s="68"/>
      <c r="W162" s="68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65"/>
      <c r="B163" s="64"/>
      <c r="C163" s="64"/>
      <c r="D163" s="64"/>
      <c r="E163" s="64"/>
      <c r="F163" s="64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6"/>
      <c r="R163" s="66"/>
      <c r="S163" s="66"/>
      <c r="T163" s="66"/>
      <c r="U163" s="67"/>
      <c r="V163" s="64"/>
      <c r="W163" s="64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69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70"/>
      <c r="R164" s="70"/>
      <c r="S164" s="70"/>
      <c r="T164" s="70"/>
      <c r="U164" s="71"/>
      <c r="V164" s="68"/>
      <c r="W164" s="68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7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6D92-B060-4595-85E9-24593F8E3186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73" t="s">
        <v>0</v>
      </c>
      <c r="B3" s="72" t="s">
        <v>1</v>
      </c>
      <c r="C3" s="72" t="s">
        <v>2</v>
      </c>
      <c r="D3" s="72">
        <v>35381421000194</v>
      </c>
      <c r="E3" s="72"/>
      <c r="F3" s="72" t="s">
        <v>3</v>
      </c>
      <c r="G3" s="72" t="s">
        <v>4</v>
      </c>
      <c r="H3" s="72" t="s">
        <v>5</v>
      </c>
      <c r="I3" s="72" t="s">
        <v>341</v>
      </c>
      <c r="J3" s="72"/>
      <c r="K3" s="72"/>
      <c r="L3" s="72"/>
      <c r="M3" s="72"/>
      <c r="N3" s="72"/>
      <c r="O3" s="72"/>
      <c r="P3" s="72"/>
      <c r="Q3" s="74"/>
      <c r="R3" s="74"/>
      <c r="S3" s="74"/>
      <c r="T3" s="74"/>
      <c r="U3" s="75"/>
      <c r="V3" s="72"/>
      <c r="W3" s="72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77" t="s">
        <v>6</v>
      </c>
      <c r="B4" s="76" t="s">
        <v>1</v>
      </c>
      <c r="C4" s="76" t="s">
        <v>2</v>
      </c>
      <c r="D4" s="76" t="s">
        <v>7</v>
      </c>
      <c r="E4" s="76"/>
      <c r="F4" s="76" t="s">
        <v>3</v>
      </c>
      <c r="G4" s="76" t="s">
        <v>4</v>
      </c>
      <c r="H4" s="76" t="s">
        <v>5</v>
      </c>
      <c r="I4" s="76" t="s">
        <v>341</v>
      </c>
      <c r="J4" s="76"/>
      <c r="K4" s="76"/>
      <c r="L4" s="76"/>
      <c r="M4" s="76"/>
      <c r="N4" s="76"/>
      <c r="O4" s="76"/>
      <c r="P4" s="76"/>
      <c r="Q4" s="78"/>
      <c r="R4" s="78"/>
      <c r="S4" s="78"/>
      <c r="T4" s="78"/>
      <c r="U4" s="79"/>
      <c r="V4" s="76"/>
      <c r="W4" s="76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73" t="s">
        <v>8</v>
      </c>
      <c r="B5" s="72" t="s">
        <v>9</v>
      </c>
      <c r="C5" s="72" t="s">
        <v>10</v>
      </c>
      <c r="D5" s="72" t="s">
        <v>11</v>
      </c>
      <c r="E5" s="72"/>
      <c r="F5" s="72" t="s">
        <v>12</v>
      </c>
      <c r="G5" s="72" t="s">
        <v>13</v>
      </c>
      <c r="H5" s="72" t="s">
        <v>14</v>
      </c>
      <c r="I5" s="72" t="s">
        <v>341</v>
      </c>
      <c r="J5" s="72"/>
      <c r="K5" s="72"/>
      <c r="L5" s="72"/>
      <c r="M5" s="72"/>
      <c r="N5" s="72"/>
      <c r="O5" s="72"/>
      <c r="P5" s="72"/>
      <c r="Q5" s="74"/>
      <c r="R5" s="74"/>
      <c r="S5" s="74"/>
      <c r="T5" s="74"/>
      <c r="U5" s="75"/>
      <c r="V5" s="72"/>
      <c r="W5" s="72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77" t="s">
        <v>15</v>
      </c>
      <c r="B6" s="76" t="s">
        <v>9</v>
      </c>
      <c r="C6" s="76" t="s">
        <v>16</v>
      </c>
      <c r="D6" s="76" t="s">
        <v>17</v>
      </c>
      <c r="E6" s="76"/>
      <c r="F6" s="76" t="s">
        <v>12</v>
      </c>
      <c r="G6" s="76" t="s">
        <v>13</v>
      </c>
      <c r="H6" s="76" t="s">
        <v>14</v>
      </c>
      <c r="I6" s="76" t="s">
        <v>341</v>
      </c>
      <c r="J6" s="76" t="s">
        <v>341</v>
      </c>
      <c r="K6" s="76" t="s">
        <v>341</v>
      </c>
      <c r="L6" s="76" t="s">
        <v>341</v>
      </c>
      <c r="M6" s="76" t="s">
        <v>341</v>
      </c>
      <c r="N6" s="76" t="s">
        <v>341</v>
      </c>
      <c r="O6" s="76" t="s">
        <v>341</v>
      </c>
      <c r="P6" s="76" t="s">
        <v>341</v>
      </c>
      <c r="Q6" s="78"/>
      <c r="R6" s="78"/>
      <c r="S6" s="78"/>
      <c r="T6" s="78"/>
      <c r="U6" s="79"/>
      <c r="V6" s="76"/>
      <c r="W6" s="76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73" t="s">
        <v>18</v>
      </c>
      <c r="B7" s="72" t="s">
        <v>9</v>
      </c>
      <c r="C7" s="72" t="s">
        <v>19</v>
      </c>
      <c r="D7" s="72" t="s">
        <v>20</v>
      </c>
      <c r="E7" s="72"/>
      <c r="F7" s="72" t="s">
        <v>12</v>
      </c>
      <c r="G7" s="72" t="s">
        <v>13</v>
      </c>
      <c r="H7" s="72" t="s">
        <v>14</v>
      </c>
      <c r="I7" s="72" t="s">
        <v>341</v>
      </c>
      <c r="J7" s="72" t="s">
        <v>341</v>
      </c>
      <c r="K7" s="72" t="s">
        <v>341</v>
      </c>
      <c r="L7" s="72" t="s">
        <v>341</v>
      </c>
      <c r="M7" s="72" t="s">
        <v>341</v>
      </c>
      <c r="N7" s="72" t="s">
        <v>341</v>
      </c>
      <c r="O7" s="72" t="s">
        <v>341</v>
      </c>
      <c r="P7" s="72" t="s">
        <v>341</v>
      </c>
      <c r="Q7" s="74"/>
      <c r="R7" s="74"/>
      <c r="S7" s="74"/>
      <c r="T7" s="74"/>
      <c r="U7" s="75"/>
      <c r="V7" s="72"/>
      <c r="W7" s="72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77" t="s">
        <v>21</v>
      </c>
      <c r="B8" s="76" t="s">
        <v>9</v>
      </c>
      <c r="C8" s="76" t="s">
        <v>19</v>
      </c>
      <c r="D8" s="76" t="s">
        <v>22</v>
      </c>
      <c r="E8" s="76"/>
      <c r="F8" s="76" t="s">
        <v>12</v>
      </c>
      <c r="G8" s="76" t="s">
        <v>13</v>
      </c>
      <c r="H8" s="76" t="s">
        <v>14</v>
      </c>
      <c r="I8" s="76" t="s">
        <v>341</v>
      </c>
      <c r="J8" s="76" t="s">
        <v>341</v>
      </c>
      <c r="K8" s="76" t="s">
        <v>341</v>
      </c>
      <c r="L8" s="76" t="s">
        <v>341</v>
      </c>
      <c r="M8" s="76" t="s">
        <v>341</v>
      </c>
      <c r="N8" s="76" t="s">
        <v>341</v>
      </c>
      <c r="O8" s="76" t="s">
        <v>341</v>
      </c>
      <c r="P8" s="76" t="s">
        <v>341</v>
      </c>
      <c r="Q8" s="78"/>
      <c r="R8" s="78"/>
      <c r="S8" s="78"/>
      <c r="T8" s="78"/>
      <c r="U8" s="79"/>
      <c r="V8" s="76"/>
      <c r="W8" s="76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73" t="s">
        <v>23</v>
      </c>
      <c r="B9" s="72" t="s">
        <v>9</v>
      </c>
      <c r="C9" s="72" t="s">
        <v>24</v>
      </c>
      <c r="D9" s="72" t="s">
        <v>25</v>
      </c>
      <c r="E9" s="72"/>
      <c r="F9" s="72" t="s">
        <v>12</v>
      </c>
      <c r="G9" s="72" t="s">
        <v>13</v>
      </c>
      <c r="H9" s="72" t="s">
        <v>14</v>
      </c>
      <c r="I9" s="72" t="s">
        <v>341</v>
      </c>
      <c r="J9" s="72" t="s">
        <v>341</v>
      </c>
      <c r="K9" s="72" t="s">
        <v>341</v>
      </c>
      <c r="L9" s="72" t="s">
        <v>341</v>
      </c>
      <c r="M9" s="72" t="s">
        <v>341</v>
      </c>
      <c r="N9" s="72" t="s">
        <v>341</v>
      </c>
      <c r="O9" s="72" t="s">
        <v>341</v>
      </c>
      <c r="P9" s="72" t="s">
        <v>341</v>
      </c>
      <c r="Q9" s="74"/>
      <c r="R9" s="74"/>
      <c r="S9" s="74"/>
      <c r="T9" s="74"/>
      <c r="U9" s="75"/>
      <c r="V9" s="72"/>
      <c r="W9" s="72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77" t="s">
        <v>26</v>
      </c>
      <c r="B10" s="76" t="s">
        <v>9</v>
      </c>
      <c r="C10" s="76" t="s">
        <v>27</v>
      </c>
      <c r="D10" s="76" t="s">
        <v>28</v>
      </c>
      <c r="E10" s="76"/>
      <c r="F10" s="76" t="s">
        <v>12</v>
      </c>
      <c r="G10" s="76" t="s">
        <v>13</v>
      </c>
      <c r="H10" s="76" t="s">
        <v>14</v>
      </c>
      <c r="I10" s="76" t="s">
        <v>341</v>
      </c>
      <c r="J10" s="76" t="s">
        <v>341</v>
      </c>
      <c r="K10" s="76" t="s">
        <v>341</v>
      </c>
      <c r="L10" s="76" t="s">
        <v>341</v>
      </c>
      <c r="M10" s="76" t="s">
        <v>341</v>
      </c>
      <c r="N10" s="76" t="s">
        <v>341</v>
      </c>
      <c r="O10" s="76" t="s">
        <v>341</v>
      </c>
      <c r="P10" s="76" t="s">
        <v>341</v>
      </c>
      <c r="Q10" s="78"/>
      <c r="R10" s="78"/>
      <c r="S10" s="78"/>
      <c r="T10" s="78"/>
      <c r="U10" s="79"/>
      <c r="V10" s="76"/>
      <c r="W10" s="76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73" t="s">
        <v>29</v>
      </c>
      <c r="B11" s="72" t="s">
        <v>9</v>
      </c>
      <c r="C11" s="72" t="s">
        <v>16</v>
      </c>
      <c r="D11" s="72" t="s">
        <v>30</v>
      </c>
      <c r="E11" s="72"/>
      <c r="F11" s="72" t="s">
        <v>12</v>
      </c>
      <c r="G11" s="72" t="s">
        <v>13</v>
      </c>
      <c r="H11" s="72" t="s">
        <v>14</v>
      </c>
      <c r="I11" s="72" t="s">
        <v>341</v>
      </c>
      <c r="J11" s="72" t="s">
        <v>341</v>
      </c>
      <c r="K11" s="72" t="s">
        <v>341</v>
      </c>
      <c r="L11" s="72" t="s">
        <v>341</v>
      </c>
      <c r="M11" s="72" t="s">
        <v>341</v>
      </c>
      <c r="N11" s="72" t="s">
        <v>341</v>
      </c>
      <c r="O11" s="72" t="s">
        <v>341</v>
      </c>
      <c r="P11" s="72" t="s">
        <v>341</v>
      </c>
      <c r="Q11" s="74"/>
      <c r="R11" s="74"/>
      <c r="S11" s="74"/>
      <c r="T11" s="74"/>
      <c r="U11" s="75"/>
      <c r="V11" s="72"/>
      <c r="W11" s="72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77" t="s">
        <v>31</v>
      </c>
      <c r="B12" s="76" t="s">
        <v>9</v>
      </c>
      <c r="C12" s="76" t="s">
        <v>24</v>
      </c>
      <c r="D12" s="76" t="s">
        <v>32</v>
      </c>
      <c r="E12" s="76"/>
      <c r="F12" s="76" t="s">
        <v>12</v>
      </c>
      <c r="G12" s="76" t="s">
        <v>13</v>
      </c>
      <c r="H12" s="76" t="s">
        <v>14</v>
      </c>
      <c r="I12" s="76" t="s">
        <v>341</v>
      </c>
      <c r="J12" s="76" t="s">
        <v>341</v>
      </c>
      <c r="K12" s="76" t="s">
        <v>341</v>
      </c>
      <c r="L12" s="76" t="s">
        <v>341</v>
      </c>
      <c r="M12" s="76" t="s">
        <v>341</v>
      </c>
      <c r="N12" s="76" t="s">
        <v>341</v>
      </c>
      <c r="O12" s="76" t="s">
        <v>341</v>
      </c>
      <c r="P12" s="76" t="s">
        <v>341</v>
      </c>
      <c r="Q12" s="78"/>
      <c r="R12" s="78"/>
      <c r="S12" s="78"/>
      <c r="T12" s="78"/>
      <c r="U12" s="79"/>
      <c r="V12" s="76"/>
      <c r="W12" s="76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73" t="s">
        <v>33</v>
      </c>
      <c r="B13" s="72" t="s">
        <v>9</v>
      </c>
      <c r="C13" s="72" t="s">
        <v>24</v>
      </c>
      <c r="D13" s="72" t="s">
        <v>34</v>
      </c>
      <c r="E13" s="72"/>
      <c r="F13" s="72" t="s">
        <v>12</v>
      </c>
      <c r="G13" s="72" t="s">
        <v>13</v>
      </c>
      <c r="H13" s="72" t="s">
        <v>14</v>
      </c>
      <c r="I13" s="72" t="s">
        <v>341</v>
      </c>
      <c r="J13" s="72" t="s">
        <v>341</v>
      </c>
      <c r="K13" s="72" t="s">
        <v>341</v>
      </c>
      <c r="L13" s="72" t="s">
        <v>341</v>
      </c>
      <c r="M13" s="72" t="s">
        <v>341</v>
      </c>
      <c r="N13" s="72" t="s">
        <v>341</v>
      </c>
      <c r="O13" s="72" t="s">
        <v>341</v>
      </c>
      <c r="P13" s="72" t="s">
        <v>341</v>
      </c>
      <c r="Q13" s="74"/>
      <c r="R13" s="74"/>
      <c r="S13" s="74"/>
      <c r="T13" s="74"/>
      <c r="U13" s="75"/>
      <c r="V13" s="72"/>
      <c r="W13" s="72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77" t="s">
        <v>35</v>
      </c>
      <c r="B14" s="76" t="s">
        <v>9</v>
      </c>
      <c r="C14" s="76" t="s">
        <v>24</v>
      </c>
      <c r="D14" s="76" t="s">
        <v>36</v>
      </c>
      <c r="E14" s="76"/>
      <c r="F14" s="76" t="s">
        <v>37</v>
      </c>
      <c r="G14" s="76" t="s">
        <v>13</v>
      </c>
      <c r="H14" s="76" t="s">
        <v>14</v>
      </c>
      <c r="I14" s="76" t="s">
        <v>341</v>
      </c>
      <c r="J14" s="76" t="s">
        <v>341</v>
      </c>
      <c r="K14" s="76" t="s">
        <v>341</v>
      </c>
      <c r="L14" s="76" t="s">
        <v>341</v>
      </c>
      <c r="M14" s="76" t="s">
        <v>341</v>
      </c>
      <c r="N14" s="76" t="s">
        <v>341</v>
      </c>
      <c r="O14" s="76" t="s">
        <v>341</v>
      </c>
      <c r="P14" s="76" t="s">
        <v>341</v>
      </c>
      <c r="Q14" s="78"/>
      <c r="R14" s="78"/>
      <c r="S14" s="78"/>
      <c r="T14" s="78"/>
      <c r="U14" s="79"/>
      <c r="V14" s="76"/>
      <c r="W14" s="76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73" t="s">
        <v>38</v>
      </c>
      <c r="B15" s="72" t="s">
        <v>9</v>
      </c>
      <c r="C15" s="72" t="s">
        <v>16</v>
      </c>
      <c r="D15" s="72" t="s">
        <v>39</v>
      </c>
      <c r="E15" s="72"/>
      <c r="F15" s="72" t="s">
        <v>37</v>
      </c>
      <c r="G15" s="72" t="s">
        <v>13</v>
      </c>
      <c r="H15" s="72" t="s">
        <v>14</v>
      </c>
      <c r="I15" s="72" t="s">
        <v>341</v>
      </c>
      <c r="J15" s="72" t="s">
        <v>341</v>
      </c>
      <c r="K15" s="72" t="s">
        <v>341</v>
      </c>
      <c r="L15" s="72" t="s">
        <v>341</v>
      </c>
      <c r="M15" s="72" t="s">
        <v>341</v>
      </c>
      <c r="N15" s="72" t="s">
        <v>341</v>
      </c>
      <c r="O15" s="72" t="s">
        <v>341</v>
      </c>
      <c r="P15" s="72" t="s">
        <v>341</v>
      </c>
      <c r="Q15" s="74"/>
      <c r="R15" s="74"/>
      <c r="S15" s="74"/>
      <c r="T15" s="74"/>
      <c r="U15" s="75"/>
      <c r="V15" s="72"/>
      <c r="W15" s="72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77" t="s">
        <v>40</v>
      </c>
      <c r="B16" s="76" t="s">
        <v>9</v>
      </c>
      <c r="C16" s="76" t="s">
        <v>24</v>
      </c>
      <c r="D16" s="76">
        <v>17608570000161</v>
      </c>
      <c r="E16" s="76"/>
      <c r="F16" s="76" t="s">
        <v>12</v>
      </c>
      <c r="G16" s="76" t="s">
        <v>41</v>
      </c>
      <c r="H16" s="76" t="s">
        <v>5</v>
      </c>
      <c r="I16" s="76" t="s">
        <v>341</v>
      </c>
      <c r="J16" s="76" t="s">
        <v>341</v>
      </c>
      <c r="K16" s="76" t="s">
        <v>341</v>
      </c>
      <c r="L16" s="76" t="s">
        <v>341</v>
      </c>
      <c r="M16" s="76" t="s">
        <v>341</v>
      </c>
      <c r="N16" s="76" t="s">
        <v>341</v>
      </c>
      <c r="O16" s="76" t="s">
        <v>341</v>
      </c>
      <c r="P16" s="76" t="s">
        <v>341</v>
      </c>
      <c r="Q16" s="78"/>
      <c r="R16" s="78"/>
      <c r="S16" s="78"/>
      <c r="T16" s="78"/>
      <c r="U16" s="79"/>
      <c r="V16" s="76"/>
      <c r="W16" s="76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73" t="s">
        <v>42</v>
      </c>
      <c r="B17" s="72" t="s">
        <v>9</v>
      </c>
      <c r="C17" s="72" t="s">
        <v>24</v>
      </c>
      <c r="D17" s="72" t="s">
        <v>43</v>
      </c>
      <c r="E17" s="72"/>
      <c r="F17" s="72" t="s">
        <v>12</v>
      </c>
      <c r="G17" s="72" t="s">
        <v>41</v>
      </c>
      <c r="H17" s="72" t="s">
        <v>5</v>
      </c>
      <c r="I17" s="72"/>
      <c r="J17" s="72"/>
      <c r="K17" s="72"/>
      <c r="L17" s="72"/>
      <c r="M17" s="72" t="s">
        <v>372</v>
      </c>
      <c r="N17" s="72"/>
      <c r="O17" s="72" t="s">
        <v>342</v>
      </c>
      <c r="P17" s="72" t="s">
        <v>343</v>
      </c>
      <c r="Q17" s="74"/>
      <c r="R17" s="74"/>
      <c r="S17" s="74"/>
      <c r="T17" s="74"/>
      <c r="U17" s="75"/>
      <c r="V17" s="72"/>
      <c r="W17" s="72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77" t="s">
        <v>44</v>
      </c>
      <c r="B18" s="76" t="s">
        <v>45</v>
      </c>
      <c r="C18" s="76" t="s">
        <v>46</v>
      </c>
      <c r="D18" s="76" t="s">
        <v>47</v>
      </c>
      <c r="E18" s="76"/>
      <c r="F18" s="76" t="s">
        <v>48</v>
      </c>
      <c r="G18" s="76" t="s">
        <v>13</v>
      </c>
      <c r="H18" s="76" t="s">
        <v>49</v>
      </c>
      <c r="I18" s="76"/>
      <c r="J18" s="76"/>
      <c r="K18" s="76"/>
      <c r="L18" s="76"/>
      <c r="M18" s="76" t="s">
        <v>373</v>
      </c>
      <c r="N18" s="76"/>
      <c r="O18" s="76" t="s">
        <v>344</v>
      </c>
      <c r="P18" s="76"/>
      <c r="Q18" s="78"/>
      <c r="R18" s="78"/>
      <c r="S18" s="78"/>
      <c r="T18" s="78"/>
      <c r="U18" s="79"/>
      <c r="V18" s="76"/>
      <c r="W18" s="76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73" t="s">
        <v>50</v>
      </c>
      <c r="B19" s="72" t="s">
        <v>45</v>
      </c>
      <c r="C19" s="72" t="s">
        <v>46</v>
      </c>
      <c r="D19" s="72" t="s">
        <v>51</v>
      </c>
      <c r="E19" s="72"/>
      <c r="F19" s="72" t="s">
        <v>48</v>
      </c>
      <c r="G19" s="72" t="s">
        <v>13</v>
      </c>
      <c r="H19" s="72" t="s">
        <v>49</v>
      </c>
      <c r="I19" s="72"/>
      <c r="J19" s="72"/>
      <c r="K19" s="72"/>
      <c r="L19" s="72"/>
      <c r="M19" s="72" t="s">
        <v>373</v>
      </c>
      <c r="N19" s="72"/>
      <c r="O19" s="72" t="s">
        <v>344</v>
      </c>
      <c r="P19" s="72"/>
      <c r="Q19" s="74"/>
      <c r="R19" s="74"/>
      <c r="S19" s="74"/>
      <c r="T19" s="74"/>
      <c r="U19" s="75"/>
      <c r="V19" s="72"/>
      <c r="W19" s="72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77" t="s">
        <v>52</v>
      </c>
      <c r="B20" s="76" t="s">
        <v>45</v>
      </c>
      <c r="C20" s="76" t="s">
        <v>46</v>
      </c>
      <c r="D20" s="76" t="s">
        <v>53</v>
      </c>
      <c r="E20" s="76"/>
      <c r="F20" s="76" t="s">
        <v>48</v>
      </c>
      <c r="G20" s="76" t="s">
        <v>13</v>
      </c>
      <c r="H20" s="76" t="s">
        <v>14</v>
      </c>
      <c r="I20" s="76"/>
      <c r="J20" s="76"/>
      <c r="K20" s="76"/>
      <c r="L20" s="76"/>
      <c r="M20" s="76" t="s">
        <v>373</v>
      </c>
      <c r="N20" s="76"/>
      <c r="O20" s="76" t="s">
        <v>344</v>
      </c>
      <c r="P20" s="76"/>
      <c r="Q20" s="78"/>
      <c r="R20" s="78"/>
      <c r="S20" s="78"/>
      <c r="T20" s="78"/>
      <c r="U20" s="79"/>
      <c r="V20" s="76"/>
      <c r="W20" s="76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73" t="s">
        <v>54</v>
      </c>
      <c r="B21" s="72" t="s">
        <v>55</v>
      </c>
      <c r="C21" s="72" t="s">
        <v>56</v>
      </c>
      <c r="D21" s="72">
        <v>57123358000129</v>
      </c>
      <c r="E21" s="72"/>
      <c r="F21" s="72" t="s">
        <v>57</v>
      </c>
      <c r="G21" s="72" t="s">
        <v>4</v>
      </c>
      <c r="H21" s="72" t="s">
        <v>14</v>
      </c>
      <c r="I21" s="72"/>
      <c r="J21" s="72"/>
      <c r="K21" s="72"/>
      <c r="L21" s="72"/>
      <c r="M21" s="72" t="s">
        <v>372</v>
      </c>
      <c r="N21" s="72"/>
      <c r="O21" s="72" t="s">
        <v>346</v>
      </c>
      <c r="P21" s="72"/>
      <c r="Q21" s="74"/>
      <c r="R21" s="74"/>
      <c r="S21" s="74"/>
      <c r="T21" s="74"/>
      <c r="U21" s="75"/>
      <c r="V21" s="72"/>
      <c r="W21" s="72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77" t="s">
        <v>58</v>
      </c>
      <c r="B22" s="76" t="s">
        <v>45</v>
      </c>
      <c r="C22" s="76" t="s">
        <v>59</v>
      </c>
      <c r="D22" s="76">
        <v>40870380000130</v>
      </c>
      <c r="E22" s="76"/>
      <c r="F22" s="76" t="s">
        <v>48</v>
      </c>
      <c r="G22" s="76" t="s">
        <v>4</v>
      </c>
      <c r="H22" s="76" t="s">
        <v>14</v>
      </c>
      <c r="I22" s="76"/>
      <c r="J22" s="76"/>
      <c r="K22" s="76"/>
      <c r="L22" s="76"/>
      <c r="M22" s="76" t="s">
        <v>374</v>
      </c>
      <c r="N22" s="76"/>
      <c r="O22" s="76" t="s">
        <v>345</v>
      </c>
      <c r="P22" s="76"/>
      <c r="Q22" s="78"/>
      <c r="R22" s="78"/>
      <c r="S22" s="78"/>
      <c r="T22" s="78"/>
      <c r="U22" s="79"/>
      <c r="V22" s="76"/>
      <c r="W22" s="76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73" t="s">
        <v>60</v>
      </c>
      <c r="B23" s="72" t="s">
        <v>61</v>
      </c>
      <c r="C23" s="72" t="s">
        <v>62</v>
      </c>
      <c r="D23" s="72">
        <v>26837949000134</v>
      </c>
      <c r="E23" s="72"/>
      <c r="F23" s="72" t="s">
        <v>63</v>
      </c>
      <c r="G23" s="72" t="s">
        <v>41</v>
      </c>
      <c r="H23" s="72" t="s">
        <v>5</v>
      </c>
      <c r="I23" s="72"/>
      <c r="J23" s="72"/>
      <c r="K23" s="72"/>
      <c r="L23" s="72"/>
      <c r="M23" s="72" t="s">
        <v>375</v>
      </c>
      <c r="N23" s="72"/>
      <c r="O23" s="72"/>
      <c r="P23" s="72"/>
      <c r="Q23" s="74"/>
      <c r="R23" s="74"/>
      <c r="S23" s="74"/>
      <c r="T23" s="74"/>
      <c r="U23" s="75"/>
      <c r="V23" s="72"/>
      <c r="W23" s="72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77" t="s">
        <v>64</v>
      </c>
      <c r="B24" s="76" t="s">
        <v>65</v>
      </c>
      <c r="C24" s="76" t="s">
        <v>62</v>
      </c>
      <c r="D24" s="76">
        <v>12923820000134</v>
      </c>
      <c r="E24" s="76"/>
      <c r="F24" s="76" t="s">
        <v>66</v>
      </c>
      <c r="G24" s="76" t="s">
        <v>13</v>
      </c>
      <c r="H24" s="76" t="s">
        <v>49</v>
      </c>
      <c r="I24" s="76"/>
      <c r="J24" s="76"/>
      <c r="K24" s="76"/>
      <c r="L24" s="76"/>
      <c r="M24" s="76" t="s">
        <v>373</v>
      </c>
      <c r="N24" s="76"/>
      <c r="O24" s="76" t="s">
        <v>344</v>
      </c>
      <c r="P24" s="76"/>
      <c r="Q24" s="78"/>
      <c r="R24" s="78"/>
      <c r="S24" s="78"/>
      <c r="T24" s="78"/>
      <c r="U24" s="79"/>
      <c r="V24" s="76"/>
      <c r="W24" s="76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73" t="s">
        <v>67</v>
      </c>
      <c r="B25" s="72" t="s">
        <v>68</v>
      </c>
      <c r="C25" s="72" t="s">
        <v>69</v>
      </c>
      <c r="D25" s="72" t="s">
        <v>70</v>
      </c>
      <c r="E25" s="72"/>
      <c r="F25" s="72" t="s">
        <v>71</v>
      </c>
      <c r="G25" s="72" t="s">
        <v>4</v>
      </c>
      <c r="H25" s="72" t="s">
        <v>49</v>
      </c>
      <c r="I25" s="72"/>
      <c r="J25" s="72"/>
      <c r="K25" s="72"/>
      <c r="L25" s="72"/>
      <c r="M25" s="72" t="s">
        <v>375</v>
      </c>
      <c r="N25" s="72"/>
      <c r="O25" s="72" t="s">
        <v>346</v>
      </c>
      <c r="P25" s="72"/>
      <c r="Q25" s="74"/>
      <c r="R25" s="74"/>
      <c r="S25" s="74"/>
      <c r="T25" s="74"/>
      <c r="U25" s="75"/>
      <c r="V25" s="72"/>
      <c r="W25" s="72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77" t="s">
        <v>72</v>
      </c>
      <c r="B26" s="76" t="s">
        <v>9</v>
      </c>
      <c r="C26" s="76" t="s">
        <v>24</v>
      </c>
      <c r="D26" s="76">
        <v>41597807000130</v>
      </c>
      <c r="E26" s="76"/>
      <c r="F26" s="76" t="s">
        <v>73</v>
      </c>
      <c r="G26" s="76" t="s">
        <v>4</v>
      </c>
      <c r="H26" s="76" t="s">
        <v>5</v>
      </c>
      <c r="I26" s="76"/>
      <c r="J26" s="76"/>
      <c r="K26" s="76"/>
      <c r="L26" s="76"/>
      <c r="M26" s="76" t="s">
        <v>375</v>
      </c>
      <c r="N26" s="76"/>
      <c r="O26" s="76" t="s">
        <v>344</v>
      </c>
      <c r="P26" s="76"/>
      <c r="Q26" s="78"/>
      <c r="R26" s="78"/>
      <c r="S26" s="78"/>
      <c r="T26" s="78"/>
      <c r="U26" s="79"/>
      <c r="V26" s="76"/>
      <c r="W26" s="76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73" t="s">
        <v>74</v>
      </c>
      <c r="B27" s="72" t="s">
        <v>75</v>
      </c>
      <c r="C27" s="72" t="s">
        <v>62</v>
      </c>
      <c r="D27" s="72">
        <v>21430001000146</v>
      </c>
      <c r="E27" s="72"/>
      <c r="F27" s="72" t="s">
        <v>76</v>
      </c>
      <c r="G27" s="72" t="s">
        <v>4</v>
      </c>
      <c r="H27" s="72" t="s">
        <v>5</v>
      </c>
      <c r="I27" s="72"/>
      <c r="J27" s="72"/>
      <c r="K27" s="72"/>
      <c r="L27" s="72"/>
      <c r="M27" s="72" t="s">
        <v>373</v>
      </c>
      <c r="N27" s="72"/>
      <c r="O27" s="72" t="s">
        <v>344</v>
      </c>
      <c r="P27" s="72"/>
      <c r="Q27" s="74"/>
      <c r="R27" s="74"/>
      <c r="S27" s="74"/>
      <c r="T27" s="74"/>
      <c r="U27" s="75"/>
      <c r="V27" s="72"/>
      <c r="W27" s="72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77" t="s">
        <v>77</v>
      </c>
      <c r="B28" s="76" t="s">
        <v>78</v>
      </c>
      <c r="C28" s="76" t="s">
        <v>79</v>
      </c>
      <c r="D28" s="76" t="s">
        <v>80</v>
      </c>
      <c r="E28" s="76"/>
      <c r="F28" s="76" t="s">
        <v>81</v>
      </c>
      <c r="G28" s="76" t="s">
        <v>13</v>
      </c>
      <c r="H28" s="76" t="s">
        <v>49</v>
      </c>
      <c r="I28" s="76"/>
      <c r="J28" s="76"/>
      <c r="K28" s="76"/>
      <c r="L28" s="76"/>
      <c r="M28" s="76" t="s">
        <v>373</v>
      </c>
      <c r="N28" s="76"/>
      <c r="O28" s="76" t="s">
        <v>344</v>
      </c>
      <c r="P28" s="76"/>
      <c r="Q28" s="78"/>
      <c r="R28" s="78"/>
      <c r="S28" s="78"/>
      <c r="T28" s="78"/>
      <c r="U28" s="79"/>
      <c r="V28" s="76"/>
      <c r="W28" s="76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73" t="s">
        <v>82</v>
      </c>
      <c r="B29" s="72" t="s">
        <v>78</v>
      </c>
      <c r="C29" s="72" t="s">
        <v>83</v>
      </c>
      <c r="D29" s="72">
        <v>62220305000166</v>
      </c>
      <c r="E29" s="72"/>
      <c r="F29" s="72" t="s">
        <v>81</v>
      </c>
      <c r="G29" s="72" t="s">
        <v>4</v>
      </c>
      <c r="H29" s="72" t="s">
        <v>5</v>
      </c>
      <c r="I29" s="72"/>
      <c r="J29" s="72"/>
      <c r="K29" s="72"/>
      <c r="L29" s="72"/>
      <c r="M29" s="72" t="s">
        <v>374</v>
      </c>
      <c r="N29" s="72"/>
      <c r="O29" s="72" t="s">
        <v>346</v>
      </c>
      <c r="P29" s="72"/>
      <c r="Q29" s="74"/>
      <c r="R29" s="74"/>
      <c r="S29" s="74"/>
      <c r="T29" s="74"/>
      <c r="U29" s="75"/>
      <c r="V29" s="72"/>
      <c r="W29" s="72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77" t="s">
        <v>84</v>
      </c>
      <c r="B30" s="76" t="s">
        <v>85</v>
      </c>
      <c r="C30" s="76" t="s">
        <v>46</v>
      </c>
      <c r="D30" s="76">
        <v>10712858000132</v>
      </c>
      <c r="E30" s="76"/>
      <c r="F30" s="76" t="s">
        <v>86</v>
      </c>
      <c r="G30" s="76" t="s">
        <v>13</v>
      </c>
      <c r="H30" s="76" t="s">
        <v>5</v>
      </c>
      <c r="I30" s="76"/>
      <c r="J30" s="76"/>
      <c r="K30" s="76"/>
      <c r="L30" s="76"/>
      <c r="M30" s="76" t="s">
        <v>373</v>
      </c>
      <c r="N30" s="76"/>
      <c r="O30" s="76" t="s">
        <v>346</v>
      </c>
      <c r="P30" s="76"/>
      <c r="Q30" s="78"/>
      <c r="R30" s="78"/>
      <c r="S30" s="78"/>
      <c r="T30" s="78"/>
      <c r="U30" s="79"/>
      <c r="V30" s="76"/>
      <c r="W30" s="76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73" t="s">
        <v>87</v>
      </c>
      <c r="B31" s="72" t="s">
        <v>61</v>
      </c>
      <c r="C31" s="72" t="s">
        <v>62</v>
      </c>
      <c r="D31" s="72">
        <v>53665434000177</v>
      </c>
      <c r="E31" s="72"/>
      <c r="F31" s="72" t="s">
        <v>63</v>
      </c>
      <c r="G31" s="72" t="s">
        <v>4</v>
      </c>
      <c r="H31" s="72" t="s">
        <v>5</v>
      </c>
      <c r="I31" s="72"/>
      <c r="J31" s="72"/>
      <c r="K31" s="72"/>
      <c r="L31" s="72"/>
      <c r="M31" s="72" t="s">
        <v>375</v>
      </c>
      <c r="N31" s="72"/>
      <c r="O31" s="72" t="s">
        <v>346</v>
      </c>
      <c r="P31" s="72"/>
      <c r="Q31" s="74"/>
      <c r="R31" s="74"/>
      <c r="S31" s="74"/>
      <c r="T31" s="74"/>
      <c r="U31" s="75"/>
      <c r="V31" s="72"/>
      <c r="W31" s="72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77" t="s">
        <v>88</v>
      </c>
      <c r="B32" s="76" t="s">
        <v>61</v>
      </c>
      <c r="C32" s="76" t="s">
        <v>62</v>
      </c>
      <c r="D32" s="76">
        <v>53665515000177</v>
      </c>
      <c r="E32" s="76"/>
      <c r="F32" s="76" t="s">
        <v>63</v>
      </c>
      <c r="G32" s="76" t="s">
        <v>4</v>
      </c>
      <c r="H32" s="76" t="s">
        <v>5</v>
      </c>
      <c r="I32" s="76"/>
      <c r="J32" s="76"/>
      <c r="K32" s="76"/>
      <c r="L32" s="76"/>
      <c r="M32" s="76" t="s">
        <v>375</v>
      </c>
      <c r="N32" s="76"/>
      <c r="O32" s="76" t="s">
        <v>346</v>
      </c>
      <c r="P32" s="76"/>
      <c r="Q32" s="78"/>
      <c r="R32" s="78"/>
      <c r="S32" s="78"/>
      <c r="T32" s="78"/>
      <c r="U32" s="79"/>
      <c r="V32" s="76"/>
      <c r="W32" s="76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73" t="s">
        <v>89</v>
      </c>
      <c r="B33" s="72" t="s">
        <v>61</v>
      </c>
      <c r="C33" s="72" t="s">
        <v>62</v>
      </c>
      <c r="D33" s="72">
        <v>53666225000148</v>
      </c>
      <c r="E33" s="72"/>
      <c r="F33" s="72" t="s">
        <v>63</v>
      </c>
      <c r="G33" s="72" t="s">
        <v>4</v>
      </c>
      <c r="H33" s="72" t="s">
        <v>5</v>
      </c>
      <c r="I33" s="72"/>
      <c r="J33" s="72"/>
      <c r="K33" s="72"/>
      <c r="L33" s="72"/>
      <c r="M33" s="72" t="s">
        <v>375</v>
      </c>
      <c r="N33" s="72"/>
      <c r="O33" s="72" t="s">
        <v>346</v>
      </c>
      <c r="P33" s="72"/>
      <c r="Q33" s="74"/>
      <c r="R33" s="74"/>
      <c r="S33" s="74"/>
      <c r="T33" s="74"/>
      <c r="U33" s="75"/>
      <c r="V33" s="72"/>
      <c r="W33" s="72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77" t="s">
        <v>90</v>
      </c>
      <c r="B34" s="76" t="s">
        <v>61</v>
      </c>
      <c r="C34" s="76" t="s">
        <v>62</v>
      </c>
      <c r="D34" s="76">
        <v>17845752000156</v>
      </c>
      <c r="E34" s="76"/>
      <c r="F34" s="76" t="s">
        <v>63</v>
      </c>
      <c r="G34" s="76" t="s">
        <v>41</v>
      </c>
      <c r="H34" s="76" t="s">
        <v>5</v>
      </c>
      <c r="I34" s="76"/>
      <c r="J34" s="76"/>
      <c r="K34" s="76"/>
      <c r="L34" s="76"/>
      <c r="M34" s="76" t="s">
        <v>376</v>
      </c>
      <c r="N34" s="76"/>
      <c r="O34" s="76" t="s">
        <v>346</v>
      </c>
      <c r="P34" s="76"/>
      <c r="Q34" s="78"/>
      <c r="R34" s="78"/>
      <c r="S34" s="78"/>
      <c r="T34" s="78"/>
      <c r="U34" s="79"/>
      <c r="V34" s="76"/>
      <c r="W34" s="76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73" t="s">
        <v>91</v>
      </c>
      <c r="B35" s="72" t="s">
        <v>61</v>
      </c>
      <c r="C35" s="72" t="s">
        <v>62</v>
      </c>
      <c r="D35" s="72">
        <v>17813257000165</v>
      </c>
      <c r="E35" s="72"/>
      <c r="F35" s="72" t="s">
        <v>63</v>
      </c>
      <c r="G35" s="72" t="s">
        <v>13</v>
      </c>
      <c r="H35" s="72" t="s">
        <v>5</v>
      </c>
      <c r="I35" s="72"/>
      <c r="J35" s="72"/>
      <c r="K35" s="72"/>
      <c r="L35" s="72"/>
      <c r="M35" s="72" t="s">
        <v>377</v>
      </c>
      <c r="N35" s="72"/>
      <c r="O35" s="72" t="s">
        <v>346</v>
      </c>
      <c r="P35" s="72"/>
      <c r="Q35" s="74"/>
      <c r="R35" s="74"/>
      <c r="S35" s="74"/>
      <c r="T35" s="74"/>
      <c r="U35" s="75"/>
      <c r="V35" s="72"/>
      <c r="W35" s="72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77" t="s">
        <v>92</v>
      </c>
      <c r="B36" s="76" t="s">
        <v>1</v>
      </c>
      <c r="C36" s="76" t="s">
        <v>93</v>
      </c>
      <c r="D36" s="76" t="s">
        <v>94</v>
      </c>
      <c r="E36" s="76"/>
      <c r="F36" s="76" t="s">
        <v>3</v>
      </c>
      <c r="G36" s="76" t="s">
        <v>4</v>
      </c>
      <c r="H36" s="76" t="s">
        <v>5</v>
      </c>
      <c r="I36" s="76"/>
      <c r="J36" s="76"/>
      <c r="K36" s="76"/>
      <c r="L36" s="76"/>
      <c r="M36" s="76" t="s">
        <v>373</v>
      </c>
      <c r="N36" s="76"/>
      <c r="O36" s="76" t="s">
        <v>346</v>
      </c>
      <c r="P36" s="76"/>
      <c r="Q36" s="78"/>
      <c r="R36" s="78"/>
      <c r="S36" s="78"/>
      <c r="T36" s="78"/>
      <c r="U36" s="79"/>
      <c r="V36" s="76"/>
      <c r="W36" s="76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73" t="s">
        <v>95</v>
      </c>
      <c r="B37" s="72" t="s">
        <v>96</v>
      </c>
      <c r="C37" s="72" t="s">
        <v>97</v>
      </c>
      <c r="D37" s="72" t="s">
        <v>98</v>
      </c>
      <c r="E37" s="72"/>
      <c r="F37" s="72" t="s">
        <v>99</v>
      </c>
      <c r="G37" s="72" t="s">
        <v>41</v>
      </c>
      <c r="H37" s="72" t="s">
        <v>14</v>
      </c>
      <c r="I37" s="72"/>
      <c r="J37" s="72"/>
      <c r="K37" s="72"/>
      <c r="L37" s="72"/>
      <c r="M37" s="72" t="s">
        <v>379</v>
      </c>
      <c r="N37" s="72" t="s">
        <v>358</v>
      </c>
      <c r="O37" s="72" t="s">
        <v>346</v>
      </c>
      <c r="P37" s="72"/>
      <c r="Q37" s="74"/>
      <c r="R37" s="74"/>
      <c r="S37" s="74"/>
      <c r="T37" s="74"/>
      <c r="U37" s="75"/>
      <c r="V37" s="72"/>
      <c r="W37" s="72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77" t="s">
        <v>95</v>
      </c>
      <c r="B38" s="76" t="s">
        <v>96</v>
      </c>
      <c r="C38" s="76" t="s">
        <v>97</v>
      </c>
      <c r="D38" s="76" t="s">
        <v>100</v>
      </c>
      <c r="E38" s="76"/>
      <c r="F38" s="76" t="s">
        <v>99</v>
      </c>
      <c r="G38" s="76" t="s">
        <v>13</v>
      </c>
      <c r="H38" s="76" t="s">
        <v>14</v>
      </c>
      <c r="I38" s="76"/>
      <c r="J38" s="76"/>
      <c r="K38" s="76"/>
      <c r="L38" s="76"/>
      <c r="M38" s="76" t="s">
        <v>378</v>
      </c>
      <c r="N38" s="76" t="s">
        <v>358</v>
      </c>
      <c r="O38" s="76" t="s">
        <v>346</v>
      </c>
      <c r="P38" s="76"/>
      <c r="Q38" s="78"/>
      <c r="R38" s="78"/>
      <c r="S38" s="78"/>
      <c r="T38" s="78"/>
      <c r="U38" s="79"/>
      <c r="V38" s="76"/>
      <c r="W38" s="76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73" t="s">
        <v>95</v>
      </c>
      <c r="B39" s="72" t="s">
        <v>96</v>
      </c>
      <c r="C39" s="72" t="s">
        <v>97</v>
      </c>
      <c r="D39" s="72" t="s">
        <v>101</v>
      </c>
      <c r="E39" s="72"/>
      <c r="F39" s="72" t="s">
        <v>99</v>
      </c>
      <c r="G39" s="72" t="s">
        <v>13</v>
      </c>
      <c r="H39" s="72" t="s">
        <v>14</v>
      </c>
      <c r="I39" s="72"/>
      <c r="J39" s="72"/>
      <c r="K39" s="72"/>
      <c r="L39" s="72"/>
      <c r="M39" s="72" t="s">
        <v>378</v>
      </c>
      <c r="N39" s="72" t="s">
        <v>358</v>
      </c>
      <c r="O39" s="72" t="s">
        <v>346</v>
      </c>
      <c r="P39" s="72"/>
      <c r="Q39" s="74"/>
      <c r="R39" s="74"/>
      <c r="S39" s="74"/>
      <c r="T39" s="74"/>
      <c r="U39" s="75"/>
      <c r="V39" s="72"/>
      <c r="W39" s="72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77" t="s">
        <v>95</v>
      </c>
      <c r="B40" s="76" t="s">
        <v>96</v>
      </c>
      <c r="C40" s="76" t="s">
        <v>97</v>
      </c>
      <c r="D40" s="76" t="s">
        <v>102</v>
      </c>
      <c r="E40" s="76"/>
      <c r="F40" s="76" t="s">
        <v>99</v>
      </c>
      <c r="G40" s="76" t="s">
        <v>13</v>
      </c>
      <c r="H40" s="76" t="s">
        <v>14</v>
      </c>
      <c r="I40" s="76"/>
      <c r="J40" s="76"/>
      <c r="K40" s="76"/>
      <c r="L40" s="76"/>
      <c r="M40" s="76" t="s">
        <v>378</v>
      </c>
      <c r="N40" s="76" t="s">
        <v>358</v>
      </c>
      <c r="O40" s="76" t="s">
        <v>346</v>
      </c>
      <c r="P40" s="76"/>
      <c r="Q40" s="78"/>
      <c r="R40" s="78"/>
      <c r="S40" s="78"/>
      <c r="T40" s="78"/>
      <c r="U40" s="79"/>
      <c r="V40" s="76"/>
      <c r="W40" s="76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73" t="s">
        <v>95</v>
      </c>
      <c r="B41" s="72" t="s">
        <v>96</v>
      </c>
      <c r="C41" s="72" t="s">
        <v>97</v>
      </c>
      <c r="D41" s="72" t="s">
        <v>103</v>
      </c>
      <c r="E41" s="72"/>
      <c r="F41" s="72" t="s">
        <v>99</v>
      </c>
      <c r="G41" s="72" t="s">
        <v>13</v>
      </c>
      <c r="H41" s="72" t="s">
        <v>14</v>
      </c>
      <c r="I41" s="72"/>
      <c r="J41" s="72"/>
      <c r="K41" s="72"/>
      <c r="L41" s="72"/>
      <c r="M41" s="72" t="s">
        <v>378</v>
      </c>
      <c r="N41" s="72" t="s">
        <v>358</v>
      </c>
      <c r="O41" s="72" t="s">
        <v>346</v>
      </c>
      <c r="P41" s="72"/>
      <c r="Q41" s="74"/>
      <c r="R41" s="74"/>
      <c r="S41" s="74"/>
      <c r="T41" s="74"/>
      <c r="U41" s="75"/>
      <c r="V41" s="72"/>
      <c r="W41" s="72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77" t="s">
        <v>95</v>
      </c>
      <c r="B42" s="76" t="s">
        <v>96</v>
      </c>
      <c r="C42" s="76" t="s">
        <v>104</v>
      </c>
      <c r="D42" s="76" t="s">
        <v>105</v>
      </c>
      <c r="E42" s="76"/>
      <c r="F42" s="76" t="s">
        <v>99</v>
      </c>
      <c r="G42" s="76" t="s">
        <v>13</v>
      </c>
      <c r="H42" s="76" t="s">
        <v>14</v>
      </c>
      <c r="I42" s="76"/>
      <c r="J42" s="76"/>
      <c r="K42" s="76"/>
      <c r="L42" s="76"/>
      <c r="M42" s="76" t="s">
        <v>378</v>
      </c>
      <c r="N42" s="76" t="s">
        <v>358</v>
      </c>
      <c r="O42" s="76" t="s">
        <v>346</v>
      </c>
      <c r="P42" s="76"/>
      <c r="Q42" s="78"/>
      <c r="R42" s="78"/>
      <c r="S42" s="78"/>
      <c r="T42" s="78"/>
      <c r="U42" s="79"/>
      <c r="V42" s="76"/>
      <c r="W42" s="76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73" t="s">
        <v>95</v>
      </c>
      <c r="B43" s="72" t="s">
        <v>96</v>
      </c>
      <c r="C43" s="72" t="s">
        <v>104</v>
      </c>
      <c r="D43" s="72" t="s">
        <v>106</v>
      </c>
      <c r="E43" s="72"/>
      <c r="F43" s="72" t="s">
        <v>99</v>
      </c>
      <c r="G43" s="72" t="s">
        <v>13</v>
      </c>
      <c r="H43" s="72" t="s">
        <v>14</v>
      </c>
      <c r="I43" s="72"/>
      <c r="J43" s="72"/>
      <c r="K43" s="72"/>
      <c r="L43" s="72"/>
      <c r="M43" s="72" t="s">
        <v>378</v>
      </c>
      <c r="N43" s="72" t="s">
        <v>358</v>
      </c>
      <c r="O43" s="72" t="s">
        <v>346</v>
      </c>
      <c r="P43" s="72"/>
      <c r="Q43" s="74"/>
      <c r="R43" s="74"/>
      <c r="S43" s="74"/>
      <c r="T43" s="74"/>
      <c r="U43" s="75"/>
      <c r="V43" s="72"/>
      <c r="W43" s="72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77" t="s">
        <v>107</v>
      </c>
      <c r="B44" s="76" t="s">
        <v>108</v>
      </c>
      <c r="C44" s="76" t="s">
        <v>62</v>
      </c>
      <c r="D44" s="76">
        <v>50056304000149</v>
      </c>
      <c r="E44" s="76"/>
      <c r="F44" s="76" t="s">
        <v>109</v>
      </c>
      <c r="G44" s="76" t="s">
        <v>4</v>
      </c>
      <c r="H44" s="76" t="s">
        <v>49</v>
      </c>
      <c r="I44" s="76"/>
      <c r="J44" s="76"/>
      <c r="K44" s="76"/>
      <c r="L44" s="76"/>
      <c r="M44" s="76" t="s">
        <v>375</v>
      </c>
      <c r="N44" s="76"/>
      <c r="O44" s="76" t="s">
        <v>346</v>
      </c>
      <c r="P44" s="76"/>
      <c r="Q44" s="78"/>
      <c r="R44" s="78"/>
      <c r="S44" s="78"/>
      <c r="T44" s="78"/>
      <c r="U44" s="79"/>
      <c r="V44" s="76"/>
      <c r="W44" s="76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73" t="s">
        <v>110</v>
      </c>
      <c r="B45" s="72" t="s">
        <v>108</v>
      </c>
      <c r="C45" s="72" t="s">
        <v>62</v>
      </c>
      <c r="D45" s="72">
        <v>59971731000127</v>
      </c>
      <c r="E45" s="72"/>
      <c r="F45" s="72" t="s">
        <v>109</v>
      </c>
      <c r="G45" s="72" t="s">
        <v>4</v>
      </c>
      <c r="H45" s="72" t="s">
        <v>49</v>
      </c>
      <c r="I45" s="72"/>
      <c r="J45" s="72"/>
      <c r="K45" s="72"/>
      <c r="L45" s="72"/>
      <c r="M45" s="72" t="s">
        <v>375</v>
      </c>
      <c r="N45" s="72"/>
      <c r="O45" s="72" t="s">
        <v>346</v>
      </c>
      <c r="P45" s="72"/>
      <c r="Q45" s="74"/>
      <c r="R45" s="74"/>
      <c r="S45" s="74"/>
      <c r="T45" s="74"/>
      <c r="U45" s="75"/>
      <c r="V45" s="72"/>
      <c r="W45" s="72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77" t="s">
        <v>111</v>
      </c>
      <c r="B46" s="76" t="s">
        <v>108</v>
      </c>
      <c r="C46" s="76" t="s">
        <v>69</v>
      </c>
      <c r="D46" s="76" t="s">
        <v>112</v>
      </c>
      <c r="E46" s="76"/>
      <c r="F46" s="76" t="s">
        <v>113</v>
      </c>
      <c r="G46" s="76" t="s">
        <v>13</v>
      </c>
      <c r="H46" s="76" t="s">
        <v>49</v>
      </c>
      <c r="I46" s="76"/>
      <c r="J46" s="76"/>
      <c r="K46" s="76"/>
      <c r="L46" s="76"/>
      <c r="M46" s="76" t="s">
        <v>373</v>
      </c>
      <c r="N46" s="76"/>
      <c r="O46" s="76" t="s">
        <v>344</v>
      </c>
      <c r="P46" s="76"/>
      <c r="Q46" s="78"/>
      <c r="R46" s="78"/>
      <c r="S46" s="78"/>
      <c r="T46" s="78"/>
      <c r="U46" s="79"/>
      <c r="V46" s="76"/>
      <c r="W46" s="76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73" t="s">
        <v>114</v>
      </c>
      <c r="B47" s="72" t="s">
        <v>115</v>
      </c>
      <c r="C47" s="72" t="s">
        <v>116</v>
      </c>
      <c r="D47" s="72" t="s">
        <v>117</v>
      </c>
      <c r="E47" s="72"/>
      <c r="F47" s="72" t="s">
        <v>118</v>
      </c>
      <c r="G47" s="72" t="s">
        <v>13</v>
      </c>
      <c r="H47" s="72" t="s">
        <v>14</v>
      </c>
      <c r="I47" s="72"/>
      <c r="J47" s="72"/>
      <c r="K47" s="72"/>
      <c r="L47" s="72"/>
      <c r="M47" s="72" t="s">
        <v>373</v>
      </c>
      <c r="N47" s="72"/>
      <c r="O47" s="72" t="s">
        <v>347</v>
      </c>
      <c r="P47" s="72"/>
      <c r="Q47" s="74"/>
      <c r="R47" s="74"/>
      <c r="S47" s="74"/>
      <c r="T47" s="74"/>
      <c r="U47" s="75"/>
      <c r="V47" s="72"/>
      <c r="W47" s="72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77" t="s">
        <v>119</v>
      </c>
      <c r="B48" s="76" t="s">
        <v>115</v>
      </c>
      <c r="C48" s="76" t="s">
        <v>116</v>
      </c>
      <c r="D48" s="76" t="s">
        <v>120</v>
      </c>
      <c r="E48" s="76"/>
      <c r="F48" s="76" t="s">
        <v>118</v>
      </c>
      <c r="G48" s="76" t="s">
        <v>13</v>
      </c>
      <c r="H48" s="76" t="s">
        <v>14</v>
      </c>
      <c r="I48" s="76"/>
      <c r="J48" s="76"/>
      <c r="K48" s="76"/>
      <c r="L48" s="76"/>
      <c r="M48" s="76" t="s">
        <v>372</v>
      </c>
      <c r="N48" s="76"/>
      <c r="O48" s="76" t="s">
        <v>344</v>
      </c>
      <c r="P48" s="76"/>
      <c r="Q48" s="78"/>
      <c r="R48" s="78"/>
      <c r="S48" s="78"/>
      <c r="T48" s="78"/>
      <c r="U48" s="79"/>
      <c r="V48" s="76"/>
      <c r="W48" s="76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73" t="s">
        <v>121</v>
      </c>
      <c r="B49" s="72" t="s">
        <v>115</v>
      </c>
      <c r="C49" s="72" t="s">
        <v>122</v>
      </c>
      <c r="D49" s="72">
        <v>44742752000101</v>
      </c>
      <c r="E49" s="72"/>
      <c r="F49" s="72" t="s">
        <v>118</v>
      </c>
      <c r="G49" s="72" t="s">
        <v>4</v>
      </c>
      <c r="H49" s="72" t="s">
        <v>5</v>
      </c>
      <c r="I49" s="72"/>
      <c r="J49" s="72"/>
      <c r="K49" s="72"/>
      <c r="L49" s="72"/>
      <c r="M49" s="72" t="s">
        <v>372</v>
      </c>
      <c r="N49" s="72"/>
      <c r="O49" s="72" t="s">
        <v>346</v>
      </c>
      <c r="P49" s="72"/>
      <c r="Q49" s="74"/>
      <c r="R49" s="74"/>
      <c r="S49" s="74"/>
      <c r="T49" s="74"/>
      <c r="U49" s="75"/>
      <c r="V49" s="72"/>
      <c r="W49" s="72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77" t="s">
        <v>123</v>
      </c>
      <c r="B50" s="76" t="s">
        <v>115</v>
      </c>
      <c r="C50" s="76" t="s">
        <v>116</v>
      </c>
      <c r="D50" s="76" t="s">
        <v>124</v>
      </c>
      <c r="E50" s="76"/>
      <c r="F50" s="76" t="s">
        <v>125</v>
      </c>
      <c r="G50" s="76" t="s">
        <v>13</v>
      </c>
      <c r="H50" s="76" t="s">
        <v>14</v>
      </c>
      <c r="I50" s="76"/>
      <c r="J50" s="76"/>
      <c r="K50" s="76"/>
      <c r="L50" s="76"/>
      <c r="M50" s="76" t="s">
        <v>375</v>
      </c>
      <c r="N50" s="76"/>
      <c r="O50" s="76" t="s">
        <v>346</v>
      </c>
      <c r="P50" s="76"/>
      <c r="Q50" s="78"/>
      <c r="R50" s="78"/>
      <c r="S50" s="78"/>
      <c r="T50" s="78"/>
      <c r="U50" s="79"/>
      <c r="V50" s="76"/>
      <c r="W50" s="76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73" t="s">
        <v>126</v>
      </c>
      <c r="B51" s="72" t="s">
        <v>115</v>
      </c>
      <c r="C51" s="72" t="s">
        <v>122</v>
      </c>
      <c r="D51" s="72">
        <v>44777527000100</v>
      </c>
      <c r="E51" s="72"/>
      <c r="F51" s="72" t="s">
        <v>125</v>
      </c>
      <c r="G51" s="72" t="s">
        <v>4</v>
      </c>
      <c r="H51" s="72" t="s">
        <v>5</v>
      </c>
      <c r="I51" s="72"/>
      <c r="J51" s="72"/>
      <c r="K51" s="72"/>
      <c r="L51" s="72"/>
      <c r="M51" s="72" t="s">
        <v>375</v>
      </c>
      <c r="N51" s="72"/>
      <c r="O51" s="72" t="s">
        <v>346</v>
      </c>
      <c r="P51" s="72"/>
      <c r="Q51" s="74"/>
      <c r="R51" s="74"/>
      <c r="S51" s="74"/>
      <c r="T51" s="74"/>
      <c r="U51" s="75"/>
      <c r="V51" s="72"/>
      <c r="W51" s="72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77" t="s">
        <v>127</v>
      </c>
      <c r="B52" s="76" t="s">
        <v>115</v>
      </c>
      <c r="C52" s="76" t="s">
        <v>122</v>
      </c>
      <c r="D52" s="76">
        <v>44796284000140</v>
      </c>
      <c r="E52" s="76"/>
      <c r="F52" s="76" t="s">
        <v>125</v>
      </c>
      <c r="G52" s="76" t="s">
        <v>4</v>
      </c>
      <c r="H52" s="76" t="s">
        <v>5</v>
      </c>
      <c r="I52" s="76"/>
      <c r="J52" s="76"/>
      <c r="K52" s="76"/>
      <c r="L52" s="76"/>
      <c r="M52" s="76" t="s">
        <v>375</v>
      </c>
      <c r="N52" s="76"/>
      <c r="O52" s="76" t="s">
        <v>346</v>
      </c>
      <c r="P52" s="76"/>
      <c r="Q52" s="78"/>
      <c r="R52" s="78"/>
      <c r="S52" s="78"/>
      <c r="T52" s="78"/>
      <c r="U52" s="79"/>
      <c r="V52" s="76"/>
      <c r="W52" s="76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73" t="s">
        <v>128</v>
      </c>
      <c r="B53" s="72" t="s">
        <v>129</v>
      </c>
      <c r="C53" s="72" t="s">
        <v>16</v>
      </c>
      <c r="D53" s="72" t="s">
        <v>130</v>
      </c>
      <c r="E53" s="72"/>
      <c r="F53" s="72" t="s">
        <v>109</v>
      </c>
      <c r="G53" s="72" t="s">
        <v>13</v>
      </c>
      <c r="H53" s="72" t="s">
        <v>14</v>
      </c>
      <c r="I53" s="72"/>
      <c r="J53" s="72"/>
      <c r="K53" s="72"/>
      <c r="L53" s="72"/>
      <c r="M53" s="72" t="s">
        <v>380</v>
      </c>
      <c r="N53" s="72"/>
      <c r="O53" s="72"/>
      <c r="P53" s="72"/>
      <c r="Q53" s="74"/>
      <c r="R53" s="74"/>
      <c r="S53" s="74"/>
      <c r="T53" s="74"/>
      <c r="U53" s="75"/>
      <c r="V53" s="72"/>
      <c r="W53" s="72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77" t="s">
        <v>131</v>
      </c>
      <c r="B54" s="76" t="s">
        <v>132</v>
      </c>
      <c r="C54" s="76" t="s">
        <v>62</v>
      </c>
      <c r="D54" s="76">
        <v>19318532000108</v>
      </c>
      <c r="E54" s="76"/>
      <c r="F54" s="76" t="s">
        <v>66</v>
      </c>
      <c r="G54" s="76" t="s">
        <v>4</v>
      </c>
      <c r="H54" s="76" t="s">
        <v>5</v>
      </c>
      <c r="I54" s="76"/>
      <c r="J54" s="76"/>
      <c r="K54" s="76"/>
      <c r="L54" s="76"/>
      <c r="M54" s="76" t="s">
        <v>373</v>
      </c>
      <c r="N54" s="76"/>
      <c r="O54" s="76" t="s">
        <v>344</v>
      </c>
      <c r="P54" s="76"/>
      <c r="Q54" s="78"/>
      <c r="R54" s="78"/>
      <c r="S54" s="78"/>
      <c r="T54" s="78"/>
      <c r="U54" s="79"/>
      <c r="V54" s="76"/>
      <c r="W54" s="76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73" t="s">
        <v>133</v>
      </c>
      <c r="B55" s="72" t="s">
        <v>134</v>
      </c>
      <c r="C55" s="72" t="s">
        <v>116</v>
      </c>
      <c r="D55" s="72" t="s">
        <v>135</v>
      </c>
      <c r="E55" s="72"/>
      <c r="F55" s="72" t="s">
        <v>136</v>
      </c>
      <c r="G55" s="72" t="s">
        <v>41</v>
      </c>
      <c r="H55" s="72" t="s">
        <v>5</v>
      </c>
      <c r="I55" s="72"/>
      <c r="J55" s="72"/>
      <c r="K55" s="72"/>
      <c r="L55" s="72"/>
      <c r="M55" s="72" t="s">
        <v>375</v>
      </c>
      <c r="N55" s="72"/>
      <c r="O55" s="72" t="s">
        <v>348</v>
      </c>
      <c r="P55" s="72"/>
      <c r="Q55" s="74"/>
      <c r="R55" s="74"/>
      <c r="S55" s="74"/>
      <c r="T55" s="74"/>
      <c r="U55" s="75"/>
      <c r="V55" s="72"/>
      <c r="W55" s="72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77" t="s">
        <v>137</v>
      </c>
      <c r="B56" s="76" t="s">
        <v>134</v>
      </c>
      <c r="C56" s="76" t="s">
        <v>122</v>
      </c>
      <c r="D56" s="76">
        <v>34046667000147</v>
      </c>
      <c r="E56" s="76"/>
      <c r="F56" s="76" t="s">
        <v>138</v>
      </c>
      <c r="G56" s="76" t="s">
        <v>4</v>
      </c>
      <c r="H56" s="76" t="s">
        <v>5</v>
      </c>
      <c r="I56" s="76"/>
      <c r="J56" s="76"/>
      <c r="K56" s="76"/>
      <c r="L56" s="76"/>
      <c r="M56" s="76" t="s">
        <v>381</v>
      </c>
      <c r="N56" s="76"/>
      <c r="O56" s="76" t="s">
        <v>348</v>
      </c>
      <c r="P56" s="76"/>
      <c r="Q56" s="78"/>
      <c r="R56" s="78"/>
      <c r="S56" s="78"/>
      <c r="T56" s="78"/>
      <c r="U56" s="79"/>
      <c r="V56" s="76"/>
      <c r="W56" s="76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73" t="s">
        <v>139</v>
      </c>
      <c r="B57" s="72" t="s">
        <v>134</v>
      </c>
      <c r="C57" s="72" t="s">
        <v>122</v>
      </c>
      <c r="D57" s="72">
        <v>40932575000167</v>
      </c>
      <c r="E57" s="72"/>
      <c r="F57" s="72" t="s">
        <v>140</v>
      </c>
      <c r="G57" s="72" t="s">
        <v>4</v>
      </c>
      <c r="H57" s="72" t="s">
        <v>5</v>
      </c>
      <c r="I57" s="72"/>
      <c r="J57" s="72"/>
      <c r="K57" s="72"/>
      <c r="L57" s="72"/>
      <c r="M57" s="72" t="s">
        <v>375</v>
      </c>
      <c r="N57" s="72"/>
      <c r="O57" s="72" t="s">
        <v>348</v>
      </c>
      <c r="P57" s="72"/>
      <c r="Q57" s="74"/>
      <c r="R57" s="74"/>
      <c r="S57" s="74"/>
      <c r="T57" s="74"/>
      <c r="U57" s="75"/>
      <c r="V57" s="72"/>
      <c r="W57" s="72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77" t="s">
        <v>141</v>
      </c>
      <c r="B58" s="76" t="s">
        <v>142</v>
      </c>
      <c r="C58" s="76" t="s">
        <v>62</v>
      </c>
      <c r="D58" s="76" t="s">
        <v>143</v>
      </c>
      <c r="E58" s="76"/>
      <c r="F58" s="76" t="s">
        <v>144</v>
      </c>
      <c r="G58" s="76" t="s">
        <v>13</v>
      </c>
      <c r="H58" s="76" t="s">
        <v>49</v>
      </c>
      <c r="I58" s="76"/>
      <c r="J58" s="76"/>
      <c r="K58" s="76"/>
      <c r="L58" s="76"/>
      <c r="M58" s="76" t="s">
        <v>381</v>
      </c>
      <c r="N58" s="76"/>
      <c r="O58" s="76" t="s">
        <v>344</v>
      </c>
      <c r="P58" s="76"/>
      <c r="Q58" s="78"/>
      <c r="R58" s="78"/>
      <c r="S58" s="78"/>
      <c r="T58" s="78"/>
      <c r="U58" s="79"/>
      <c r="V58" s="76"/>
      <c r="W58" s="76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73" t="s">
        <v>145</v>
      </c>
      <c r="B59" s="72" t="s">
        <v>142</v>
      </c>
      <c r="C59" s="72" t="s">
        <v>62</v>
      </c>
      <c r="D59" s="72">
        <v>60906391000130</v>
      </c>
      <c r="E59" s="72"/>
      <c r="F59" s="72" t="s">
        <v>144</v>
      </c>
      <c r="G59" s="72" t="s">
        <v>4</v>
      </c>
      <c r="H59" s="72" t="s">
        <v>49</v>
      </c>
      <c r="I59" s="72"/>
      <c r="J59" s="72"/>
      <c r="K59" s="72"/>
      <c r="L59" s="72"/>
      <c r="M59" s="72" t="s">
        <v>381</v>
      </c>
      <c r="N59" s="72"/>
      <c r="O59" s="72" t="s">
        <v>348</v>
      </c>
      <c r="P59" s="72"/>
      <c r="Q59" s="74"/>
      <c r="R59" s="74"/>
      <c r="S59" s="74"/>
      <c r="T59" s="74"/>
      <c r="U59" s="75"/>
      <c r="V59" s="72"/>
      <c r="W59" s="72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77" t="s">
        <v>146</v>
      </c>
      <c r="B60" s="76" t="s">
        <v>75</v>
      </c>
      <c r="C60" s="76" t="s">
        <v>62</v>
      </c>
      <c r="D60" s="76">
        <v>41762299000107</v>
      </c>
      <c r="E60" s="76"/>
      <c r="F60" s="76" t="s">
        <v>147</v>
      </c>
      <c r="G60" s="76" t="s">
        <v>4</v>
      </c>
      <c r="H60" s="76" t="s">
        <v>5</v>
      </c>
      <c r="I60" s="76"/>
      <c r="J60" s="76"/>
      <c r="K60" s="76"/>
      <c r="L60" s="76"/>
      <c r="M60" s="76" t="s">
        <v>375</v>
      </c>
      <c r="N60" s="76"/>
      <c r="O60" s="76" t="s">
        <v>349</v>
      </c>
      <c r="P60" s="76"/>
      <c r="Q60" s="78"/>
      <c r="R60" s="78"/>
      <c r="S60" s="78"/>
      <c r="T60" s="78"/>
      <c r="U60" s="79"/>
      <c r="V60" s="76"/>
      <c r="W60" s="76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73" t="s">
        <v>148</v>
      </c>
      <c r="B61" s="72" t="s">
        <v>149</v>
      </c>
      <c r="C61" s="72" t="s">
        <v>59</v>
      </c>
      <c r="D61" s="72">
        <v>52090662000101</v>
      </c>
      <c r="E61" s="72"/>
      <c r="F61" s="72" t="s">
        <v>150</v>
      </c>
      <c r="G61" s="72" t="s">
        <v>4</v>
      </c>
      <c r="H61" s="72" t="s">
        <v>5</v>
      </c>
      <c r="I61" s="72"/>
      <c r="J61" s="72"/>
      <c r="K61" s="72"/>
      <c r="L61" s="72"/>
      <c r="M61" s="72" t="s">
        <v>375</v>
      </c>
      <c r="N61" s="72"/>
      <c r="O61" s="72" t="s">
        <v>348</v>
      </c>
      <c r="P61" s="72"/>
      <c r="Q61" s="74"/>
      <c r="R61" s="74"/>
      <c r="S61" s="74"/>
      <c r="T61" s="74"/>
      <c r="U61" s="75"/>
      <c r="V61" s="72"/>
      <c r="W61" s="72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77" t="s">
        <v>151</v>
      </c>
      <c r="B62" s="76" t="s">
        <v>149</v>
      </c>
      <c r="C62" s="76" t="s">
        <v>46</v>
      </c>
      <c r="D62" s="76" t="s">
        <v>152</v>
      </c>
      <c r="E62" s="76"/>
      <c r="F62" s="76" t="s">
        <v>150</v>
      </c>
      <c r="G62" s="76" t="s">
        <v>13</v>
      </c>
      <c r="H62" s="76" t="s">
        <v>49</v>
      </c>
      <c r="I62" s="76"/>
      <c r="J62" s="76"/>
      <c r="K62" s="76"/>
      <c r="L62" s="76"/>
      <c r="M62" s="76" t="s">
        <v>373</v>
      </c>
      <c r="N62" s="76"/>
      <c r="O62" s="76" t="s">
        <v>344</v>
      </c>
      <c r="P62" s="76"/>
      <c r="Q62" s="78"/>
      <c r="R62" s="78"/>
      <c r="S62" s="78"/>
      <c r="T62" s="78"/>
      <c r="U62" s="79"/>
      <c r="V62" s="76"/>
      <c r="W62" s="76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73" t="s">
        <v>153</v>
      </c>
      <c r="B63" s="72" t="s">
        <v>149</v>
      </c>
      <c r="C63" s="72" t="s">
        <v>46</v>
      </c>
      <c r="D63" s="72" t="s">
        <v>154</v>
      </c>
      <c r="E63" s="72"/>
      <c r="F63" s="72" t="s">
        <v>150</v>
      </c>
      <c r="G63" s="72" t="s">
        <v>13</v>
      </c>
      <c r="H63" s="72" t="s">
        <v>49</v>
      </c>
      <c r="I63" s="72"/>
      <c r="J63" s="72"/>
      <c r="K63" s="72"/>
      <c r="L63" s="72"/>
      <c r="M63" s="72" t="s">
        <v>373</v>
      </c>
      <c r="N63" s="72"/>
      <c r="O63" s="72" t="s">
        <v>344</v>
      </c>
      <c r="P63" s="72"/>
      <c r="Q63" s="74"/>
      <c r="R63" s="74"/>
      <c r="S63" s="74"/>
      <c r="T63" s="74"/>
      <c r="U63" s="75"/>
      <c r="V63" s="72"/>
      <c r="W63" s="72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77" t="s">
        <v>155</v>
      </c>
      <c r="B64" s="76" t="s">
        <v>61</v>
      </c>
      <c r="C64" s="76" t="s">
        <v>62</v>
      </c>
      <c r="D64" s="76">
        <v>8587897000103</v>
      </c>
      <c r="E64" s="76"/>
      <c r="F64" s="76" t="s">
        <v>63</v>
      </c>
      <c r="G64" s="76" t="s">
        <v>41</v>
      </c>
      <c r="H64" s="76" t="s">
        <v>5</v>
      </c>
      <c r="I64" s="76"/>
      <c r="J64" s="76"/>
      <c r="K64" s="76"/>
      <c r="L64" s="76"/>
      <c r="M64" s="76" t="s">
        <v>375</v>
      </c>
      <c r="N64" s="76"/>
      <c r="O64" s="76" t="s">
        <v>348</v>
      </c>
      <c r="P64" s="76"/>
      <c r="Q64" s="78"/>
      <c r="R64" s="78"/>
      <c r="S64" s="78"/>
      <c r="T64" s="78"/>
      <c r="U64" s="79"/>
      <c r="V64" s="76"/>
      <c r="W64" s="76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73" t="s">
        <v>156</v>
      </c>
      <c r="B65" s="72" t="s">
        <v>61</v>
      </c>
      <c r="C65" s="72" t="s">
        <v>62</v>
      </c>
      <c r="D65" s="72">
        <v>17845713000159</v>
      </c>
      <c r="E65" s="72"/>
      <c r="F65" s="72" t="s">
        <v>63</v>
      </c>
      <c r="G65" s="72" t="s">
        <v>41</v>
      </c>
      <c r="H65" s="72" t="s">
        <v>5</v>
      </c>
      <c r="I65" s="72"/>
      <c r="J65" s="72"/>
      <c r="K65" s="72"/>
      <c r="L65" s="72"/>
      <c r="M65" s="72" t="s">
        <v>375</v>
      </c>
      <c r="N65" s="72"/>
      <c r="O65" s="72" t="s">
        <v>348</v>
      </c>
      <c r="P65" s="72"/>
      <c r="Q65" s="74"/>
      <c r="R65" s="74"/>
      <c r="S65" s="74"/>
      <c r="T65" s="74"/>
      <c r="U65" s="75"/>
      <c r="V65" s="72"/>
      <c r="W65" s="72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77" t="s">
        <v>157</v>
      </c>
      <c r="B66" s="76" t="s">
        <v>61</v>
      </c>
      <c r="C66" s="76" t="s">
        <v>62</v>
      </c>
      <c r="D66" s="76">
        <v>37646098000169</v>
      </c>
      <c r="E66" s="76"/>
      <c r="F66" s="76" t="s">
        <v>63</v>
      </c>
      <c r="G66" s="76" t="s">
        <v>41</v>
      </c>
      <c r="H66" s="76" t="s">
        <v>5</v>
      </c>
      <c r="I66" s="76"/>
      <c r="J66" s="76"/>
      <c r="K66" s="76"/>
      <c r="L66" s="76"/>
      <c r="M66" s="76" t="s">
        <v>375</v>
      </c>
      <c r="N66" s="76"/>
      <c r="O66" s="76" t="s">
        <v>350</v>
      </c>
      <c r="P66" s="76"/>
      <c r="Q66" s="78"/>
      <c r="R66" s="78"/>
      <c r="S66" s="78"/>
      <c r="T66" s="78"/>
      <c r="U66" s="79"/>
      <c r="V66" s="76"/>
      <c r="W66" s="76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73" t="s">
        <v>158</v>
      </c>
      <c r="B67" s="72" t="s">
        <v>159</v>
      </c>
      <c r="C67" s="72" t="s">
        <v>62</v>
      </c>
      <c r="D67" s="72">
        <v>44470328000147</v>
      </c>
      <c r="E67" s="72"/>
      <c r="F67" s="72" t="s">
        <v>160</v>
      </c>
      <c r="G67" s="72" t="s">
        <v>4</v>
      </c>
      <c r="H67" s="72" t="s">
        <v>5</v>
      </c>
      <c r="I67" s="72"/>
      <c r="J67" s="72"/>
      <c r="K67" s="72"/>
      <c r="L67" s="72"/>
      <c r="M67" s="72" t="s">
        <v>373</v>
      </c>
      <c r="N67" s="72"/>
      <c r="O67" s="72" t="s">
        <v>344</v>
      </c>
      <c r="P67" s="72"/>
      <c r="Q67" s="74"/>
      <c r="R67" s="74"/>
      <c r="S67" s="74"/>
      <c r="T67" s="74"/>
      <c r="U67" s="75"/>
      <c r="V67" s="72"/>
      <c r="W67" s="72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77" t="s">
        <v>161</v>
      </c>
      <c r="B68" s="76" t="s">
        <v>162</v>
      </c>
      <c r="C68" s="76" t="s">
        <v>163</v>
      </c>
      <c r="D68" s="76" t="s">
        <v>164</v>
      </c>
      <c r="E68" s="76"/>
      <c r="F68" s="76"/>
      <c r="G68" s="76" t="s">
        <v>41</v>
      </c>
      <c r="H68" s="76" t="s">
        <v>14</v>
      </c>
      <c r="I68" s="76"/>
      <c r="J68" s="76"/>
      <c r="K68" s="76"/>
      <c r="L68" s="76"/>
      <c r="M68" s="76" t="s">
        <v>381</v>
      </c>
      <c r="N68" s="76" t="s">
        <v>358</v>
      </c>
      <c r="O68" s="76" t="s">
        <v>358</v>
      </c>
      <c r="P68" s="76"/>
      <c r="Q68" s="78"/>
      <c r="R68" s="78"/>
      <c r="S68" s="78"/>
      <c r="T68" s="78"/>
      <c r="U68" s="79"/>
      <c r="V68" s="76"/>
      <c r="W68" s="76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73" t="s">
        <v>165</v>
      </c>
      <c r="B69" s="72" t="s">
        <v>162</v>
      </c>
      <c r="C69" s="72" t="s">
        <v>163</v>
      </c>
      <c r="D69" s="72" t="s">
        <v>166</v>
      </c>
      <c r="E69" s="72"/>
      <c r="F69" s="72" t="s">
        <v>167</v>
      </c>
      <c r="G69" s="72" t="s">
        <v>13</v>
      </c>
      <c r="H69" s="72" t="s">
        <v>14</v>
      </c>
      <c r="I69" s="72"/>
      <c r="J69" s="72"/>
      <c r="K69" s="72"/>
      <c r="L69" s="72"/>
      <c r="M69" s="72" t="s">
        <v>381</v>
      </c>
      <c r="N69" s="72" t="s">
        <v>358</v>
      </c>
      <c r="O69" s="72" t="s">
        <v>358</v>
      </c>
      <c r="P69" s="72"/>
      <c r="Q69" s="74"/>
      <c r="R69" s="74"/>
      <c r="S69" s="74"/>
      <c r="T69" s="74"/>
      <c r="U69" s="75"/>
      <c r="V69" s="72"/>
      <c r="W69" s="72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77" t="s">
        <v>168</v>
      </c>
      <c r="B70" s="76" t="s">
        <v>162</v>
      </c>
      <c r="C70" s="76" t="s">
        <v>163</v>
      </c>
      <c r="D70" s="76" t="s">
        <v>169</v>
      </c>
      <c r="E70" s="76"/>
      <c r="F70" s="76" t="s">
        <v>167</v>
      </c>
      <c r="G70" s="76" t="s">
        <v>13</v>
      </c>
      <c r="H70" s="76" t="s">
        <v>14</v>
      </c>
      <c r="I70" s="76"/>
      <c r="J70" s="76"/>
      <c r="K70" s="76"/>
      <c r="L70" s="76"/>
      <c r="M70" s="76" t="s">
        <v>381</v>
      </c>
      <c r="N70" s="76" t="s">
        <v>358</v>
      </c>
      <c r="O70" s="76" t="s">
        <v>358</v>
      </c>
      <c r="P70" s="76"/>
      <c r="Q70" s="78"/>
      <c r="R70" s="78"/>
      <c r="S70" s="78"/>
      <c r="T70" s="78"/>
      <c r="U70" s="79"/>
      <c r="V70" s="76"/>
      <c r="W70" s="76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73" t="s">
        <v>170</v>
      </c>
      <c r="B71" s="72" t="s">
        <v>162</v>
      </c>
      <c r="C71" s="72" t="s">
        <v>163</v>
      </c>
      <c r="D71" s="72" t="s">
        <v>171</v>
      </c>
      <c r="E71" s="72"/>
      <c r="F71" s="72" t="s">
        <v>167</v>
      </c>
      <c r="G71" s="72" t="s">
        <v>13</v>
      </c>
      <c r="H71" s="72" t="s">
        <v>14</v>
      </c>
      <c r="I71" s="72"/>
      <c r="J71" s="72"/>
      <c r="K71" s="72"/>
      <c r="L71" s="72"/>
      <c r="M71" s="72" t="s">
        <v>381</v>
      </c>
      <c r="N71" s="72" t="s">
        <v>358</v>
      </c>
      <c r="O71" s="72" t="s">
        <v>358</v>
      </c>
      <c r="P71" s="72"/>
      <c r="Q71" s="74"/>
      <c r="R71" s="74"/>
      <c r="S71" s="74"/>
      <c r="T71" s="74"/>
      <c r="U71" s="75"/>
      <c r="V71" s="72"/>
      <c r="W71" s="72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77" t="s">
        <v>172</v>
      </c>
      <c r="B72" s="76" t="s">
        <v>162</v>
      </c>
      <c r="C72" s="76" t="s">
        <v>163</v>
      </c>
      <c r="D72" s="76" t="s">
        <v>173</v>
      </c>
      <c r="E72" s="76"/>
      <c r="F72" s="76" t="s">
        <v>167</v>
      </c>
      <c r="G72" s="76" t="s">
        <v>13</v>
      </c>
      <c r="H72" s="76" t="s">
        <v>14</v>
      </c>
      <c r="I72" s="76"/>
      <c r="J72" s="76"/>
      <c r="K72" s="76"/>
      <c r="L72" s="76"/>
      <c r="M72" s="76" t="s">
        <v>381</v>
      </c>
      <c r="N72" s="76" t="s">
        <v>358</v>
      </c>
      <c r="O72" s="76" t="s">
        <v>358</v>
      </c>
      <c r="P72" s="76"/>
      <c r="Q72" s="78"/>
      <c r="R72" s="78"/>
      <c r="S72" s="78"/>
      <c r="T72" s="78"/>
      <c r="U72" s="79"/>
      <c r="V72" s="76"/>
      <c r="W72" s="76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73" t="s">
        <v>174</v>
      </c>
      <c r="B73" s="72" t="s">
        <v>162</v>
      </c>
      <c r="C73" s="72" t="s">
        <v>163</v>
      </c>
      <c r="D73" s="72" t="s">
        <v>175</v>
      </c>
      <c r="E73" s="72"/>
      <c r="F73" s="72" t="s">
        <v>167</v>
      </c>
      <c r="G73" s="72" t="s">
        <v>13</v>
      </c>
      <c r="H73" s="72" t="s">
        <v>14</v>
      </c>
      <c r="I73" s="72"/>
      <c r="J73" s="72"/>
      <c r="K73" s="72"/>
      <c r="L73" s="72"/>
      <c r="M73" s="72" t="s">
        <v>381</v>
      </c>
      <c r="N73" s="72" t="s">
        <v>358</v>
      </c>
      <c r="O73" s="72" t="s">
        <v>358</v>
      </c>
      <c r="P73" s="72"/>
      <c r="Q73" s="74"/>
      <c r="R73" s="74"/>
      <c r="S73" s="74"/>
      <c r="T73" s="74"/>
      <c r="U73" s="75"/>
      <c r="V73" s="72"/>
      <c r="W73" s="72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77" t="s">
        <v>176</v>
      </c>
      <c r="B74" s="76" t="s">
        <v>162</v>
      </c>
      <c r="C74" s="76" t="s">
        <v>163</v>
      </c>
      <c r="D74" s="76" t="s">
        <v>177</v>
      </c>
      <c r="E74" s="76"/>
      <c r="F74" s="76"/>
      <c r="G74" s="76" t="s">
        <v>4</v>
      </c>
      <c r="H74" s="76" t="s">
        <v>14</v>
      </c>
      <c r="I74" s="76"/>
      <c r="J74" s="76"/>
      <c r="K74" s="76"/>
      <c r="L74" s="76"/>
      <c r="M74" s="76" t="s">
        <v>381</v>
      </c>
      <c r="N74" s="76" t="s">
        <v>358</v>
      </c>
      <c r="O74" s="76" t="s">
        <v>347</v>
      </c>
      <c r="P74" s="76"/>
      <c r="Q74" s="78"/>
      <c r="R74" s="78"/>
      <c r="S74" s="78"/>
      <c r="T74" s="78"/>
      <c r="U74" s="79"/>
      <c r="V74" s="76"/>
      <c r="W74" s="76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73" t="s">
        <v>178</v>
      </c>
      <c r="B75" s="72" t="s">
        <v>162</v>
      </c>
      <c r="C75" s="72" t="s">
        <v>163</v>
      </c>
      <c r="D75" s="72" t="s">
        <v>179</v>
      </c>
      <c r="E75" s="72"/>
      <c r="F75" s="72"/>
      <c r="G75" s="72" t="s">
        <v>4</v>
      </c>
      <c r="H75" s="72" t="s">
        <v>14</v>
      </c>
      <c r="I75" s="72"/>
      <c r="J75" s="72"/>
      <c r="K75" s="72"/>
      <c r="L75" s="72"/>
      <c r="M75" s="72" t="s">
        <v>381</v>
      </c>
      <c r="N75" s="72" t="s">
        <v>358</v>
      </c>
      <c r="O75" s="72" t="s">
        <v>347</v>
      </c>
      <c r="P75" s="72"/>
      <c r="Q75" s="74"/>
      <c r="R75" s="74"/>
      <c r="S75" s="74"/>
      <c r="T75" s="74"/>
      <c r="U75" s="75"/>
      <c r="V75" s="72"/>
      <c r="W75" s="72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77" t="s">
        <v>180</v>
      </c>
      <c r="B76" s="76" t="s">
        <v>9</v>
      </c>
      <c r="C76" s="76" t="s">
        <v>24</v>
      </c>
      <c r="D76" s="76">
        <v>10977876000146</v>
      </c>
      <c r="E76" s="76"/>
      <c r="F76" s="76" t="s">
        <v>12</v>
      </c>
      <c r="G76" s="76" t="s">
        <v>4</v>
      </c>
      <c r="H76" s="76" t="s">
        <v>5</v>
      </c>
      <c r="I76" s="76"/>
      <c r="J76" s="76"/>
      <c r="K76" s="76"/>
      <c r="L76" s="76"/>
      <c r="M76" s="76" t="s">
        <v>381</v>
      </c>
      <c r="N76" s="76"/>
      <c r="O76" s="76" t="s">
        <v>348</v>
      </c>
      <c r="P76" s="76"/>
      <c r="Q76" s="78"/>
      <c r="R76" s="78"/>
      <c r="S76" s="78"/>
      <c r="T76" s="78"/>
      <c r="U76" s="79"/>
      <c r="V76" s="76"/>
      <c r="W76" s="76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73" t="s">
        <v>181</v>
      </c>
      <c r="B77" s="72" t="s">
        <v>182</v>
      </c>
      <c r="C77" s="72" t="s">
        <v>79</v>
      </c>
      <c r="D77" s="72" t="s">
        <v>183</v>
      </c>
      <c r="E77" s="72"/>
      <c r="F77" s="72" t="s">
        <v>184</v>
      </c>
      <c r="G77" s="72" t="s">
        <v>13</v>
      </c>
      <c r="H77" s="72" t="s">
        <v>5</v>
      </c>
      <c r="I77" s="72"/>
      <c r="J77" s="72"/>
      <c r="K77" s="72"/>
      <c r="L77" s="72"/>
      <c r="M77" s="72" t="s">
        <v>371</v>
      </c>
      <c r="N77" s="72"/>
      <c r="O77" s="72" t="s">
        <v>348</v>
      </c>
      <c r="P77" s="72"/>
      <c r="Q77" s="74"/>
      <c r="R77" s="74"/>
      <c r="S77" s="74"/>
      <c r="T77" s="74"/>
      <c r="U77" s="75"/>
      <c r="V77" s="72"/>
      <c r="W77" s="72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77" t="s">
        <v>185</v>
      </c>
      <c r="B78" s="76" t="s">
        <v>182</v>
      </c>
      <c r="C78" s="76" t="s">
        <v>79</v>
      </c>
      <c r="D78" s="76" t="s">
        <v>186</v>
      </c>
      <c r="E78" s="76"/>
      <c r="F78" s="76" t="s">
        <v>184</v>
      </c>
      <c r="G78" s="76" t="s">
        <v>13</v>
      </c>
      <c r="H78" s="76" t="s">
        <v>14</v>
      </c>
      <c r="I78" s="76"/>
      <c r="J78" s="76"/>
      <c r="K78" s="76"/>
      <c r="L78" s="76"/>
      <c r="M78" s="76" t="s">
        <v>352</v>
      </c>
      <c r="N78" s="76"/>
      <c r="O78" s="76" t="s">
        <v>351</v>
      </c>
      <c r="P78" s="76"/>
      <c r="Q78" s="78"/>
      <c r="R78" s="78"/>
      <c r="S78" s="78"/>
      <c r="T78" s="78"/>
      <c r="U78" s="79"/>
      <c r="V78" s="76"/>
      <c r="W78" s="76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73" t="s">
        <v>187</v>
      </c>
      <c r="B79" s="72" t="s">
        <v>188</v>
      </c>
      <c r="C79" s="72" t="s">
        <v>62</v>
      </c>
      <c r="D79" s="72">
        <v>40920539000183</v>
      </c>
      <c r="E79" s="72"/>
      <c r="F79" s="72" t="s">
        <v>189</v>
      </c>
      <c r="G79" s="72" t="s">
        <v>4</v>
      </c>
      <c r="H79" s="72" t="s">
        <v>5</v>
      </c>
      <c r="I79" s="72"/>
      <c r="J79" s="72"/>
      <c r="K79" s="72"/>
      <c r="L79" s="72"/>
      <c r="M79" s="72" t="s">
        <v>381</v>
      </c>
      <c r="N79" s="72"/>
      <c r="O79" s="72"/>
      <c r="P79" s="72"/>
      <c r="Q79" s="74"/>
      <c r="R79" s="74"/>
      <c r="S79" s="74"/>
      <c r="T79" s="74"/>
      <c r="U79" s="75"/>
      <c r="V79" s="72"/>
      <c r="W79" s="72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77" t="s">
        <v>190</v>
      </c>
      <c r="B80" s="76" t="s">
        <v>188</v>
      </c>
      <c r="C80" s="76" t="s">
        <v>69</v>
      </c>
      <c r="D80" s="76" t="s">
        <v>191</v>
      </c>
      <c r="E80" s="76"/>
      <c r="F80" s="76" t="s">
        <v>189</v>
      </c>
      <c r="G80" s="76" t="s">
        <v>41</v>
      </c>
      <c r="H80" s="76" t="s">
        <v>5</v>
      </c>
      <c r="I80" s="76"/>
      <c r="J80" s="76"/>
      <c r="K80" s="76"/>
      <c r="L80" s="76"/>
      <c r="M80" s="76" t="s">
        <v>375</v>
      </c>
      <c r="N80" s="76"/>
      <c r="O80" s="76" t="s">
        <v>347</v>
      </c>
      <c r="P80" s="76"/>
      <c r="Q80" s="78"/>
      <c r="R80" s="78"/>
      <c r="S80" s="78"/>
      <c r="T80" s="78"/>
      <c r="U80" s="79"/>
      <c r="V80" s="76"/>
      <c r="W80" s="76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73" t="s">
        <v>192</v>
      </c>
      <c r="B81" s="72" t="s">
        <v>188</v>
      </c>
      <c r="C81" s="72" t="s">
        <v>69</v>
      </c>
      <c r="D81" s="72" t="s">
        <v>193</v>
      </c>
      <c r="E81" s="72"/>
      <c r="F81" s="72" t="s">
        <v>189</v>
      </c>
      <c r="G81" s="72" t="s">
        <v>13</v>
      </c>
      <c r="H81" s="72" t="s">
        <v>14</v>
      </c>
      <c r="I81" s="72"/>
      <c r="J81" s="72"/>
      <c r="K81" s="72"/>
      <c r="L81" s="72"/>
      <c r="M81" s="72" t="s">
        <v>382</v>
      </c>
      <c r="N81" s="72"/>
      <c r="O81" s="72" t="s">
        <v>344</v>
      </c>
      <c r="P81" s="72"/>
      <c r="Q81" s="74"/>
      <c r="R81" s="74"/>
      <c r="S81" s="74"/>
      <c r="T81" s="74"/>
      <c r="U81" s="75"/>
      <c r="V81" s="72"/>
      <c r="W81" s="72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77" t="s">
        <v>194</v>
      </c>
      <c r="B82" s="76" t="s">
        <v>1</v>
      </c>
      <c r="C82" s="76" t="s">
        <v>195</v>
      </c>
      <c r="D82" s="76" t="s">
        <v>196</v>
      </c>
      <c r="E82" s="76"/>
      <c r="F82" s="76" t="s">
        <v>3</v>
      </c>
      <c r="G82" s="76" t="s">
        <v>197</v>
      </c>
      <c r="H82" s="76" t="s">
        <v>49</v>
      </c>
      <c r="I82" s="76"/>
      <c r="J82" s="76"/>
      <c r="K82" s="76"/>
      <c r="L82" s="76"/>
      <c r="M82" s="76" t="s">
        <v>372</v>
      </c>
      <c r="N82" s="76" t="s">
        <v>357</v>
      </c>
      <c r="O82" s="76" t="s">
        <v>348</v>
      </c>
      <c r="P82" s="76"/>
      <c r="Q82" s="78"/>
      <c r="R82" s="78"/>
      <c r="S82" s="78"/>
      <c r="T82" s="78"/>
      <c r="U82" s="79"/>
      <c r="V82" s="76"/>
      <c r="W82" s="76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73" t="s">
        <v>198</v>
      </c>
      <c r="B83" s="72" t="s">
        <v>1</v>
      </c>
      <c r="C83" s="72" t="s">
        <v>195</v>
      </c>
      <c r="D83" s="72" t="s">
        <v>199</v>
      </c>
      <c r="E83" s="72"/>
      <c r="F83" s="72" t="s">
        <v>3</v>
      </c>
      <c r="G83" s="72" t="s">
        <v>4</v>
      </c>
      <c r="H83" s="72" t="s">
        <v>49</v>
      </c>
      <c r="I83" s="72"/>
      <c r="J83" s="72"/>
      <c r="K83" s="72"/>
      <c r="L83" s="72"/>
      <c r="M83" s="72" t="s">
        <v>372</v>
      </c>
      <c r="N83" s="72" t="s">
        <v>357</v>
      </c>
      <c r="O83" s="72" t="s">
        <v>348</v>
      </c>
      <c r="P83" s="72"/>
      <c r="Q83" s="74"/>
      <c r="R83" s="74"/>
      <c r="S83" s="74"/>
      <c r="T83" s="74"/>
      <c r="U83" s="75"/>
      <c r="V83" s="72"/>
      <c r="W83" s="72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77" t="s">
        <v>200</v>
      </c>
      <c r="B84" s="76" t="s">
        <v>1</v>
      </c>
      <c r="C84" s="76" t="s">
        <v>195</v>
      </c>
      <c r="D84" s="76" t="s">
        <v>201</v>
      </c>
      <c r="E84" s="76"/>
      <c r="F84" s="76" t="s">
        <v>3</v>
      </c>
      <c r="G84" s="76" t="s">
        <v>4</v>
      </c>
      <c r="H84" s="76" t="s">
        <v>49</v>
      </c>
      <c r="I84" s="76"/>
      <c r="J84" s="76"/>
      <c r="K84" s="76"/>
      <c r="L84" s="76"/>
      <c r="M84" s="76" t="s">
        <v>372</v>
      </c>
      <c r="N84" s="76" t="s">
        <v>357</v>
      </c>
      <c r="O84" s="76" t="s">
        <v>348</v>
      </c>
      <c r="P84" s="76"/>
      <c r="Q84" s="78"/>
      <c r="R84" s="78"/>
      <c r="S84" s="78"/>
      <c r="T84" s="78"/>
      <c r="U84" s="79"/>
      <c r="V84" s="76"/>
      <c r="W84" s="76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73" t="s">
        <v>202</v>
      </c>
      <c r="B85" s="72" t="s">
        <v>203</v>
      </c>
      <c r="C85" s="72" t="s">
        <v>204</v>
      </c>
      <c r="D85" s="72">
        <v>48579725000102</v>
      </c>
      <c r="E85" s="72"/>
      <c r="F85" s="72" t="s">
        <v>205</v>
      </c>
      <c r="G85" s="72" t="s">
        <v>13</v>
      </c>
      <c r="H85" s="72" t="s">
        <v>5</v>
      </c>
      <c r="I85" s="72"/>
      <c r="J85" s="72"/>
      <c r="K85" s="72"/>
      <c r="L85" s="72"/>
      <c r="M85" s="72" t="s">
        <v>375</v>
      </c>
      <c r="N85" s="72"/>
      <c r="O85" s="72" t="s">
        <v>353</v>
      </c>
      <c r="P85" s="72"/>
      <c r="Q85" s="74"/>
      <c r="R85" s="74"/>
      <c r="S85" s="74"/>
      <c r="T85" s="74"/>
      <c r="U85" s="75"/>
      <c r="V85" s="72"/>
      <c r="W85" s="72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77" t="s">
        <v>206</v>
      </c>
      <c r="B86" s="76" t="s">
        <v>207</v>
      </c>
      <c r="C86" s="76" t="s">
        <v>62</v>
      </c>
      <c r="D86" s="76">
        <v>21879417000146</v>
      </c>
      <c r="E86" s="76"/>
      <c r="F86" s="76" t="s">
        <v>208</v>
      </c>
      <c r="G86" s="76" t="s">
        <v>41</v>
      </c>
      <c r="H86" s="76" t="s">
        <v>5</v>
      </c>
      <c r="I86" s="76"/>
      <c r="J86" s="76"/>
      <c r="K86" s="76"/>
      <c r="L86" s="76"/>
      <c r="M86" s="76" t="s">
        <v>375</v>
      </c>
      <c r="N86" s="76"/>
      <c r="O86" s="76" t="s">
        <v>346</v>
      </c>
      <c r="P86" s="76"/>
      <c r="Q86" s="78"/>
      <c r="R86" s="78"/>
      <c r="S86" s="78"/>
      <c r="T86" s="78"/>
      <c r="U86" s="79"/>
      <c r="V86" s="76"/>
      <c r="W86" s="76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73" t="s">
        <v>209</v>
      </c>
      <c r="B87" s="72" t="s">
        <v>207</v>
      </c>
      <c r="C87" s="72" t="s">
        <v>62</v>
      </c>
      <c r="D87" s="72" t="s">
        <v>384</v>
      </c>
      <c r="E87" s="72"/>
      <c r="F87" s="72" t="s">
        <v>208</v>
      </c>
      <c r="G87" s="72" t="s">
        <v>4</v>
      </c>
      <c r="H87" s="72" t="s">
        <v>5</v>
      </c>
      <c r="I87" s="72"/>
      <c r="J87" s="72"/>
      <c r="K87" s="72"/>
      <c r="L87" s="72"/>
      <c r="M87" s="72" t="s">
        <v>375</v>
      </c>
      <c r="N87" s="72"/>
      <c r="O87" s="72" t="s">
        <v>346</v>
      </c>
      <c r="P87" s="72"/>
      <c r="Q87" s="74"/>
      <c r="R87" s="74"/>
      <c r="S87" s="74"/>
      <c r="T87" s="74"/>
      <c r="U87" s="75"/>
      <c r="V87" s="72"/>
      <c r="W87" s="72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77" t="s">
        <v>210</v>
      </c>
      <c r="B88" s="76" t="s">
        <v>211</v>
      </c>
      <c r="C88" s="76" t="s">
        <v>69</v>
      </c>
      <c r="D88" s="76" t="s">
        <v>383</v>
      </c>
      <c r="E88" s="76"/>
      <c r="F88" s="76"/>
      <c r="G88" s="76" t="s">
        <v>4</v>
      </c>
      <c r="H88" s="76" t="s">
        <v>49</v>
      </c>
      <c r="I88" s="76"/>
      <c r="J88" s="76"/>
      <c r="K88" s="76"/>
      <c r="L88" s="76"/>
      <c r="M88" s="76" t="s">
        <v>375</v>
      </c>
      <c r="N88" s="76"/>
      <c r="O88" s="76" t="s">
        <v>346</v>
      </c>
      <c r="P88" s="76"/>
      <c r="Q88" s="78"/>
      <c r="R88" s="78"/>
      <c r="S88" s="78"/>
      <c r="T88" s="78"/>
      <c r="U88" s="79"/>
      <c r="V88" s="76"/>
      <c r="W88" s="76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73" t="s">
        <v>212</v>
      </c>
      <c r="B89" s="72" t="s">
        <v>211</v>
      </c>
      <c r="C89" s="72" t="s">
        <v>69</v>
      </c>
      <c r="D89" s="72"/>
      <c r="E89" s="72"/>
      <c r="F89" s="72"/>
      <c r="G89" s="72" t="s">
        <v>4</v>
      </c>
      <c r="H89" s="72" t="s">
        <v>49</v>
      </c>
      <c r="I89" s="72"/>
      <c r="J89" s="72"/>
      <c r="K89" s="72"/>
      <c r="L89" s="72"/>
      <c r="M89" s="72" t="s">
        <v>375</v>
      </c>
      <c r="N89" s="72"/>
      <c r="O89" s="72" t="s">
        <v>346</v>
      </c>
      <c r="P89" s="72"/>
      <c r="Q89" s="74"/>
      <c r="R89" s="74"/>
      <c r="S89" s="74"/>
      <c r="T89" s="74"/>
      <c r="U89" s="75"/>
      <c r="V89" s="72"/>
      <c r="W89" s="72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77" t="s">
        <v>213</v>
      </c>
      <c r="B90" s="76" t="s">
        <v>214</v>
      </c>
      <c r="C90" s="76" t="s">
        <v>62</v>
      </c>
      <c r="D90" s="76">
        <v>44868733000118</v>
      </c>
      <c r="E90" s="76"/>
      <c r="F90" s="76" t="s">
        <v>215</v>
      </c>
      <c r="G90" s="76" t="s">
        <v>4</v>
      </c>
      <c r="H90" s="76" t="s">
        <v>5</v>
      </c>
      <c r="I90" s="76"/>
      <c r="J90" s="76"/>
      <c r="K90" s="76"/>
      <c r="L90" s="76"/>
      <c r="M90" s="76" t="s">
        <v>375</v>
      </c>
      <c r="N90" s="76"/>
      <c r="O90" s="76" t="s">
        <v>347</v>
      </c>
      <c r="P90" s="76"/>
      <c r="Q90" s="78"/>
      <c r="R90" s="78"/>
      <c r="S90" s="78"/>
      <c r="T90" s="78"/>
      <c r="U90" s="79"/>
      <c r="V90" s="76"/>
      <c r="W90" s="76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73" t="s">
        <v>216</v>
      </c>
      <c r="B91" s="72" t="s">
        <v>9</v>
      </c>
      <c r="C91" s="72" t="s">
        <v>69</v>
      </c>
      <c r="D91" s="72" t="s">
        <v>217</v>
      </c>
      <c r="E91" s="72"/>
      <c r="F91" s="72" t="s">
        <v>12</v>
      </c>
      <c r="G91" s="72" t="s">
        <v>13</v>
      </c>
      <c r="H91" s="72" t="s">
        <v>49</v>
      </c>
      <c r="I91" s="72"/>
      <c r="J91" s="72"/>
      <c r="K91" s="72"/>
      <c r="L91" s="72"/>
      <c r="M91" s="72" t="s">
        <v>375</v>
      </c>
      <c r="N91" s="72"/>
      <c r="O91" s="72" t="s">
        <v>346</v>
      </c>
      <c r="P91" s="72"/>
      <c r="Q91" s="74"/>
      <c r="R91" s="74"/>
      <c r="S91" s="74"/>
      <c r="T91" s="74"/>
      <c r="U91" s="75"/>
      <c r="V91" s="72"/>
      <c r="W91" s="72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77" t="s">
        <v>218</v>
      </c>
      <c r="B92" s="76" t="s">
        <v>219</v>
      </c>
      <c r="C92" s="76" t="s">
        <v>62</v>
      </c>
      <c r="D92" s="76">
        <v>51987426000111</v>
      </c>
      <c r="E92" s="76"/>
      <c r="F92" s="76" t="s">
        <v>220</v>
      </c>
      <c r="G92" s="76" t="s">
        <v>4</v>
      </c>
      <c r="H92" s="76" t="s">
        <v>5</v>
      </c>
      <c r="I92" s="76"/>
      <c r="J92" s="76"/>
      <c r="K92" s="76"/>
      <c r="L92" s="76"/>
      <c r="M92" s="76" t="s">
        <v>385</v>
      </c>
      <c r="N92" s="76"/>
      <c r="O92" s="76" t="s">
        <v>347</v>
      </c>
      <c r="P92" s="76"/>
      <c r="Q92" s="78"/>
      <c r="R92" s="78"/>
      <c r="S92" s="78"/>
      <c r="T92" s="78"/>
      <c r="U92" s="79"/>
      <c r="V92" s="76"/>
      <c r="W92" s="76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73" t="s">
        <v>221</v>
      </c>
      <c r="B93" s="72" t="s">
        <v>222</v>
      </c>
      <c r="C93" s="72" t="s">
        <v>62</v>
      </c>
      <c r="D93" s="72" t="s">
        <v>386</v>
      </c>
      <c r="E93" s="72"/>
      <c r="F93" s="72" t="s">
        <v>223</v>
      </c>
      <c r="G93" s="72" t="s">
        <v>13</v>
      </c>
      <c r="H93" s="72" t="s">
        <v>49</v>
      </c>
      <c r="I93" s="72"/>
      <c r="J93" s="72"/>
      <c r="K93" s="72"/>
      <c r="L93" s="72"/>
      <c r="M93" s="72" t="s">
        <v>385</v>
      </c>
      <c r="N93" s="72"/>
      <c r="O93" s="72" t="s">
        <v>347</v>
      </c>
      <c r="P93" s="72"/>
      <c r="Q93" s="74"/>
      <c r="R93" s="74"/>
      <c r="S93" s="74"/>
      <c r="T93" s="74"/>
      <c r="U93" s="75"/>
      <c r="V93" s="72"/>
      <c r="W93" s="72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77" t="s">
        <v>224</v>
      </c>
      <c r="B94" s="76" t="s">
        <v>182</v>
      </c>
      <c r="C94" s="76" t="s">
        <v>83</v>
      </c>
      <c r="D94" s="76">
        <v>21371431000134</v>
      </c>
      <c r="E94" s="76"/>
      <c r="F94" s="76" t="s">
        <v>225</v>
      </c>
      <c r="G94" s="76" t="s">
        <v>4</v>
      </c>
      <c r="H94" s="76" t="s">
        <v>5</v>
      </c>
      <c r="I94" s="76"/>
      <c r="J94" s="76"/>
      <c r="K94" s="76"/>
      <c r="L94" s="76"/>
      <c r="M94" s="76" t="s">
        <v>371</v>
      </c>
      <c r="N94" s="76"/>
      <c r="O94" s="76" t="s">
        <v>354</v>
      </c>
      <c r="P94" s="76"/>
      <c r="Q94" s="78"/>
      <c r="R94" s="78"/>
      <c r="S94" s="78"/>
      <c r="T94" s="78"/>
      <c r="U94" s="79"/>
      <c r="V94" s="76"/>
      <c r="W94" s="76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73" t="s">
        <v>226</v>
      </c>
      <c r="B95" s="72" t="s">
        <v>227</v>
      </c>
      <c r="C95" s="72" t="s">
        <v>122</v>
      </c>
      <c r="D95" s="72">
        <v>9421791000106</v>
      </c>
      <c r="E95" s="72"/>
      <c r="F95" s="72" t="s">
        <v>228</v>
      </c>
      <c r="G95" s="72" t="s">
        <v>4</v>
      </c>
      <c r="H95" s="72" t="s">
        <v>5</v>
      </c>
      <c r="I95" s="72"/>
      <c r="J95" s="72"/>
      <c r="K95" s="72"/>
      <c r="L95" s="72"/>
      <c r="M95" s="72" t="s">
        <v>375</v>
      </c>
      <c r="N95" s="72"/>
      <c r="O95" s="72" t="s">
        <v>346</v>
      </c>
      <c r="P95" s="72"/>
      <c r="Q95" s="74"/>
      <c r="R95" s="74"/>
      <c r="S95" s="74"/>
      <c r="T95" s="74"/>
      <c r="U95" s="75"/>
      <c r="V95" s="72"/>
      <c r="W95" s="72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77" t="s">
        <v>229</v>
      </c>
      <c r="B96" s="76" t="s">
        <v>96</v>
      </c>
      <c r="C96" s="76" t="s">
        <v>230</v>
      </c>
      <c r="D96" s="76" t="s">
        <v>387</v>
      </c>
      <c r="E96" s="76"/>
      <c r="F96" s="76" t="s">
        <v>99</v>
      </c>
      <c r="G96" s="76" t="s">
        <v>4</v>
      </c>
      <c r="H96" s="76" t="s">
        <v>14</v>
      </c>
      <c r="I96" s="76"/>
      <c r="J96" s="76"/>
      <c r="K96" s="76"/>
      <c r="L96" s="76"/>
      <c r="M96" s="76" t="s">
        <v>372</v>
      </c>
      <c r="N96" s="76"/>
      <c r="O96" s="76" t="s">
        <v>346</v>
      </c>
      <c r="P96" s="76"/>
      <c r="Q96" s="78"/>
      <c r="R96" s="78"/>
      <c r="S96" s="78"/>
      <c r="T96" s="78"/>
      <c r="U96" s="79"/>
      <c r="V96" s="76"/>
      <c r="W96" s="76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73" t="s">
        <v>231</v>
      </c>
      <c r="B97" s="72" t="s">
        <v>211</v>
      </c>
      <c r="C97" s="72" t="s">
        <v>69</v>
      </c>
      <c r="D97" s="72" t="s">
        <v>232</v>
      </c>
      <c r="E97" s="72"/>
      <c r="F97" s="72"/>
      <c r="G97" s="72" t="s">
        <v>4</v>
      </c>
      <c r="H97" s="72" t="s">
        <v>49</v>
      </c>
      <c r="I97" s="72"/>
      <c r="J97" s="72"/>
      <c r="K97" s="72"/>
      <c r="L97" s="72"/>
      <c r="M97" s="72" t="s">
        <v>375</v>
      </c>
      <c r="N97" s="72"/>
      <c r="O97" s="72" t="s">
        <v>346</v>
      </c>
      <c r="P97" s="72"/>
      <c r="Q97" s="74"/>
      <c r="R97" s="74"/>
      <c r="S97" s="74"/>
      <c r="T97" s="74"/>
      <c r="U97" s="75"/>
      <c r="V97" s="72"/>
      <c r="W97" s="72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77" t="s">
        <v>233</v>
      </c>
      <c r="B98" s="76" t="s">
        <v>134</v>
      </c>
      <c r="C98" s="76" t="s">
        <v>116</v>
      </c>
      <c r="D98" s="76" t="s">
        <v>234</v>
      </c>
      <c r="E98" s="76"/>
      <c r="F98" s="76" t="s">
        <v>138</v>
      </c>
      <c r="G98" s="76" t="s">
        <v>13</v>
      </c>
      <c r="H98" s="76" t="s">
        <v>14</v>
      </c>
      <c r="I98" s="76"/>
      <c r="J98" s="76"/>
      <c r="K98" s="76"/>
      <c r="L98" s="76"/>
      <c r="M98" s="76" t="s">
        <v>356</v>
      </c>
      <c r="N98" s="76"/>
      <c r="O98" s="76" t="s">
        <v>355</v>
      </c>
      <c r="P98" s="76"/>
      <c r="Q98" s="78"/>
      <c r="R98" s="78"/>
      <c r="S98" s="78"/>
      <c r="T98" s="78"/>
      <c r="U98" s="79"/>
      <c r="V98" s="76"/>
      <c r="W98" s="76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73" t="s">
        <v>235</v>
      </c>
      <c r="B99" s="72" t="s">
        <v>134</v>
      </c>
      <c r="C99" s="72" t="s">
        <v>116</v>
      </c>
      <c r="D99" s="72" t="s">
        <v>236</v>
      </c>
      <c r="E99" s="72"/>
      <c r="F99" s="72" t="s">
        <v>138</v>
      </c>
      <c r="G99" s="72" t="s">
        <v>13</v>
      </c>
      <c r="H99" s="72" t="s">
        <v>14</v>
      </c>
      <c r="I99" s="72"/>
      <c r="J99" s="72"/>
      <c r="K99" s="72"/>
      <c r="L99" s="72"/>
      <c r="M99" s="72" t="s">
        <v>356</v>
      </c>
      <c r="N99" s="72"/>
      <c r="O99" s="72" t="s">
        <v>355</v>
      </c>
      <c r="P99" s="72"/>
      <c r="Q99" s="74"/>
      <c r="R99" s="74"/>
      <c r="S99" s="74"/>
      <c r="T99" s="74"/>
      <c r="U99" s="75"/>
      <c r="V99" s="72"/>
      <c r="W99" s="72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77" t="s">
        <v>237</v>
      </c>
      <c r="B100" s="76" t="s">
        <v>134</v>
      </c>
      <c r="C100" s="76" t="s">
        <v>116</v>
      </c>
      <c r="D100" s="76" t="s">
        <v>238</v>
      </c>
      <c r="E100" s="76"/>
      <c r="F100" s="76" t="s">
        <v>138</v>
      </c>
      <c r="G100" s="76" t="s">
        <v>13</v>
      </c>
      <c r="H100" s="76" t="s">
        <v>14</v>
      </c>
      <c r="I100" s="76"/>
      <c r="J100" s="76"/>
      <c r="K100" s="76"/>
      <c r="L100" s="76"/>
      <c r="M100" s="76" t="s">
        <v>356</v>
      </c>
      <c r="N100" s="76"/>
      <c r="O100" s="76" t="s">
        <v>355</v>
      </c>
      <c r="P100" s="76"/>
      <c r="Q100" s="78"/>
      <c r="R100" s="78"/>
      <c r="S100" s="78"/>
      <c r="T100" s="78"/>
      <c r="U100" s="79"/>
      <c r="V100" s="76"/>
      <c r="W100" s="76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73" t="s">
        <v>239</v>
      </c>
      <c r="B101" s="72" t="s">
        <v>55</v>
      </c>
      <c r="C101" s="72" t="s">
        <v>56</v>
      </c>
      <c r="D101" s="72" t="s">
        <v>240</v>
      </c>
      <c r="E101" s="72"/>
      <c r="F101" s="72" t="s">
        <v>57</v>
      </c>
      <c r="G101" s="72" t="s">
        <v>13</v>
      </c>
      <c r="H101" s="72" t="s">
        <v>5</v>
      </c>
      <c r="I101" s="72"/>
      <c r="J101" s="72"/>
      <c r="K101" s="72"/>
      <c r="L101" s="72"/>
      <c r="M101" s="72" t="s">
        <v>372</v>
      </c>
      <c r="N101" s="72" t="s">
        <v>357</v>
      </c>
      <c r="O101" s="72" t="s">
        <v>346</v>
      </c>
      <c r="P101" s="72"/>
      <c r="Q101" s="74"/>
      <c r="R101" s="74"/>
      <c r="S101" s="74"/>
      <c r="T101" s="74"/>
      <c r="U101" s="75"/>
      <c r="V101" s="72"/>
      <c r="W101" s="72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77" t="s">
        <v>241</v>
      </c>
      <c r="B102" s="76" t="s">
        <v>55</v>
      </c>
      <c r="C102" s="76" t="s">
        <v>242</v>
      </c>
      <c r="D102" s="76" t="s">
        <v>243</v>
      </c>
      <c r="E102" s="76"/>
      <c r="F102" s="76" t="s">
        <v>57</v>
      </c>
      <c r="G102" s="76" t="s">
        <v>13</v>
      </c>
      <c r="H102" s="76" t="s">
        <v>5</v>
      </c>
      <c r="I102" s="76"/>
      <c r="J102" s="76"/>
      <c r="K102" s="76"/>
      <c r="L102" s="76"/>
      <c r="M102" s="76" t="s">
        <v>372</v>
      </c>
      <c r="N102" s="76" t="s">
        <v>368</v>
      </c>
      <c r="O102" s="76" t="s">
        <v>346</v>
      </c>
      <c r="P102" s="76"/>
      <c r="Q102" s="78"/>
      <c r="R102" s="78"/>
      <c r="S102" s="78"/>
      <c r="T102" s="78"/>
      <c r="U102" s="79"/>
      <c r="V102" s="76"/>
      <c r="W102" s="76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73" t="s">
        <v>244</v>
      </c>
      <c r="B103" s="72" t="s">
        <v>55</v>
      </c>
      <c r="C103" s="72" t="s">
        <v>245</v>
      </c>
      <c r="D103" s="72" t="s">
        <v>246</v>
      </c>
      <c r="E103" s="72"/>
      <c r="F103" s="72" t="s">
        <v>57</v>
      </c>
      <c r="G103" s="72" t="s">
        <v>13</v>
      </c>
      <c r="H103" s="72" t="s">
        <v>5</v>
      </c>
      <c r="I103" s="72"/>
      <c r="J103" s="72"/>
      <c r="K103" s="72"/>
      <c r="L103" s="72"/>
      <c r="M103" s="72" t="s">
        <v>372</v>
      </c>
      <c r="N103" s="72" t="s">
        <v>357</v>
      </c>
      <c r="O103" s="72" t="s">
        <v>346</v>
      </c>
      <c r="P103" s="72"/>
      <c r="Q103" s="74"/>
      <c r="R103" s="74"/>
      <c r="S103" s="74"/>
      <c r="T103" s="74"/>
      <c r="U103" s="75"/>
      <c r="V103" s="72"/>
      <c r="W103" s="72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77" t="s">
        <v>247</v>
      </c>
      <c r="B104" s="76" t="s">
        <v>55</v>
      </c>
      <c r="C104" s="76" t="s">
        <v>248</v>
      </c>
      <c r="D104" s="76" t="s">
        <v>249</v>
      </c>
      <c r="E104" s="76"/>
      <c r="F104" s="76" t="s">
        <v>57</v>
      </c>
      <c r="G104" s="76" t="s">
        <v>13</v>
      </c>
      <c r="H104" s="76" t="s">
        <v>49</v>
      </c>
      <c r="I104" s="76"/>
      <c r="J104" s="76"/>
      <c r="K104" s="76"/>
      <c r="L104" s="76"/>
      <c r="M104" s="76" t="s">
        <v>372</v>
      </c>
      <c r="N104" s="76" t="s">
        <v>369</v>
      </c>
      <c r="O104" s="76" t="s">
        <v>346</v>
      </c>
      <c r="P104" s="76"/>
      <c r="Q104" s="78"/>
      <c r="R104" s="78"/>
      <c r="S104" s="78"/>
      <c r="T104" s="78"/>
      <c r="U104" s="79"/>
      <c r="V104" s="76"/>
      <c r="W104" s="76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73" t="s">
        <v>250</v>
      </c>
      <c r="B105" s="72" t="s">
        <v>1</v>
      </c>
      <c r="C105" s="72" t="s">
        <v>2</v>
      </c>
      <c r="D105" s="72" t="s">
        <v>251</v>
      </c>
      <c r="E105" s="72"/>
      <c r="F105" s="72" t="s">
        <v>252</v>
      </c>
      <c r="G105" s="72" t="s">
        <v>4</v>
      </c>
      <c r="H105" s="72" t="s">
        <v>49</v>
      </c>
      <c r="I105" s="72"/>
      <c r="J105" s="72"/>
      <c r="K105" s="72"/>
      <c r="L105" s="72"/>
      <c r="M105" s="72" t="s">
        <v>367</v>
      </c>
      <c r="N105" s="72" t="s">
        <v>357</v>
      </c>
      <c r="O105" s="72" t="s">
        <v>346</v>
      </c>
      <c r="P105" s="72"/>
      <c r="Q105" s="74"/>
      <c r="R105" s="74"/>
      <c r="S105" s="74"/>
      <c r="T105" s="74"/>
      <c r="U105" s="75"/>
      <c r="V105" s="72"/>
      <c r="W105" s="72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77" t="s">
        <v>253</v>
      </c>
      <c r="B106" s="76" t="s">
        <v>214</v>
      </c>
      <c r="C106" s="76" t="s">
        <v>62</v>
      </c>
      <c r="D106" s="76" t="s">
        <v>388</v>
      </c>
      <c r="E106" s="76"/>
      <c r="F106" s="76" t="s">
        <v>254</v>
      </c>
      <c r="G106" s="76" t="s">
        <v>13</v>
      </c>
      <c r="H106" s="76" t="s">
        <v>5</v>
      </c>
      <c r="I106" s="76"/>
      <c r="J106" s="76"/>
      <c r="K106" s="76"/>
      <c r="L106" s="76"/>
      <c r="M106" s="76" t="s">
        <v>372</v>
      </c>
      <c r="N106" s="76"/>
      <c r="O106" s="76" t="s">
        <v>346</v>
      </c>
      <c r="P106" s="76"/>
      <c r="Q106" s="78"/>
      <c r="R106" s="78"/>
      <c r="S106" s="78"/>
      <c r="T106" s="78"/>
      <c r="U106" s="79"/>
      <c r="V106" s="76"/>
      <c r="W106" s="76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73" t="s">
        <v>255</v>
      </c>
      <c r="B107" s="72" t="s">
        <v>214</v>
      </c>
      <c r="C107" s="72" t="s">
        <v>62</v>
      </c>
      <c r="D107" s="72" t="s">
        <v>389</v>
      </c>
      <c r="E107" s="72"/>
      <c r="F107" s="72" t="s">
        <v>254</v>
      </c>
      <c r="G107" s="72" t="s">
        <v>13</v>
      </c>
      <c r="H107" s="72" t="s">
        <v>49</v>
      </c>
      <c r="I107" s="72"/>
      <c r="J107" s="72"/>
      <c r="K107" s="72"/>
      <c r="L107" s="72"/>
      <c r="M107" s="72" t="s">
        <v>385</v>
      </c>
      <c r="N107" s="72"/>
      <c r="O107" s="72" t="s">
        <v>346</v>
      </c>
      <c r="P107" s="72"/>
      <c r="Q107" s="74"/>
      <c r="R107" s="74"/>
      <c r="S107" s="74"/>
      <c r="T107" s="74"/>
      <c r="U107" s="75"/>
      <c r="V107" s="72"/>
      <c r="W107" s="72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77" t="s">
        <v>256</v>
      </c>
      <c r="B108" s="76" t="s">
        <v>214</v>
      </c>
      <c r="C108" s="76" t="s">
        <v>62</v>
      </c>
      <c r="D108" s="76" t="s">
        <v>390</v>
      </c>
      <c r="E108" s="76"/>
      <c r="F108" s="76" t="s">
        <v>257</v>
      </c>
      <c r="G108" s="76" t="s">
        <v>4</v>
      </c>
      <c r="H108" s="76" t="s">
        <v>5</v>
      </c>
      <c r="I108" s="76"/>
      <c r="J108" s="76"/>
      <c r="K108" s="76"/>
      <c r="L108" s="76"/>
      <c r="M108" s="76" t="s">
        <v>375</v>
      </c>
      <c r="N108" s="76"/>
      <c r="O108" s="76" t="s">
        <v>346</v>
      </c>
      <c r="P108" s="76"/>
      <c r="Q108" s="78"/>
      <c r="R108" s="78"/>
      <c r="S108" s="78"/>
      <c r="T108" s="78"/>
      <c r="U108" s="79"/>
      <c r="V108" s="76"/>
      <c r="W108" s="76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73" t="s">
        <v>258</v>
      </c>
      <c r="B109" s="72" t="s">
        <v>259</v>
      </c>
      <c r="C109" s="72" t="s">
        <v>69</v>
      </c>
      <c r="D109" s="72" t="s">
        <v>260</v>
      </c>
      <c r="E109" s="72"/>
      <c r="F109" s="72" t="s">
        <v>261</v>
      </c>
      <c r="G109" s="72" t="s">
        <v>4</v>
      </c>
      <c r="H109" s="72" t="s">
        <v>5</v>
      </c>
      <c r="I109" s="72"/>
      <c r="J109" s="72"/>
      <c r="K109" s="72"/>
      <c r="L109" s="72"/>
      <c r="M109" s="72" t="s">
        <v>367</v>
      </c>
      <c r="N109" s="72"/>
      <c r="O109" s="72"/>
      <c r="P109" s="72"/>
      <c r="Q109" s="74"/>
      <c r="R109" s="74"/>
      <c r="S109" s="74"/>
      <c r="T109" s="74"/>
      <c r="U109" s="75"/>
      <c r="V109" s="72"/>
      <c r="W109" s="72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77" t="s">
        <v>262</v>
      </c>
      <c r="B110" s="76" t="s">
        <v>259</v>
      </c>
      <c r="C110" s="76" t="s">
        <v>69</v>
      </c>
      <c r="D110" s="76" t="s">
        <v>263</v>
      </c>
      <c r="E110" s="76"/>
      <c r="F110" s="76" t="s">
        <v>261</v>
      </c>
      <c r="G110" s="76" t="s">
        <v>13</v>
      </c>
      <c r="H110" s="76" t="s">
        <v>5</v>
      </c>
      <c r="I110" s="76"/>
      <c r="J110" s="76"/>
      <c r="K110" s="76"/>
      <c r="L110" s="76"/>
      <c r="M110" s="76" t="s">
        <v>367</v>
      </c>
      <c r="N110" s="76"/>
      <c r="O110" s="76"/>
      <c r="P110" s="76"/>
      <c r="Q110" s="78"/>
      <c r="R110" s="78"/>
      <c r="S110" s="78"/>
      <c r="T110" s="78"/>
      <c r="U110" s="79"/>
      <c r="V110" s="76"/>
      <c r="W110" s="76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73" t="s">
        <v>264</v>
      </c>
      <c r="B111" s="72" t="s">
        <v>159</v>
      </c>
      <c r="C111" s="72" t="s">
        <v>69</v>
      </c>
      <c r="D111" s="72" t="s">
        <v>265</v>
      </c>
      <c r="E111" s="72"/>
      <c r="F111" s="72" t="s">
        <v>266</v>
      </c>
      <c r="G111" s="72" t="s">
        <v>13</v>
      </c>
      <c r="H111" s="72" t="s">
        <v>5</v>
      </c>
      <c r="I111" s="72"/>
      <c r="J111" s="72"/>
      <c r="K111" s="72"/>
      <c r="L111" s="72"/>
      <c r="M111" s="72" t="s">
        <v>385</v>
      </c>
      <c r="N111" s="72"/>
      <c r="O111" s="72" t="s">
        <v>359</v>
      </c>
      <c r="P111" s="72"/>
      <c r="Q111" s="74"/>
      <c r="R111" s="74"/>
      <c r="S111" s="74"/>
      <c r="T111" s="74"/>
      <c r="U111" s="75"/>
      <c r="V111" s="72"/>
      <c r="W111" s="72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77" t="s">
        <v>267</v>
      </c>
      <c r="B112" s="76" t="s">
        <v>159</v>
      </c>
      <c r="C112" s="76" t="s">
        <v>268</v>
      </c>
      <c r="D112" s="76" t="s">
        <v>269</v>
      </c>
      <c r="E112" s="76"/>
      <c r="F112" s="76" t="s">
        <v>266</v>
      </c>
      <c r="G112" s="76" t="s">
        <v>13</v>
      </c>
      <c r="H112" s="76" t="s">
        <v>14</v>
      </c>
      <c r="I112" s="76"/>
      <c r="J112" s="76"/>
      <c r="K112" s="76"/>
      <c r="L112" s="76"/>
      <c r="M112" s="76" t="s">
        <v>372</v>
      </c>
      <c r="N112" s="76"/>
      <c r="O112" s="76" t="s">
        <v>346</v>
      </c>
      <c r="P112" s="76"/>
      <c r="Q112" s="78"/>
      <c r="R112" s="78"/>
      <c r="S112" s="78"/>
      <c r="T112" s="78"/>
      <c r="U112" s="79"/>
      <c r="V112" s="76"/>
      <c r="W112" s="76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73" t="s">
        <v>270</v>
      </c>
      <c r="B113" s="72" t="s">
        <v>271</v>
      </c>
      <c r="C113" s="72"/>
      <c r="D113" s="72" t="s">
        <v>272</v>
      </c>
      <c r="E113" s="72"/>
      <c r="F113" s="72" t="s">
        <v>273</v>
      </c>
      <c r="G113" s="72" t="s">
        <v>41</v>
      </c>
      <c r="H113" s="72" t="s">
        <v>49</v>
      </c>
      <c r="I113" s="72"/>
      <c r="J113" s="72"/>
      <c r="K113" s="72"/>
      <c r="L113" s="72"/>
      <c r="M113" s="72" t="s">
        <v>375</v>
      </c>
      <c r="N113" s="72"/>
      <c r="O113" s="72" t="s">
        <v>360</v>
      </c>
      <c r="P113" s="72"/>
      <c r="Q113" s="74"/>
      <c r="R113" s="74"/>
      <c r="S113" s="74"/>
      <c r="T113" s="74"/>
      <c r="U113" s="75"/>
      <c r="V113" s="72"/>
      <c r="W113" s="72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77" t="s">
        <v>274</v>
      </c>
      <c r="B114" s="76" t="s">
        <v>134</v>
      </c>
      <c r="C114" s="76" t="s">
        <v>122</v>
      </c>
      <c r="D114" s="76" t="s">
        <v>391</v>
      </c>
      <c r="E114" s="76"/>
      <c r="F114" s="76" t="s">
        <v>275</v>
      </c>
      <c r="G114" s="76" t="s">
        <v>4</v>
      </c>
      <c r="H114" s="76" t="s">
        <v>5</v>
      </c>
      <c r="I114" s="76"/>
      <c r="J114" s="76"/>
      <c r="K114" s="76"/>
      <c r="L114" s="76"/>
      <c r="M114" s="76" t="s">
        <v>375</v>
      </c>
      <c r="N114" s="76"/>
      <c r="O114" s="76" t="s">
        <v>361</v>
      </c>
      <c r="P114" s="76"/>
      <c r="Q114" s="78"/>
      <c r="R114" s="78"/>
      <c r="S114" s="78"/>
      <c r="T114" s="78"/>
      <c r="U114" s="79"/>
      <c r="V114" s="76"/>
      <c r="W114" s="76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73" t="s">
        <v>276</v>
      </c>
      <c r="B115" s="72" t="s">
        <v>182</v>
      </c>
      <c r="C115" s="72" t="s">
        <v>83</v>
      </c>
      <c r="D115" s="72" t="s">
        <v>392</v>
      </c>
      <c r="E115" s="72"/>
      <c r="F115" s="72" t="s">
        <v>225</v>
      </c>
      <c r="G115" s="72" t="s">
        <v>4</v>
      </c>
      <c r="H115" s="72" t="s">
        <v>5</v>
      </c>
      <c r="I115" s="72"/>
      <c r="J115" s="72"/>
      <c r="K115" s="72"/>
      <c r="L115" s="72"/>
      <c r="M115" s="72" t="s">
        <v>372</v>
      </c>
      <c r="N115" s="72"/>
      <c r="O115" s="72" t="s">
        <v>361</v>
      </c>
      <c r="P115" s="72"/>
      <c r="Q115" s="74"/>
      <c r="R115" s="74"/>
      <c r="S115" s="74"/>
      <c r="T115" s="74"/>
      <c r="U115" s="75"/>
      <c r="V115" s="72"/>
      <c r="W115" s="72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77" t="s">
        <v>277</v>
      </c>
      <c r="B116" s="76" t="s">
        <v>211</v>
      </c>
      <c r="C116" s="76" t="s">
        <v>69</v>
      </c>
      <c r="D116" s="76" t="s">
        <v>278</v>
      </c>
      <c r="E116" s="76"/>
      <c r="F116" s="76" t="s">
        <v>279</v>
      </c>
      <c r="G116" s="76" t="s">
        <v>13</v>
      </c>
      <c r="H116" s="76" t="s">
        <v>49</v>
      </c>
      <c r="I116" s="76">
        <v>46147</v>
      </c>
      <c r="J116" s="76"/>
      <c r="K116" s="76"/>
      <c r="L116" s="76"/>
      <c r="M116" s="76" t="s">
        <v>362</v>
      </c>
      <c r="N116" s="76"/>
      <c r="O116" s="76" t="s">
        <v>359</v>
      </c>
      <c r="P116" s="76"/>
      <c r="Q116" s="78"/>
      <c r="R116" s="78"/>
      <c r="S116" s="78"/>
      <c r="T116" s="78"/>
      <c r="U116" s="79"/>
      <c r="V116" s="76"/>
      <c r="W116" s="76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73" t="s">
        <v>280</v>
      </c>
      <c r="B117" s="72" t="s">
        <v>162</v>
      </c>
      <c r="C117" s="72" t="s">
        <v>281</v>
      </c>
      <c r="D117" s="72" t="s">
        <v>282</v>
      </c>
      <c r="E117" s="72"/>
      <c r="F117" s="72"/>
      <c r="G117" s="72" t="s">
        <v>4</v>
      </c>
      <c r="H117" s="72" t="s">
        <v>49</v>
      </c>
      <c r="I117" s="72"/>
      <c r="J117" s="72"/>
      <c r="K117" s="72"/>
      <c r="L117" s="72"/>
      <c r="M117" s="72" t="s">
        <v>372</v>
      </c>
      <c r="N117" s="72" t="s">
        <v>358</v>
      </c>
      <c r="O117" s="72" t="s">
        <v>361</v>
      </c>
      <c r="P117" s="72"/>
      <c r="Q117" s="74"/>
      <c r="R117" s="74"/>
      <c r="S117" s="74"/>
      <c r="T117" s="74"/>
      <c r="U117" s="75"/>
      <c r="V117" s="72"/>
      <c r="W117" s="72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77" t="s">
        <v>283</v>
      </c>
      <c r="B118" s="76" t="s">
        <v>75</v>
      </c>
      <c r="C118" s="76" t="s">
        <v>62</v>
      </c>
      <c r="D118" s="76" t="s">
        <v>393</v>
      </c>
      <c r="E118" s="76"/>
      <c r="F118" s="76" t="s">
        <v>284</v>
      </c>
      <c r="G118" s="76" t="s">
        <v>4</v>
      </c>
      <c r="H118" s="76" t="s">
        <v>14</v>
      </c>
      <c r="I118" s="76"/>
      <c r="J118" s="76"/>
      <c r="K118" s="76"/>
      <c r="L118" s="76"/>
      <c r="M118" s="76" t="s">
        <v>385</v>
      </c>
      <c r="N118" s="76"/>
      <c r="O118" s="76" t="s">
        <v>361</v>
      </c>
      <c r="P118" s="76"/>
      <c r="Q118" s="78"/>
      <c r="R118" s="78"/>
      <c r="S118" s="78"/>
      <c r="T118" s="78"/>
      <c r="U118" s="79"/>
      <c r="V118" s="76"/>
      <c r="W118" s="76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73" t="s">
        <v>285</v>
      </c>
      <c r="B119" s="72" t="s">
        <v>286</v>
      </c>
      <c r="C119" s="72"/>
      <c r="D119" s="72" t="s">
        <v>394</v>
      </c>
      <c r="E119" s="72"/>
      <c r="F119" s="72" t="s">
        <v>287</v>
      </c>
      <c r="G119" s="72" t="s">
        <v>4</v>
      </c>
      <c r="H119" s="72" t="s">
        <v>49</v>
      </c>
      <c r="I119" s="72"/>
      <c r="J119" s="72"/>
      <c r="K119" s="72"/>
      <c r="L119" s="72"/>
      <c r="M119" s="72" t="s">
        <v>375</v>
      </c>
      <c r="N119" s="72"/>
      <c r="O119" s="72" t="s">
        <v>361</v>
      </c>
      <c r="P119" s="72"/>
      <c r="Q119" s="74"/>
      <c r="R119" s="74"/>
      <c r="S119" s="74"/>
      <c r="T119" s="74"/>
      <c r="U119" s="75"/>
      <c r="V119" s="72"/>
      <c r="W119" s="72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77" t="s">
        <v>288</v>
      </c>
      <c r="B120" s="76" t="s">
        <v>286</v>
      </c>
      <c r="C120" s="76" t="s">
        <v>69</v>
      </c>
      <c r="D120" s="76" t="s">
        <v>289</v>
      </c>
      <c r="E120" s="76"/>
      <c r="F120" s="76" t="s">
        <v>290</v>
      </c>
      <c r="G120" s="76" t="s">
        <v>13</v>
      </c>
      <c r="H120" s="76" t="s">
        <v>49</v>
      </c>
      <c r="I120" s="76"/>
      <c r="J120" s="76"/>
      <c r="K120" s="76"/>
      <c r="L120" s="76"/>
      <c r="M120" s="76" t="s">
        <v>372</v>
      </c>
      <c r="N120" s="76"/>
      <c r="O120" s="76" t="s">
        <v>361</v>
      </c>
      <c r="P120" s="76"/>
      <c r="Q120" s="78"/>
      <c r="R120" s="78"/>
      <c r="S120" s="78"/>
      <c r="T120" s="78"/>
      <c r="U120" s="79"/>
      <c r="V120" s="76"/>
      <c r="W120" s="76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73" t="s">
        <v>291</v>
      </c>
      <c r="B121" s="72" t="s">
        <v>75</v>
      </c>
      <c r="C121" s="72" t="s">
        <v>69</v>
      </c>
      <c r="D121" s="72" t="s">
        <v>292</v>
      </c>
      <c r="E121" s="72"/>
      <c r="F121" s="72"/>
      <c r="G121" s="72"/>
      <c r="H121" s="72"/>
      <c r="I121" s="72"/>
      <c r="J121" s="72"/>
      <c r="K121" s="72"/>
      <c r="L121" s="72"/>
      <c r="M121" s="72" t="s">
        <v>367</v>
      </c>
      <c r="N121" s="72"/>
      <c r="O121" s="72"/>
      <c r="P121" s="72"/>
      <c r="Q121" s="74"/>
      <c r="R121" s="74"/>
      <c r="S121" s="74"/>
      <c r="T121" s="74"/>
      <c r="U121" s="75"/>
      <c r="V121" s="72"/>
      <c r="W121" s="72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77" t="s">
        <v>293</v>
      </c>
      <c r="B122" s="76" t="s">
        <v>227</v>
      </c>
      <c r="C122" s="76" t="s">
        <v>116</v>
      </c>
      <c r="D122" s="76" t="s">
        <v>294</v>
      </c>
      <c r="E122" s="76"/>
      <c r="F122" s="76" t="s">
        <v>228</v>
      </c>
      <c r="G122" s="76" t="s">
        <v>13</v>
      </c>
      <c r="H122" s="76" t="s">
        <v>14</v>
      </c>
      <c r="I122" s="76"/>
      <c r="J122" s="76"/>
      <c r="K122" s="76"/>
      <c r="L122" s="76"/>
      <c r="M122" s="76" t="s">
        <v>364</v>
      </c>
      <c r="N122" s="76"/>
      <c r="O122" s="76" t="s">
        <v>365</v>
      </c>
      <c r="P122" s="76"/>
      <c r="Q122" s="78"/>
      <c r="R122" s="78"/>
      <c r="S122" s="78"/>
      <c r="T122" s="78"/>
      <c r="U122" s="79"/>
      <c r="V122" s="76"/>
      <c r="W122" s="76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73" t="s">
        <v>295</v>
      </c>
      <c r="B123" s="72" t="s">
        <v>45</v>
      </c>
      <c r="C123" s="72" t="s">
        <v>296</v>
      </c>
      <c r="D123" s="72" t="s">
        <v>297</v>
      </c>
      <c r="E123" s="72"/>
      <c r="F123" s="72" t="s">
        <v>48</v>
      </c>
      <c r="G123" s="72" t="s">
        <v>13</v>
      </c>
      <c r="H123" s="72" t="s">
        <v>14</v>
      </c>
      <c r="I123" s="72"/>
      <c r="J123" s="72"/>
      <c r="K123" s="72"/>
      <c r="L123" s="72"/>
      <c r="M123" s="72" t="s">
        <v>367</v>
      </c>
      <c r="N123" s="72"/>
      <c r="O123" s="72" t="s">
        <v>363</v>
      </c>
      <c r="P123" s="72"/>
      <c r="Q123" s="74"/>
      <c r="R123" s="74"/>
      <c r="S123" s="74"/>
      <c r="T123" s="74"/>
      <c r="U123" s="75"/>
      <c r="V123" s="72"/>
      <c r="W123" s="72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77" t="s">
        <v>298</v>
      </c>
      <c r="B124" s="76" t="s">
        <v>299</v>
      </c>
      <c r="C124" s="76" t="s">
        <v>16</v>
      </c>
      <c r="D124" s="76" t="s">
        <v>300</v>
      </c>
      <c r="E124" s="76"/>
      <c r="F124" s="76" t="s">
        <v>109</v>
      </c>
      <c r="G124" s="76" t="s">
        <v>4</v>
      </c>
      <c r="H124" s="76" t="s">
        <v>49</v>
      </c>
      <c r="I124" s="76"/>
      <c r="J124" s="76"/>
      <c r="K124" s="76"/>
      <c r="L124" s="76"/>
      <c r="M124" s="76" t="s">
        <v>375</v>
      </c>
      <c r="N124" s="76"/>
      <c r="O124" s="76" t="s">
        <v>361</v>
      </c>
      <c r="P124" s="76"/>
      <c r="Q124" s="78"/>
      <c r="R124" s="78"/>
      <c r="S124" s="78"/>
      <c r="T124" s="78"/>
      <c r="U124" s="79"/>
      <c r="V124" s="76"/>
      <c r="W124" s="76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73" t="s">
        <v>301</v>
      </c>
      <c r="B125" s="72" t="s">
        <v>302</v>
      </c>
      <c r="C125" s="72" t="s">
        <v>69</v>
      </c>
      <c r="D125" s="72" t="s">
        <v>303</v>
      </c>
      <c r="E125" s="72"/>
      <c r="F125" s="72"/>
      <c r="G125" s="72" t="s">
        <v>4</v>
      </c>
      <c r="H125" s="72" t="s">
        <v>49</v>
      </c>
      <c r="I125" s="72"/>
      <c r="J125" s="72"/>
      <c r="K125" s="72"/>
      <c r="L125" s="72"/>
      <c r="M125" s="72" t="s">
        <v>375</v>
      </c>
      <c r="N125" s="72"/>
      <c r="O125" s="72" t="s">
        <v>361</v>
      </c>
      <c r="P125" s="72"/>
      <c r="Q125" s="74"/>
      <c r="R125" s="74"/>
      <c r="S125" s="74"/>
      <c r="T125" s="74"/>
      <c r="U125" s="75"/>
      <c r="V125" s="72"/>
      <c r="W125" s="72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77" t="s">
        <v>304</v>
      </c>
      <c r="B126" s="76" t="s">
        <v>305</v>
      </c>
      <c r="C126" s="76"/>
      <c r="D126" s="76"/>
      <c r="E126" s="76"/>
      <c r="F126" s="76" t="s">
        <v>306</v>
      </c>
      <c r="G126" s="76" t="s">
        <v>13</v>
      </c>
      <c r="H126" s="76"/>
      <c r="I126" s="76"/>
      <c r="J126" s="76"/>
      <c r="K126" s="76"/>
      <c r="L126" s="76"/>
      <c r="M126" s="76" t="s">
        <v>367</v>
      </c>
      <c r="N126" s="76"/>
      <c r="O126" s="76" t="s">
        <v>359</v>
      </c>
      <c r="P126" s="76"/>
      <c r="Q126" s="78"/>
      <c r="R126" s="78"/>
      <c r="S126" s="78"/>
      <c r="T126" s="78"/>
      <c r="U126" s="79"/>
      <c r="V126" s="76"/>
      <c r="W126" s="76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73" t="s">
        <v>307</v>
      </c>
      <c r="B127" s="72" t="s">
        <v>305</v>
      </c>
      <c r="C127" s="72"/>
      <c r="D127" s="72"/>
      <c r="E127" s="72"/>
      <c r="F127" s="72" t="s">
        <v>306</v>
      </c>
      <c r="G127" s="72" t="s">
        <v>308</v>
      </c>
      <c r="H127" s="72"/>
      <c r="I127" s="72"/>
      <c r="J127" s="72"/>
      <c r="K127" s="72"/>
      <c r="L127" s="72"/>
      <c r="M127" s="72" t="s">
        <v>367</v>
      </c>
      <c r="N127" s="72"/>
      <c r="O127" s="72" t="s">
        <v>359</v>
      </c>
      <c r="P127" s="72"/>
      <c r="Q127" s="74"/>
      <c r="R127" s="74"/>
      <c r="S127" s="74"/>
      <c r="T127" s="74"/>
      <c r="U127" s="75"/>
      <c r="V127" s="72"/>
      <c r="W127" s="72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77" t="s">
        <v>309</v>
      </c>
      <c r="B128" s="76" t="s">
        <v>9</v>
      </c>
      <c r="C128" s="76" t="s">
        <v>69</v>
      </c>
      <c r="D128" s="76" t="s">
        <v>310</v>
      </c>
      <c r="E128" s="76"/>
      <c r="F128" s="76" t="s">
        <v>311</v>
      </c>
      <c r="G128" s="76" t="s">
        <v>13</v>
      </c>
      <c r="H128" s="76" t="s">
        <v>49</v>
      </c>
      <c r="I128" s="76"/>
      <c r="J128" s="76"/>
      <c r="K128" s="76"/>
      <c r="L128" s="76"/>
      <c r="M128" s="76" t="s">
        <v>372</v>
      </c>
      <c r="N128" s="76"/>
      <c r="O128" s="76" t="s">
        <v>361</v>
      </c>
      <c r="P128" s="76"/>
      <c r="Q128" s="78"/>
      <c r="R128" s="78"/>
      <c r="S128" s="78"/>
      <c r="T128" s="78"/>
      <c r="U128" s="79"/>
      <c r="V128" s="76"/>
      <c r="W128" s="76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73" t="s">
        <v>312</v>
      </c>
      <c r="B129" s="72" t="s">
        <v>75</v>
      </c>
      <c r="C129" s="72" t="s">
        <v>69</v>
      </c>
      <c r="D129" s="72" t="s">
        <v>313</v>
      </c>
      <c r="E129" s="72"/>
      <c r="F129" s="72" t="s">
        <v>314</v>
      </c>
      <c r="G129" s="72" t="s">
        <v>4</v>
      </c>
      <c r="H129" s="72" t="s">
        <v>49</v>
      </c>
      <c r="I129" s="72"/>
      <c r="J129" s="72"/>
      <c r="K129" s="72"/>
      <c r="L129" s="72"/>
      <c r="M129" s="72" t="s">
        <v>375</v>
      </c>
      <c r="N129" s="72"/>
      <c r="O129" s="72" t="s">
        <v>366</v>
      </c>
      <c r="P129" s="72"/>
      <c r="Q129" s="74"/>
      <c r="R129" s="74"/>
      <c r="S129" s="74"/>
      <c r="T129" s="74"/>
      <c r="U129" s="75"/>
      <c r="V129" s="72"/>
      <c r="W129" s="72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77" t="s">
        <v>315</v>
      </c>
      <c r="B130" s="76" t="s">
        <v>45</v>
      </c>
      <c r="C130" s="76" t="s">
        <v>316</v>
      </c>
      <c r="D130" s="76" t="s">
        <v>317</v>
      </c>
      <c r="E130" s="76"/>
      <c r="F130" s="76"/>
      <c r="G130" s="76" t="s">
        <v>13</v>
      </c>
      <c r="H130" s="76"/>
      <c r="I130" s="76"/>
      <c r="J130" s="76"/>
      <c r="K130" s="76"/>
      <c r="L130" s="76"/>
      <c r="M130" s="76" t="s">
        <v>395</v>
      </c>
      <c r="N130" s="76" t="s">
        <v>370</v>
      </c>
      <c r="O130" s="76" t="s">
        <v>363</v>
      </c>
      <c r="P130" s="76"/>
      <c r="Q130" s="78"/>
      <c r="R130" s="78"/>
      <c r="S130" s="78"/>
      <c r="T130" s="78"/>
      <c r="U130" s="79"/>
      <c r="V130" s="76"/>
      <c r="W130" s="76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73" t="s">
        <v>318</v>
      </c>
      <c r="B131" s="72" t="s">
        <v>45</v>
      </c>
      <c r="C131" s="72" t="s">
        <v>316</v>
      </c>
      <c r="D131" s="72" t="s">
        <v>319</v>
      </c>
      <c r="E131" s="72"/>
      <c r="F131" s="72" t="s">
        <v>48</v>
      </c>
      <c r="G131" s="72" t="s">
        <v>320</v>
      </c>
      <c r="H131" s="72"/>
      <c r="I131" s="72"/>
      <c r="J131" s="72"/>
      <c r="K131" s="72"/>
      <c r="L131" s="72"/>
      <c r="M131" s="72" t="s">
        <v>395</v>
      </c>
      <c r="N131" s="72" t="s">
        <v>370</v>
      </c>
      <c r="O131" s="72" t="s">
        <v>367</v>
      </c>
      <c r="P131" s="72"/>
      <c r="Q131" s="74"/>
      <c r="R131" s="74"/>
      <c r="S131" s="74"/>
      <c r="T131" s="74"/>
      <c r="U131" s="75"/>
      <c r="V131" s="72"/>
      <c r="W131" s="72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77" t="s">
        <v>321</v>
      </c>
      <c r="B132" s="76" t="s">
        <v>45</v>
      </c>
      <c r="C132" s="76" t="s">
        <v>316</v>
      </c>
      <c r="D132" s="76" t="s">
        <v>322</v>
      </c>
      <c r="E132" s="76"/>
      <c r="F132" s="76" t="s">
        <v>48</v>
      </c>
      <c r="G132" s="76" t="s">
        <v>320</v>
      </c>
      <c r="H132" s="76"/>
      <c r="I132" s="76"/>
      <c r="J132" s="76"/>
      <c r="K132" s="76"/>
      <c r="L132" s="76"/>
      <c r="M132" s="76" t="s">
        <v>375</v>
      </c>
      <c r="N132" s="76" t="s">
        <v>370</v>
      </c>
      <c r="O132" s="76" t="s">
        <v>366</v>
      </c>
      <c r="P132" s="76"/>
      <c r="Q132" s="78"/>
      <c r="R132" s="78"/>
      <c r="S132" s="78"/>
      <c r="T132" s="78"/>
      <c r="U132" s="79"/>
      <c r="V132" s="76"/>
      <c r="W132" s="76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73" t="s">
        <v>323</v>
      </c>
      <c r="B133" s="72" t="s">
        <v>305</v>
      </c>
      <c r="C133" s="72"/>
      <c r="D133" s="72"/>
      <c r="E133" s="72"/>
      <c r="F133" s="72" t="s">
        <v>306</v>
      </c>
      <c r="G133" s="72" t="s">
        <v>4</v>
      </c>
      <c r="H133" s="72"/>
      <c r="I133" s="72"/>
      <c r="J133" s="72"/>
      <c r="K133" s="72"/>
      <c r="L133" s="72"/>
      <c r="M133" s="72" t="s">
        <v>367</v>
      </c>
      <c r="N133" s="72"/>
      <c r="O133" s="72" t="s">
        <v>361</v>
      </c>
      <c r="P133" s="72"/>
      <c r="Q133" s="74"/>
      <c r="R133" s="74"/>
      <c r="S133" s="74"/>
      <c r="T133" s="74"/>
      <c r="U133" s="75"/>
      <c r="V133" s="72"/>
      <c r="W133" s="72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77" t="s">
        <v>324</v>
      </c>
      <c r="B134" s="76" t="s">
        <v>75</v>
      </c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 t="s">
        <v>367</v>
      </c>
      <c r="N134" s="76"/>
      <c r="O134" s="76" t="s">
        <v>367</v>
      </c>
      <c r="P134" s="76"/>
      <c r="Q134" s="78"/>
      <c r="R134" s="78"/>
      <c r="S134" s="78"/>
      <c r="T134" s="78"/>
      <c r="U134" s="79"/>
      <c r="V134" s="76"/>
      <c r="W134" s="76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73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4"/>
      <c r="R135" s="74"/>
      <c r="S135" s="74"/>
      <c r="T135" s="74"/>
      <c r="U135" s="75"/>
      <c r="V135" s="72"/>
      <c r="W135" s="72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77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8"/>
      <c r="R136" s="78"/>
      <c r="S136" s="78"/>
      <c r="T136" s="78"/>
      <c r="U136" s="79"/>
      <c r="V136" s="76"/>
      <c r="W136" s="76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73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4"/>
      <c r="R137" s="74"/>
      <c r="S137" s="74"/>
      <c r="T137" s="74"/>
      <c r="U137" s="75"/>
      <c r="V137" s="72"/>
      <c r="W137" s="72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77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8"/>
      <c r="R138" s="78"/>
      <c r="S138" s="78"/>
      <c r="T138" s="78"/>
      <c r="U138" s="79"/>
      <c r="V138" s="76"/>
      <c r="W138" s="76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73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4"/>
      <c r="R139" s="74"/>
      <c r="S139" s="74"/>
      <c r="T139" s="74"/>
      <c r="U139" s="75"/>
      <c r="V139" s="72"/>
      <c r="W139" s="72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77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8"/>
      <c r="R140" s="78"/>
      <c r="S140" s="78"/>
      <c r="T140" s="78"/>
      <c r="U140" s="79"/>
      <c r="V140" s="76"/>
      <c r="W140" s="76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73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4"/>
      <c r="R141" s="74"/>
      <c r="S141" s="74"/>
      <c r="T141" s="74"/>
      <c r="U141" s="75"/>
      <c r="V141" s="72"/>
      <c r="W141" s="72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77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8"/>
      <c r="R142" s="78"/>
      <c r="S142" s="78"/>
      <c r="T142" s="78"/>
      <c r="U142" s="79"/>
      <c r="V142" s="76"/>
      <c r="W142" s="76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73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4"/>
      <c r="R143" s="74"/>
      <c r="S143" s="74"/>
      <c r="T143" s="74"/>
      <c r="U143" s="75"/>
      <c r="V143" s="72"/>
      <c r="W143" s="72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77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8"/>
      <c r="R144" s="78"/>
      <c r="S144" s="78"/>
      <c r="T144" s="78"/>
      <c r="U144" s="79"/>
      <c r="V144" s="76"/>
      <c r="W144" s="76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73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4"/>
      <c r="R145" s="74"/>
      <c r="S145" s="74"/>
      <c r="T145" s="74"/>
      <c r="U145" s="75"/>
      <c r="V145" s="72"/>
      <c r="W145" s="72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77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8"/>
      <c r="R146" s="78"/>
      <c r="S146" s="78"/>
      <c r="T146" s="78"/>
      <c r="U146" s="79"/>
      <c r="V146" s="76"/>
      <c r="W146" s="76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73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4"/>
      <c r="R147" s="74"/>
      <c r="S147" s="74"/>
      <c r="T147" s="74"/>
      <c r="U147" s="75"/>
      <c r="V147" s="72"/>
      <c r="W147" s="72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77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8"/>
      <c r="R148" s="78"/>
      <c r="S148" s="78"/>
      <c r="T148" s="78"/>
      <c r="U148" s="79"/>
      <c r="V148" s="76"/>
      <c r="W148" s="76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73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4"/>
      <c r="R149" s="74"/>
      <c r="S149" s="74"/>
      <c r="T149" s="74"/>
      <c r="U149" s="75"/>
      <c r="V149" s="72"/>
      <c r="W149" s="72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77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8"/>
      <c r="R150" s="78"/>
      <c r="S150" s="78"/>
      <c r="T150" s="78"/>
      <c r="U150" s="79"/>
      <c r="V150" s="76"/>
      <c r="W150" s="76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73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4"/>
      <c r="R151" s="74"/>
      <c r="S151" s="74"/>
      <c r="T151" s="74"/>
      <c r="U151" s="75"/>
      <c r="V151" s="72"/>
      <c r="W151" s="72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77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8"/>
      <c r="R152" s="78"/>
      <c r="S152" s="78"/>
      <c r="T152" s="78"/>
      <c r="U152" s="79"/>
      <c r="V152" s="76"/>
      <c r="W152" s="76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73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4"/>
      <c r="R153" s="74"/>
      <c r="S153" s="74"/>
      <c r="T153" s="74"/>
      <c r="U153" s="75"/>
      <c r="V153" s="72"/>
      <c r="W153" s="72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77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8"/>
      <c r="R154" s="78"/>
      <c r="S154" s="78"/>
      <c r="T154" s="78"/>
      <c r="U154" s="79"/>
      <c r="V154" s="76"/>
      <c r="W154" s="76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73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4"/>
      <c r="R155" s="74"/>
      <c r="S155" s="74"/>
      <c r="T155" s="74"/>
      <c r="U155" s="75"/>
      <c r="V155" s="72"/>
      <c r="W155" s="72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77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8"/>
      <c r="R156" s="78"/>
      <c r="S156" s="78"/>
      <c r="T156" s="78"/>
      <c r="U156" s="79"/>
      <c r="V156" s="76"/>
      <c r="W156" s="76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73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4"/>
      <c r="R157" s="74"/>
      <c r="S157" s="74"/>
      <c r="T157" s="74"/>
      <c r="U157" s="75"/>
      <c r="V157" s="72"/>
      <c r="W157" s="72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77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8"/>
      <c r="R158" s="78"/>
      <c r="S158" s="78"/>
      <c r="T158" s="78"/>
      <c r="U158" s="79"/>
      <c r="V158" s="76"/>
      <c r="W158" s="76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73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4"/>
      <c r="R159" s="74"/>
      <c r="S159" s="74"/>
      <c r="T159" s="74"/>
      <c r="U159" s="75"/>
      <c r="V159" s="72"/>
      <c r="W159" s="72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77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8"/>
      <c r="R160" s="78"/>
      <c r="S160" s="78"/>
      <c r="T160" s="78"/>
      <c r="U160" s="79"/>
      <c r="V160" s="76"/>
      <c r="W160" s="76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73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4"/>
      <c r="R161" s="74"/>
      <c r="S161" s="74"/>
      <c r="T161" s="74"/>
      <c r="U161" s="75"/>
      <c r="V161" s="72"/>
      <c r="W161" s="72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77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8"/>
      <c r="R162" s="78"/>
      <c r="S162" s="78"/>
      <c r="T162" s="78"/>
      <c r="U162" s="79"/>
      <c r="V162" s="76"/>
      <c r="W162" s="76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73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4"/>
      <c r="R163" s="74"/>
      <c r="S163" s="74"/>
      <c r="T163" s="74"/>
      <c r="U163" s="75"/>
      <c r="V163" s="72"/>
      <c r="W163" s="72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77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8"/>
      <c r="R164" s="78"/>
      <c r="S164" s="78"/>
      <c r="T164" s="78"/>
      <c r="U164" s="79"/>
      <c r="V164" s="76"/>
      <c r="W164" s="76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8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F5EB-C3BD-4348-8BE2-C7F107590BDA}">
  <sheetPr codeName="Planilha1"/>
  <dimension ref="A1:AE164"/>
  <sheetViews>
    <sheetView showGridLines="0" zoomScale="90" workbookViewId="0">
      <pane ySplit="2" topLeftCell="A3" activePane="bottomLeft" state="frozen"/>
      <selection pane="bottomLeft"/>
    </sheetView>
  </sheetViews>
  <sheetFormatPr defaultRowHeight="15" x14ac:dyDescent="0.25"/>
  <cols>
    <col min="1" max="1" customWidth="true" width="52.0"/>
    <col min="2" max="2" customWidth="true" width="22.0"/>
    <col min="3" max="3" customWidth="true" width="26.0"/>
    <col min="4" max="4" customWidth="true" width="20.0"/>
    <col min="5" max="5" customWidth="true" width="17.7109375"/>
    <col min="6" max="6" customWidth="true" width="18.0"/>
    <col min="7" max="7" customWidth="true" width="20.0"/>
    <col min="8" max="8" customWidth="true" width="8.7109375"/>
    <col min="9" max="9" customWidth="true" width="16.7109375"/>
    <col min="10" max="10" customWidth="true" width="10.85546875"/>
    <col min="11" max="11" customWidth="true" width="16.7109375"/>
    <col min="12" max="12" customWidth="true" width="11.7109375"/>
    <col min="13" max="13" customWidth="true" width="16.7109375"/>
    <col min="14" max="14" customWidth="true" width="10.28515625"/>
    <col min="15" max="15" customWidth="true" width="16.7109375"/>
    <col min="16" max="16" customWidth="true" width="13.7109375"/>
    <col min="17" max="17" customWidth="true" width="44.0"/>
    <col min="18" max="18" customWidth="true" width="62.0"/>
    <col min="19" max="19" customWidth="true" width="42.0"/>
    <col min="20" max="20" customWidth="true" width="48.0"/>
    <col min="21" max="21" customWidth="true" width="18.0"/>
    <col min="22" max="22" customWidth="true" width="24.0"/>
    <col min="23" max="23" customWidth="true" width="18.0"/>
    <col min="24" max="31" customWidth="true" hidden="true" width="22.0"/>
  </cols>
  <sheetData>
    <row r="1" spans="1:31" ht="42" customHeight="1" x14ac:dyDescent="0.25">
      <c r="A1" s="253" t="s">
        <v>403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"/>
    </row>
    <row r="2" spans="1:31" ht="32.1" customHeight="1" thickBot="1" x14ac:dyDescent="0.3">
      <c r="A2" s="5" t="s">
        <v>325</v>
      </c>
      <c r="B2" s="5" t="s">
        <v>326</v>
      </c>
      <c r="C2" s="5" t="s">
        <v>404</v>
      </c>
      <c r="D2" s="5" t="s">
        <v>328</v>
      </c>
      <c r="E2" s="5" t="s">
        <v>329</v>
      </c>
      <c r="F2" s="5" t="s">
        <v>330</v>
      </c>
      <c r="G2" s="5" t="s">
        <v>331</v>
      </c>
      <c r="H2" s="5" t="s">
        <v>332</v>
      </c>
      <c r="I2" s="5" t="s">
        <v>333</v>
      </c>
      <c r="J2" s="5" t="s">
        <v>334</v>
      </c>
      <c r="K2" s="5" t="s">
        <v>335</v>
      </c>
      <c r="L2" s="5" t="s">
        <v>336</v>
      </c>
      <c r="M2" s="5" t="s">
        <v>337</v>
      </c>
      <c r="N2" s="5" t="s">
        <v>338</v>
      </c>
      <c r="O2" s="5" t="s">
        <v>339</v>
      </c>
      <c r="P2" s="5" t="s">
        <v>340</v>
      </c>
      <c r="Q2" s="6" t="s">
        <v>405</v>
      </c>
      <c r="R2" s="7" t="s">
        <v>406</v>
      </c>
      <c r="S2" s="8" t="s">
        <v>475</v>
      </c>
      <c r="T2" s="9" t="s">
        <v>438</v>
      </c>
      <c r="U2" s="10" t="s">
        <v>439</v>
      </c>
      <c r="V2" s="11" t="s">
        <v>440</v>
      </c>
      <c r="W2" s="12" t="s">
        <v>407</v>
      </c>
      <c r="X2" s="5" t="s">
        <v>408</v>
      </c>
      <c r="Y2" s="5" t="s">
        <v>409</v>
      </c>
      <c r="Z2" s="5" t="s">
        <v>410</v>
      </c>
      <c r="AA2" s="5" t="s">
        <v>411</v>
      </c>
      <c r="AB2" s="5" t="s">
        <v>441</v>
      </c>
      <c r="AC2" s="5" t="s">
        <v>442</v>
      </c>
      <c r="AD2" s="5" t="s">
        <v>443</v>
      </c>
      <c r="AE2" s="3"/>
    </row>
    <row r="3" spans="1:31" ht="21.95" customHeight="1" thickTop="1" x14ac:dyDescent="0.25">
      <c r="A3" s="81" t="s">
        <v>0</v>
      </c>
      <c r="B3" s="80" t="s">
        <v>1</v>
      </c>
      <c r="C3" s="80" t="s">
        <v>2</v>
      </c>
      <c r="D3" s="80">
        <v>35381421000194</v>
      </c>
      <c r="E3" s="80"/>
      <c r="F3" s="80" t="s">
        <v>3</v>
      </c>
      <c r="G3" s="80" t="s">
        <v>4</v>
      </c>
      <c r="H3" s="80" t="s">
        <v>5</v>
      </c>
      <c r="I3" s="80" t="s">
        <v>341</v>
      </c>
      <c r="J3" s="80"/>
      <c r="K3" s="80"/>
      <c r="L3" s="80"/>
      <c r="M3" s="80"/>
      <c r="N3" s="80"/>
      <c r="O3" s="80"/>
      <c r="P3" s="80"/>
      <c r="Q3" s="82"/>
      <c r="R3" s="82"/>
      <c r="S3" s="82"/>
      <c r="T3" s="82"/>
      <c r="U3" s="83"/>
      <c r="V3" s="80"/>
      <c r="W3" s="80"/>
      <c r="X3" s="23" t="str">
        <f t="shared" ref="X3:X34" si="0">IF(A3="","",IF(LEN(IF(ISNUMBER(D3),TEXT(D3,"00000000000000"),SUBSTITUTE(SUBSTITUTE(SUBSTITUTE(SUBSTITUTE(SUBSTITUTE(D3,".",""),"/",""),"-","")," ",""),CHAR(160),"")))&lt;&gt;14,"CNPJ INVALIDO","OK"))</f>
        <v>OK</v>
      </c>
      <c r="Y3" s="23" t="str">
        <f t="shared" ref="Y3:Y34" si="1">IF(A3="","",IF(R3="","REST PENDENTE","REST OK"))</f>
        <v>REST PENDENTE</v>
      </c>
      <c r="Z3" s="23" t="str">
        <f t="shared" ref="Z3:Z34" si="2">IF(A3="","",IF(AND(R3&lt;&gt;"",COUNTIFS($D$3:$D$164,D3,$R$3:$R$164,"&lt;&gt;")&gt;1),"DUPLICADO","OK"))</f>
        <v>OK</v>
      </c>
      <c r="AA3" s="23" t="str">
        <f t="shared" ref="AA3:AA34" si="3">IF(A3="","",IF(OR(LEN(Q3)&gt;180,LEN(R3)&gt;180,LEN(S3)&gt;180,LEN(T3)&gt;180),"CAMINHO LONGO","OK"))</f>
        <v>OK</v>
      </c>
      <c r="AB3" s="23" t="str">
        <f t="shared" ref="AB3:AB34" ca="1" si="4">IF(A3="","",IF(U3="","",IFERROR(INT(U3-TODAY()),"")))</f>
        <v/>
      </c>
      <c r="AC3" s="23" t="str">
        <f t="shared" ref="AC3:AC34" si="5">IF(A3="","",IF(AND(T3="",U3=""),"",IF(T3="","SEM CAMINHO",IF(U3="","SEM DATA",IFERROR(IF(AB3&lt;15,"VERMELHO",IF(AB3&lt;=30,"AMARELO","VERDE")),"DATA INVALIDA")))))</f>
        <v/>
      </c>
      <c r="AD3" s="23" t="str">
        <f ca="1">IF(OR(A3="",U3="",NOT(ISNUMBER(AB3))),"",RANK(AB3,$AB$3:$AB$164,1)+COUNTIFS($AB$3:AB3,AB3)-1)</f>
        <v/>
      </c>
      <c r="AE3" s="4"/>
    </row>
    <row r="4" spans="1:31" ht="21.95" customHeight="1" x14ac:dyDescent="0.25">
      <c r="A4" s="85" t="s">
        <v>6</v>
      </c>
      <c r="B4" s="84" t="s">
        <v>1</v>
      </c>
      <c r="C4" s="84" t="s">
        <v>2</v>
      </c>
      <c r="D4" s="84" t="s">
        <v>7</v>
      </c>
      <c r="E4" s="84"/>
      <c r="F4" s="84" t="s">
        <v>3</v>
      </c>
      <c r="G4" s="84" t="s">
        <v>4</v>
      </c>
      <c r="H4" s="84" t="s">
        <v>5</v>
      </c>
      <c r="I4" s="84" t="s">
        <v>341</v>
      </c>
      <c r="J4" s="84"/>
      <c r="K4" s="84"/>
      <c r="L4" s="84"/>
      <c r="M4" s="84"/>
      <c r="N4" s="84"/>
      <c r="O4" s="84"/>
      <c r="P4" s="84"/>
      <c r="Q4" s="86"/>
      <c r="R4" s="86"/>
      <c r="S4" s="86"/>
      <c r="T4" s="86"/>
      <c r="U4" s="87"/>
      <c r="V4" s="84"/>
      <c r="W4" s="84"/>
      <c r="X4" s="23" t="str">
        <f t="shared" si="0"/>
        <v>OK</v>
      </c>
      <c r="Y4" s="23" t="str">
        <f t="shared" si="1"/>
        <v>REST PENDENTE</v>
      </c>
      <c r="Z4" s="23" t="str">
        <f t="shared" si="2"/>
        <v>OK</v>
      </c>
      <c r="AA4" s="23" t="str">
        <f t="shared" si="3"/>
        <v>OK</v>
      </c>
      <c r="AB4" s="23" t="str">
        <f t="shared" ca="1" si="4"/>
        <v/>
      </c>
      <c r="AC4" s="23" t="str">
        <f t="shared" si="5"/>
        <v/>
      </c>
      <c r="AD4" s="23" t="str">
        <f ca="1">IF(OR(A4="",U4="",NOT(ISNUMBER(AB4))),"",RANK(AB4,$AB$3:$AB$164,1)+COUNTIFS($AB$3:AB4,AB4)-1)</f>
        <v/>
      </c>
      <c r="AE4" s="4"/>
    </row>
    <row r="5" spans="1:31" ht="21.95" customHeight="1" x14ac:dyDescent="0.25">
      <c r="A5" s="81" t="s">
        <v>8</v>
      </c>
      <c r="B5" s="80" t="s">
        <v>9</v>
      </c>
      <c r="C5" s="80" t="s">
        <v>10</v>
      </c>
      <c r="D5" s="80" t="s">
        <v>11</v>
      </c>
      <c r="E5" s="80"/>
      <c r="F5" s="80" t="s">
        <v>12</v>
      </c>
      <c r="G5" s="80" t="s">
        <v>13</v>
      </c>
      <c r="H5" s="80" t="s">
        <v>14</v>
      </c>
      <c r="I5" s="80" t="s">
        <v>341</v>
      </c>
      <c r="J5" s="80"/>
      <c r="K5" s="80"/>
      <c r="L5" s="80"/>
      <c r="M5" s="80"/>
      <c r="N5" s="80"/>
      <c r="O5" s="80"/>
      <c r="P5" s="80"/>
      <c r="Q5" s="82"/>
      <c r="R5" s="82"/>
      <c r="S5" s="82"/>
      <c r="T5" s="82"/>
      <c r="U5" s="83"/>
      <c r="V5" s="80"/>
      <c r="W5" s="80"/>
      <c r="X5" s="23" t="str">
        <f t="shared" si="0"/>
        <v>OK</v>
      </c>
      <c r="Y5" s="23" t="str">
        <f t="shared" si="1"/>
        <v>REST PENDENTE</v>
      </c>
      <c r="Z5" s="23" t="str">
        <f t="shared" si="2"/>
        <v>OK</v>
      </c>
      <c r="AA5" s="23" t="str">
        <f t="shared" si="3"/>
        <v>OK</v>
      </c>
      <c r="AB5" s="23" t="str">
        <f t="shared" ca="1" si="4"/>
        <v/>
      </c>
      <c r="AC5" s="23" t="str">
        <f t="shared" si="5"/>
        <v/>
      </c>
      <c r="AD5" s="23" t="str">
        <f ca="1">IF(OR(A5="",U5="",NOT(ISNUMBER(AB5))),"",RANK(AB5,$AB$3:$AB$164,1)+COUNTIFS($AB$3:AB5,AB5)-1)</f>
        <v/>
      </c>
      <c r="AE5" s="4"/>
    </row>
    <row r="6" spans="1:31" ht="21.95" customHeight="1" x14ac:dyDescent="0.25">
      <c r="A6" s="85" t="s">
        <v>15</v>
      </c>
      <c r="B6" s="84" t="s">
        <v>9</v>
      </c>
      <c r="C6" s="84" t="s">
        <v>16</v>
      </c>
      <c r="D6" s="84" t="s">
        <v>17</v>
      </c>
      <c r="E6" s="84"/>
      <c r="F6" s="84" t="s">
        <v>12</v>
      </c>
      <c r="G6" s="84" t="s">
        <v>13</v>
      </c>
      <c r="H6" s="84" t="s">
        <v>14</v>
      </c>
      <c r="I6" s="84" t="s">
        <v>341</v>
      </c>
      <c r="J6" s="84" t="s">
        <v>341</v>
      </c>
      <c r="K6" s="84" t="s">
        <v>341</v>
      </c>
      <c r="L6" s="84" t="s">
        <v>341</v>
      </c>
      <c r="M6" s="84" t="s">
        <v>341</v>
      </c>
      <c r="N6" s="84" t="s">
        <v>341</v>
      </c>
      <c r="O6" s="84" t="s">
        <v>341</v>
      </c>
      <c r="P6" s="84" t="s">
        <v>341</v>
      </c>
      <c r="Q6" s="86"/>
      <c r="R6" s="86"/>
      <c r="S6" s="86"/>
      <c r="T6" s="86"/>
      <c r="U6" s="87"/>
      <c r="V6" s="84"/>
      <c r="W6" s="84"/>
      <c r="X6" s="23" t="str">
        <f t="shared" si="0"/>
        <v>OK</v>
      </c>
      <c r="Y6" s="23" t="str">
        <f t="shared" si="1"/>
        <v>REST PENDENTE</v>
      </c>
      <c r="Z6" s="23" t="str">
        <f t="shared" si="2"/>
        <v>OK</v>
      </c>
      <c r="AA6" s="23" t="str">
        <f t="shared" si="3"/>
        <v>OK</v>
      </c>
      <c r="AB6" s="23" t="str">
        <f t="shared" ca="1" si="4"/>
        <v/>
      </c>
      <c r="AC6" s="23" t="str">
        <f t="shared" si="5"/>
        <v/>
      </c>
      <c r="AD6" s="23" t="str">
        <f ca="1">IF(OR(A6="",U6="",NOT(ISNUMBER(AB6))),"",RANK(AB6,$AB$3:$AB$164,1)+COUNTIFS($AB$3:AB6,AB6)-1)</f>
        <v/>
      </c>
      <c r="AE6" s="4"/>
    </row>
    <row r="7" spans="1:31" ht="21.95" customHeight="1" x14ac:dyDescent="0.25">
      <c r="A7" s="81" t="s">
        <v>18</v>
      </c>
      <c r="B7" s="80" t="s">
        <v>9</v>
      </c>
      <c r="C7" s="80" t="s">
        <v>19</v>
      </c>
      <c r="D7" s="80" t="s">
        <v>20</v>
      </c>
      <c r="E7" s="80"/>
      <c r="F7" s="80" t="s">
        <v>12</v>
      </c>
      <c r="G7" s="80" t="s">
        <v>13</v>
      </c>
      <c r="H7" s="80" t="s">
        <v>14</v>
      </c>
      <c r="I7" s="80" t="s">
        <v>341</v>
      </c>
      <c r="J7" s="80" t="s">
        <v>341</v>
      </c>
      <c r="K7" s="80" t="s">
        <v>341</v>
      </c>
      <c r="L7" s="80" t="s">
        <v>341</v>
      </c>
      <c r="M7" s="80" t="s">
        <v>341</v>
      </c>
      <c r="N7" s="80" t="s">
        <v>341</v>
      </c>
      <c r="O7" s="80" t="s">
        <v>341</v>
      </c>
      <c r="P7" s="80" t="s">
        <v>341</v>
      </c>
      <c r="Q7" s="82"/>
      <c r="R7" s="82"/>
      <c r="S7" s="82"/>
      <c r="T7" s="82"/>
      <c r="U7" s="83"/>
      <c r="V7" s="80"/>
      <c r="W7" s="80"/>
      <c r="X7" s="23" t="str">
        <f t="shared" si="0"/>
        <v>OK</v>
      </c>
      <c r="Y7" s="23" t="str">
        <f t="shared" si="1"/>
        <v>REST PENDENTE</v>
      </c>
      <c r="Z7" s="23" t="str">
        <f t="shared" si="2"/>
        <v>OK</v>
      </c>
      <c r="AA7" s="23" t="str">
        <f t="shared" si="3"/>
        <v>OK</v>
      </c>
      <c r="AB7" s="23" t="str">
        <f t="shared" ca="1" si="4"/>
        <v/>
      </c>
      <c r="AC7" s="23" t="str">
        <f t="shared" si="5"/>
        <v/>
      </c>
      <c r="AD7" s="23" t="str">
        <f ca="1">IF(OR(A7="",U7="",NOT(ISNUMBER(AB7))),"",RANK(AB7,$AB$3:$AB$164,1)+COUNTIFS($AB$3:AB7,AB7)-1)</f>
        <v/>
      </c>
      <c r="AE7" s="4"/>
    </row>
    <row r="8" spans="1:31" ht="21.95" customHeight="1" x14ac:dyDescent="0.25">
      <c r="A8" s="85" t="s">
        <v>21</v>
      </c>
      <c r="B8" s="84" t="s">
        <v>9</v>
      </c>
      <c r="C8" s="84" t="s">
        <v>19</v>
      </c>
      <c r="D8" s="84" t="s">
        <v>22</v>
      </c>
      <c r="E8" s="84"/>
      <c r="F8" s="84" t="s">
        <v>12</v>
      </c>
      <c r="G8" s="84" t="s">
        <v>13</v>
      </c>
      <c r="H8" s="84" t="s">
        <v>14</v>
      </c>
      <c r="I8" s="84" t="s">
        <v>341</v>
      </c>
      <c r="J8" s="84" t="s">
        <v>341</v>
      </c>
      <c r="K8" s="84" t="s">
        <v>341</v>
      </c>
      <c r="L8" s="84" t="s">
        <v>341</v>
      </c>
      <c r="M8" s="84" t="s">
        <v>341</v>
      </c>
      <c r="N8" s="84" t="s">
        <v>341</v>
      </c>
      <c r="O8" s="84" t="s">
        <v>341</v>
      </c>
      <c r="P8" s="84" t="s">
        <v>341</v>
      </c>
      <c r="Q8" s="86"/>
      <c r="R8" s="86"/>
      <c r="S8" s="86"/>
      <c r="T8" s="86"/>
      <c r="U8" s="87"/>
      <c r="V8" s="84"/>
      <c r="W8" s="84"/>
      <c r="X8" s="23" t="str">
        <f t="shared" si="0"/>
        <v>OK</v>
      </c>
      <c r="Y8" s="23" t="str">
        <f t="shared" si="1"/>
        <v>REST PENDENTE</v>
      </c>
      <c r="Z8" s="23" t="str">
        <f t="shared" si="2"/>
        <v>OK</v>
      </c>
      <c r="AA8" s="23" t="str">
        <f t="shared" si="3"/>
        <v>OK</v>
      </c>
      <c r="AB8" s="23" t="str">
        <f t="shared" ca="1" si="4"/>
        <v/>
      </c>
      <c r="AC8" s="23" t="str">
        <f t="shared" si="5"/>
        <v/>
      </c>
      <c r="AD8" s="23" t="str">
        <f ca="1">IF(OR(A8="",U8="",NOT(ISNUMBER(AB8))),"",RANK(AB8,$AB$3:$AB$164,1)+COUNTIFS($AB$3:AB8,AB8)-1)</f>
        <v/>
      </c>
      <c r="AE8" s="4"/>
    </row>
    <row r="9" spans="1:31" ht="21.95" customHeight="1" x14ac:dyDescent="0.25">
      <c r="A9" s="81" t="s">
        <v>23</v>
      </c>
      <c r="B9" s="80" t="s">
        <v>9</v>
      </c>
      <c r="C9" s="80" t="s">
        <v>24</v>
      </c>
      <c r="D9" s="80" t="s">
        <v>25</v>
      </c>
      <c r="E9" s="80"/>
      <c r="F9" s="80" t="s">
        <v>12</v>
      </c>
      <c r="G9" s="80" t="s">
        <v>13</v>
      </c>
      <c r="H9" s="80" t="s">
        <v>14</v>
      </c>
      <c r="I9" s="80" t="s">
        <v>341</v>
      </c>
      <c r="J9" s="80" t="s">
        <v>341</v>
      </c>
      <c r="K9" s="80" t="s">
        <v>341</v>
      </c>
      <c r="L9" s="80" t="s">
        <v>341</v>
      </c>
      <c r="M9" s="80" t="s">
        <v>341</v>
      </c>
      <c r="N9" s="80" t="s">
        <v>341</v>
      </c>
      <c r="O9" s="80" t="s">
        <v>341</v>
      </c>
      <c r="P9" s="80" t="s">
        <v>341</v>
      </c>
      <c r="Q9" s="82"/>
      <c r="R9" s="82"/>
      <c r="S9" s="82"/>
      <c r="T9" s="82"/>
      <c r="U9" s="83"/>
      <c r="V9" s="80"/>
      <c r="W9" s="80"/>
      <c r="X9" s="23" t="str">
        <f t="shared" si="0"/>
        <v>OK</v>
      </c>
      <c r="Y9" s="23" t="str">
        <f t="shared" si="1"/>
        <v>REST PENDENTE</v>
      </c>
      <c r="Z9" s="23" t="str">
        <f t="shared" si="2"/>
        <v>OK</v>
      </c>
      <c r="AA9" s="23" t="str">
        <f t="shared" si="3"/>
        <v>OK</v>
      </c>
      <c r="AB9" s="23" t="str">
        <f t="shared" ca="1" si="4"/>
        <v/>
      </c>
      <c r="AC9" s="23" t="str">
        <f t="shared" si="5"/>
        <v/>
      </c>
      <c r="AD9" s="23" t="str">
        <f ca="1">IF(OR(A9="",U9="",NOT(ISNUMBER(AB9))),"",RANK(AB9,$AB$3:$AB$164,1)+COUNTIFS($AB$3:AB9,AB9)-1)</f>
        <v/>
      </c>
      <c r="AE9" s="4"/>
    </row>
    <row r="10" spans="1:31" ht="21.95" customHeight="1" x14ac:dyDescent="0.25">
      <c r="A10" s="85" t="s">
        <v>26</v>
      </c>
      <c r="B10" s="84" t="s">
        <v>9</v>
      </c>
      <c r="C10" s="84" t="s">
        <v>27</v>
      </c>
      <c r="D10" s="84" t="s">
        <v>28</v>
      </c>
      <c r="E10" s="84"/>
      <c r="F10" s="84" t="s">
        <v>12</v>
      </c>
      <c r="G10" s="84" t="s">
        <v>13</v>
      </c>
      <c r="H10" s="84" t="s">
        <v>14</v>
      </c>
      <c r="I10" s="84" t="s">
        <v>341</v>
      </c>
      <c r="J10" s="84" t="s">
        <v>341</v>
      </c>
      <c r="K10" s="84" t="s">
        <v>341</v>
      </c>
      <c r="L10" s="84" t="s">
        <v>341</v>
      </c>
      <c r="M10" s="84" t="s">
        <v>341</v>
      </c>
      <c r="N10" s="84" t="s">
        <v>341</v>
      </c>
      <c r="O10" s="84" t="s">
        <v>341</v>
      </c>
      <c r="P10" s="84" t="s">
        <v>341</v>
      </c>
      <c r="Q10" s="86"/>
      <c r="R10" s="86"/>
      <c r="S10" s="86"/>
      <c r="T10" s="86"/>
      <c r="U10" s="87"/>
      <c r="V10" s="84"/>
      <c r="W10" s="84"/>
      <c r="X10" s="23" t="str">
        <f t="shared" si="0"/>
        <v>OK</v>
      </c>
      <c r="Y10" s="23" t="str">
        <f t="shared" si="1"/>
        <v>REST PENDENTE</v>
      </c>
      <c r="Z10" s="23" t="str">
        <f t="shared" si="2"/>
        <v>OK</v>
      </c>
      <c r="AA10" s="23" t="str">
        <f t="shared" si="3"/>
        <v>OK</v>
      </c>
      <c r="AB10" s="23" t="str">
        <f t="shared" ca="1" si="4"/>
        <v/>
      </c>
      <c r="AC10" s="23" t="str">
        <f t="shared" si="5"/>
        <v/>
      </c>
      <c r="AD10" s="23" t="str">
        <f ca="1">IF(OR(A10="",U10="",NOT(ISNUMBER(AB10))),"",RANK(AB10,$AB$3:$AB$164,1)+COUNTIFS($AB$3:AB10,AB10)-1)</f>
        <v/>
      </c>
      <c r="AE10" s="4"/>
    </row>
    <row r="11" spans="1:31" ht="21.95" customHeight="1" x14ac:dyDescent="0.25">
      <c r="A11" s="81" t="s">
        <v>29</v>
      </c>
      <c r="B11" s="80" t="s">
        <v>9</v>
      </c>
      <c r="C11" s="80" t="s">
        <v>16</v>
      </c>
      <c r="D11" s="80" t="s">
        <v>30</v>
      </c>
      <c r="E11" s="80"/>
      <c r="F11" s="80" t="s">
        <v>12</v>
      </c>
      <c r="G11" s="80" t="s">
        <v>13</v>
      </c>
      <c r="H11" s="80" t="s">
        <v>14</v>
      </c>
      <c r="I11" s="80" t="s">
        <v>341</v>
      </c>
      <c r="J11" s="80" t="s">
        <v>341</v>
      </c>
      <c r="K11" s="80" t="s">
        <v>341</v>
      </c>
      <c r="L11" s="80" t="s">
        <v>341</v>
      </c>
      <c r="M11" s="80" t="s">
        <v>341</v>
      </c>
      <c r="N11" s="80" t="s">
        <v>341</v>
      </c>
      <c r="O11" s="80" t="s">
        <v>341</v>
      </c>
      <c r="P11" s="80" t="s">
        <v>341</v>
      </c>
      <c r="Q11" s="82"/>
      <c r="R11" s="82"/>
      <c r="S11" s="82"/>
      <c r="T11" s="82"/>
      <c r="U11" s="83"/>
      <c r="V11" s="80"/>
      <c r="W11" s="80"/>
      <c r="X11" s="23" t="str">
        <f t="shared" si="0"/>
        <v>OK</v>
      </c>
      <c r="Y11" s="23" t="str">
        <f t="shared" si="1"/>
        <v>REST PENDENTE</v>
      </c>
      <c r="Z11" s="23" t="str">
        <f t="shared" si="2"/>
        <v>OK</v>
      </c>
      <c r="AA11" s="23" t="str">
        <f t="shared" si="3"/>
        <v>OK</v>
      </c>
      <c r="AB11" s="23" t="str">
        <f t="shared" ca="1" si="4"/>
        <v/>
      </c>
      <c r="AC11" s="23" t="str">
        <f t="shared" si="5"/>
        <v/>
      </c>
      <c r="AD11" s="23" t="str">
        <f ca="1">IF(OR(A11="",U11="",NOT(ISNUMBER(AB11))),"",RANK(AB11,$AB$3:$AB$164,1)+COUNTIFS($AB$3:AB11,AB11)-1)</f>
        <v/>
      </c>
      <c r="AE11" s="4"/>
    </row>
    <row r="12" spans="1:31" ht="21.95" customHeight="1" x14ac:dyDescent="0.25">
      <c r="A12" s="85" t="s">
        <v>31</v>
      </c>
      <c r="B12" s="84" t="s">
        <v>9</v>
      </c>
      <c r="C12" s="84" t="s">
        <v>24</v>
      </c>
      <c r="D12" s="84" t="s">
        <v>32</v>
      </c>
      <c r="E12" s="84"/>
      <c r="F12" s="84" t="s">
        <v>12</v>
      </c>
      <c r="G12" s="84" t="s">
        <v>13</v>
      </c>
      <c r="H12" s="84" t="s">
        <v>14</v>
      </c>
      <c r="I12" s="84" t="s">
        <v>341</v>
      </c>
      <c r="J12" s="84" t="s">
        <v>341</v>
      </c>
      <c r="K12" s="84" t="s">
        <v>341</v>
      </c>
      <c r="L12" s="84" t="s">
        <v>341</v>
      </c>
      <c r="M12" s="84" t="s">
        <v>341</v>
      </c>
      <c r="N12" s="84" t="s">
        <v>341</v>
      </c>
      <c r="O12" s="84" t="s">
        <v>341</v>
      </c>
      <c r="P12" s="84" t="s">
        <v>341</v>
      </c>
      <c r="Q12" s="86"/>
      <c r="R12" s="86"/>
      <c r="S12" s="86"/>
      <c r="T12" s="86"/>
      <c r="U12" s="87"/>
      <c r="V12" s="84"/>
      <c r="W12" s="84"/>
      <c r="X12" s="23" t="str">
        <f t="shared" si="0"/>
        <v>OK</v>
      </c>
      <c r="Y12" s="23" t="str">
        <f t="shared" si="1"/>
        <v>REST PENDENTE</v>
      </c>
      <c r="Z12" s="23" t="str">
        <f t="shared" si="2"/>
        <v>OK</v>
      </c>
      <c r="AA12" s="23" t="str">
        <f t="shared" si="3"/>
        <v>OK</v>
      </c>
      <c r="AB12" s="23" t="str">
        <f t="shared" ca="1" si="4"/>
        <v/>
      </c>
      <c r="AC12" s="23" t="str">
        <f t="shared" si="5"/>
        <v/>
      </c>
      <c r="AD12" s="23" t="str">
        <f ca="1">IF(OR(A12="",U12="",NOT(ISNUMBER(AB12))),"",RANK(AB12,$AB$3:$AB$164,1)+COUNTIFS($AB$3:AB12,AB12)-1)</f>
        <v/>
      </c>
      <c r="AE12" s="4"/>
    </row>
    <row r="13" spans="1:31" ht="21.95" customHeight="1" x14ac:dyDescent="0.25">
      <c r="A13" s="81" t="s">
        <v>33</v>
      </c>
      <c r="B13" s="80" t="s">
        <v>9</v>
      </c>
      <c r="C13" s="80" t="s">
        <v>24</v>
      </c>
      <c r="D13" s="80" t="s">
        <v>34</v>
      </c>
      <c r="E13" s="80"/>
      <c r="F13" s="80" t="s">
        <v>12</v>
      </c>
      <c r="G13" s="80" t="s">
        <v>13</v>
      </c>
      <c r="H13" s="80" t="s">
        <v>14</v>
      </c>
      <c r="I13" s="80" t="s">
        <v>341</v>
      </c>
      <c r="J13" s="80" t="s">
        <v>341</v>
      </c>
      <c r="K13" s="80" t="s">
        <v>341</v>
      </c>
      <c r="L13" s="80" t="s">
        <v>341</v>
      </c>
      <c r="M13" s="80" t="s">
        <v>341</v>
      </c>
      <c r="N13" s="80" t="s">
        <v>341</v>
      </c>
      <c r="O13" s="80" t="s">
        <v>341</v>
      </c>
      <c r="P13" s="80" t="s">
        <v>341</v>
      </c>
      <c r="Q13" s="82"/>
      <c r="R13" s="82"/>
      <c r="S13" s="82"/>
      <c r="T13" s="82"/>
      <c r="U13" s="83"/>
      <c r="V13" s="80"/>
      <c r="W13" s="80"/>
      <c r="X13" s="23" t="str">
        <f t="shared" si="0"/>
        <v>OK</v>
      </c>
      <c r="Y13" s="23" t="str">
        <f t="shared" si="1"/>
        <v>REST PENDENTE</v>
      </c>
      <c r="Z13" s="23" t="str">
        <f t="shared" si="2"/>
        <v>OK</v>
      </c>
      <c r="AA13" s="23" t="str">
        <f t="shared" si="3"/>
        <v>OK</v>
      </c>
      <c r="AB13" s="23" t="str">
        <f t="shared" ca="1" si="4"/>
        <v/>
      </c>
      <c r="AC13" s="23" t="str">
        <f t="shared" si="5"/>
        <v/>
      </c>
      <c r="AD13" s="23" t="str">
        <f ca="1">IF(OR(A13="",U13="",NOT(ISNUMBER(AB13))),"",RANK(AB13,$AB$3:$AB$164,1)+COUNTIFS($AB$3:AB13,AB13)-1)</f>
        <v/>
      </c>
      <c r="AE13" s="4"/>
    </row>
    <row r="14" spans="1:31" ht="21.95" customHeight="1" x14ac:dyDescent="0.25">
      <c r="A14" s="85" t="s">
        <v>35</v>
      </c>
      <c r="B14" s="84" t="s">
        <v>9</v>
      </c>
      <c r="C14" s="84" t="s">
        <v>24</v>
      </c>
      <c r="D14" s="84" t="s">
        <v>36</v>
      </c>
      <c r="E14" s="84"/>
      <c r="F14" s="84" t="s">
        <v>37</v>
      </c>
      <c r="G14" s="84" t="s">
        <v>13</v>
      </c>
      <c r="H14" s="84" t="s">
        <v>14</v>
      </c>
      <c r="I14" s="84" t="s">
        <v>341</v>
      </c>
      <c r="J14" s="84" t="s">
        <v>341</v>
      </c>
      <c r="K14" s="84" t="s">
        <v>341</v>
      </c>
      <c r="L14" s="84" t="s">
        <v>341</v>
      </c>
      <c r="M14" s="84" t="s">
        <v>341</v>
      </c>
      <c r="N14" s="84" t="s">
        <v>341</v>
      </c>
      <c r="O14" s="84" t="s">
        <v>341</v>
      </c>
      <c r="P14" s="84" t="s">
        <v>341</v>
      </c>
      <c r="Q14" s="86"/>
      <c r="R14" s="86"/>
      <c r="S14" s="86"/>
      <c r="T14" s="86"/>
      <c r="U14" s="87"/>
      <c r="V14" s="84"/>
      <c r="W14" s="84"/>
      <c r="X14" s="23" t="str">
        <f t="shared" si="0"/>
        <v>OK</v>
      </c>
      <c r="Y14" s="23" t="str">
        <f t="shared" si="1"/>
        <v>REST PENDENTE</v>
      </c>
      <c r="Z14" s="23" t="str">
        <f t="shared" si="2"/>
        <v>OK</v>
      </c>
      <c r="AA14" s="23" t="str">
        <f t="shared" si="3"/>
        <v>OK</v>
      </c>
      <c r="AB14" s="23" t="str">
        <f t="shared" ca="1" si="4"/>
        <v/>
      </c>
      <c r="AC14" s="23" t="str">
        <f t="shared" si="5"/>
        <v/>
      </c>
      <c r="AD14" s="23" t="str">
        <f ca="1">IF(OR(A14="",U14="",NOT(ISNUMBER(AB14))),"",RANK(AB14,$AB$3:$AB$164,1)+COUNTIFS($AB$3:AB14,AB14)-1)</f>
        <v/>
      </c>
      <c r="AE14" s="4"/>
    </row>
    <row r="15" spans="1:31" ht="21.95" customHeight="1" x14ac:dyDescent="0.25">
      <c r="A15" s="81" t="s">
        <v>38</v>
      </c>
      <c r="B15" s="80" t="s">
        <v>9</v>
      </c>
      <c r="C15" s="80" t="s">
        <v>16</v>
      </c>
      <c r="D15" s="80" t="s">
        <v>39</v>
      </c>
      <c r="E15" s="80"/>
      <c r="F15" s="80" t="s">
        <v>37</v>
      </c>
      <c r="G15" s="80" t="s">
        <v>13</v>
      </c>
      <c r="H15" s="80" t="s">
        <v>14</v>
      </c>
      <c r="I15" s="80" t="s">
        <v>341</v>
      </c>
      <c r="J15" s="80" t="s">
        <v>341</v>
      </c>
      <c r="K15" s="80" t="s">
        <v>341</v>
      </c>
      <c r="L15" s="80" t="s">
        <v>341</v>
      </c>
      <c r="M15" s="80" t="s">
        <v>341</v>
      </c>
      <c r="N15" s="80" t="s">
        <v>341</v>
      </c>
      <c r="O15" s="80" t="s">
        <v>341</v>
      </c>
      <c r="P15" s="80" t="s">
        <v>341</v>
      </c>
      <c r="Q15" s="82"/>
      <c r="R15" s="82"/>
      <c r="S15" s="82"/>
      <c r="T15" s="82"/>
      <c r="U15" s="83"/>
      <c r="V15" s="80"/>
      <c r="W15" s="80"/>
      <c r="X15" s="23" t="str">
        <f t="shared" si="0"/>
        <v>OK</v>
      </c>
      <c r="Y15" s="23" t="str">
        <f t="shared" si="1"/>
        <v>REST PENDENTE</v>
      </c>
      <c r="Z15" s="23" t="str">
        <f t="shared" si="2"/>
        <v>OK</v>
      </c>
      <c r="AA15" s="23" t="str">
        <f t="shared" si="3"/>
        <v>OK</v>
      </c>
      <c r="AB15" s="23" t="str">
        <f t="shared" ca="1" si="4"/>
        <v/>
      </c>
      <c r="AC15" s="23" t="str">
        <f t="shared" si="5"/>
        <v/>
      </c>
      <c r="AD15" s="23" t="str">
        <f ca="1">IF(OR(A15="",U15="",NOT(ISNUMBER(AB15))),"",RANK(AB15,$AB$3:$AB$164,1)+COUNTIFS($AB$3:AB15,AB15)-1)</f>
        <v/>
      </c>
      <c r="AE15" s="4"/>
    </row>
    <row r="16" spans="1:31" ht="21.95" customHeight="1" x14ac:dyDescent="0.25">
      <c r="A16" s="85" t="s">
        <v>40</v>
      </c>
      <c r="B16" s="84" t="s">
        <v>9</v>
      </c>
      <c r="C16" s="84" t="s">
        <v>24</v>
      </c>
      <c r="D16" s="84">
        <v>17608570000161</v>
      </c>
      <c r="E16" s="84"/>
      <c r="F16" s="84" t="s">
        <v>12</v>
      </c>
      <c r="G16" s="84" t="s">
        <v>41</v>
      </c>
      <c r="H16" s="84" t="s">
        <v>5</v>
      </c>
      <c r="I16" s="84" t="s">
        <v>341</v>
      </c>
      <c r="J16" s="84" t="s">
        <v>341</v>
      </c>
      <c r="K16" s="84" t="s">
        <v>341</v>
      </c>
      <c r="L16" s="84" t="s">
        <v>341</v>
      </c>
      <c r="M16" s="84" t="s">
        <v>341</v>
      </c>
      <c r="N16" s="84" t="s">
        <v>341</v>
      </c>
      <c r="O16" s="84" t="s">
        <v>341</v>
      </c>
      <c r="P16" s="84" t="s">
        <v>341</v>
      </c>
      <c r="Q16" s="86"/>
      <c r="R16" s="86"/>
      <c r="S16" s="86"/>
      <c r="T16" s="86"/>
      <c r="U16" s="87"/>
      <c r="V16" s="84"/>
      <c r="W16" s="84"/>
      <c r="X16" s="23" t="str">
        <f t="shared" si="0"/>
        <v>OK</v>
      </c>
      <c r="Y16" s="23" t="str">
        <f t="shared" si="1"/>
        <v>REST PENDENTE</v>
      </c>
      <c r="Z16" s="23" t="str">
        <f t="shared" si="2"/>
        <v>OK</v>
      </c>
      <c r="AA16" s="23" t="str">
        <f t="shared" si="3"/>
        <v>OK</v>
      </c>
      <c r="AB16" s="23" t="str">
        <f t="shared" ca="1" si="4"/>
        <v/>
      </c>
      <c r="AC16" s="23" t="str">
        <f t="shared" si="5"/>
        <v/>
      </c>
      <c r="AD16" s="23" t="str">
        <f ca="1">IF(OR(A16="",U16="",NOT(ISNUMBER(AB16))),"",RANK(AB16,$AB$3:$AB$164,1)+COUNTIFS($AB$3:AB16,AB16)-1)</f>
        <v/>
      </c>
      <c r="AE16" s="4"/>
    </row>
    <row r="17" spans="1:31" ht="21.95" customHeight="1" x14ac:dyDescent="0.25">
      <c r="A17" s="81" t="s">
        <v>42</v>
      </c>
      <c r="B17" s="80" t="s">
        <v>9</v>
      </c>
      <c r="C17" s="80" t="s">
        <v>24</v>
      </c>
      <c r="D17" s="80" t="s">
        <v>43</v>
      </c>
      <c r="E17" s="80"/>
      <c r="F17" s="80" t="s">
        <v>12</v>
      </c>
      <c r="G17" s="80" t="s">
        <v>41</v>
      </c>
      <c r="H17" s="80" t="s">
        <v>5</v>
      </c>
      <c r="I17" s="80"/>
      <c r="J17" s="80"/>
      <c r="K17" s="80"/>
      <c r="L17" s="80"/>
      <c r="M17" s="80" t="s">
        <v>372</v>
      </c>
      <c r="N17" s="80"/>
      <c r="O17" s="80" t="s">
        <v>342</v>
      </c>
      <c r="P17" s="80" t="s">
        <v>343</v>
      </c>
      <c r="Q17" s="82"/>
      <c r="R17" s="82"/>
      <c r="S17" s="82"/>
      <c r="T17" s="82"/>
      <c r="U17" s="83"/>
      <c r="V17" s="80"/>
      <c r="W17" s="80"/>
      <c r="X17" s="23" t="str">
        <f t="shared" si="0"/>
        <v>OK</v>
      </c>
      <c r="Y17" s="23" t="str">
        <f t="shared" si="1"/>
        <v>REST PENDENTE</v>
      </c>
      <c r="Z17" s="23" t="str">
        <f t="shared" si="2"/>
        <v>OK</v>
      </c>
      <c r="AA17" s="23" t="str">
        <f t="shared" si="3"/>
        <v>OK</v>
      </c>
      <c r="AB17" s="23" t="str">
        <f t="shared" ca="1" si="4"/>
        <v/>
      </c>
      <c r="AC17" s="23" t="str">
        <f t="shared" si="5"/>
        <v/>
      </c>
      <c r="AD17" s="23" t="str">
        <f ca="1">IF(OR(A17="",U17="",NOT(ISNUMBER(AB17))),"",RANK(AB17,$AB$3:$AB$164,1)+COUNTIFS($AB$3:AB17,AB17)-1)</f>
        <v/>
      </c>
      <c r="AE17" s="4"/>
    </row>
    <row r="18" spans="1:31" ht="21.95" customHeight="1" x14ac:dyDescent="0.25">
      <c r="A18" s="85" t="s">
        <v>44</v>
      </c>
      <c r="B18" s="84" t="s">
        <v>45</v>
      </c>
      <c r="C18" s="84" t="s">
        <v>46</v>
      </c>
      <c r="D18" s="84" t="s">
        <v>47</v>
      </c>
      <c r="E18" s="84"/>
      <c r="F18" s="84" t="s">
        <v>48</v>
      </c>
      <c r="G18" s="84" t="s">
        <v>13</v>
      </c>
      <c r="H18" s="84" t="s">
        <v>49</v>
      </c>
      <c r="I18" s="84"/>
      <c r="J18" s="84"/>
      <c r="K18" s="84"/>
      <c r="L18" s="84"/>
      <c r="M18" s="84" t="s">
        <v>373</v>
      </c>
      <c r="N18" s="84"/>
      <c r="O18" s="84" t="s">
        <v>344</v>
      </c>
      <c r="P18" s="84"/>
      <c r="Q18" s="86"/>
      <c r="R18" s="86"/>
      <c r="S18" s="86"/>
      <c r="T18" s="86"/>
      <c r="U18" s="87"/>
      <c r="V18" s="84"/>
      <c r="W18" s="84"/>
      <c r="X18" s="23" t="str">
        <f t="shared" si="0"/>
        <v>OK</v>
      </c>
      <c r="Y18" s="23" t="str">
        <f t="shared" si="1"/>
        <v>REST PENDENTE</v>
      </c>
      <c r="Z18" s="23" t="str">
        <f t="shared" si="2"/>
        <v>OK</v>
      </c>
      <c r="AA18" s="23" t="str">
        <f t="shared" si="3"/>
        <v>OK</v>
      </c>
      <c r="AB18" s="23" t="str">
        <f t="shared" ca="1" si="4"/>
        <v/>
      </c>
      <c r="AC18" s="23" t="str">
        <f t="shared" si="5"/>
        <v/>
      </c>
      <c r="AD18" s="23" t="str">
        <f ca="1">IF(OR(A18="",U18="",NOT(ISNUMBER(AB18))),"",RANK(AB18,$AB$3:$AB$164,1)+COUNTIFS($AB$3:AB18,AB18)-1)</f>
        <v/>
      </c>
      <c r="AE18" s="4"/>
    </row>
    <row r="19" spans="1:31" ht="21.95" customHeight="1" x14ac:dyDescent="0.25">
      <c r="A19" s="81" t="s">
        <v>50</v>
      </c>
      <c r="B19" s="80" t="s">
        <v>45</v>
      </c>
      <c r="C19" s="80" t="s">
        <v>46</v>
      </c>
      <c r="D19" s="80" t="s">
        <v>51</v>
      </c>
      <c r="E19" s="80"/>
      <c r="F19" s="80" t="s">
        <v>48</v>
      </c>
      <c r="G19" s="80" t="s">
        <v>13</v>
      </c>
      <c r="H19" s="80" t="s">
        <v>49</v>
      </c>
      <c r="I19" s="80"/>
      <c r="J19" s="80"/>
      <c r="K19" s="80"/>
      <c r="L19" s="80"/>
      <c r="M19" s="80" t="s">
        <v>373</v>
      </c>
      <c r="N19" s="80"/>
      <c r="O19" s="80" t="s">
        <v>344</v>
      </c>
      <c r="P19" s="80"/>
      <c r="Q19" s="82"/>
      <c r="R19" s="82"/>
      <c r="S19" s="82"/>
      <c r="T19" s="82"/>
      <c r="U19" s="83"/>
      <c r="V19" s="80"/>
      <c r="W19" s="80"/>
      <c r="X19" s="23" t="str">
        <f t="shared" si="0"/>
        <v>OK</v>
      </c>
      <c r="Y19" s="23" t="str">
        <f t="shared" si="1"/>
        <v>REST PENDENTE</v>
      </c>
      <c r="Z19" s="23" t="str">
        <f t="shared" si="2"/>
        <v>OK</v>
      </c>
      <c r="AA19" s="23" t="str">
        <f t="shared" si="3"/>
        <v>OK</v>
      </c>
      <c r="AB19" s="23" t="str">
        <f t="shared" ca="1" si="4"/>
        <v/>
      </c>
      <c r="AC19" s="23" t="str">
        <f t="shared" si="5"/>
        <v/>
      </c>
      <c r="AD19" s="23" t="str">
        <f ca="1">IF(OR(A19="",U19="",NOT(ISNUMBER(AB19))),"",RANK(AB19,$AB$3:$AB$164,1)+COUNTIFS($AB$3:AB19,AB19)-1)</f>
        <v/>
      </c>
      <c r="AE19" s="4"/>
    </row>
    <row r="20" spans="1:31" ht="21.95" customHeight="1" x14ac:dyDescent="0.25">
      <c r="A20" s="85" t="s">
        <v>52</v>
      </c>
      <c r="B20" s="84" t="s">
        <v>45</v>
      </c>
      <c r="C20" s="84" t="s">
        <v>46</v>
      </c>
      <c r="D20" s="84" t="s">
        <v>53</v>
      </c>
      <c r="E20" s="84"/>
      <c r="F20" s="84" t="s">
        <v>48</v>
      </c>
      <c r="G20" s="84" t="s">
        <v>13</v>
      </c>
      <c r="H20" s="84" t="s">
        <v>14</v>
      </c>
      <c r="I20" s="84"/>
      <c r="J20" s="84"/>
      <c r="K20" s="84"/>
      <c r="L20" s="84"/>
      <c r="M20" s="84" t="s">
        <v>373</v>
      </c>
      <c r="N20" s="84"/>
      <c r="O20" s="84" t="s">
        <v>344</v>
      </c>
      <c r="P20" s="84"/>
      <c r="Q20" s="86"/>
      <c r="R20" s="86"/>
      <c r="S20" s="86"/>
      <c r="T20" s="86"/>
      <c r="U20" s="87"/>
      <c r="V20" s="84"/>
      <c r="W20" s="84"/>
      <c r="X20" s="23" t="str">
        <f t="shared" si="0"/>
        <v>OK</v>
      </c>
      <c r="Y20" s="23" t="str">
        <f t="shared" si="1"/>
        <v>REST PENDENTE</v>
      </c>
      <c r="Z20" s="23" t="str">
        <f t="shared" si="2"/>
        <v>OK</v>
      </c>
      <c r="AA20" s="23" t="str">
        <f t="shared" si="3"/>
        <v>OK</v>
      </c>
      <c r="AB20" s="23" t="str">
        <f t="shared" ca="1" si="4"/>
        <v/>
      </c>
      <c r="AC20" s="23" t="str">
        <f t="shared" si="5"/>
        <v/>
      </c>
      <c r="AD20" s="23" t="str">
        <f ca="1">IF(OR(A20="",U20="",NOT(ISNUMBER(AB20))),"",RANK(AB20,$AB$3:$AB$164,1)+COUNTIFS($AB$3:AB20,AB20)-1)</f>
        <v/>
      </c>
      <c r="AE20" s="4"/>
    </row>
    <row r="21" spans="1:31" ht="21.95" customHeight="1" x14ac:dyDescent="0.25">
      <c r="A21" s="81" t="s">
        <v>54</v>
      </c>
      <c r="B21" s="80" t="s">
        <v>55</v>
      </c>
      <c r="C21" s="80" t="s">
        <v>56</v>
      </c>
      <c r="D21" s="80">
        <v>57123358000129</v>
      </c>
      <c r="E21" s="80"/>
      <c r="F21" s="80" t="s">
        <v>57</v>
      </c>
      <c r="G21" s="80" t="s">
        <v>4</v>
      </c>
      <c r="H21" s="80" t="s">
        <v>14</v>
      </c>
      <c r="I21" s="80"/>
      <c r="J21" s="80"/>
      <c r="K21" s="80"/>
      <c r="L21" s="80"/>
      <c r="M21" s="80" t="s">
        <v>372</v>
      </c>
      <c r="N21" s="80"/>
      <c r="O21" s="80" t="s">
        <v>346</v>
      </c>
      <c r="P21" s="80"/>
      <c r="Q21" s="82"/>
      <c r="R21" s="82"/>
      <c r="S21" s="82"/>
      <c r="T21" s="82"/>
      <c r="U21" s="83"/>
      <c r="V21" s="80"/>
      <c r="W21" s="80"/>
      <c r="X21" s="23" t="str">
        <f t="shared" si="0"/>
        <v>OK</v>
      </c>
      <c r="Y21" s="23" t="str">
        <f t="shared" si="1"/>
        <v>REST PENDENTE</v>
      </c>
      <c r="Z21" s="23" t="str">
        <f t="shared" si="2"/>
        <v>OK</v>
      </c>
      <c r="AA21" s="23" t="str">
        <f t="shared" si="3"/>
        <v>OK</v>
      </c>
      <c r="AB21" s="23" t="str">
        <f t="shared" ca="1" si="4"/>
        <v/>
      </c>
      <c r="AC21" s="23" t="str">
        <f t="shared" si="5"/>
        <v/>
      </c>
      <c r="AD21" s="23" t="str">
        <f ca="1">IF(OR(A21="",U21="",NOT(ISNUMBER(AB21))),"",RANK(AB21,$AB$3:$AB$164,1)+COUNTIFS($AB$3:AB21,AB21)-1)</f>
        <v/>
      </c>
      <c r="AE21" s="4"/>
    </row>
    <row r="22" spans="1:31" ht="21.95" customHeight="1" x14ac:dyDescent="0.25">
      <c r="A22" s="85" t="s">
        <v>58</v>
      </c>
      <c r="B22" s="84" t="s">
        <v>45</v>
      </c>
      <c r="C22" s="84" t="s">
        <v>59</v>
      </c>
      <c r="D22" s="84">
        <v>40870380000130</v>
      </c>
      <c r="E22" s="84"/>
      <c r="F22" s="84" t="s">
        <v>48</v>
      </c>
      <c r="G22" s="84" t="s">
        <v>4</v>
      </c>
      <c r="H22" s="84" t="s">
        <v>14</v>
      </c>
      <c r="I22" s="84"/>
      <c r="J22" s="84"/>
      <c r="K22" s="84"/>
      <c r="L22" s="84"/>
      <c r="M22" s="84" t="s">
        <v>374</v>
      </c>
      <c r="N22" s="84"/>
      <c r="O22" s="84" t="s">
        <v>345</v>
      </c>
      <c r="P22" s="84"/>
      <c r="Q22" s="86"/>
      <c r="R22" s="86"/>
      <c r="S22" s="86"/>
      <c r="T22" s="86"/>
      <c r="U22" s="87"/>
      <c r="V22" s="84"/>
      <c r="W22" s="84"/>
      <c r="X22" s="23" t="str">
        <f t="shared" si="0"/>
        <v>OK</v>
      </c>
      <c r="Y22" s="23" t="str">
        <f t="shared" si="1"/>
        <v>REST PENDENTE</v>
      </c>
      <c r="Z22" s="23" t="str">
        <f t="shared" si="2"/>
        <v>OK</v>
      </c>
      <c r="AA22" s="23" t="str">
        <f t="shared" si="3"/>
        <v>OK</v>
      </c>
      <c r="AB22" s="23" t="str">
        <f t="shared" ca="1" si="4"/>
        <v/>
      </c>
      <c r="AC22" s="23" t="str">
        <f t="shared" si="5"/>
        <v/>
      </c>
      <c r="AD22" s="23" t="str">
        <f ca="1">IF(OR(A22="",U22="",NOT(ISNUMBER(AB22))),"",RANK(AB22,$AB$3:$AB$164,1)+COUNTIFS($AB$3:AB22,AB22)-1)</f>
        <v/>
      </c>
      <c r="AE22" s="4"/>
    </row>
    <row r="23" spans="1:31" ht="21.95" customHeight="1" x14ac:dyDescent="0.25">
      <c r="A23" s="81" t="s">
        <v>60</v>
      </c>
      <c r="B23" s="80" t="s">
        <v>61</v>
      </c>
      <c r="C23" s="80" t="s">
        <v>62</v>
      </c>
      <c r="D23" s="80">
        <v>26837949000134</v>
      </c>
      <c r="E23" s="80"/>
      <c r="F23" s="80" t="s">
        <v>63</v>
      </c>
      <c r="G23" s="80" t="s">
        <v>41</v>
      </c>
      <c r="H23" s="80" t="s">
        <v>5</v>
      </c>
      <c r="I23" s="80"/>
      <c r="J23" s="80"/>
      <c r="K23" s="80"/>
      <c r="L23" s="80"/>
      <c r="M23" s="80" t="s">
        <v>375</v>
      </c>
      <c r="N23" s="80"/>
      <c r="O23" s="80"/>
      <c r="P23" s="80"/>
      <c r="Q23" s="82"/>
      <c r="R23" s="82"/>
      <c r="S23" s="82"/>
      <c r="T23" s="82"/>
      <c r="U23" s="83"/>
      <c r="V23" s="80"/>
      <c r="W23" s="80"/>
      <c r="X23" s="23" t="str">
        <f t="shared" si="0"/>
        <v>OK</v>
      </c>
      <c r="Y23" s="23" t="str">
        <f t="shared" si="1"/>
        <v>REST PENDENTE</v>
      </c>
      <c r="Z23" s="23" t="str">
        <f t="shared" si="2"/>
        <v>OK</v>
      </c>
      <c r="AA23" s="23" t="str">
        <f t="shared" si="3"/>
        <v>OK</v>
      </c>
      <c r="AB23" s="23" t="str">
        <f t="shared" ca="1" si="4"/>
        <v/>
      </c>
      <c r="AC23" s="23" t="str">
        <f t="shared" si="5"/>
        <v/>
      </c>
      <c r="AD23" s="23" t="str">
        <f ca="1">IF(OR(A23="",U23="",NOT(ISNUMBER(AB23))),"",RANK(AB23,$AB$3:$AB$164,1)+COUNTIFS($AB$3:AB23,AB23)-1)</f>
        <v/>
      </c>
      <c r="AE23" s="4"/>
    </row>
    <row r="24" spans="1:31" ht="21.95" customHeight="1" x14ac:dyDescent="0.25">
      <c r="A24" s="85" t="s">
        <v>64</v>
      </c>
      <c r="B24" s="84" t="s">
        <v>65</v>
      </c>
      <c r="C24" s="84" t="s">
        <v>62</v>
      </c>
      <c r="D24" s="84">
        <v>12923820000134</v>
      </c>
      <c r="E24" s="84"/>
      <c r="F24" s="84" t="s">
        <v>66</v>
      </c>
      <c r="G24" s="84" t="s">
        <v>13</v>
      </c>
      <c r="H24" s="84" t="s">
        <v>49</v>
      </c>
      <c r="I24" s="84"/>
      <c r="J24" s="84"/>
      <c r="K24" s="84"/>
      <c r="L24" s="84"/>
      <c r="M24" s="84" t="s">
        <v>373</v>
      </c>
      <c r="N24" s="84"/>
      <c r="O24" s="84" t="s">
        <v>344</v>
      </c>
      <c r="P24" s="84"/>
      <c r="Q24" s="86"/>
      <c r="R24" s="86"/>
      <c r="S24" s="86"/>
      <c r="T24" s="86"/>
      <c r="U24" s="87"/>
      <c r="V24" s="84"/>
      <c r="W24" s="84"/>
      <c r="X24" s="23" t="str">
        <f t="shared" si="0"/>
        <v>OK</v>
      </c>
      <c r="Y24" s="23" t="str">
        <f t="shared" si="1"/>
        <v>REST PENDENTE</v>
      </c>
      <c r="Z24" s="23" t="str">
        <f t="shared" si="2"/>
        <v>OK</v>
      </c>
      <c r="AA24" s="23" t="str">
        <f t="shared" si="3"/>
        <v>OK</v>
      </c>
      <c r="AB24" s="23" t="str">
        <f t="shared" ca="1" si="4"/>
        <v/>
      </c>
      <c r="AC24" s="23" t="str">
        <f t="shared" si="5"/>
        <v/>
      </c>
      <c r="AD24" s="23" t="str">
        <f ca="1">IF(OR(A24="",U24="",NOT(ISNUMBER(AB24))),"",RANK(AB24,$AB$3:$AB$164,1)+COUNTIFS($AB$3:AB24,AB24)-1)</f>
        <v/>
      </c>
      <c r="AE24" s="4"/>
    </row>
    <row r="25" spans="1:31" ht="21.95" customHeight="1" x14ac:dyDescent="0.25">
      <c r="A25" s="81" t="s">
        <v>67</v>
      </c>
      <c r="B25" s="80" t="s">
        <v>68</v>
      </c>
      <c r="C25" s="80" t="s">
        <v>69</v>
      </c>
      <c r="D25" s="80" t="s">
        <v>70</v>
      </c>
      <c r="E25" s="80"/>
      <c r="F25" s="80" t="s">
        <v>71</v>
      </c>
      <c r="G25" s="80" t="s">
        <v>4</v>
      </c>
      <c r="H25" s="80" t="s">
        <v>49</v>
      </c>
      <c r="I25" s="80"/>
      <c r="J25" s="80"/>
      <c r="K25" s="80"/>
      <c r="L25" s="80"/>
      <c r="M25" s="80" t="s">
        <v>375</v>
      </c>
      <c r="N25" s="80"/>
      <c r="O25" s="80" t="s">
        <v>346</v>
      </c>
      <c r="P25" s="80"/>
      <c r="Q25" s="82"/>
      <c r="R25" s="82"/>
      <c r="S25" s="82"/>
      <c r="T25" s="82"/>
      <c r="U25" s="83"/>
      <c r="V25" s="80"/>
      <c r="W25" s="80"/>
      <c r="X25" s="23" t="str">
        <f t="shared" si="0"/>
        <v>OK</v>
      </c>
      <c r="Y25" s="23" t="str">
        <f t="shared" si="1"/>
        <v>REST PENDENTE</v>
      </c>
      <c r="Z25" s="23" t="str">
        <f t="shared" si="2"/>
        <v>OK</v>
      </c>
      <c r="AA25" s="23" t="str">
        <f t="shared" si="3"/>
        <v>OK</v>
      </c>
      <c r="AB25" s="23" t="str">
        <f t="shared" ca="1" si="4"/>
        <v/>
      </c>
      <c r="AC25" s="23" t="str">
        <f t="shared" si="5"/>
        <v/>
      </c>
      <c r="AD25" s="23" t="str">
        <f ca="1">IF(OR(A25="",U25="",NOT(ISNUMBER(AB25))),"",RANK(AB25,$AB$3:$AB$164,1)+COUNTIFS($AB$3:AB25,AB25)-1)</f>
        <v/>
      </c>
      <c r="AE25" s="4"/>
    </row>
    <row r="26" spans="1:31" ht="21.95" customHeight="1" x14ac:dyDescent="0.25">
      <c r="A26" s="85" t="s">
        <v>72</v>
      </c>
      <c r="B26" s="84" t="s">
        <v>9</v>
      </c>
      <c r="C26" s="84" t="s">
        <v>24</v>
      </c>
      <c r="D26" s="84">
        <v>41597807000130</v>
      </c>
      <c r="E26" s="84"/>
      <c r="F26" s="84" t="s">
        <v>73</v>
      </c>
      <c r="G26" s="84" t="s">
        <v>4</v>
      </c>
      <c r="H26" s="84" t="s">
        <v>5</v>
      </c>
      <c r="I26" s="84"/>
      <c r="J26" s="84"/>
      <c r="K26" s="84"/>
      <c r="L26" s="84"/>
      <c r="M26" s="84" t="s">
        <v>375</v>
      </c>
      <c r="N26" s="84"/>
      <c r="O26" s="84" t="s">
        <v>344</v>
      </c>
      <c r="P26" s="84"/>
      <c r="Q26" s="86"/>
      <c r="R26" s="86"/>
      <c r="S26" s="86"/>
      <c r="T26" s="86"/>
      <c r="U26" s="87"/>
      <c r="V26" s="84"/>
      <c r="W26" s="84"/>
      <c r="X26" s="23" t="str">
        <f t="shared" si="0"/>
        <v>OK</v>
      </c>
      <c r="Y26" s="23" t="str">
        <f t="shared" si="1"/>
        <v>REST PENDENTE</v>
      </c>
      <c r="Z26" s="23" t="str">
        <f t="shared" si="2"/>
        <v>OK</v>
      </c>
      <c r="AA26" s="23" t="str">
        <f t="shared" si="3"/>
        <v>OK</v>
      </c>
      <c r="AB26" s="23" t="str">
        <f t="shared" ca="1" si="4"/>
        <v/>
      </c>
      <c r="AC26" s="23" t="str">
        <f t="shared" si="5"/>
        <v/>
      </c>
      <c r="AD26" s="23" t="str">
        <f ca="1">IF(OR(A26="",U26="",NOT(ISNUMBER(AB26))),"",RANK(AB26,$AB$3:$AB$164,1)+COUNTIFS($AB$3:AB26,AB26)-1)</f>
        <v/>
      </c>
      <c r="AE26" s="4"/>
    </row>
    <row r="27" spans="1:31" ht="21.95" customHeight="1" x14ac:dyDescent="0.25">
      <c r="A27" s="81" t="s">
        <v>74</v>
      </c>
      <c r="B27" s="80" t="s">
        <v>75</v>
      </c>
      <c r="C27" s="80" t="s">
        <v>62</v>
      </c>
      <c r="D27" s="80">
        <v>21430001000146</v>
      </c>
      <c r="E27" s="80"/>
      <c r="F27" s="80" t="s">
        <v>76</v>
      </c>
      <c r="G27" s="80" t="s">
        <v>4</v>
      </c>
      <c r="H27" s="80" t="s">
        <v>5</v>
      </c>
      <c r="I27" s="80"/>
      <c r="J27" s="80"/>
      <c r="K27" s="80"/>
      <c r="L27" s="80"/>
      <c r="M27" s="80" t="s">
        <v>373</v>
      </c>
      <c r="N27" s="80"/>
      <c r="O27" s="80" t="s">
        <v>344</v>
      </c>
      <c r="P27" s="80"/>
      <c r="Q27" s="82"/>
      <c r="R27" s="82"/>
      <c r="S27" s="82"/>
      <c r="T27" s="82"/>
      <c r="U27" s="83"/>
      <c r="V27" s="80"/>
      <c r="W27" s="80"/>
      <c r="X27" s="23" t="str">
        <f t="shared" si="0"/>
        <v>OK</v>
      </c>
      <c r="Y27" s="23" t="str">
        <f t="shared" si="1"/>
        <v>REST PENDENTE</v>
      </c>
      <c r="Z27" s="23" t="str">
        <f t="shared" si="2"/>
        <v>OK</v>
      </c>
      <c r="AA27" s="23" t="str">
        <f t="shared" si="3"/>
        <v>OK</v>
      </c>
      <c r="AB27" s="23" t="str">
        <f t="shared" ca="1" si="4"/>
        <v/>
      </c>
      <c r="AC27" s="23" t="str">
        <f t="shared" si="5"/>
        <v/>
      </c>
      <c r="AD27" s="23" t="str">
        <f ca="1">IF(OR(A27="",U27="",NOT(ISNUMBER(AB27))),"",RANK(AB27,$AB$3:$AB$164,1)+COUNTIFS($AB$3:AB27,AB27)-1)</f>
        <v/>
      </c>
      <c r="AE27" s="4"/>
    </row>
    <row r="28" spans="1:31" ht="21.95" customHeight="1" x14ac:dyDescent="0.25">
      <c r="A28" s="85" t="s">
        <v>77</v>
      </c>
      <c r="B28" s="84" t="s">
        <v>78</v>
      </c>
      <c r="C28" s="84" t="s">
        <v>79</v>
      </c>
      <c r="D28" s="84" t="s">
        <v>80</v>
      </c>
      <c r="E28" s="84"/>
      <c r="F28" s="84" t="s">
        <v>81</v>
      </c>
      <c r="G28" s="84" t="s">
        <v>13</v>
      </c>
      <c r="H28" s="84" t="s">
        <v>49</v>
      </c>
      <c r="I28" s="84"/>
      <c r="J28" s="84"/>
      <c r="K28" s="84"/>
      <c r="L28" s="84"/>
      <c r="M28" s="84" t="s">
        <v>373</v>
      </c>
      <c r="N28" s="84"/>
      <c r="O28" s="84" t="s">
        <v>344</v>
      </c>
      <c r="P28" s="84"/>
      <c r="Q28" s="86"/>
      <c r="R28" s="86"/>
      <c r="S28" s="86"/>
      <c r="T28" s="86"/>
      <c r="U28" s="87"/>
      <c r="V28" s="84"/>
      <c r="W28" s="84"/>
      <c r="X28" s="23" t="str">
        <f t="shared" si="0"/>
        <v>OK</v>
      </c>
      <c r="Y28" s="23" t="str">
        <f t="shared" si="1"/>
        <v>REST PENDENTE</v>
      </c>
      <c r="Z28" s="23" t="str">
        <f t="shared" si="2"/>
        <v>OK</v>
      </c>
      <c r="AA28" s="23" t="str">
        <f t="shared" si="3"/>
        <v>OK</v>
      </c>
      <c r="AB28" s="23" t="str">
        <f t="shared" ca="1" si="4"/>
        <v/>
      </c>
      <c r="AC28" s="23" t="str">
        <f t="shared" si="5"/>
        <v/>
      </c>
      <c r="AD28" s="23" t="str">
        <f ca="1">IF(OR(A28="",U28="",NOT(ISNUMBER(AB28))),"",RANK(AB28,$AB$3:$AB$164,1)+COUNTIFS($AB$3:AB28,AB28)-1)</f>
        <v/>
      </c>
      <c r="AE28" s="4"/>
    </row>
    <row r="29" spans="1:31" ht="21.95" customHeight="1" x14ac:dyDescent="0.25">
      <c r="A29" s="81" t="s">
        <v>82</v>
      </c>
      <c r="B29" s="80" t="s">
        <v>78</v>
      </c>
      <c r="C29" s="80" t="s">
        <v>83</v>
      </c>
      <c r="D29" s="80">
        <v>62220305000166</v>
      </c>
      <c r="E29" s="80"/>
      <c r="F29" s="80" t="s">
        <v>81</v>
      </c>
      <c r="G29" s="80" t="s">
        <v>4</v>
      </c>
      <c r="H29" s="80" t="s">
        <v>5</v>
      </c>
      <c r="I29" s="80"/>
      <c r="J29" s="80"/>
      <c r="K29" s="80"/>
      <c r="L29" s="80"/>
      <c r="M29" s="80" t="s">
        <v>374</v>
      </c>
      <c r="N29" s="80"/>
      <c r="O29" s="80" t="s">
        <v>346</v>
      </c>
      <c r="P29" s="80"/>
      <c r="Q29" s="82"/>
      <c r="R29" s="82"/>
      <c r="S29" s="82"/>
      <c r="T29" s="82"/>
      <c r="U29" s="83"/>
      <c r="V29" s="80"/>
      <c r="W29" s="80"/>
      <c r="X29" s="23" t="str">
        <f t="shared" si="0"/>
        <v>OK</v>
      </c>
      <c r="Y29" s="23" t="str">
        <f t="shared" si="1"/>
        <v>REST PENDENTE</v>
      </c>
      <c r="Z29" s="23" t="str">
        <f t="shared" si="2"/>
        <v>OK</v>
      </c>
      <c r="AA29" s="23" t="str">
        <f t="shared" si="3"/>
        <v>OK</v>
      </c>
      <c r="AB29" s="23" t="str">
        <f t="shared" ca="1" si="4"/>
        <v/>
      </c>
      <c r="AC29" s="23" t="str">
        <f t="shared" si="5"/>
        <v/>
      </c>
      <c r="AD29" s="23" t="str">
        <f ca="1">IF(OR(A29="",U29="",NOT(ISNUMBER(AB29))),"",RANK(AB29,$AB$3:$AB$164,1)+COUNTIFS($AB$3:AB29,AB29)-1)</f>
        <v/>
      </c>
      <c r="AE29" s="4"/>
    </row>
    <row r="30" spans="1:31" ht="21.95" customHeight="1" x14ac:dyDescent="0.25">
      <c r="A30" s="85" t="s">
        <v>84</v>
      </c>
      <c r="B30" s="84" t="s">
        <v>85</v>
      </c>
      <c r="C30" s="84" t="s">
        <v>46</v>
      </c>
      <c r="D30" s="84">
        <v>10712858000132</v>
      </c>
      <c r="E30" s="84"/>
      <c r="F30" s="84" t="s">
        <v>86</v>
      </c>
      <c r="G30" s="84" t="s">
        <v>13</v>
      </c>
      <c r="H30" s="84" t="s">
        <v>5</v>
      </c>
      <c r="I30" s="84"/>
      <c r="J30" s="84"/>
      <c r="K30" s="84"/>
      <c r="L30" s="84"/>
      <c r="M30" s="84" t="s">
        <v>373</v>
      </c>
      <c r="N30" s="84"/>
      <c r="O30" s="84" t="s">
        <v>346</v>
      </c>
      <c r="P30" s="84"/>
      <c r="Q30" s="86"/>
      <c r="R30" s="86"/>
      <c r="S30" s="86"/>
      <c r="T30" s="86"/>
      <c r="U30" s="87"/>
      <c r="V30" s="84"/>
      <c r="W30" s="84"/>
      <c r="X30" s="23" t="str">
        <f t="shared" si="0"/>
        <v>OK</v>
      </c>
      <c r="Y30" s="23" t="str">
        <f t="shared" si="1"/>
        <v>REST PENDENTE</v>
      </c>
      <c r="Z30" s="23" t="str">
        <f t="shared" si="2"/>
        <v>OK</v>
      </c>
      <c r="AA30" s="23" t="str">
        <f t="shared" si="3"/>
        <v>OK</v>
      </c>
      <c r="AB30" s="23" t="str">
        <f t="shared" ca="1" si="4"/>
        <v/>
      </c>
      <c r="AC30" s="23" t="str">
        <f t="shared" si="5"/>
        <v/>
      </c>
      <c r="AD30" s="23" t="str">
        <f ca="1">IF(OR(A30="",U30="",NOT(ISNUMBER(AB30))),"",RANK(AB30,$AB$3:$AB$164,1)+COUNTIFS($AB$3:AB30,AB30)-1)</f>
        <v/>
      </c>
      <c r="AE30" s="4"/>
    </row>
    <row r="31" spans="1:31" ht="21.95" customHeight="1" x14ac:dyDescent="0.25">
      <c r="A31" s="81" t="s">
        <v>87</v>
      </c>
      <c r="B31" s="80" t="s">
        <v>61</v>
      </c>
      <c r="C31" s="80" t="s">
        <v>62</v>
      </c>
      <c r="D31" s="80">
        <v>53665434000177</v>
      </c>
      <c r="E31" s="80"/>
      <c r="F31" s="80" t="s">
        <v>63</v>
      </c>
      <c r="G31" s="80" t="s">
        <v>4</v>
      </c>
      <c r="H31" s="80" t="s">
        <v>5</v>
      </c>
      <c r="I31" s="80"/>
      <c r="J31" s="80"/>
      <c r="K31" s="80"/>
      <c r="L31" s="80"/>
      <c r="M31" s="80" t="s">
        <v>375</v>
      </c>
      <c r="N31" s="80"/>
      <c r="O31" s="80" t="s">
        <v>346</v>
      </c>
      <c r="P31" s="80"/>
      <c r="Q31" s="82"/>
      <c r="R31" s="82"/>
      <c r="S31" s="82"/>
      <c r="T31" s="82"/>
      <c r="U31" s="83"/>
      <c r="V31" s="80"/>
      <c r="W31" s="80"/>
      <c r="X31" s="23" t="str">
        <f t="shared" si="0"/>
        <v>OK</v>
      </c>
      <c r="Y31" s="23" t="str">
        <f t="shared" si="1"/>
        <v>REST PENDENTE</v>
      </c>
      <c r="Z31" s="23" t="str">
        <f t="shared" si="2"/>
        <v>OK</v>
      </c>
      <c r="AA31" s="23" t="str">
        <f t="shared" si="3"/>
        <v>OK</v>
      </c>
      <c r="AB31" s="23" t="str">
        <f t="shared" ca="1" si="4"/>
        <v/>
      </c>
      <c r="AC31" s="23" t="str">
        <f t="shared" si="5"/>
        <v/>
      </c>
      <c r="AD31" s="23" t="str">
        <f ca="1">IF(OR(A31="",U31="",NOT(ISNUMBER(AB31))),"",RANK(AB31,$AB$3:$AB$164,1)+COUNTIFS($AB$3:AB31,AB31)-1)</f>
        <v/>
      </c>
      <c r="AE31" s="4"/>
    </row>
    <row r="32" spans="1:31" ht="21.95" customHeight="1" x14ac:dyDescent="0.25">
      <c r="A32" s="85" t="s">
        <v>88</v>
      </c>
      <c r="B32" s="84" t="s">
        <v>61</v>
      </c>
      <c r="C32" s="84" t="s">
        <v>62</v>
      </c>
      <c r="D32" s="84">
        <v>53665515000177</v>
      </c>
      <c r="E32" s="84"/>
      <c r="F32" s="84" t="s">
        <v>63</v>
      </c>
      <c r="G32" s="84" t="s">
        <v>4</v>
      </c>
      <c r="H32" s="84" t="s">
        <v>5</v>
      </c>
      <c r="I32" s="84"/>
      <c r="J32" s="84"/>
      <c r="K32" s="84"/>
      <c r="L32" s="84"/>
      <c r="M32" s="84" t="s">
        <v>375</v>
      </c>
      <c r="N32" s="84"/>
      <c r="O32" s="84" t="s">
        <v>346</v>
      </c>
      <c r="P32" s="84"/>
      <c r="Q32" s="86"/>
      <c r="R32" s="86"/>
      <c r="S32" s="86"/>
      <c r="T32" s="86"/>
      <c r="U32" s="87"/>
      <c r="V32" s="84"/>
      <c r="W32" s="84"/>
      <c r="X32" s="23" t="str">
        <f t="shared" si="0"/>
        <v>OK</v>
      </c>
      <c r="Y32" s="23" t="str">
        <f t="shared" si="1"/>
        <v>REST PENDENTE</v>
      </c>
      <c r="Z32" s="23" t="str">
        <f t="shared" si="2"/>
        <v>OK</v>
      </c>
      <c r="AA32" s="23" t="str">
        <f t="shared" si="3"/>
        <v>OK</v>
      </c>
      <c r="AB32" s="23" t="str">
        <f t="shared" ca="1" si="4"/>
        <v/>
      </c>
      <c r="AC32" s="23" t="str">
        <f t="shared" si="5"/>
        <v/>
      </c>
      <c r="AD32" s="23" t="str">
        <f ca="1">IF(OR(A32="",U32="",NOT(ISNUMBER(AB32))),"",RANK(AB32,$AB$3:$AB$164,1)+COUNTIFS($AB$3:AB32,AB32)-1)</f>
        <v/>
      </c>
      <c r="AE32" s="4"/>
    </row>
    <row r="33" spans="1:31" ht="21.95" customHeight="1" x14ac:dyDescent="0.25">
      <c r="A33" s="81" t="s">
        <v>89</v>
      </c>
      <c r="B33" s="80" t="s">
        <v>61</v>
      </c>
      <c r="C33" s="80" t="s">
        <v>62</v>
      </c>
      <c r="D33" s="80">
        <v>53666225000148</v>
      </c>
      <c r="E33" s="80"/>
      <c r="F33" s="80" t="s">
        <v>63</v>
      </c>
      <c r="G33" s="80" t="s">
        <v>4</v>
      </c>
      <c r="H33" s="80" t="s">
        <v>5</v>
      </c>
      <c r="I33" s="80"/>
      <c r="J33" s="80"/>
      <c r="K33" s="80"/>
      <c r="L33" s="80"/>
      <c r="M33" s="80" t="s">
        <v>375</v>
      </c>
      <c r="N33" s="80"/>
      <c r="O33" s="80" t="s">
        <v>346</v>
      </c>
      <c r="P33" s="80"/>
      <c r="Q33" s="82"/>
      <c r="R33" s="82"/>
      <c r="S33" s="82"/>
      <c r="T33" s="82"/>
      <c r="U33" s="83"/>
      <c r="V33" s="80"/>
      <c r="W33" s="80"/>
      <c r="X33" s="23" t="str">
        <f t="shared" si="0"/>
        <v>OK</v>
      </c>
      <c r="Y33" s="23" t="str">
        <f t="shared" si="1"/>
        <v>REST PENDENTE</v>
      </c>
      <c r="Z33" s="23" t="str">
        <f t="shared" si="2"/>
        <v>OK</v>
      </c>
      <c r="AA33" s="23" t="str">
        <f t="shared" si="3"/>
        <v>OK</v>
      </c>
      <c r="AB33" s="23" t="str">
        <f t="shared" ca="1" si="4"/>
        <v/>
      </c>
      <c r="AC33" s="23" t="str">
        <f t="shared" si="5"/>
        <v/>
      </c>
      <c r="AD33" s="23" t="str">
        <f ca="1">IF(OR(A33="",U33="",NOT(ISNUMBER(AB33))),"",RANK(AB33,$AB$3:$AB$164,1)+COUNTIFS($AB$3:AB33,AB33)-1)</f>
        <v/>
      </c>
      <c r="AE33" s="4"/>
    </row>
    <row r="34" spans="1:31" ht="21.95" customHeight="1" x14ac:dyDescent="0.25">
      <c r="A34" s="85" t="s">
        <v>90</v>
      </c>
      <c r="B34" s="84" t="s">
        <v>61</v>
      </c>
      <c r="C34" s="84" t="s">
        <v>62</v>
      </c>
      <c r="D34" s="84">
        <v>17845752000156</v>
      </c>
      <c r="E34" s="84"/>
      <c r="F34" s="84" t="s">
        <v>63</v>
      </c>
      <c r="G34" s="84" t="s">
        <v>41</v>
      </c>
      <c r="H34" s="84" t="s">
        <v>5</v>
      </c>
      <c r="I34" s="84"/>
      <c r="J34" s="84"/>
      <c r="K34" s="84"/>
      <c r="L34" s="84"/>
      <c r="M34" s="84" t="s">
        <v>376</v>
      </c>
      <c r="N34" s="84"/>
      <c r="O34" s="84" t="s">
        <v>346</v>
      </c>
      <c r="P34" s="84"/>
      <c r="Q34" s="86"/>
      <c r="R34" s="86"/>
      <c r="S34" s="86"/>
      <c r="T34" s="86"/>
      <c r="U34" s="87"/>
      <c r="V34" s="84"/>
      <c r="W34" s="84"/>
      <c r="X34" s="23" t="str">
        <f t="shared" si="0"/>
        <v>OK</v>
      </c>
      <c r="Y34" s="23" t="str">
        <f t="shared" si="1"/>
        <v>REST PENDENTE</v>
      </c>
      <c r="Z34" s="23" t="str">
        <f t="shared" si="2"/>
        <v>OK</v>
      </c>
      <c r="AA34" s="23" t="str">
        <f t="shared" si="3"/>
        <v>OK</v>
      </c>
      <c r="AB34" s="23" t="str">
        <f t="shared" ca="1" si="4"/>
        <v/>
      </c>
      <c r="AC34" s="23" t="str">
        <f t="shared" si="5"/>
        <v/>
      </c>
      <c r="AD34" s="23" t="str">
        <f ca="1">IF(OR(A34="",U34="",NOT(ISNUMBER(AB34))),"",RANK(AB34,$AB$3:$AB$164,1)+COUNTIFS($AB$3:AB34,AB34)-1)</f>
        <v/>
      </c>
      <c r="AE34" s="4"/>
    </row>
    <row r="35" spans="1:31" ht="21.95" customHeight="1" x14ac:dyDescent="0.25">
      <c r="A35" s="81" t="s">
        <v>91</v>
      </c>
      <c r="B35" s="80" t="s">
        <v>61</v>
      </c>
      <c r="C35" s="80" t="s">
        <v>62</v>
      </c>
      <c r="D35" s="80">
        <v>17813257000165</v>
      </c>
      <c r="E35" s="80"/>
      <c r="F35" s="80" t="s">
        <v>63</v>
      </c>
      <c r="G35" s="80" t="s">
        <v>13</v>
      </c>
      <c r="H35" s="80" t="s">
        <v>5</v>
      </c>
      <c r="I35" s="80"/>
      <c r="J35" s="80"/>
      <c r="K35" s="80"/>
      <c r="L35" s="80"/>
      <c r="M35" s="80" t="s">
        <v>377</v>
      </c>
      <c r="N35" s="80"/>
      <c r="O35" s="80" t="s">
        <v>346</v>
      </c>
      <c r="P35" s="80"/>
      <c r="Q35" s="82"/>
      <c r="R35" s="82"/>
      <c r="S35" s="82"/>
      <c r="T35" s="82"/>
      <c r="U35" s="83"/>
      <c r="V35" s="80"/>
      <c r="W35" s="80"/>
      <c r="X35" s="23" t="str">
        <f t="shared" ref="X35:X66" si="6">IF(A35="","",IF(LEN(IF(ISNUMBER(D35),TEXT(D35,"00000000000000"),SUBSTITUTE(SUBSTITUTE(SUBSTITUTE(SUBSTITUTE(SUBSTITUTE(D35,".",""),"/",""),"-","")," ",""),CHAR(160),"")))&lt;&gt;14,"CNPJ INVALIDO","OK"))</f>
        <v>OK</v>
      </c>
      <c r="Y35" s="23" t="str">
        <f t="shared" ref="Y35:Y66" si="7">IF(A35="","",IF(R35="","REST PENDENTE","REST OK"))</f>
        <v>REST PENDENTE</v>
      </c>
      <c r="Z35" s="23" t="str">
        <f t="shared" ref="Z35:Z66" si="8">IF(A35="","",IF(AND(R35&lt;&gt;"",COUNTIFS($D$3:$D$164,D35,$R$3:$R$164,"&lt;&gt;")&gt;1),"DUPLICADO","OK"))</f>
        <v>OK</v>
      </c>
      <c r="AA35" s="23" t="str">
        <f t="shared" ref="AA35:AA66" si="9">IF(A35="","",IF(OR(LEN(Q35)&gt;180,LEN(R35)&gt;180,LEN(S35)&gt;180,LEN(T35)&gt;180),"CAMINHO LONGO","OK"))</f>
        <v>OK</v>
      </c>
      <c r="AB35" s="23" t="str">
        <f t="shared" ref="AB35:AB66" ca="1" si="10">IF(A35="","",IF(U35="","",IFERROR(INT(U35-TODAY()),"")))</f>
        <v/>
      </c>
      <c r="AC35" s="23" t="str">
        <f t="shared" ref="AC35:AC66" si="11">IF(A35="","",IF(AND(T35="",U35=""),"",IF(T35="","SEM CAMINHO",IF(U35="","SEM DATA",IFERROR(IF(AB35&lt;15,"VERMELHO",IF(AB35&lt;=30,"AMARELO","VERDE")),"DATA INVALIDA")))))</f>
        <v/>
      </c>
      <c r="AD35" s="23" t="str">
        <f ca="1">IF(OR(A35="",U35="",NOT(ISNUMBER(AB35))),"",RANK(AB35,$AB$3:$AB$164,1)+COUNTIFS($AB$3:AB35,AB35)-1)</f>
        <v/>
      </c>
      <c r="AE35" s="4"/>
    </row>
    <row r="36" spans="1:31" ht="21.95" customHeight="1" x14ac:dyDescent="0.25">
      <c r="A36" s="85" t="s">
        <v>92</v>
      </c>
      <c r="B36" s="84" t="s">
        <v>1</v>
      </c>
      <c r="C36" s="84" t="s">
        <v>93</v>
      </c>
      <c r="D36" s="84" t="s">
        <v>94</v>
      </c>
      <c r="E36" s="84"/>
      <c r="F36" s="84" t="s">
        <v>3</v>
      </c>
      <c r="G36" s="84" t="s">
        <v>4</v>
      </c>
      <c r="H36" s="84" t="s">
        <v>5</v>
      </c>
      <c r="I36" s="84"/>
      <c r="J36" s="84"/>
      <c r="K36" s="84"/>
      <c r="L36" s="84"/>
      <c r="M36" s="84" t="s">
        <v>373</v>
      </c>
      <c r="N36" s="84"/>
      <c r="O36" s="84" t="s">
        <v>346</v>
      </c>
      <c r="P36" s="84"/>
      <c r="Q36" s="86"/>
      <c r="R36" s="86"/>
      <c r="S36" s="86"/>
      <c r="T36" s="86"/>
      <c r="U36" s="87"/>
      <c r="V36" s="84"/>
      <c r="W36" s="84"/>
      <c r="X36" s="23" t="str">
        <f t="shared" si="6"/>
        <v>OK</v>
      </c>
      <c r="Y36" s="23" t="str">
        <f t="shared" si="7"/>
        <v>REST PENDENTE</v>
      </c>
      <c r="Z36" s="23" t="str">
        <f t="shared" si="8"/>
        <v>OK</v>
      </c>
      <c r="AA36" s="23" t="str">
        <f t="shared" si="9"/>
        <v>OK</v>
      </c>
      <c r="AB36" s="23" t="str">
        <f t="shared" ca="1" si="10"/>
        <v/>
      </c>
      <c r="AC36" s="23" t="str">
        <f t="shared" si="11"/>
        <v/>
      </c>
      <c r="AD36" s="23" t="str">
        <f ca="1">IF(OR(A36="",U36="",NOT(ISNUMBER(AB36))),"",RANK(AB36,$AB$3:$AB$164,1)+COUNTIFS($AB$3:AB36,AB36)-1)</f>
        <v/>
      </c>
      <c r="AE36" s="4"/>
    </row>
    <row r="37" spans="1:31" ht="21.95" customHeight="1" x14ac:dyDescent="0.25">
      <c r="A37" s="81" t="s">
        <v>95</v>
      </c>
      <c r="B37" s="80" t="s">
        <v>96</v>
      </c>
      <c r="C37" s="80" t="s">
        <v>97</v>
      </c>
      <c r="D37" s="80" t="s">
        <v>98</v>
      </c>
      <c r="E37" s="80"/>
      <c r="F37" s="80" t="s">
        <v>99</v>
      </c>
      <c r="G37" s="80" t="s">
        <v>41</v>
      </c>
      <c r="H37" s="80" t="s">
        <v>14</v>
      </c>
      <c r="I37" s="80"/>
      <c r="J37" s="80"/>
      <c r="K37" s="80"/>
      <c r="L37" s="80"/>
      <c r="M37" s="80" t="s">
        <v>379</v>
      </c>
      <c r="N37" s="80" t="s">
        <v>358</v>
      </c>
      <c r="O37" s="80" t="s">
        <v>346</v>
      </c>
      <c r="P37" s="80"/>
      <c r="Q37" s="82"/>
      <c r="R37" s="82"/>
      <c r="S37" s="82"/>
      <c r="T37" s="82"/>
      <c r="U37" s="83"/>
      <c r="V37" s="80"/>
      <c r="W37" s="80"/>
      <c r="X37" s="23" t="str">
        <f t="shared" si="6"/>
        <v>OK</v>
      </c>
      <c r="Y37" s="23" t="str">
        <f t="shared" si="7"/>
        <v>REST PENDENTE</v>
      </c>
      <c r="Z37" s="23" t="str">
        <f t="shared" si="8"/>
        <v>OK</v>
      </c>
      <c r="AA37" s="23" t="str">
        <f t="shared" si="9"/>
        <v>OK</v>
      </c>
      <c r="AB37" s="23" t="str">
        <f t="shared" ca="1" si="10"/>
        <v/>
      </c>
      <c r="AC37" s="23" t="str">
        <f t="shared" si="11"/>
        <v/>
      </c>
      <c r="AD37" s="23" t="str">
        <f ca="1">IF(OR(A37="",U37="",NOT(ISNUMBER(AB37))),"",RANK(AB37,$AB$3:$AB$164,1)+COUNTIFS($AB$3:AB37,AB37)-1)</f>
        <v/>
      </c>
      <c r="AE37" s="4"/>
    </row>
    <row r="38" spans="1:31" ht="21.95" customHeight="1" x14ac:dyDescent="0.25">
      <c r="A38" s="85" t="s">
        <v>95</v>
      </c>
      <c r="B38" s="84" t="s">
        <v>96</v>
      </c>
      <c r="C38" s="84" t="s">
        <v>97</v>
      </c>
      <c r="D38" s="84" t="s">
        <v>100</v>
      </c>
      <c r="E38" s="84"/>
      <c r="F38" s="84" t="s">
        <v>99</v>
      </c>
      <c r="G38" s="84" t="s">
        <v>13</v>
      </c>
      <c r="H38" s="84" t="s">
        <v>14</v>
      </c>
      <c r="I38" s="84"/>
      <c r="J38" s="84"/>
      <c r="K38" s="84"/>
      <c r="L38" s="84"/>
      <c r="M38" s="84" t="s">
        <v>378</v>
      </c>
      <c r="N38" s="84" t="s">
        <v>358</v>
      </c>
      <c r="O38" s="84" t="s">
        <v>346</v>
      </c>
      <c r="P38" s="84"/>
      <c r="Q38" s="86"/>
      <c r="R38" s="86"/>
      <c r="S38" s="86"/>
      <c r="T38" s="86"/>
      <c r="U38" s="87"/>
      <c r="V38" s="84"/>
      <c r="W38" s="84"/>
      <c r="X38" s="23" t="str">
        <f t="shared" si="6"/>
        <v>OK</v>
      </c>
      <c r="Y38" s="23" t="str">
        <f t="shared" si="7"/>
        <v>REST PENDENTE</v>
      </c>
      <c r="Z38" s="23" t="str">
        <f t="shared" si="8"/>
        <v>OK</v>
      </c>
      <c r="AA38" s="23" t="str">
        <f t="shared" si="9"/>
        <v>OK</v>
      </c>
      <c r="AB38" s="23" t="str">
        <f t="shared" ca="1" si="10"/>
        <v/>
      </c>
      <c r="AC38" s="23" t="str">
        <f t="shared" si="11"/>
        <v/>
      </c>
      <c r="AD38" s="23" t="str">
        <f ca="1">IF(OR(A38="",U38="",NOT(ISNUMBER(AB38))),"",RANK(AB38,$AB$3:$AB$164,1)+COUNTIFS($AB$3:AB38,AB38)-1)</f>
        <v/>
      </c>
      <c r="AE38" s="4"/>
    </row>
    <row r="39" spans="1:31" ht="21.95" customHeight="1" x14ac:dyDescent="0.25">
      <c r="A39" s="81" t="s">
        <v>95</v>
      </c>
      <c r="B39" s="80" t="s">
        <v>96</v>
      </c>
      <c r="C39" s="80" t="s">
        <v>97</v>
      </c>
      <c r="D39" s="80" t="s">
        <v>101</v>
      </c>
      <c r="E39" s="80"/>
      <c r="F39" s="80" t="s">
        <v>99</v>
      </c>
      <c r="G39" s="80" t="s">
        <v>13</v>
      </c>
      <c r="H39" s="80" t="s">
        <v>14</v>
      </c>
      <c r="I39" s="80"/>
      <c r="J39" s="80"/>
      <c r="K39" s="80"/>
      <c r="L39" s="80"/>
      <c r="M39" s="80" t="s">
        <v>378</v>
      </c>
      <c r="N39" s="80" t="s">
        <v>358</v>
      </c>
      <c r="O39" s="80" t="s">
        <v>346</v>
      </c>
      <c r="P39" s="80"/>
      <c r="Q39" s="82"/>
      <c r="R39" s="82"/>
      <c r="S39" s="82"/>
      <c r="T39" s="82"/>
      <c r="U39" s="83"/>
      <c r="V39" s="80"/>
      <c r="W39" s="80"/>
      <c r="X39" s="23" t="str">
        <f t="shared" si="6"/>
        <v>OK</v>
      </c>
      <c r="Y39" s="23" t="str">
        <f t="shared" si="7"/>
        <v>REST PENDENTE</v>
      </c>
      <c r="Z39" s="23" t="str">
        <f t="shared" si="8"/>
        <v>OK</v>
      </c>
      <c r="AA39" s="23" t="str">
        <f t="shared" si="9"/>
        <v>OK</v>
      </c>
      <c r="AB39" s="23" t="str">
        <f t="shared" ca="1" si="10"/>
        <v/>
      </c>
      <c r="AC39" s="23" t="str">
        <f t="shared" si="11"/>
        <v/>
      </c>
      <c r="AD39" s="23" t="str">
        <f ca="1">IF(OR(A39="",U39="",NOT(ISNUMBER(AB39))),"",RANK(AB39,$AB$3:$AB$164,1)+COUNTIFS($AB$3:AB39,AB39)-1)</f>
        <v/>
      </c>
      <c r="AE39" s="4"/>
    </row>
    <row r="40" spans="1:31" ht="21.95" customHeight="1" x14ac:dyDescent="0.25">
      <c r="A40" s="85" t="s">
        <v>95</v>
      </c>
      <c r="B40" s="84" t="s">
        <v>96</v>
      </c>
      <c r="C40" s="84" t="s">
        <v>97</v>
      </c>
      <c r="D40" s="84" t="s">
        <v>102</v>
      </c>
      <c r="E40" s="84"/>
      <c r="F40" s="84" t="s">
        <v>99</v>
      </c>
      <c r="G40" s="84" t="s">
        <v>13</v>
      </c>
      <c r="H40" s="84" t="s">
        <v>14</v>
      </c>
      <c r="I40" s="84"/>
      <c r="J40" s="84"/>
      <c r="K40" s="84"/>
      <c r="L40" s="84"/>
      <c r="M40" s="84" t="s">
        <v>378</v>
      </c>
      <c r="N40" s="84" t="s">
        <v>358</v>
      </c>
      <c r="O40" s="84" t="s">
        <v>346</v>
      </c>
      <c r="P40" s="84"/>
      <c r="Q40" s="86"/>
      <c r="R40" s="86"/>
      <c r="S40" s="86"/>
      <c r="T40" s="86"/>
      <c r="U40" s="87"/>
      <c r="V40" s="84"/>
      <c r="W40" s="84"/>
      <c r="X40" s="23" t="str">
        <f t="shared" si="6"/>
        <v>OK</v>
      </c>
      <c r="Y40" s="23" t="str">
        <f t="shared" si="7"/>
        <v>REST PENDENTE</v>
      </c>
      <c r="Z40" s="23" t="str">
        <f t="shared" si="8"/>
        <v>OK</v>
      </c>
      <c r="AA40" s="23" t="str">
        <f t="shared" si="9"/>
        <v>OK</v>
      </c>
      <c r="AB40" s="23" t="str">
        <f t="shared" ca="1" si="10"/>
        <v/>
      </c>
      <c r="AC40" s="23" t="str">
        <f t="shared" si="11"/>
        <v/>
      </c>
      <c r="AD40" s="23" t="str">
        <f ca="1">IF(OR(A40="",U40="",NOT(ISNUMBER(AB40))),"",RANK(AB40,$AB$3:$AB$164,1)+COUNTIFS($AB$3:AB40,AB40)-1)</f>
        <v/>
      </c>
      <c r="AE40" s="4"/>
    </row>
    <row r="41" spans="1:31" ht="21.95" customHeight="1" x14ac:dyDescent="0.25">
      <c r="A41" s="81" t="s">
        <v>95</v>
      </c>
      <c r="B41" s="80" t="s">
        <v>96</v>
      </c>
      <c r="C41" s="80" t="s">
        <v>97</v>
      </c>
      <c r="D41" s="80" t="s">
        <v>103</v>
      </c>
      <c r="E41" s="80"/>
      <c r="F41" s="80" t="s">
        <v>99</v>
      </c>
      <c r="G41" s="80" t="s">
        <v>13</v>
      </c>
      <c r="H41" s="80" t="s">
        <v>14</v>
      </c>
      <c r="I41" s="80"/>
      <c r="J41" s="80"/>
      <c r="K41" s="80"/>
      <c r="L41" s="80"/>
      <c r="M41" s="80" t="s">
        <v>378</v>
      </c>
      <c r="N41" s="80" t="s">
        <v>358</v>
      </c>
      <c r="O41" s="80" t="s">
        <v>346</v>
      </c>
      <c r="P41" s="80"/>
      <c r="Q41" s="82"/>
      <c r="R41" s="82"/>
      <c r="S41" s="82"/>
      <c r="T41" s="82"/>
      <c r="U41" s="83"/>
      <c r="V41" s="80"/>
      <c r="W41" s="80"/>
      <c r="X41" s="23" t="str">
        <f t="shared" si="6"/>
        <v>OK</v>
      </c>
      <c r="Y41" s="23" t="str">
        <f t="shared" si="7"/>
        <v>REST PENDENTE</v>
      </c>
      <c r="Z41" s="23" t="str">
        <f t="shared" si="8"/>
        <v>OK</v>
      </c>
      <c r="AA41" s="23" t="str">
        <f t="shared" si="9"/>
        <v>OK</v>
      </c>
      <c r="AB41" s="23" t="str">
        <f t="shared" ca="1" si="10"/>
        <v/>
      </c>
      <c r="AC41" s="23" t="str">
        <f t="shared" si="11"/>
        <v/>
      </c>
      <c r="AD41" s="23" t="str">
        <f ca="1">IF(OR(A41="",U41="",NOT(ISNUMBER(AB41))),"",RANK(AB41,$AB$3:$AB$164,1)+COUNTIFS($AB$3:AB41,AB41)-1)</f>
        <v/>
      </c>
      <c r="AE41" s="4"/>
    </row>
    <row r="42" spans="1:31" ht="21.95" customHeight="1" x14ac:dyDescent="0.25">
      <c r="A42" s="85" t="s">
        <v>95</v>
      </c>
      <c r="B42" s="84" t="s">
        <v>96</v>
      </c>
      <c r="C42" s="84" t="s">
        <v>104</v>
      </c>
      <c r="D42" s="84" t="s">
        <v>105</v>
      </c>
      <c r="E42" s="84"/>
      <c r="F42" s="84" t="s">
        <v>99</v>
      </c>
      <c r="G42" s="84" t="s">
        <v>13</v>
      </c>
      <c r="H42" s="84" t="s">
        <v>14</v>
      </c>
      <c r="I42" s="84"/>
      <c r="J42" s="84"/>
      <c r="K42" s="84"/>
      <c r="L42" s="84"/>
      <c r="M42" s="84" t="s">
        <v>378</v>
      </c>
      <c r="N42" s="84" t="s">
        <v>358</v>
      </c>
      <c r="O42" s="84" t="s">
        <v>346</v>
      </c>
      <c r="P42" s="84"/>
      <c r="Q42" s="86"/>
      <c r="R42" s="86"/>
      <c r="S42" s="86"/>
      <c r="T42" s="86"/>
      <c r="U42" s="87"/>
      <c r="V42" s="84"/>
      <c r="W42" s="84"/>
      <c r="X42" s="23" t="str">
        <f t="shared" si="6"/>
        <v>OK</v>
      </c>
      <c r="Y42" s="23" t="str">
        <f t="shared" si="7"/>
        <v>REST PENDENTE</v>
      </c>
      <c r="Z42" s="23" t="str">
        <f t="shared" si="8"/>
        <v>OK</v>
      </c>
      <c r="AA42" s="23" t="str">
        <f t="shared" si="9"/>
        <v>OK</v>
      </c>
      <c r="AB42" s="23" t="str">
        <f t="shared" ca="1" si="10"/>
        <v/>
      </c>
      <c r="AC42" s="23" t="str">
        <f t="shared" si="11"/>
        <v/>
      </c>
      <c r="AD42" s="23" t="str">
        <f ca="1">IF(OR(A42="",U42="",NOT(ISNUMBER(AB42))),"",RANK(AB42,$AB$3:$AB$164,1)+COUNTIFS($AB$3:AB42,AB42)-1)</f>
        <v/>
      </c>
      <c r="AE42" s="4"/>
    </row>
    <row r="43" spans="1:31" ht="21.95" customHeight="1" x14ac:dyDescent="0.25">
      <c r="A43" s="81" t="s">
        <v>95</v>
      </c>
      <c r="B43" s="80" t="s">
        <v>96</v>
      </c>
      <c r="C43" s="80" t="s">
        <v>104</v>
      </c>
      <c r="D43" s="80" t="s">
        <v>106</v>
      </c>
      <c r="E43" s="80"/>
      <c r="F43" s="80" t="s">
        <v>99</v>
      </c>
      <c r="G43" s="80" t="s">
        <v>13</v>
      </c>
      <c r="H43" s="80" t="s">
        <v>14</v>
      </c>
      <c r="I43" s="80"/>
      <c r="J43" s="80"/>
      <c r="K43" s="80"/>
      <c r="L43" s="80"/>
      <c r="M43" s="80" t="s">
        <v>378</v>
      </c>
      <c r="N43" s="80" t="s">
        <v>358</v>
      </c>
      <c r="O43" s="80" t="s">
        <v>346</v>
      </c>
      <c r="P43" s="80"/>
      <c r="Q43" s="82"/>
      <c r="R43" s="82"/>
      <c r="S43" s="82"/>
      <c r="T43" s="82"/>
      <c r="U43" s="83"/>
      <c r="V43" s="80"/>
      <c r="W43" s="80"/>
      <c r="X43" s="23" t="str">
        <f t="shared" si="6"/>
        <v>OK</v>
      </c>
      <c r="Y43" s="23" t="str">
        <f t="shared" si="7"/>
        <v>REST PENDENTE</v>
      </c>
      <c r="Z43" s="23" t="str">
        <f t="shared" si="8"/>
        <v>OK</v>
      </c>
      <c r="AA43" s="23" t="str">
        <f t="shared" si="9"/>
        <v>OK</v>
      </c>
      <c r="AB43" s="23" t="str">
        <f t="shared" ca="1" si="10"/>
        <v/>
      </c>
      <c r="AC43" s="23" t="str">
        <f t="shared" si="11"/>
        <v/>
      </c>
      <c r="AD43" s="23" t="str">
        <f ca="1">IF(OR(A43="",U43="",NOT(ISNUMBER(AB43))),"",RANK(AB43,$AB$3:$AB$164,1)+COUNTIFS($AB$3:AB43,AB43)-1)</f>
        <v/>
      </c>
      <c r="AE43" s="4"/>
    </row>
    <row r="44" spans="1:31" ht="21.95" customHeight="1" x14ac:dyDescent="0.25">
      <c r="A44" s="85" t="s">
        <v>107</v>
      </c>
      <c r="B44" s="84" t="s">
        <v>108</v>
      </c>
      <c r="C44" s="84" t="s">
        <v>62</v>
      </c>
      <c r="D44" s="84">
        <v>50056304000149</v>
      </c>
      <c r="E44" s="84"/>
      <c r="F44" s="84" t="s">
        <v>109</v>
      </c>
      <c r="G44" s="84" t="s">
        <v>4</v>
      </c>
      <c r="H44" s="84" t="s">
        <v>49</v>
      </c>
      <c r="I44" s="84"/>
      <c r="J44" s="84"/>
      <c r="K44" s="84"/>
      <c r="L44" s="84"/>
      <c r="M44" s="84" t="s">
        <v>375</v>
      </c>
      <c r="N44" s="84"/>
      <c r="O44" s="84" t="s">
        <v>346</v>
      </c>
      <c r="P44" s="84"/>
      <c r="Q44" s="86"/>
      <c r="R44" s="86"/>
      <c r="S44" s="86"/>
      <c r="T44" s="86"/>
      <c r="U44" s="87"/>
      <c r="V44" s="84"/>
      <c r="W44" s="84"/>
      <c r="X44" s="23" t="str">
        <f t="shared" si="6"/>
        <v>OK</v>
      </c>
      <c r="Y44" s="23" t="str">
        <f t="shared" si="7"/>
        <v>REST PENDENTE</v>
      </c>
      <c r="Z44" s="23" t="str">
        <f t="shared" si="8"/>
        <v>OK</v>
      </c>
      <c r="AA44" s="23" t="str">
        <f t="shared" si="9"/>
        <v>OK</v>
      </c>
      <c r="AB44" s="23" t="str">
        <f t="shared" ca="1" si="10"/>
        <v/>
      </c>
      <c r="AC44" s="23" t="str">
        <f t="shared" si="11"/>
        <v/>
      </c>
      <c r="AD44" s="23" t="str">
        <f ca="1">IF(OR(A44="",U44="",NOT(ISNUMBER(AB44))),"",RANK(AB44,$AB$3:$AB$164,1)+COUNTIFS($AB$3:AB44,AB44)-1)</f>
        <v/>
      </c>
      <c r="AE44" s="4"/>
    </row>
    <row r="45" spans="1:31" ht="21.95" customHeight="1" x14ac:dyDescent="0.25">
      <c r="A45" s="81" t="s">
        <v>110</v>
      </c>
      <c r="B45" s="80" t="s">
        <v>108</v>
      </c>
      <c r="C45" s="80" t="s">
        <v>62</v>
      </c>
      <c r="D45" s="80">
        <v>59971731000127</v>
      </c>
      <c r="E45" s="80"/>
      <c r="F45" s="80" t="s">
        <v>109</v>
      </c>
      <c r="G45" s="80" t="s">
        <v>4</v>
      </c>
      <c r="H45" s="80" t="s">
        <v>49</v>
      </c>
      <c r="I45" s="80"/>
      <c r="J45" s="80"/>
      <c r="K45" s="80"/>
      <c r="L45" s="80"/>
      <c r="M45" s="80" t="s">
        <v>375</v>
      </c>
      <c r="N45" s="80"/>
      <c r="O45" s="80" t="s">
        <v>346</v>
      </c>
      <c r="P45" s="80"/>
      <c r="Q45" s="82"/>
      <c r="R45" s="82"/>
      <c r="S45" s="82"/>
      <c r="T45" s="82"/>
      <c r="U45" s="83"/>
      <c r="V45" s="80"/>
      <c r="W45" s="80"/>
      <c r="X45" s="23" t="str">
        <f t="shared" si="6"/>
        <v>OK</v>
      </c>
      <c r="Y45" s="23" t="str">
        <f t="shared" si="7"/>
        <v>REST PENDENTE</v>
      </c>
      <c r="Z45" s="23" t="str">
        <f t="shared" si="8"/>
        <v>OK</v>
      </c>
      <c r="AA45" s="23" t="str">
        <f t="shared" si="9"/>
        <v>OK</v>
      </c>
      <c r="AB45" s="23" t="str">
        <f t="shared" ca="1" si="10"/>
        <v/>
      </c>
      <c r="AC45" s="23" t="str">
        <f t="shared" si="11"/>
        <v/>
      </c>
      <c r="AD45" s="23" t="str">
        <f ca="1">IF(OR(A45="",U45="",NOT(ISNUMBER(AB45))),"",RANK(AB45,$AB$3:$AB$164,1)+COUNTIFS($AB$3:AB45,AB45)-1)</f>
        <v/>
      </c>
      <c r="AE45" s="4"/>
    </row>
    <row r="46" spans="1:31" ht="21.95" customHeight="1" x14ac:dyDescent="0.25">
      <c r="A46" s="85" t="s">
        <v>111</v>
      </c>
      <c r="B46" s="84" t="s">
        <v>108</v>
      </c>
      <c r="C46" s="84" t="s">
        <v>69</v>
      </c>
      <c r="D46" s="84" t="s">
        <v>112</v>
      </c>
      <c r="E46" s="84"/>
      <c r="F46" s="84" t="s">
        <v>113</v>
      </c>
      <c r="G46" s="84" t="s">
        <v>13</v>
      </c>
      <c r="H46" s="84" t="s">
        <v>49</v>
      </c>
      <c r="I46" s="84"/>
      <c r="J46" s="84"/>
      <c r="K46" s="84"/>
      <c r="L46" s="84"/>
      <c r="M46" s="84" t="s">
        <v>373</v>
      </c>
      <c r="N46" s="84"/>
      <c r="O46" s="84" t="s">
        <v>344</v>
      </c>
      <c r="P46" s="84"/>
      <c r="Q46" s="86"/>
      <c r="R46" s="86"/>
      <c r="S46" s="86"/>
      <c r="T46" s="86"/>
      <c r="U46" s="87"/>
      <c r="V46" s="84"/>
      <c r="W46" s="84"/>
      <c r="X46" s="23" t="str">
        <f t="shared" si="6"/>
        <v>OK</v>
      </c>
      <c r="Y46" s="23" t="str">
        <f t="shared" si="7"/>
        <v>REST PENDENTE</v>
      </c>
      <c r="Z46" s="23" t="str">
        <f t="shared" si="8"/>
        <v>OK</v>
      </c>
      <c r="AA46" s="23" t="str">
        <f t="shared" si="9"/>
        <v>OK</v>
      </c>
      <c r="AB46" s="23" t="str">
        <f t="shared" ca="1" si="10"/>
        <v/>
      </c>
      <c r="AC46" s="23" t="str">
        <f t="shared" si="11"/>
        <v/>
      </c>
      <c r="AD46" s="23" t="str">
        <f ca="1">IF(OR(A46="",U46="",NOT(ISNUMBER(AB46))),"",RANK(AB46,$AB$3:$AB$164,1)+COUNTIFS($AB$3:AB46,AB46)-1)</f>
        <v/>
      </c>
      <c r="AE46" s="4"/>
    </row>
    <row r="47" spans="1:31" ht="21.95" customHeight="1" x14ac:dyDescent="0.25">
      <c r="A47" s="81" t="s">
        <v>114</v>
      </c>
      <c r="B47" s="80" t="s">
        <v>115</v>
      </c>
      <c r="C47" s="80" t="s">
        <v>116</v>
      </c>
      <c r="D47" s="80" t="s">
        <v>117</v>
      </c>
      <c r="E47" s="80"/>
      <c r="F47" s="80" t="s">
        <v>118</v>
      </c>
      <c r="G47" s="80" t="s">
        <v>13</v>
      </c>
      <c r="H47" s="80" t="s">
        <v>14</v>
      </c>
      <c r="I47" s="80"/>
      <c r="J47" s="80"/>
      <c r="K47" s="80"/>
      <c r="L47" s="80"/>
      <c r="M47" s="80" t="s">
        <v>373</v>
      </c>
      <c r="N47" s="80"/>
      <c r="O47" s="80" t="s">
        <v>347</v>
      </c>
      <c r="P47" s="80"/>
      <c r="Q47" s="82"/>
      <c r="R47" s="82"/>
      <c r="S47" s="82"/>
      <c r="T47" s="82"/>
      <c r="U47" s="83"/>
      <c r="V47" s="80"/>
      <c r="W47" s="80"/>
      <c r="X47" s="23" t="str">
        <f t="shared" si="6"/>
        <v>OK</v>
      </c>
      <c r="Y47" s="23" t="str">
        <f t="shared" si="7"/>
        <v>REST PENDENTE</v>
      </c>
      <c r="Z47" s="23" t="str">
        <f t="shared" si="8"/>
        <v>OK</v>
      </c>
      <c r="AA47" s="23" t="str">
        <f t="shared" si="9"/>
        <v>OK</v>
      </c>
      <c r="AB47" s="23" t="str">
        <f t="shared" ca="1" si="10"/>
        <v/>
      </c>
      <c r="AC47" s="23" t="str">
        <f t="shared" si="11"/>
        <v/>
      </c>
      <c r="AD47" s="23" t="str">
        <f ca="1">IF(OR(A47="",U47="",NOT(ISNUMBER(AB47))),"",RANK(AB47,$AB$3:$AB$164,1)+COUNTIFS($AB$3:AB47,AB47)-1)</f>
        <v/>
      </c>
      <c r="AE47" s="4"/>
    </row>
    <row r="48" spans="1:31" ht="21.95" customHeight="1" x14ac:dyDescent="0.25">
      <c r="A48" s="85" t="s">
        <v>119</v>
      </c>
      <c r="B48" s="84" t="s">
        <v>115</v>
      </c>
      <c r="C48" s="84" t="s">
        <v>116</v>
      </c>
      <c r="D48" s="84" t="s">
        <v>120</v>
      </c>
      <c r="E48" s="84"/>
      <c r="F48" s="84" t="s">
        <v>118</v>
      </c>
      <c r="G48" s="84" t="s">
        <v>13</v>
      </c>
      <c r="H48" s="84" t="s">
        <v>14</v>
      </c>
      <c r="I48" s="84"/>
      <c r="J48" s="84"/>
      <c r="K48" s="84"/>
      <c r="L48" s="84"/>
      <c r="M48" s="84" t="s">
        <v>372</v>
      </c>
      <c r="N48" s="84"/>
      <c r="O48" s="84" t="s">
        <v>344</v>
      </c>
      <c r="P48" s="84"/>
      <c r="Q48" s="86"/>
      <c r="R48" s="86"/>
      <c r="S48" s="86"/>
      <c r="T48" s="86"/>
      <c r="U48" s="87"/>
      <c r="V48" s="84"/>
      <c r="W48" s="84"/>
      <c r="X48" s="23" t="str">
        <f t="shared" si="6"/>
        <v>OK</v>
      </c>
      <c r="Y48" s="23" t="str">
        <f t="shared" si="7"/>
        <v>REST PENDENTE</v>
      </c>
      <c r="Z48" s="23" t="str">
        <f t="shared" si="8"/>
        <v>OK</v>
      </c>
      <c r="AA48" s="23" t="str">
        <f t="shared" si="9"/>
        <v>OK</v>
      </c>
      <c r="AB48" s="23" t="str">
        <f t="shared" ca="1" si="10"/>
        <v/>
      </c>
      <c r="AC48" s="23" t="str">
        <f t="shared" si="11"/>
        <v/>
      </c>
      <c r="AD48" s="23" t="str">
        <f ca="1">IF(OR(A48="",U48="",NOT(ISNUMBER(AB48))),"",RANK(AB48,$AB$3:$AB$164,1)+COUNTIFS($AB$3:AB48,AB48)-1)</f>
        <v/>
      </c>
      <c r="AE48" s="4"/>
    </row>
    <row r="49" spans="1:31" ht="21.95" customHeight="1" x14ac:dyDescent="0.25">
      <c r="A49" s="81" t="s">
        <v>121</v>
      </c>
      <c r="B49" s="80" t="s">
        <v>115</v>
      </c>
      <c r="C49" s="80" t="s">
        <v>122</v>
      </c>
      <c r="D49" s="80">
        <v>44742752000101</v>
      </c>
      <c r="E49" s="80"/>
      <c r="F49" s="80" t="s">
        <v>118</v>
      </c>
      <c r="G49" s="80" t="s">
        <v>4</v>
      </c>
      <c r="H49" s="80" t="s">
        <v>5</v>
      </c>
      <c r="I49" s="80"/>
      <c r="J49" s="80"/>
      <c r="K49" s="80"/>
      <c r="L49" s="80"/>
      <c r="M49" s="80" t="s">
        <v>372</v>
      </c>
      <c r="N49" s="80"/>
      <c r="O49" s="80" t="s">
        <v>346</v>
      </c>
      <c r="P49" s="80"/>
      <c r="Q49" s="82"/>
      <c r="R49" s="82"/>
      <c r="S49" s="82"/>
      <c r="T49" s="82"/>
      <c r="U49" s="83"/>
      <c r="V49" s="80"/>
      <c r="W49" s="80"/>
      <c r="X49" s="23" t="str">
        <f t="shared" si="6"/>
        <v>OK</v>
      </c>
      <c r="Y49" s="23" t="str">
        <f t="shared" si="7"/>
        <v>REST PENDENTE</v>
      </c>
      <c r="Z49" s="23" t="str">
        <f t="shared" si="8"/>
        <v>OK</v>
      </c>
      <c r="AA49" s="23" t="str">
        <f t="shared" si="9"/>
        <v>OK</v>
      </c>
      <c r="AB49" s="23" t="str">
        <f t="shared" ca="1" si="10"/>
        <v/>
      </c>
      <c r="AC49" s="23" t="str">
        <f t="shared" si="11"/>
        <v/>
      </c>
      <c r="AD49" s="23" t="str">
        <f ca="1">IF(OR(A49="",U49="",NOT(ISNUMBER(AB49))),"",RANK(AB49,$AB$3:$AB$164,1)+COUNTIFS($AB$3:AB49,AB49)-1)</f>
        <v/>
      </c>
      <c r="AE49" s="4"/>
    </row>
    <row r="50" spans="1:31" ht="21.95" customHeight="1" x14ac:dyDescent="0.25">
      <c r="A50" s="85" t="s">
        <v>123</v>
      </c>
      <c r="B50" s="84" t="s">
        <v>115</v>
      </c>
      <c r="C50" s="84" t="s">
        <v>116</v>
      </c>
      <c r="D50" s="84" t="s">
        <v>124</v>
      </c>
      <c r="E50" s="84"/>
      <c r="F50" s="84" t="s">
        <v>125</v>
      </c>
      <c r="G50" s="84" t="s">
        <v>13</v>
      </c>
      <c r="H50" s="84" t="s">
        <v>14</v>
      </c>
      <c r="I50" s="84"/>
      <c r="J50" s="84"/>
      <c r="K50" s="84"/>
      <c r="L50" s="84"/>
      <c r="M50" s="84" t="s">
        <v>375</v>
      </c>
      <c r="N50" s="84"/>
      <c r="O50" s="84" t="s">
        <v>346</v>
      </c>
      <c r="P50" s="84"/>
      <c r="Q50" s="86"/>
      <c r="R50" s="86"/>
      <c r="S50" s="86"/>
      <c r="T50" s="86"/>
      <c r="U50" s="87"/>
      <c r="V50" s="84"/>
      <c r="W50" s="84"/>
      <c r="X50" s="23" t="str">
        <f t="shared" si="6"/>
        <v>OK</v>
      </c>
      <c r="Y50" s="23" t="str">
        <f t="shared" si="7"/>
        <v>REST PENDENTE</v>
      </c>
      <c r="Z50" s="23" t="str">
        <f t="shared" si="8"/>
        <v>OK</v>
      </c>
      <c r="AA50" s="23" t="str">
        <f t="shared" si="9"/>
        <v>OK</v>
      </c>
      <c r="AB50" s="23" t="str">
        <f t="shared" ca="1" si="10"/>
        <v/>
      </c>
      <c r="AC50" s="23" t="str">
        <f t="shared" si="11"/>
        <v/>
      </c>
      <c r="AD50" s="23" t="str">
        <f ca="1">IF(OR(A50="",U50="",NOT(ISNUMBER(AB50))),"",RANK(AB50,$AB$3:$AB$164,1)+COUNTIFS($AB$3:AB50,AB50)-1)</f>
        <v/>
      </c>
      <c r="AE50" s="4"/>
    </row>
    <row r="51" spans="1:31" ht="21.95" customHeight="1" x14ac:dyDescent="0.25">
      <c r="A51" s="81" t="s">
        <v>126</v>
      </c>
      <c r="B51" s="80" t="s">
        <v>115</v>
      </c>
      <c r="C51" s="80" t="s">
        <v>122</v>
      </c>
      <c r="D51" s="80">
        <v>44777527000100</v>
      </c>
      <c r="E51" s="80"/>
      <c r="F51" s="80" t="s">
        <v>125</v>
      </c>
      <c r="G51" s="80" t="s">
        <v>4</v>
      </c>
      <c r="H51" s="80" t="s">
        <v>5</v>
      </c>
      <c r="I51" s="80"/>
      <c r="J51" s="80"/>
      <c r="K51" s="80"/>
      <c r="L51" s="80"/>
      <c r="M51" s="80" t="s">
        <v>375</v>
      </c>
      <c r="N51" s="80"/>
      <c r="O51" s="80" t="s">
        <v>346</v>
      </c>
      <c r="P51" s="80"/>
      <c r="Q51" s="82"/>
      <c r="R51" s="82"/>
      <c r="S51" s="82"/>
      <c r="T51" s="82"/>
      <c r="U51" s="83"/>
      <c r="V51" s="80"/>
      <c r="W51" s="80"/>
      <c r="X51" s="23" t="str">
        <f t="shared" si="6"/>
        <v>OK</v>
      </c>
      <c r="Y51" s="23" t="str">
        <f t="shared" si="7"/>
        <v>REST PENDENTE</v>
      </c>
      <c r="Z51" s="23" t="str">
        <f t="shared" si="8"/>
        <v>OK</v>
      </c>
      <c r="AA51" s="23" t="str">
        <f t="shared" si="9"/>
        <v>OK</v>
      </c>
      <c r="AB51" s="23" t="str">
        <f t="shared" ca="1" si="10"/>
        <v/>
      </c>
      <c r="AC51" s="23" t="str">
        <f t="shared" si="11"/>
        <v/>
      </c>
      <c r="AD51" s="23" t="str">
        <f ca="1">IF(OR(A51="",U51="",NOT(ISNUMBER(AB51))),"",RANK(AB51,$AB$3:$AB$164,1)+COUNTIFS($AB$3:AB51,AB51)-1)</f>
        <v/>
      </c>
      <c r="AE51" s="4"/>
    </row>
    <row r="52" spans="1:31" ht="21.95" customHeight="1" x14ac:dyDescent="0.25">
      <c r="A52" s="85" t="s">
        <v>127</v>
      </c>
      <c r="B52" s="84" t="s">
        <v>115</v>
      </c>
      <c r="C52" s="84" t="s">
        <v>122</v>
      </c>
      <c r="D52" s="84">
        <v>44796284000140</v>
      </c>
      <c r="E52" s="84"/>
      <c r="F52" s="84" t="s">
        <v>125</v>
      </c>
      <c r="G52" s="84" t="s">
        <v>4</v>
      </c>
      <c r="H52" s="84" t="s">
        <v>5</v>
      </c>
      <c r="I52" s="84"/>
      <c r="J52" s="84"/>
      <c r="K52" s="84"/>
      <c r="L52" s="84"/>
      <c r="M52" s="84" t="s">
        <v>375</v>
      </c>
      <c r="N52" s="84"/>
      <c r="O52" s="84" t="s">
        <v>346</v>
      </c>
      <c r="P52" s="84"/>
      <c r="Q52" s="86"/>
      <c r="R52" s="86"/>
      <c r="S52" s="86"/>
      <c r="T52" s="86"/>
      <c r="U52" s="87"/>
      <c r="V52" s="84"/>
      <c r="W52" s="84"/>
      <c r="X52" s="23" t="str">
        <f t="shared" si="6"/>
        <v>OK</v>
      </c>
      <c r="Y52" s="23" t="str">
        <f t="shared" si="7"/>
        <v>REST PENDENTE</v>
      </c>
      <c r="Z52" s="23" t="str">
        <f t="shared" si="8"/>
        <v>OK</v>
      </c>
      <c r="AA52" s="23" t="str">
        <f t="shared" si="9"/>
        <v>OK</v>
      </c>
      <c r="AB52" s="23" t="str">
        <f t="shared" ca="1" si="10"/>
        <v/>
      </c>
      <c r="AC52" s="23" t="str">
        <f t="shared" si="11"/>
        <v/>
      </c>
      <c r="AD52" s="23" t="str">
        <f ca="1">IF(OR(A52="",U52="",NOT(ISNUMBER(AB52))),"",RANK(AB52,$AB$3:$AB$164,1)+COUNTIFS($AB$3:AB52,AB52)-1)</f>
        <v/>
      </c>
      <c r="AE52" s="4"/>
    </row>
    <row r="53" spans="1:31" ht="21.95" customHeight="1" thickTop="1" x14ac:dyDescent="0.25">
      <c r="A53" s="81" t="s">
        <v>128</v>
      </c>
      <c r="B53" s="80" t="s">
        <v>129</v>
      </c>
      <c r="C53" s="80" t="s">
        <v>16</v>
      </c>
      <c r="D53" s="80" t="s">
        <v>130</v>
      </c>
      <c r="E53" s="80"/>
      <c r="F53" s="80" t="s">
        <v>109</v>
      </c>
      <c r="G53" s="80" t="s">
        <v>13</v>
      </c>
      <c r="H53" s="80" t="s">
        <v>14</v>
      </c>
      <c r="I53" s="80"/>
      <c r="J53" s="80"/>
      <c r="K53" s="80"/>
      <c r="L53" s="80"/>
      <c r="M53" s="80" t="s">
        <v>380</v>
      </c>
      <c r="N53" s="80"/>
      <c r="O53" s="80"/>
      <c r="P53" s="80"/>
      <c r="Q53" s="82"/>
      <c r="R53" s="82"/>
      <c r="S53" s="82"/>
      <c r="T53" s="82"/>
      <c r="U53" s="83"/>
      <c r="V53" s="80"/>
      <c r="W53" s="80"/>
      <c r="X53" s="23" t="str">
        <f t="shared" si="6"/>
        <v>OK</v>
      </c>
      <c r="Y53" s="23" t="str">
        <f t="shared" si="7"/>
        <v>REST PENDENTE</v>
      </c>
      <c r="Z53" s="23" t="str">
        <f t="shared" si="8"/>
        <v>OK</v>
      </c>
      <c r="AA53" s="23" t="str">
        <f t="shared" si="9"/>
        <v>OK</v>
      </c>
      <c r="AB53" s="23" t="str">
        <f t="shared" ca="1" si="10"/>
        <v/>
      </c>
      <c r="AC53" s="23" t="str">
        <f t="shared" si="11"/>
        <v/>
      </c>
      <c r="AD53" s="23" t="str">
        <f ca="1">IF(OR(A53="",U53="",NOT(ISNUMBER(AB53))),"",RANK(AB53,$AB$3:$AB$164,1)+COUNTIFS($AB$3:AB53,AB53)-1)</f>
        <v/>
      </c>
      <c r="AE53" s="4"/>
    </row>
    <row r="54" spans="1:31" ht="21.95" customHeight="1" x14ac:dyDescent="0.25">
      <c r="A54" s="85" t="s">
        <v>131</v>
      </c>
      <c r="B54" s="84" t="s">
        <v>132</v>
      </c>
      <c r="C54" s="84" t="s">
        <v>62</v>
      </c>
      <c r="D54" s="84">
        <v>19318532000108</v>
      </c>
      <c r="E54" s="84"/>
      <c r="F54" s="84" t="s">
        <v>66</v>
      </c>
      <c r="G54" s="84" t="s">
        <v>4</v>
      </c>
      <c r="H54" s="84" t="s">
        <v>5</v>
      </c>
      <c r="I54" s="84"/>
      <c r="J54" s="84"/>
      <c r="K54" s="84"/>
      <c r="L54" s="84"/>
      <c r="M54" s="84" t="s">
        <v>373</v>
      </c>
      <c r="N54" s="84"/>
      <c r="O54" s="84" t="s">
        <v>344</v>
      </c>
      <c r="P54" s="84"/>
      <c r="Q54" s="86"/>
      <c r="R54" s="86"/>
      <c r="S54" s="86"/>
      <c r="T54" s="86"/>
      <c r="U54" s="87"/>
      <c r="V54" s="84"/>
      <c r="W54" s="84"/>
      <c r="X54" s="23" t="str">
        <f t="shared" si="6"/>
        <v>OK</v>
      </c>
      <c r="Y54" s="23" t="str">
        <f t="shared" si="7"/>
        <v>REST PENDENTE</v>
      </c>
      <c r="Z54" s="23" t="str">
        <f t="shared" si="8"/>
        <v>OK</v>
      </c>
      <c r="AA54" s="23" t="str">
        <f t="shared" si="9"/>
        <v>OK</v>
      </c>
      <c r="AB54" s="23" t="str">
        <f t="shared" ca="1" si="10"/>
        <v/>
      </c>
      <c r="AC54" s="23" t="str">
        <f t="shared" si="11"/>
        <v/>
      </c>
      <c r="AD54" s="23" t="str">
        <f ca="1">IF(OR(A54="",U54="",NOT(ISNUMBER(AB54))),"",RANK(AB54,$AB$3:$AB$164,1)+COUNTIFS($AB$3:AB54,AB54)-1)</f>
        <v/>
      </c>
      <c r="AE54" s="4"/>
    </row>
    <row r="55" spans="1:31" ht="21.95" customHeight="1" x14ac:dyDescent="0.25">
      <c r="A55" s="81" t="s">
        <v>133</v>
      </c>
      <c r="B55" s="80" t="s">
        <v>134</v>
      </c>
      <c r="C55" s="80" t="s">
        <v>116</v>
      </c>
      <c r="D55" s="80" t="s">
        <v>135</v>
      </c>
      <c r="E55" s="80"/>
      <c r="F55" s="80" t="s">
        <v>136</v>
      </c>
      <c r="G55" s="80" t="s">
        <v>41</v>
      </c>
      <c r="H55" s="80" t="s">
        <v>5</v>
      </c>
      <c r="I55" s="80"/>
      <c r="J55" s="80"/>
      <c r="K55" s="80"/>
      <c r="L55" s="80"/>
      <c r="M55" s="80" t="s">
        <v>375</v>
      </c>
      <c r="N55" s="80"/>
      <c r="O55" s="80" t="s">
        <v>348</v>
      </c>
      <c r="P55" s="80"/>
      <c r="Q55" s="82"/>
      <c r="R55" s="82"/>
      <c r="S55" s="82"/>
      <c r="T55" s="82"/>
      <c r="U55" s="83"/>
      <c r="V55" s="80"/>
      <c r="W55" s="80"/>
      <c r="X55" s="23" t="str">
        <f t="shared" si="6"/>
        <v>OK</v>
      </c>
      <c r="Y55" s="23" t="str">
        <f t="shared" si="7"/>
        <v>REST PENDENTE</v>
      </c>
      <c r="Z55" s="23" t="str">
        <f t="shared" si="8"/>
        <v>OK</v>
      </c>
      <c r="AA55" s="23" t="str">
        <f t="shared" si="9"/>
        <v>OK</v>
      </c>
      <c r="AB55" s="23" t="str">
        <f t="shared" ca="1" si="10"/>
        <v/>
      </c>
      <c r="AC55" s="23" t="str">
        <f t="shared" si="11"/>
        <v/>
      </c>
      <c r="AD55" s="23" t="str">
        <f ca="1">IF(OR(A55="",U55="",NOT(ISNUMBER(AB55))),"",RANK(AB55,$AB$3:$AB$164,1)+COUNTIFS($AB$3:AB55,AB55)-1)</f>
        <v/>
      </c>
      <c r="AE55" s="4"/>
    </row>
    <row r="56" spans="1:31" ht="21.95" customHeight="1" x14ac:dyDescent="0.25">
      <c r="A56" s="85" t="s">
        <v>137</v>
      </c>
      <c r="B56" s="84" t="s">
        <v>134</v>
      </c>
      <c r="C56" s="84" t="s">
        <v>122</v>
      </c>
      <c r="D56" s="84">
        <v>34046667000147</v>
      </c>
      <c r="E56" s="84"/>
      <c r="F56" s="84" t="s">
        <v>138</v>
      </c>
      <c r="G56" s="84" t="s">
        <v>4</v>
      </c>
      <c r="H56" s="84" t="s">
        <v>5</v>
      </c>
      <c r="I56" s="84"/>
      <c r="J56" s="84"/>
      <c r="K56" s="84"/>
      <c r="L56" s="84"/>
      <c r="M56" s="84" t="s">
        <v>381</v>
      </c>
      <c r="N56" s="84"/>
      <c r="O56" s="84" t="s">
        <v>348</v>
      </c>
      <c r="P56" s="84"/>
      <c r="Q56" s="86"/>
      <c r="R56" s="86"/>
      <c r="S56" s="86"/>
      <c r="T56" s="86"/>
      <c r="U56" s="87"/>
      <c r="V56" s="84"/>
      <c r="W56" s="84"/>
      <c r="X56" s="23" t="str">
        <f t="shared" si="6"/>
        <v>OK</v>
      </c>
      <c r="Y56" s="23" t="str">
        <f t="shared" si="7"/>
        <v>REST PENDENTE</v>
      </c>
      <c r="Z56" s="23" t="str">
        <f t="shared" si="8"/>
        <v>OK</v>
      </c>
      <c r="AA56" s="23" t="str">
        <f t="shared" si="9"/>
        <v>OK</v>
      </c>
      <c r="AB56" s="23" t="str">
        <f t="shared" ca="1" si="10"/>
        <v/>
      </c>
      <c r="AC56" s="23" t="str">
        <f t="shared" si="11"/>
        <v/>
      </c>
      <c r="AD56" s="23" t="str">
        <f ca="1">IF(OR(A56="",U56="",NOT(ISNUMBER(AB56))),"",RANK(AB56,$AB$3:$AB$164,1)+COUNTIFS($AB$3:AB56,AB56)-1)</f>
        <v/>
      </c>
      <c r="AE56" s="4"/>
    </row>
    <row r="57" spans="1:31" ht="21.95" customHeight="1" x14ac:dyDescent="0.25">
      <c r="A57" s="81" t="s">
        <v>139</v>
      </c>
      <c r="B57" s="80" t="s">
        <v>134</v>
      </c>
      <c r="C57" s="80" t="s">
        <v>122</v>
      </c>
      <c r="D57" s="80">
        <v>40932575000167</v>
      </c>
      <c r="E57" s="80"/>
      <c r="F57" s="80" t="s">
        <v>140</v>
      </c>
      <c r="G57" s="80" t="s">
        <v>4</v>
      </c>
      <c r="H57" s="80" t="s">
        <v>5</v>
      </c>
      <c r="I57" s="80"/>
      <c r="J57" s="80"/>
      <c r="K57" s="80"/>
      <c r="L57" s="80"/>
      <c r="M57" s="80" t="s">
        <v>375</v>
      </c>
      <c r="N57" s="80"/>
      <c r="O57" s="80" t="s">
        <v>348</v>
      </c>
      <c r="P57" s="80"/>
      <c r="Q57" s="82"/>
      <c r="R57" s="82"/>
      <c r="S57" s="82"/>
      <c r="T57" s="82"/>
      <c r="U57" s="83"/>
      <c r="V57" s="80"/>
      <c r="W57" s="80"/>
      <c r="X57" s="23" t="str">
        <f t="shared" si="6"/>
        <v>OK</v>
      </c>
      <c r="Y57" s="23" t="str">
        <f t="shared" si="7"/>
        <v>REST PENDENTE</v>
      </c>
      <c r="Z57" s="23" t="str">
        <f t="shared" si="8"/>
        <v>OK</v>
      </c>
      <c r="AA57" s="23" t="str">
        <f t="shared" si="9"/>
        <v>OK</v>
      </c>
      <c r="AB57" s="23" t="str">
        <f t="shared" ca="1" si="10"/>
        <v/>
      </c>
      <c r="AC57" s="23" t="str">
        <f t="shared" si="11"/>
        <v/>
      </c>
      <c r="AD57" s="23" t="str">
        <f ca="1">IF(OR(A57="",U57="",NOT(ISNUMBER(AB57))),"",RANK(AB57,$AB$3:$AB$164,1)+COUNTIFS($AB$3:AB57,AB57)-1)</f>
        <v/>
      </c>
      <c r="AE57" s="4"/>
    </row>
    <row r="58" spans="1:31" ht="21.95" customHeight="1" x14ac:dyDescent="0.25">
      <c r="A58" s="85" t="s">
        <v>141</v>
      </c>
      <c r="B58" s="84" t="s">
        <v>142</v>
      </c>
      <c r="C58" s="84" t="s">
        <v>62</v>
      </c>
      <c r="D58" s="84" t="s">
        <v>143</v>
      </c>
      <c r="E58" s="84"/>
      <c r="F58" s="84" t="s">
        <v>144</v>
      </c>
      <c r="G58" s="84" t="s">
        <v>13</v>
      </c>
      <c r="H58" s="84" t="s">
        <v>49</v>
      </c>
      <c r="I58" s="84"/>
      <c r="J58" s="84"/>
      <c r="K58" s="84"/>
      <c r="L58" s="84"/>
      <c r="M58" s="84" t="s">
        <v>381</v>
      </c>
      <c r="N58" s="84"/>
      <c r="O58" s="84" t="s">
        <v>344</v>
      </c>
      <c r="P58" s="84"/>
      <c r="Q58" s="86"/>
      <c r="R58" s="86"/>
      <c r="S58" s="86"/>
      <c r="T58" s="86"/>
      <c r="U58" s="87"/>
      <c r="V58" s="84"/>
      <c r="W58" s="84"/>
      <c r="X58" s="23" t="str">
        <f t="shared" si="6"/>
        <v>OK</v>
      </c>
      <c r="Y58" s="23" t="str">
        <f t="shared" si="7"/>
        <v>REST PENDENTE</v>
      </c>
      <c r="Z58" s="23" t="str">
        <f t="shared" si="8"/>
        <v>OK</v>
      </c>
      <c r="AA58" s="23" t="str">
        <f t="shared" si="9"/>
        <v>OK</v>
      </c>
      <c r="AB58" s="23" t="str">
        <f t="shared" ca="1" si="10"/>
        <v/>
      </c>
      <c r="AC58" s="23" t="str">
        <f t="shared" si="11"/>
        <v/>
      </c>
      <c r="AD58" s="23" t="str">
        <f ca="1">IF(OR(A58="",U58="",NOT(ISNUMBER(AB58))),"",RANK(AB58,$AB$3:$AB$164,1)+COUNTIFS($AB$3:AB58,AB58)-1)</f>
        <v/>
      </c>
      <c r="AE58" s="4"/>
    </row>
    <row r="59" spans="1:31" ht="21.95" customHeight="1" x14ac:dyDescent="0.25">
      <c r="A59" s="81" t="s">
        <v>145</v>
      </c>
      <c r="B59" s="80" t="s">
        <v>142</v>
      </c>
      <c r="C59" s="80" t="s">
        <v>62</v>
      </c>
      <c r="D59" s="80">
        <v>60906391000130</v>
      </c>
      <c r="E59" s="80"/>
      <c r="F59" s="80" t="s">
        <v>144</v>
      </c>
      <c r="G59" s="80" t="s">
        <v>4</v>
      </c>
      <c r="H59" s="80" t="s">
        <v>49</v>
      </c>
      <c r="I59" s="80"/>
      <c r="J59" s="80"/>
      <c r="K59" s="80"/>
      <c r="L59" s="80"/>
      <c r="M59" s="80" t="s">
        <v>381</v>
      </c>
      <c r="N59" s="80"/>
      <c r="O59" s="80" t="s">
        <v>348</v>
      </c>
      <c r="P59" s="80"/>
      <c r="Q59" s="82"/>
      <c r="R59" s="82"/>
      <c r="S59" s="82"/>
      <c r="T59" s="82"/>
      <c r="U59" s="83"/>
      <c r="V59" s="80"/>
      <c r="W59" s="80"/>
      <c r="X59" s="23" t="str">
        <f t="shared" si="6"/>
        <v>OK</v>
      </c>
      <c r="Y59" s="23" t="str">
        <f t="shared" si="7"/>
        <v>REST PENDENTE</v>
      </c>
      <c r="Z59" s="23" t="str">
        <f t="shared" si="8"/>
        <v>OK</v>
      </c>
      <c r="AA59" s="23" t="str">
        <f t="shared" si="9"/>
        <v>OK</v>
      </c>
      <c r="AB59" s="23" t="str">
        <f t="shared" ca="1" si="10"/>
        <v/>
      </c>
      <c r="AC59" s="23" t="str">
        <f t="shared" si="11"/>
        <v/>
      </c>
      <c r="AD59" s="23" t="str">
        <f ca="1">IF(OR(A59="",U59="",NOT(ISNUMBER(AB59))),"",RANK(AB59,$AB$3:$AB$164,1)+COUNTIFS($AB$3:AB59,AB59)-1)</f>
        <v/>
      </c>
      <c r="AE59" s="4"/>
    </row>
    <row r="60" spans="1:31" ht="21.95" customHeight="1" x14ac:dyDescent="0.25">
      <c r="A60" s="85" t="s">
        <v>146</v>
      </c>
      <c r="B60" s="84" t="s">
        <v>75</v>
      </c>
      <c r="C60" s="84" t="s">
        <v>62</v>
      </c>
      <c r="D60" s="84">
        <v>41762299000107</v>
      </c>
      <c r="E60" s="84"/>
      <c r="F60" s="84" t="s">
        <v>147</v>
      </c>
      <c r="G60" s="84" t="s">
        <v>4</v>
      </c>
      <c r="H60" s="84" t="s">
        <v>5</v>
      </c>
      <c r="I60" s="84"/>
      <c r="J60" s="84"/>
      <c r="K60" s="84"/>
      <c r="L60" s="84"/>
      <c r="M60" s="84" t="s">
        <v>375</v>
      </c>
      <c r="N60" s="84"/>
      <c r="O60" s="84" t="s">
        <v>349</v>
      </c>
      <c r="P60" s="84"/>
      <c r="Q60" s="86"/>
      <c r="R60" s="86"/>
      <c r="S60" s="86"/>
      <c r="T60" s="86"/>
      <c r="U60" s="87"/>
      <c r="V60" s="84"/>
      <c r="W60" s="84"/>
      <c r="X60" s="23" t="str">
        <f t="shared" si="6"/>
        <v>OK</v>
      </c>
      <c r="Y60" s="23" t="str">
        <f t="shared" si="7"/>
        <v>REST PENDENTE</v>
      </c>
      <c r="Z60" s="23" t="str">
        <f t="shared" si="8"/>
        <v>OK</v>
      </c>
      <c r="AA60" s="23" t="str">
        <f t="shared" si="9"/>
        <v>OK</v>
      </c>
      <c r="AB60" s="23" t="str">
        <f t="shared" ca="1" si="10"/>
        <v/>
      </c>
      <c r="AC60" s="23" t="str">
        <f t="shared" si="11"/>
        <v/>
      </c>
      <c r="AD60" s="23" t="str">
        <f ca="1">IF(OR(A60="",U60="",NOT(ISNUMBER(AB60))),"",RANK(AB60,$AB$3:$AB$164,1)+COUNTIFS($AB$3:AB60,AB60)-1)</f>
        <v/>
      </c>
      <c r="AE60" s="4"/>
    </row>
    <row r="61" spans="1:31" ht="21.95" customHeight="1" x14ac:dyDescent="0.25">
      <c r="A61" s="81" t="s">
        <v>148</v>
      </c>
      <c r="B61" s="80" t="s">
        <v>149</v>
      </c>
      <c r="C61" s="80" t="s">
        <v>59</v>
      </c>
      <c r="D61" s="80">
        <v>52090662000101</v>
      </c>
      <c r="E61" s="80"/>
      <c r="F61" s="80" t="s">
        <v>150</v>
      </c>
      <c r="G61" s="80" t="s">
        <v>4</v>
      </c>
      <c r="H61" s="80" t="s">
        <v>5</v>
      </c>
      <c r="I61" s="80"/>
      <c r="J61" s="80"/>
      <c r="K61" s="80"/>
      <c r="L61" s="80"/>
      <c r="M61" s="80" t="s">
        <v>375</v>
      </c>
      <c r="N61" s="80"/>
      <c r="O61" s="80" t="s">
        <v>348</v>
      </c>
      <c r="P61" s="80"/>
      <c r="Q61" s="82"/>
      <c r="R61" s="82"/>
      <c r="S61" s="82"/>
      <c r="T61" s="82"/>
      <c r="U61" s="83"/>
      <c r="V61" s="80"/>
      <c r="W61" s="80"/>
      <c r="X61" s="23" t="str">
        <f t="shared" si="6"/>
        <v>OK</v>
      </c>
      <c r="Y61" s="23" t="str">
        <f t="shared" si="7"/>
        <v>REST PENDENTE</v>
      </c>
      <c r="Z61" s="23" t="str">
        <f t="shared" si="8"/>
        <v>OK</v>
      </c>
      <c r="AA61" s="23" t="str">
        <f t="shared" si="9"/>
        <v>OK</v>
      </c>
      <c r="AB61" s="23" t="str">
        <f t="shared" ca="1" si="10"/>
        <v/>
      </c>
      <c r="AC61" s="23" t="str">
        <f t="shared" si="11"/>
        <v/>
      </c>
      <c r="AD61" s="23" t="str">
        <f ca="1">IF(OR(A61="",U61="",NOT(ISNUMBER(AB61))),"",RANK(AB61,$AB$3:$AB$164,1)+COUNTIFS($AB$3:AB61,AB61)-1)</f>
        <v/>
      </c>
      <c r="AE61" s="4"/>
    </row>
    <row r="62" spans="1:31" ht="21.95" customHeight="1" x14ac:dyDescent="0.25">
      <c r="A62" s="85" t="s">
        <v>151</v>
      </c>
      <c r="B62" s="84" t="s">
        <v>149</v>
      </c>
      <c r="C62" s="84" t="s">
        <v>46</v>
      </c>
      <c r="D62" s="84" t="s">
        <v>152</v>
      </c>
      <c r="E62" s="84"/>
      <c r="F62" s="84" t="s">
        <v>150</v>
      </c>
      <c r="G62" s="84" t="s">
        <v>13</v>
      </c>
      <c r="H62" s="84" t="s">
        <v>49</v>
      </c>
      <c r="I62" s="84"/>
      <c r="J62" s="84"/>
      <c r="K62" s="84"/>
      <c r="L62" s="84"/>
      <c r="M62" s="84" t="s">
        <v>373</v>
      </c>
      <c r="N62" s="84"/>
      <c r="O62" s="84" t="s">
        <v>344</v>
      </c>
      <c r="P62" s="84"/>
      <c r="Q62" s="86"/>
      <c r="R62" s="86"/>
      <c r="S62" s="86"/>
      <c r="T62" s="86"/>
      <c r="U62" s="87"/>
      <c r="V62" s="84"/>
      <c r="W62" s="84"/>
      <c r="X62" s="23" t="str">
        <f t="shared" si="6"/>
        <v>OK</v>
      </c>
      <c r="Y62" s="23" t="str">
        <f t="shared" si="7"/>
        <v>REST PENDENTE</v>
      </c>
      <c r="Z62" s="23" t="str">
        <f t="shared" si="8"/>
        <v>OK</v>
      </c>
      <c r="AA62" s="23" t="str">
        <f t="shared" si="9"/>
        <v>OK</v>
      </c>
      <c r="AB62" s="23" t="str">
        <f t="shared" ca="1" si="10"/>
        <v/>
      </c>
      <c r="AC62" s="23" t="str">
        <f t="shared" si="11"/>
        <v/>
      </c>
      <c r="AD62" s="23" t="str">
        <f ca="1">IF(OR(A62="",U62="",NOT(ISNUMBER(AB62))),"",RANK(AB62,$AB$3:$AB$164,1)+COUNTIFS($AB$3:AB62,AB62)-1)</f>
        <v/>
      </c>
      <c r="AE62" s="4"/>
    </row>
    <row r="63" spans="1:31" ht="21.95" customHeight="1" x14ac:dyDescent="0.25">
      <c r="A63" s="81" t="s">
        <v>153</v>
      </c>
      <c r="B63" s="80" t="s">
        <v>149</v>
      </c>
      <c r="C63" s="80" t="s">
        <v>46</v>
      </c>
      <c r="D63" s="80" t="s">
        <v>154</v>
      </c>
      <c r="E63" s="80"/>
      <c r="F63" s="80" t="s">
        <v>150</v>
      </c>
      <c r="G63" s="80" t="s">
        <v>13</v>
      </c>
      <c r="H63" s="80" t="s">
        <v>49</v>
      </c>
      <c r="I63" s="80"/>
      <c r="J63" s="80"/>
      <c r="K63" s="80"/>
      <c r="L63" s="80"/>
      <c r="M63" s="80" t="s">
        <v>373</v>
      </c>
      <c r="N63" s="80"/>
      <c r="O63" s="80" t="s">
        <v>344</v>
      </c>
      <c r="P63" s="80"/>
      <c r="Q63" s="82"/>
      <c r="R63" s="82"/>
      <c r="S63" s="82"/>
      <c r="T63" s="82"/>
      <c r="U63" s="83"/>
      <c r="V63" s="80"/>
      <c r="W63" s="80"/>
      <c r="X63" s="23" t="str">
        <f t="shared" si="6"/>
        <v>OK</v>
      </c>
      <c r="Y63" s="23" t="str">
        <f t="shared" si="7"/>
        <v>REST PENDENTE</v>
      </c>
      <c r="Z63" s="23" t="str">
        <f t="shared" si="8"/>
        <v>OK</v>
      </c>
      <c r="AA63" s="23" t="str">
        <f t="shared" si="9"/>
        <v>OK</v>
      </c>
      <c r="AB63" s="23" t="str">
        <f t="shared" ca="1" si="10"/>
        <v/>
      </c>
      <c r="AC63" s="23" t="str">
        <f t="shared" si="11"/>
        <v/>
      </c>
      <c r="AD63" s="23" t="str">
        <f ca="1">IF(OR(A63="",U63="",NOT(ISNUMBER(AB63))),"",RANK(AB63,$AB$3:$AB$164,1)+COUNTIFS($AB$3:AB63,AB63)-1)</f>
        <v/>
      </c>
      <c r="AE63" s="4"/>
    </row>
    <row r="64" spans="1:31" ht="21.95" customHeight="1" x14ac:dyDescent="0.25">
      <c r="A64" s="85" t="s">
        <v>155</v>
      </c>
      <c r="B64" s="84" t="s">
        <v>61</v>
      </c>
      <c r="C64" s="84" t="s">
        <v>62</v>
      </c>
      <c r="D64" s="84">
        <v>8587897000103</v>
      </c>
      <c r="E64" s="84"/>
      <c r="F64" s="84" t="s">
        <v>63</v>
      </c>
      <c r="G64" s="84" t="s">
        <v>41</v>
      </c>
      <c r="H64" s="84" t="s">
        <v>5</v>
      </c>
      <c r="I64" s="84"/>
      <c r="J64" s="84"/>
      <c r="K64" s="84"/>
      <c r="L64" s="84"/>
      <c r="M64" s="84" t="s">
        <v>375</v>
      </c>
      <c r="N64" s="84"/>
      <c r="O64" s="84" t="s">
        <v>348</v>
      </c>
      <c r="P64" s="84"/>
      <c r="Q64" s="86"/>
      <c r="R64" s="86"/>
      <c r="S64" s="86"/>
      <c r="T64" s="86"/>
      <c r="U64" s="87"/>
      <c r="V64" s="84"/>
      <c r="W64" s="84"/>
      <c r="X64" s="23" t="str">
        <f t="shared" si="6"/>
        <v>OK</v>
      </c>
      <c r="Y64" s="23" t="str">
        <f t="shared" si="7"/>
        <v>REST PENDENTE</v>
      </c>
      <c r="Z64" s="23" t="str">
        <f t="shared" si="8"/>
        <v>OK</v>
      </c>
      <c r="AA64" s="23" t="str">
        <f t="shared" si="9"/>
        <v>OK</v>
      </c>
      <c r="AB64" s="23" t="str">
        <f t="shared" ca="1" si="10"/>
        <v/>
      </c>
      <c r="AC64" s="23" t="str">
        <f t="shared" si="11"/>
        <v/>
      </c>
      <c r="AD64" s="23" t="str">
        <f ca="1">IF(OR(A64="",U64="",NOT(ISNUMBER(AB64))),"",RANK(AB64,$AB$3:$AB$164,1)+COUNTIFS($AB$3:AB64,AB64)-1)</f>
        <v/>
      </c>
      <c r="AE64" s="4"/>
    </row>
    <row r="65" spans="1:31" ht="21.95" customHeight="1" x14ac:dyDescent="0.25">
      <c r="A65" s="81" t="s">
        <v>156</v>
      </c>
      <c r="B65" s="80" t="s">
        <v>61</v>
      </c>
      <c r="C65" s="80" t="s">
        <v>62</v>
      </c>
      <c r="D65" s="80">
        <v>17845713000159</v>
      </c>
      <c r="E65" s="80"/>
      <c r="F65" s="80" t="s">
        <v>63</v>
      </c>
      <c r="G65" s="80" t="s">
        <v>41</v>
      </c>
      <c r="H65" s="80" t="s">
        <v>5</v>
      </c>
      <c r="I65" s="80"/>
      <c r="J65" s="80"/>
      <c r="K65" s="80"/>
      <c r="L65" s="80"/>
      <c r="M65" s="80" t="s">
        <v>375</v>
      </c>
      <c r="N65" s="80"/>
      <c r="O65" s="80" t="s">
        <v>348</v>
      </c>
      <c r="P65" s="80"/>
      <c r="Q65" s="82"/>
      <c r="R65" s="82"/>
      <c r="S65" s="82"/>
      <c r="T65" s="82"/>
      <c r="U65" s="83"/>
      <c r="V65" s="80"/>
      <c r="W65" s="80"/>
      <c r="X65" s="23" t="str">
        <f t="shared" si="6"/>
        <v>OK</v>
      </c>
      <c r="Y65" s="23" t="str">
        <f t="shared" si="7"/>
        <v>REST PENDENTE</v>
      </c>
      <c r="Z65" s="23" t="str">
        <f t="shared" si="8"/>
        <v>OK</v>
      </c>
      <c r="AA65" s="23" t="str">
        <f t="shared" si="9"/>
        <v>OK</v>
      </c>
      <c r="AB65" s="23" t="str">
        <f t="shared" ca="1" si="10"/>
        <v/>
      </c>
      <c r="AC65" s="23" t="str">
        <f t="shared" si="11"/>
        <v/>
      </c>
      <c r="AD65" s="23" t="str">
        <f ca="1">IF(OR(A65="",U65="",NOT(ISNUMBER(AB65))),"",RANK(AB65,$AB$3:$AB$164,1)+COUNTIFS($AB$3:AB65,AB65)-1)</f>
        <v/>
      </c>
      <c r="AE65" s="4"/>
    </row>
    <row r="66" spans="1:31" ht="21.95" customHeight="1" x14ac:dyDescent="0.25">
      <c r="A66" s="85" t="s">
        <v>157</v>
      </c>
      <c r="B66" s="84" t="s">
        <v>61</v>
      </c>
      <c r="C66" s="84" t="s">
        <v>62</v>
      </c>
      <c r="D66" s="84">
        <v>37646098000169</v>
      </c>
      <c r="E66" s="84"/>
      <c r="F66" s="84" t="s">
        <v>63</v>
      </c>
      <c r="G66" s="84" t="s">
        <v>41</v>
      </c>
      <c r="H66" s="84" t="s">
        <v>5</v>
      </c>
      <c r="I66" s="84"/>
      <c r="J66" s="84"/>
      <c r="K66" s="84"/>
      <c r="L66" s="84"/>
      <c r="M66" s="84" t="s">
        <v>375</v>
      </c>
      <c r="N66" s="84"/>
      <c r="O66" s="84" t="s">
        <v>350</v>
      </c>
      <c r="P66" s="84"/>
      <c r="Q66" s="86"/>
      <c r="R66" s="86"/>
      <c r="S66" s="86"/>
      <c r="T66" s="86"/>
      <c r="U66" s="87"/>
      <c r="V66" s="84"/>
      <c r="W66" s="84"/>
      <c r="X66" s="23" t="str">
        <f t="shared" si="6"/>
        <v>OK</v>
      </c>
      <c r="Y66" s="23" t="str">
        <f t="shared" si="7"/>
        <v>REST PENDENTE</v>
      </c>
      <c r="Z66" s="23" t="str">
        <f t="shared" si="8"/>
        <v>OK</v>
      </c>
      <c r="AA66" s="23" t="str">
        <f t="shared" si="9"/>
        <v>OK</v>
      </c>
      <c r="AB66" s="23" t="str">
        <f t="shared" ca="1" si="10"/>
        <v/>
      </c>
      <c r="AC66" s="23" t="str">
        <f t="shared" si="11"/>
        <v/>
      </c>
      <c r="AD66" s="23" t="str">
        <f ca="1">IF(OR(A66="",U66="",NOT(ISNUMBER(AB66))),"",RANK(AB66,$AB$3:$AB$164,1)+COUNTIFS($AB$3:AB66,AB66)-1)</f>
        <v/>
      </c>
      <c r="AE66" s="4"/>
    </row>
    <row r="67" spans="1:31" ht="21.95" customHeight="1" x14ac:dyDescent="0.25">
      <c r="A67" s="81" t="s">
        <v>158</v>
      </c>
      <c r="B67" s="80" t="s">
        <v>159</v>
      </c>
      <c r="C67" s="80" t="s">
        <v>62</v>
      </c>
      <c r="D67" s="80">
        <v>44470328000147</v>
      </c>
      <c r="E67" s="80"/>
      <c r="F67" s="80" t="s">
        <v>160</v>
      </c>
      <c r="G67" s="80" t="s">
        <v>4</v>
      </c>
      <c r="H67" s="80" t="s">
        <v>5</v>
      </c>
      <c r="I67" s="80"/>
      <c r="J67" s="80"/>
      <c r="K67" s="80"/>
      <c r="L67" s="80"/>
      <c r="M67" s="80" t="s">
        <v>373</v>
      </c>
      <c r="N67" s="80"/>
      <c r="O67" s="80" t="s">
        <v>344</v>
      </c>
      <c r="P67" s="80"/>
      <c r="Q67" s="82"/>
      <c r="R67" s="82"/>
      <c r="S67" s="82"/>
      <c r="T67" s="82"/>
      <c r="U67" s="83"/>
      <c r="V67" s="80"/>
      <c r="W67" s="80"/>
      <c r="X67" s="23" t="str">
        <f t="shared" ref="X67:X98" si="12">IF(A67="","",IF(LEN(IF(ISNUMBER(D67),TEXT(D67,"00000000000000"),SUBSTITUTE(SUBSTITUTE(SUBSTITUTE(SUBSTITUTE(SUBSTITUTE(D67,".",""),"/",""),"-","")," ",""),CHAR(160),"")))&lt;&gt;14,"CNPJ INVALIDO","OK"))</f>
        <v>OK</v>
      </c>
      <c r="Y67" s="23" t="str">
        <f t="shared" ref="Y67:Y98" si="13">IF(A67="","",IF(R67="","REST PENDENTE","REST OK"))</f>
        <v>REST PENDENTE</v>
      </c>
      <c r="Z67" s="23" t="str">
        <f t="shared" ref="Z67:Z98" si="14">IF(A67="","",IF(AND(R67&lt;&gt;"",COUNTIFS($D$3:$D$164,D67,$R$3:$R$164,"&lt;&gt;")&gt;1),"DUPLICADO","OK"))</f>
        <v>OK</v>
      </c>
      <c r="AA67" s="23" t="str">
        <f t="shared" ref="AA67:AA98" si="15">IF(A67="","",IF(OR(LEN(Q67)&gt;180,LEN(R67)&gt;180,LEN(S67)&gt;180,LEN(T67)&gt;180),"CAMINHO LONGO","OK"))</f>
        <v>OK</v>
      </c>
      <c r="AB67" s="23" t="str">
        <f t="shared" ref="AB67:AB98" ca="1" si="16">IF(A67="","",IF(U67="","",IFERROR(INT(U67-TODAY()),"")))</f>
        <v/>
      </c>
      <c r="AC67" s="23" t="str">
        <f t="shared" ref="AC67:AC98" si="17">IF(A67="","",IF(AND(T67="",U67=""),"",IF(T67="","SEM CAMINHO",IF(U67="","SEM DATA",IFERROR(IF(AB67&lt;15,"VERMELHO",IF(AB67&lt;=30,"AMARELO","VERDE")),"DATA INVALIDA")))))</f>
        <v/>
      </c>
      <c r="AD67" s="23" t="str">
        <f ca="1">IF(OR(A67="",U67="",NOT(ISNUMBER(AB67))),"",RANK(AB67,$AB$3:$AB$164,1)+COUNTIFS($AB$3:AB67,AB67)-1)</f>
        <v/>
      </c>
      <c r="AE67" s="4"/>
    </row>
    <row r="68" spans="1:31" ht="21.95" customHeight="1" x14ac:dyDescent="0.25">
      <c r="A68" s="85" t="s">
        <v>161</v>
      </c>
      <c r="B68" s="84" t="s">
        <v>162</v>
      </c>
      <c r="C68" s="84" t="s">
        <v>163</v>
      </c>
      <c r="D68" s="84" t="s">
        <v>164</v>
      </c>
      <c r="E68" s="84"/>
      <c r="F68" s="84"/>
      <c r="G68" s="84" t="s">
        <v>41</v>
      </c>
      <c r="H68" s="84" t="s">
        <v>14</v>
      </c>
      <c r="I68" s="84"/>
      <c r="J68" s="84"/>
      <c r="K68" s="84"/>
      <c r="L68" s="84"/>
      <c r="M68" s="84" t="s">
        <v>381</v>
      </c>
      <c r="N68" s="84" t="s">
        <v>358</v>
      </c>
      <c r="O68" s="84" t="s">
        <v>358</v>
      </c>
      <c r="P68" s="84"/>
      <c r="Q68" s="86"/>
      <c r="R68" s="86"/>
      <c r="S68" s="86"/>
      <c r="T68" s="86"/>
      <c r="U68" s="87"/>
      <c r="V68" s="84"/>
      <c r="W68" s="84"/>
      <c r="X68" s="23" t="str">
        <f t="shared" si="12"/>
        <v>OK</v>
      </c>
      <c r="Y68" s="23" t="str">
        <f t="shared" si="13"/>
        <v>REST PENDENTE</v>
      </c>
      <c r="Z68" s="23" t="str">
        <f t="shared" si="14"/>
        <v>OK</v>
      </c>
      <c r="AA68" s="23" t="str">
        <f t="shared" si="15"/>
        <v>OK</v>
      </c>
      <c r="AB68" s="23" t="str">
        <f t="shared" ca="1" si="16"/>
        <v/>
      </c>
      <c r="AC68" s="23" t="str">
        <f t="shared" si="17"/>
        <v/>
      </c>
      <c r="AD68" s="23" t="str">
        <f ca="1">IF(OR(A68="",U68="",NOT(ISNUMBER(AB68))),"",RANK(AB68,$AB$3:$AB$164,1)+COUNTIFS($AB$3:AB68,AB68)-1)</f>
        <v/>
      </c>
      <c r="AE68" s="4"/>
    </row>
    <row r="69" spans="1:31" ht="21.95" customHeight="1" x14ac:dyDescent="0.25">
      <c r="A69" s="81" t="s">
        <v>165</v>
      </c>
      <c r="B69" s="80" t="s">
        <v>162</v>
      </c>
      <c r="C69" s="80" t="s">
        <v>163</v>
      </c>
      <c r="D69" s="80" t="s">
        <v>166</v>
      </c>
      <c r="E69" s="80"/>
      <c r="F69" s="80" t="s">
        <v>167</v>
      </c>
      <c r="G69" s="80" t="s">
        <v>13</v>
      </c>
      <c r="H69" s="80" t="s">
        <v>14</v>
      </c>
      <c r="I69" s="80"/>
      <c r="J69" s="80"/>
      <c r="K69" s="80"/>
      <c r="L69" s="80"/>
      <c r="M69" s="80" t="s">
        <v>381</v>
      </c>
      <c r="N69" s="80" t="s">
        <v>358</v>
      </c>
      <c r="O69" s="80" t="s">
        <v>358</v>
      </c>
      <c r="P69" s="80"/>
      <c r="Q69" s="82"/>
      <c r="R69" s="82"/>
      <c r="S69" s="82"/>
      <c r="T69" s="82"/>
      <c r="U69" s="83"/>
      <c r="V69" s="80"/>
      <c r="W69" s="80"/>
      <c r="X69" s="23" t="str">
        <f t="shared" si="12"/>
        <v>OK</v>
      </c>
      <c r="Y69" s="23" t="str">
        <f t="shared" si="13"/>
        <v>REST PENDENTE</v>
      </c>
      <c r="Z69" s="23" t="str">
        <f t="shared" si="14"/>
        <v>OK</v>
      </c>
      <c r="AA69" s="23" t="str">
        <f t="shared" si="15"/>
        <v>OK</v>
      </c>
      <c r="AB69" s="23" t="str">
        <f t="shared" ca="1" si="16"/>
        <v/>
      </c>
      <c r="AC69" s="23" t="str">
        <f t="shared" si="17"/>
        <v/>
      </c>
      <c r="AD69" s="23" t="str">
        <f ca="1">IF(OR(A69="",U69="",NOT(ISNUMBER(AB69))),"",RANK(AB69,$AB$3:$AB$164,1)+COUNTIFS($AB$3:AB69,AB69)-1)</f>
        <v/>
      </c>
      <c r="AE69" s="4"/>
    </row>
    <row r="70" spans="1:31" ht="21.95" customHeight="1" x14ac:dyDescent="0.25">
      <c r="A70" s="85" t="s">
        <v>168</v>
      </c>
      <c r="B70" s="84" t="s">
        <v>162</v>
      </c>
      <c r="C70" s="84" t="s">
        <v>163</v>
      </c>
      <c r="D70" s="84" t="s">
        <v>169</v>
      </c>
      <c r="E70" s="84"/>
      <c r="F70" s="84" t="s">
        <v>167</v>
      </c>
      <c r="G70" s="84" t="s">
        <v>13</v>
      </c>
      <c r="H70" s="84" t="s">
        <v>14</v>
      </c>
      <c r="I70" s="84"/>
      <c r="J70" s="84"/>
      <c r="K70" s="84"/>
      <c r="L70" s="84"/>
      <c r="M70" s="84" t="s">
        <v>381</v>
      </c>
      <c r="N70" s="84" t="s">
        <v>358</v>
      </c>
      <c r="O70" s="84" t="s">
        <v>358</v>
      </c>
      <c r="P70" s="84"/>
      <c r="Q70" s="86"/>
      <c r="R70" s="86"/>
      <c r="S70" s="86"/>
      <c r="T70" s="86"/>
      <c r="U70" s="87"/>
      <c r="V70" s="84"/>
      <c r="W70" s="84"/>
      <c r="X70" s="23" t="str">
        <f t="shared" si="12"/>
        <v>OK</v>
      </c>
      <c r="Y70" s="23" t="str">
        <f t="shared" si="13"/>
        <v>REST PENDENTE</v>
      </c>
      <c r="Z70" s="23" t="str">
        <f t="shared" si="14"/>
        <v>OK</v>
      </c>
      <c r="AA70" s="23" t="str">
        <f t="shared" si="15"/>
        <v>OK</v>
      </c>
      <c r="AB70" s="23" t="str">
        <f t="shared" ca="1" si="16"/>
        <v/>
      </c>
      <c r="AC70" s="23" t="str">
        <f t="shared" si="17"/>
        <v/>
      </c>
      <c r="AD70" s="23" t="str">
        <f ca="1">IF(OR(A70="",U70="",NOT(ISNUMBER(AB70))),"",RANK(AB70,$AB$3:$AB$164,1)+COUNTIFS($AB$3:AB70,AB70)-1)</f>
        <v/>
      </c>
      <c r="AE70" s="4"/>
    </row>
    <row r="71" spans="1:31" ht="21.95" customHeight="1" x14ac:dyDescent="0.25">
      <c r="A71" s="81" t="s">
        <v>170</v>
      </c>
      <c r="B71" s="80" t="s">
        <v>162</v>
      </c>
      <c r="C71" s="80" t="s">
        <v>163</v>
      </c>
      <c r="D71" s="80" t="s">
        <v>171</v>
      </c>
      <c r="E71" s="80"/>
      <c r="F71" s="80" t="s">
        <v>167</v>
      </c>
      <c r="G71" s="80" t="s">
        <v>13</v>
      </c>
      <c r="H71" s="80" t="s">
        <v>14</v>
      </c>
      <c r="I71" s="80"/>
      <c r="J71" s="80"/>
      <c r="K71" s="80"/>
      <c r="L71" s="80"/>
      <c r="M71" s="80" t="s">
        <v>381</v>
      </c>
      <c r="N71" s="80" t="s">
        <v>358</v>
      </c>
      <c r="O71" s="80" t="s">
        <v>358</v>
      </c>
      <c r="P71" s="80"/>
      <c r="Q71" s="82"/>
      <c r="R71" s="82"/>
      <c r="S71" s="82"/>
      <c r="T71" s="82"/>
      <c r="U71" s="83"/>
      <c r="V71" s="80"/>
      <c r="W71" s="80"/>
      <c r="X71" s="23" t="str">
        <f t="shared" si="12"/>
        <v>OK</v>
      </c>
      <c r="Y71" s="23" t="str">
        <f t="shared" si="13"/>
        <v>REST PENDENTE</v>
      </c>
      <c r="Z71" s="23" t="str">
        <f t="shared" si="14"/>
        <v>OK</v>
      </c>
      <c r="AA71" s="23" t="str">
        <f t="shared" si="15"/>
        <v>OK</v>
      </c>
      <c r="AB71" s="23" t="str">
        <f t="shared" ca="1" si="16"/>
        <v/>
      </c>
      <c r="AC71" s="23" t="str">
        <f t="shared" si="17"/>
        <v/>
      </c>
      <c r="AD71" s="23" t="str">
        <f ca="1">IF(OR(A71="",U71="",NOT(ISNUMBER(AB71))),"",RANK(AB71,$AB$3:$AB$164,1)+COUNTIFS($AB$3:AB71,AB71)-1)</f>
        <v/>
      </c>
      <c r="AE71" s="4"/>
    </row>
    <row r="72" spans="1:31" ht="21.95" customHeight="1" x14ac:dyDescent="0.25">
      <c r="A72" s="85" t="s">
        <v>172</v>
      </c>
      <c r="B72" s="84" t="s">
        <v>162</v>
      </c>
      <c r="C72" s="84" t="s">
        <v>163</v>
      </c>
      <c r="D72" s="84" t="s">
        <v>173</v>
      </c>
      <c r="E72" s="84"/>
      <c r="F72" s="84" t="s">
        <v>167</v>
      </c>
      <c r="G72" s="84" t="s">
        <v>13</v>
      </c>
      <c r="H72" s="84" t="s">
        <v>14</v>
      </c>
      <c r="I72" s="84"/>
      <c r="J72" s="84"/>
      <c r="K72" s="84"/>
      <c r="L72" s="84"/>
      <c r="M72" s="84" t="s">
        <v>381</v>
      </c>
      <c r="N72" s="84" t="s">
        <v>358</v>
      </c>
      <c r="O72" s="84" t="s">
        <v>358</v>
      </c>
      <c r="P72" s="84"/>
      <c r="Q72" s="86"/>
      <c r="R72" s="86"/>
      <c r="S72" s="86"/>
      <c r="T72" s="86"/>
      <c r="U72" s="87"/>
      <c r="V72" s="84"/>
      <c r="W72" s="84"/>
      <c r="X72" s="23" t="str">
        <f t="shared" si="12"/>
        <v>OK</v>
      </c>
      <c r="Y72" s="23" t="str">
        <f t="shared" si="13"/>
        <v>REST PENDENTE</v>
      </c>
      <c r="Z72" s="23" t="str">
        <f t="shared" si="14"/>
        <v>OK</v>
      </c>
      <c r="AA72" s="23" t="str">
        <f t="shared" si="15"/>
        <v>OK</v>
      </c>
      <c r="AB72" s="23" t="str">
        <f t="shared" ca="1" si="16"/>
        <v/>
      </c>
      <c r="AC72" s="23" t="str">
        <f t="shared" si="17"/>
        <v/>
      </c>
      <c r="AD72" s="23" t="str">
        <f ca="1">IF(OR(A72="",U72="",NOT(ISNUMBER(AB72))),"",RANK(AB72,$AB$3:$AB$164,1)+COUNTIFS($AB$3:AB72,AB72)-1)</f>
        <v/>
      </c>
      <c r="AE72" s="4"/>
    </row>
    <row r="73" spans="1:31" ht="21.95" customHeight="1" x14ac:dyDescent="0.25">
      <c r="A73" s="81" t="s">
        <v>174</v>
      </c>
      <c r="B73" s="80" t="s">
        <v>162</v>
      </c>
      <c r="C73" s="80" t="s">
        <v>163</v>
      </c>
      <c r="D73" s="80" t="s">
        <v>175</v>
      </c>
      <c r="E73" s="80"/>
      <c r="F73" s="80" t="s">
        <v>167</v>
      </c>
      <c r="G73" s="80" t="s">
        <v>13</v>
      </c>
      <c r="H73" s="80" t="s">
        <v>14</v>
      </c>
      <c r="I73" s="80"/>
      <c r="J73" s="80"/>
      <c r="K73" s="80"/>
      <c r="L73" s="80"/>
      <c r="M73" s="80" t="s">
        <v>381</v>
      </c>
      <c r="N73" s="80" t="s">
        <v>358</v>
      </c>
      <c r="O73" s="80" t="s">
        <v>358</v>
      </c>
      <c r="P73" s="80"/>
      <c r="Q73" s="82"/>
      <c r="R73" s="82"/>
      <c r="S73" s="82"/>
      <c r="T73" s="82"/>
      <c r="U73" s="83"/>
      <c r="V73" s="80"/>
      <c r="W73" s="80"/>
      <c r="X73" s="23" t="str">
        <f t="shared" si="12"/>
        <v>OK</v>
      </c>
      <c r="Y73" s="23" t="str">
        <f t="shared" si="13"/>
        <v>REST PENDENTE</v>
      </c>
      <c r="Z73" s="23" t="str">
        <f t="shared" si="14"/>
        <v>OK</v>
      </c>
      <c r="AA73" s="23" t="str">
        <f t="shared" si="15"/>
        <v>OK</v>
      </c>
      <c r="AB73" s="23" t="str">
        <f t="shared" ca="1" si="16"/>
        <v/>
      </c>
      <c r="AC73" s="23" t="str">
        <f t="shared" si="17"/>
        <v/>
      </c>
      <c r="AD73" s="23" t="str">
        <f ca="1">IF(OR(A73="",U73="",NOT(ISNUMBER(AB73))),"",RANK(AB73,$AB$3:$AB$164,1)+COUNTIFS($AB$3:AB73,AB73)-1)</f>
        <v/>
      </c>
      <c r="AE73" s="4"/>
    </row>
    <row r="74" spans="1:31" ht="21.95" customHeight="1" x14ac:dyDescent="0.25">
      <c r="A74" s="85" t="s">
        <v>176</v>
      </c>
      <c r="B74" s="84" t="s">
        <v>162</v>
      </c>
      <c r="C74" s="84" t="s">
        <v>163</v>
      </c>
      <c r="D74" s="84" t="s">
        <v>177</v>
      </c>
      <c r="E74" s="84"/>
      <c r="F74" s="84"/>
      <c r="G74" s="84" t="s">
        <v>4</v>
      </c>
      <c r="H74" s="84" t="s">
        <v>14</v>
      </c>
      <c r="I74" s="84"/>
      <c r="J74" s="84"/>
      <c r="K74" s="84"/>
      <c r="L74" s="84"/>
      <c r="M74" s="84" t="s">
        <v>381</v>
      </c>
      <c r="N74" s="84" t="s">
        <v>358</v>
      </c>
      <c r="O74" s="84" t="s">
        <v>347</v>
      </c>
      <c r="P74" s="84"/>
      <c r="Q74" s="86"/>
      <c r="R74" s="86"/>
      <c r="S74" s="86"/>
      <c r="T74" s="86"/>
      <c r="U74" s="87"/>
      <c r="V74" s="84"/>
      <c r="W74" s="84"/>
      <c r="X74" s="23" t="str">
        <f t="shared" si="12"/>
        <v>OK</v>
      </c>
      <c r="Y74" s="23" t="str">
        <f t="shared" si="13"/>
        <v>REST PENDENTE</v>
      </c>
      <c r="Z74" s="23" t="str">
        <f t="shared" si="14"/>
        <v>OK</v>
      </c>
      <c r="AA74" s="23" t="str">
        <f t="shared" si="15"/>
        <v>OK</v>
      </c>
      <c r="AB74" s="23" t="str">
        <f t="shared" ca="1" si="16"/>
        <v/>
      </c>
      <c r="AC74" s="23" t="str">
        <f t="shared" si="17"/>
        <v/>
      </c>
      <c r="AD74" s="23" t="str">
        <f ca="1">IF(OR(A74="",U74="",NOT(ISNUMBER(AB74))),"",RANK(AB74,$AB$3:$AB$164,1)+COUNTIFS($AB$3:AB74,AB74)-1)</f>
        <v/>
      </c>
      <c r="AE74" s="4"/>
    </row>
    <row r="75" spans="1:31" ht="21.95" customHeight="1" x14ac:dyDescent="0.25">
      <c r="A75" s="81" t="s">
        <v>178</v>
      </c>
      <c r="B75" s="80" t="s">
        <v>162</v>
      </c>
      <c r="C75" s="80" t="s">
        <v>163</v>
      </c>
      <c r="D75" s="80" t="s">
        <v>179</v>
      </c>
      <c r="E75" s="80"/>
      <c r="F75" s="80"/>
      <c r="G75" s="80" t="s">
        <v>4</v>
      </c>
      <c r="H75" s="80" t="s">
        <v>14</v>
      </c>
      <c r="I75" s="80"/>
      <c r="J75" s="80"/>
      <c r="K75" s="80"/>
      <c r="L75" s="80"/>
      <c r="M75" s="80" t="s">
        <v>381</v>
      </c>
      <c r="N75" s="80" t="s">
        <v>358</v>
      </c>
      <c r="O75" s="80" t="s">
        <v>347</v>
      </c>
      <c r="P75" s="80"/>
      <c r="Q75" s="82"/>
      <c r="R75" s="82"/>
      <c r="S75" s="82"/>
      <c r="T75" s="82"/>
      <c r="U75" s="83"/>
      <c r="V75" s="80"/>
      <c r="W75" s="80"/>
      <c r="X75" s="23" t="str">
        <f t="shared" si="12"/>
        <v>OK</v>
      </c>
      <c r="Y75" s="23" t="str">
        <f t="shared" si="13"/>
        <v>REST PENDENTE</v>
      </c>
      <c r="Z75" s="23" t="str">
        <f t="shared" si="14"/>
        <v>OK</v>
      </c>
      <c r="AA75" s="23" t="str">
        <f t="shared" si="15"/>
        <v>OK</v>
      </c>
      <c r="AB75" s="23" t="str">
        <f t="shared" ca="1" si="16"/>
        <v/>
      </c>
      <c r="AC75" s="23" t="str">
        <f t="shared" si="17"/>
        <v/>
      </c>
      <c r="AD75" s="23" t="str">
        <f ca="1">IF(OR(A75="",U75="",NOT(ISNUMBER(AB75))),"",RANK(AB75,$AB$3:$AB$164,1)+COUNTIFS($AB$3:AB75,AB75)-1)</f>
        <v/>
      </c>
      <c r="AE75" s="4"/>
    </row>
    <row r="76" spans="1:31" ht="21.95" customHeight="1" x14ac:dyDescent="0.25">
      <c r="A76" s="85" t="s">
        <v>180</v>
      </c>
      <c r="B76" s="84" t="s">
        <v>9</v>
      </c>
      <c r="C76" s="84" t="s">
        <v>24</v>
      </c>
      <c r="D76" s="84">
        <v>10977876000146</v>
      </c>
      <c r="E76" s="84"/>
      <c r="F76" s="84" t="s">
        <v>12</v>
      </c>
      <c r="G76" s="84" t="s">
        <v>4</v>
      </c>
      <c r="H76" s="84" t="s">
        <v>5</v>
      </c>
      <c r="I76" s="84"/>
      <c r="J76" s="84"/>
      <c r="K76" s="84"/>
      <c r="L76" s="84"/>
      <c r="M76" s="84" t="s">
        <v>381</v>
      </c>
      <c r="N76" s="84"/>
      <c r="O76" s="84" t="s">
        <v>348</v>
      </c>
      <c r="P76" s="84"/>
      <c r="Q76" s="86"/>
      <c r="R76" s="86"/>
      <c r="S76" s="86"/>
      <c r="T76" s="86"/>
      <c r="U76" s="87"/>
      <c r="V76" s="84"/>
      <c r="W76" s="84"/>
      <c r="X76" s="23" t="str">
        <f t="shared" si="12"/>
        <v>OK</v>
      </c>
      <c r="Y76" s="23" t="str">
        <f t="shared" si="13"/>
        <v>REST PENDENTE</v>
      </c>
      <c r="Z76" s="23" t="str">
        <f t="shared" si="14"/>
        <v>OK</v>
      </c>
      <c r="AA76" s="23" t="str">
        <f t="shared" si="15"/>
        <v>OK</v>
      </c>
      <c r="AB76" s="23" t="str">
        <f t="shared" ca="1" si="16"/>
        <v/>
      </c>
      <c r="AC76" s="23" t="str">
        <f t="shared" si="17"/>
        <v/>
      </c>
      <c r="AD76" s="23" t="str">
        <f ca="1">IF(OR(A76="",U76="",NOT(ISNUMBER(AB76))),"",RANK(AB76,$AB$3:$AB$164,1)+COUNTIFS($AB$3:AB76,AB76)-1)</f>
        <v/>
      </c>
      <c r="AE76" s="4"/>
    </row>
    <row r="77" spans="1:31" ht="21.95" customHeight="1" x14ac:dyDescent="0.25">
      <c r="A77" s="81" t="s">
        <v>181</v>
      </c>
      <c r="B77" s="80" t="s">
        <v>182</v>
      </c>
      <c r="C77" s="80" t="s">
        <v>79</v>
      </c>
      <c r="D77" s="80" t="s">
        <v>183</v>
      </c>
      <c r="E77" s="80"/>
      <c r="F77" s="80" t="s">
        <v>184</v>
      </c>
      <c r="G77" s="80" t="s">
        <v>13</v>
      </c>
      <c r="H77" s="80" t="s">
        <v>5</v>
      </c>
      <c r="I77" s="80"/>
      <c r="J77" s="80"/>
      <c r="K77" s="80"/>
      <c r="L77" s="80"/>
      <c r="M77" s="80" t="s">
        <v>371</v>
      </c>
      <c r="N77" s="80"/>
      <c r="O77" s="80" t="s">
        <v>348</v>
      </c>
      <c r="P77" s="80"/>
      <c r="Q77" s="82"/>
      <c r="R77" s="82"/>
      <c r="S77" s="82"/>
      <c r="T77" s="82"/>
      <c r="U77" s="83"/>
      <c r="V77" s="80"/>
      <c r="W77" s="80"/>
      <c r="X77" s="23" t="str">
        <f t="shared" si="12"/>
        <v>OK</v>
      </c>
      <c r="Y77" s="23" t="str">
        <f t="shared" si="13"/>
        <v>REST PENDENTE</v>
      </c>
      <c r="Z77" s="23" t="str">
        <f t="shared" si="14"/>
        <v>OK</v>
      </c>
      <c r="AA77" s="23" t="str">
        <f t="shared" si="15"/>
        <v>OK</v>
      </c>
      <c r="AB77" s="23" t="str">
        <f t="shared" ca="1" si="16"/>
        <v/>
      </c>
      <c r="AC77" s="23" t="str">
        <f t="shared" si="17"/>
        <v/>
      </c>
      <c r="AD77" s="23" t="str">
        <f ca="1">IF(OR(A77="",U77="",NOT(ISNUMBER(AB77))),"",RANK(AB77,$AB$3:$AB$164,1)+COUNTIFS($AB$3:AB77,AB77)-1)</f>
        <v/>
      </c>
      <c r="AE77" s="4"/>
    </row>
    <row r="78" spans="1:31" ht="21.95" customHeight="1" x14ac:dyDescent="0.25">
      <c r="A78" s="85" t="s">
        <v>185</v>
      </c>
      <c r="B78" s="84" t="s">
        <v>182</v>
      </c>
      <c r="C78" s="84" t="s">
        <v>79</v>
      </c>
      <c r="D78" s="84" t="s">
        <v>186</v>
      </c>
      <c r="E78" s="84"/>
      <c r="F78" s="84" t="s">
        <v>184</v>
      </c>
      <c r="G78" s="84" t="s">
        <v>13</v>
      </c>
      <c r="H78" s="84" t="s">
        <v>14</v>
      </c>
      <c r="I78" s="84"/>
      <c r="J78" s="84"/>
      <c r="K78" s="84"/>
      <c r="L78" s="84"/>
      <c r="M78" s="84" t="s">
        <v>352</v>
      </c>
      <c r="N78" s="84"/>
      <c r="O78" s="84" t="s">
        <v>351</v>
      </c>
      <c r="P78" s="84"/>
      <c r="Q78" s="86"/>
      <c r="R78" s="86"/>
      <c r="S78" s="86"/>
      <c r="T78" s="86"/>
      <c r="U78" s="87"/>
      <c r="V78" s="84"/>
      <c r="W78" s="84"/>
      <c r="X78" s="23" t="str">
        <f t="shared" si="12"/>
        <v>OK</v>
      </c>
      <c r="Y78" s="23" t="str">
        <f t="shared" si="13"/>
        <v>REST PENDENTE</v>
      </c>
      <c r="Z78" s="23" t="str">
        <f t="shared" si="14"/>
        <v>OK</v>
      </c>
      <c r="AA78" s="23" t="str">
        <f t="shared" si="15"/>
        <v>OK</v>
      </c>
      <c r="AB78" s="23" t="str">
        <f t="shared" ca="1" si="16"/>
        <v/>
      </c>
      <c r="AC78" s="23" t="str">
        <f t="shared" si="17"/>
        <v/>
      </c>
      <c r="AD78" s="23" t="str">
        <f ca="1">IF(OR(A78="",U78="",NOT(ISNUMBER(AB78))),"",RANK(AB78,$AB$3:$AB$164,1)+COUNTIFS($AB$3:AB78,AB78)-1)</f>
        <v/>
      </c>
      <c r="AE78" s="4"/>
    </row>
    <row r="79" spans="1:31" ht="21.95" customHeight="1" x14ac:dyDescent="0.25">
      <c r="A79" s="81" t="s">
        <v>187</v>
      </c>
      <c r="B79" s="80" t="s">
        <v>188</v>
      </c>
      <c r="C79" s="80" t="s">
        <v>62</v>
      </c>
      <c r="D79" s="80">
        <v>40920539000183</v>
      </c>
      <c r="E79" s="80"/>
      <c r="F79" s="80" t="s">
        <v>189</v>
      </c>
      <c r="G79" s="80" t="s">
        <v>4</v>
      </c>
      <c r="H79" s="80" t="s">
        <v>5</v>
      </c>
      <c r="I79" s="80"/>
      <c r="J79" s="80"/>
      <c r="K79" s="80"/>
      <c r="L79" s="80"/>
      <c r="M79" s="80" t="s">
        <v>381</v>
      </c>
      <c r="N79" s="80"/>
      <c r="O79" s="80"/>
      <c r="P79" s="80"/>
      <c r="Q79" s="82"/>
      <c r="R79" s="82"/>
      <c r="S79" s="82"/>
      <c r="T79" s="82"/>
      <c r="U79" s="83"/>
      <c r="V79" s="80"/>
      <c r="W79" s="80"/>
      <c r="X79" s="23" t="str">
        <f t="shared" si="12"/>
        <v>OK</v>
      </c>
      <c r="Y79" s="23" t="str">
        <f t="shared" si="13"/>
        <v>REST PENDENTE</v>
      </c>
      <c r="Z79" s="23" t="str">
        <f t="shared" si="14"/>
        <v>OK</v>
      </c>
      <c r="AA79" s="23" t="str">
        <f t="shared" si="15"/>
        <v>OK</v>
      </c>
      <c r="AB79" s="23" t="str">
        <f t="shared" ca="1" si="16"/>
        <v/>
      </c>
      <c r="AC79" s="23" t="str">
        <f t="shared" si="17"/>
        <v/>
      </c>
      <c r="AD79" s="23" t="str">
        <f ca="1">IF(OR(A79="",U79="",NOT(ISNUMBER(AB79))),"",RANK(AB79,$AB$3:$AB$164,1)+COUNTIFS($AB$3:AB79,AB79)-1)</f>
        <v/>
      </c>
      <c r="AE79" s="4"/>
    </row>
    <row r="80" spans="1:31" ht="21.95" customHeight="1" x14ac:dyDescent="0.25">
      <c r="A80" s="85" t="s">
        <v>190</v>
      </c>
      <c r="B80" s="84" t="s">
        <v>188</v>
      </c>
      <c r="C80" s="84" t="s">
        <v>69</v>
      </c>
      <c r="D80" s="84" t="s">
        <v>191</v>
      </c>
      <c r="E80" s="84"/>
      <c r="F80" s="84" t="s">
        <v>189</v>
      </c>
      <c r="G80" s="84" t="s">
        <v>41</v>
      </c>
      <c r="H80" s="84" t="s">
        <v>5</v>
      </c>
      <c r="I80" s="84"/>
      <c r="J80" s="84"/>
      <c r="K80" s="84"/>
      <c r="L80" s="84"/>
      <c r="M80" s="84" t="s">
        <v>375</v>
      </c>
      <c r="N80" s="84"/>
      <c r="O80" s="84" t="s">
        <v>347</v>
      </c>
      <c r="P80" s="84"/>
      <c r="Q80" s="86"/>
      <c r="R80" s="86"/>
      <c r="S80" s="86"/>
      <c r="T80" s="86"/>
      <c r="U80" s="87"/>
      <c r="V80" s="84"/>
      <c r="W80" s="84"/>
      <c r="X80" s="23" t="str">
        <f t="shared" si="12"/>
        <v>OK</v>
      </c>
      <c r="Y80" s="23" t="str">
        <f t="shared" si="13"/>
        <v>REST PENDENTE</v>
      </c>
      <c r="Z80" s="23" t="str">
        <f t="shared" si="14"/>
        <v>OK</v>
      </c>
      <c r="AA80" s="23" t="str">
        <f t="shared" si="15"/>
        <v>OK</v>
      </c>
      <c r="AB80" s="23" t="str">
        <f t="shared" ca="1" si="16"/>
        <v/>
      </c>
      <c r="AC80" s="23" t="str">
        <f t="shared" si="17"/>
        <v/>
      </c>
      <c r="AD80" s="23" t="str">
        <f ca="1">IF(OR(A80="",U80="",NOT(ISNUMBER(AB80))),"",RANK(AB80,$AB$3:$AB$164,1)+COUNTIFS($AB$3:AB80,AB80)-1)</f>
        <v/>
      </c>
      <c r="AE80" s="4"/>
    </row>
    <row r="81" spans="1:31" ht="21.95" customHeight="1" x14ac:dyDescent="0.25">
      <c r="A81" s="81" t="s">
        <v>192</v>
      </c>
      <c r="B81" s="80" t="s">
        <v>188</v>
      </c>
      <c r="C81" s="80" t="s">
        <v>69</v>
      </c>
      <c r="D81" s="80" t="s">
        <v>193</v>
      </c>
      <c r="E81" s="80"/>
      <c r="F81" s="80" t="s">
        <v>189</v>
      </c>
      <c r="G81" s="80" t="s">
        <v>13</v>
      </c>
      <c r="H81" s="80" t="s">
        <v>14</v>
      </c>
      <c r="I81" s="80"/>
      <c r="J81" s="80"/>
      <c r="K81" s="80"/>
      <c r="L81" s="80"/>
      <c r="M81" s="80" t="s">
        <v>382</v>
      </c>
      <c r="N81" s="80"/>
      <c r="O81" s="80" t="s">
        <v>344</v>
      </c>
      <c r="P81" s="80"/>
      <c r="Q81" s="82"/>
      <c r="R81" s="82"/>
      <c r="S81" s="82"/>
      <c r="T81" s="82"/>
      <c r="U81" s="83"/>
      <c r="V81" s="80"/>
      <c r="W81" s="80"/>
      <c r="X81" s="23" t="str">
        <f t="shared" si="12"/>
        <v>OK</v>
      </c>
      <c r="Y81" s="23" t="str">
        <f t="shared" si="13"/>
        <v>REST PENDENTE</v>
      </c>
      <c r="Z81" s="23" t="str">
        <f t="shared" si="14"/>
        <v>OK</v>
      </c>
      <c r="AA81" s="23" t="str">
        <f t="shared" si="15"/>
        <v>OK</v>
      </c>
      <c r="AB81" s="23" t="str">
        <f t="shared" ca="1" si="16"/>
        <v/>
      </c>
      <c r="AC81" s="23" t="str">
        <f t="shared" si="17"/>
        <v/>
      </c>
      <c r="AD81" s="23" t="str">
        <f ca="1">IF(OR(A81="",U81="",NOT(ISNUMBER(AB81))),"",RANK(AB81,$AB$3:$AB$164,1)+COUNTIFS($AB$3:AB81,AB81)-1)</f>
        <v/>
      </c>
      <c r="AE81" s="4"/>
    </row>
    <row r="82" spans="1:31" ht="21.95" customHeight="1" x14ac:dyDescent="0.25">
      <c r="A82" s="85" t="s">
        <v>194</v>
      </c>
      <c r="B82" s="84" t="s">
        <v>1</v>
      </c>
      <c r="C82" s="84" t="s">
        <v>195</v>
      </c>
      <c r="D82" s="84" t="s">
        <v>196</v>
      </c>
      <c r="E82" s="84"/>
      <c r="F82" s="84" t="s">
        <v>3</v>
      </c>
      <c r="G82" s="84" t="s">
        <v>197</v>
      </c>
      <c r="H82" s="84" t="s">
        <v>49</v>
      </c>
      <c r="I82" s="84"/>
      <c r="J82" s="84"/>
      <c r="K82" s="84"/>
      <c r="L82" s="84"/>
      <c r="M82" s="84" t="s">
        <v>372</v>
      </c>
      <c r="N82" s="84" t="s">
        <v>357</v>
      </c>
      <c r="O82" s="84" t="s">
        <v>348</v>
      </c>
      <c r="P82" s="84"/>
      <c r="Q82" s="86"/>
      <c r="R82" s="86"/>
      <c r="S82" s="86"/>
      <c r="T82" s="86"/>
      <c r="U82" s="87"/>
      <c r="V82" s="84"/>
      <c r="W82" s="84"/>
      <c r="X82" s="23" t="str">
        <f t="shared" si="12"/>
        <v>OK</v>
      </c>
      <c r="Y82" s="23" t="str">
        <f t="shared" si="13"/>
        <v>REST PENDENTE</v>
      </c>
      <c r="Z82" s="23" t="str">
        <f t="shared" si="14"/>
        <v>OK</v>
      </c>
      <c r="AA82" s="23" t="str">
        <f t="shared" si="15"/>
        <v>OK</v>
      </c>
      <c r="AB82" s="23" t="str">
        <f t="shared" ca="1" si="16"/>
        <v/>
      </c>
      <c r="AC82" s="23" t="str">
        <f t="shared" si="17"/>
        <v/>
      </c>
      <c r="AD82" s="23" t="str">
        <f ca="1">IF(OR(A82="",U82="",NOT(ISNUMBER(AB82))),"",RANK(AB82,$AB$3:$AB$164,1)+COUNTIFS($AB$3:AB82,AB82)-1)</f>
        <v/>
      </c>
      <c r="AE82" s="4"/>
    </row>
    <row r="83" spans="1:31" ht="21.95" customHeight="1" x14ac:dyDescent="0.25">
      <c r="A83" s="81" t="s">
        <v>198</v>
      </c>
      <c r="B83" s="80" t="s">
        <v>1</v>
      </c>
      <c r="C83" s="80" t="s">
        <v>195</v>
      </c>
      <c r="D83" s="80" t="s">
        <v>199</v>
      </c>
      <c r="E83" s="80"/>
      <c r="F83" s="80" t="s">
        <v>3</v>
      </c>
      <c r="G83" s="80" t="s">
        <v>4</v>
      </c>
      <c r="H83" s="80" t="s">
        <v>49</v>
      </c>
      <c r="I83" s="80"/>
      <c r="J83" s="80"/>
      <c r="K83" s="80"/>
      <c r="L83" s="80"/>
      <c r="M83" s="80" t="s">
        <v>372</v>
      </c>
      <c r="N83" s="80" t="s">
        <v>357</v>
      </c>
      <c r="O83" s="80" t="s">
        <v>348</v>
      </c>
      <c r="P83" s="80"/>
      <c r="Q83" s="82"/>
      <c r="R83" s="82"/>
      <c r="S83" s="82"/>
      <c r="T83" s="82"/>
      <c r="U83" s="83"/>
      <c r="V83" s="80"/>
      <c r="W83" s="80"/>
      <c r="X83" s="23" t="str">
        <f t="shared" si="12"/>
        <v>OK</v>
      </c>
      <c r="Y83" s="23" t="str">
        <f t="shared" si="13"/>
        <v>REST PENDENTE</v>
      </c>
      <c r="Z83" s="23" t="str">
        <f t="shared" si="14"/>
        <v>OK</v>
      </c>
      <c r="AA83" s="23" t="str">
        <f t="shared" si="15"/>
        <v>OK</v>
      </c>
      <c r="AB83" s="23" t="str">
        <f t="shared" ca="1" si="16"/>
        <v/>
      </c>
      <c r="AC83" s="23" t="str">
        <f t="shared" si="17"/>
        <v/>
      </c>
      <c r="AD83" s="23" t="str">
        <f ca="1">IF(OR(A83="",U83="",NOT(ISNUMBER(AB83))),"",RANK(AB83,$AB$3:$AB$164,1)+COUNTIFS($AB$3:AB83,AB83)-1)</f>
        <v/>
      </c>
      <c r="AE83" s="4"/>
    </row>
    <row r="84" spans="1:31" ht="21.95" customHeight="1" x14ac:dyDescent="0.25">
      <c r="A84" s="85" t="s">
        <v>200</v>
      </c>
      <c r="B84" s="84" t="s">
        <v>1</v>
      </c>
      <c r="C84" s="84" t="s">
        <v>195</v>
      </c>
      <c r="D84" s="84" t="s">
        <v>201</v>
      </c>
      <c r="E84" s="84"/>
      <c r="F84" s="84" t="s">
        <v>3</v>
      </c>
      <c r="G84" s="84" t="s">
        <v>4</v>
      </c>
      <c r="H84" s="84" t="s">
        <v>49</v>
      </c>
      <c r="I84" s="84"/>
      <c r="J84" s="84"/>
      <c r="K84" s="84"/>
      <c r="L84" s="84"/>
      <c r="M84" s="84" t="s">
        <v>372</v>
      </c>
      <c r="N84" s="84" t="s">
        <v>357</v>
      </c>
      <c r="O84" s="84" t="s">
        <v>348</v>
      </c>
      <c r="P84" s="84"/>
      <c r="Q84" s="86"/>
      <c r="R84" s="86"/>
      <c r="S84" s="86"/>
      <c r="T84" s="86"/>
      <c r="U84" s="87"/>
      <c r="V84" s="84"/>
      <c r="W84" s="84"/>
      <c r="X84" s="23" t="str">
        <f t="shared" si="12"/>
        <v>OK</v>
      </c>
      <c r="Y84" s="23" t="str">
        <f t="shared" si="13"/>
        <v>REST PENDENTE</v>
      </c>
      <c r="Z84" s="23" t="str">
        <f t="shared" si="14"/>
        <v>OK</v>
      </c>
      <c r="AA84" s="23" t="str">
        <f t="shared" si="15"/>
        <v>OK</v>
      </c>
      <c r="AB84" s="23" t="str">
        <f t="shared" ca="1" si="16"/>
        <v/>
      </c>
      <c r="AC84" s="23" t="str">
        <f t="shared" si="17"/>
        <v/>
      </c>
      <c r="AD84" s="23" t="str">
        <f ca="1">IF(OR(A84="",U84="",NOT(ISNUMBER(AB84))),"",RANK(AB84,$AB$3:$AB$164,1)+COUNTIFS($AB$3:AB84,AB84)-1)</f>
        <v/>
      </c>
      <c r="AE84" s="4"/>
    </row>
    <row r="85" spans="1:31" ht="21.95" customHeight="1" x14ac:dyDescent="0.25">
      <c r="A85" s="81" t="s">
        <v>202</v>
      </c>
      <c r="B85" s="80" t="s">
        <v>203</v>
      </c>
      <c r="C85" s="80" t="s">
        <v>204</v>
      </c>
      <c r="D85" s="80">
        <v>48579725000102</v>
      </c>
      <c r="E85" s="80"/>
      <c r="F85" s="80" t="s">
        <v>205</v>
      </c>
      <c r="G85" s="80" t="s">
        <v>13</v>
      </c>
      <c r="H85" s="80" t="s">
        <v>5</v>
      </c>
      <c r="I85" s="80"/>
      <c r="J85" s="80"/>
      <c r="K85" s="80"/>
      <c r="L85" s="80"/>
      <c r="M85" s="80" t="s">
        <v>375</v>
      </c>
      <c r="N85" s="80"/>
      <c r="O85" s="80" t="s">
        <v>353</v>
      </c>
      <c r="P85" s="80"/>
      <c r="Q85" s="82"/>
      <c r="R85" s="82"/>
      <c r="S85" s="82"/>
      <c r="T85" s="82"/>
      <c r="U85" s="83"/>
      <c r="V85" s="80"/>
      <c r="W85" s="80"/>
      <c r="X85" s="23" t="str">
        <f t="shared" si="12"/>
        <v>OK</v>
      </c>
      <c r="Y85" s="23" t="str">
        <f t="shared" si="13"/>
        <v>REST PENDENTE</v>
      </c>
      <c r="Z85" s="23" t="str">
        <f t="shared" si="14"/>
        <v>OK</v>
      </c>
      <c r="AA85" s="23" t="str">
        <f t="shared" si="15"/>
        <v>OK</v>
      </c>
      <c r="AB85" s="23" t="str">
        <f t="shared" ca="1" si="16"/>
        <v/>
      </c>
      <c r="AC85" s="23" t="str">
        <f t="shared" si="17"/>
        <v/>
      </c>
      <c r="AD85" s="23" t="str">
        <f ca="1">IF(OR(A85="",U85="",NOT(ISNUMBER(AB85))),"",RANK(AB85,$AB$3:$AB$164,1)+COUNTIFS($AB$3:AB85,AB85)-1)</f>
        <v/>
      </c>
      <c r="AE85" s="4"/>
    </row>
    <row r="86" spans="1:31" ht="21.95" customHeight="1" x14ac:dyDescent="0.25">
      <c r="A86" s="85" t="s">
        <v>206</v>
      </c>
      <c r="B86" s="84" t="s">
        <v>207</v>
      </c>
      <c r="C86" s="84" t="s">
        <v>62</v>
      </c>
      <c r="D86" s="84">
        <v>21879417000146</v>
      </c>
      <c r="E86" s="84"/>
      <c r="F86" s="84" t="s">
        <v>208</v>
      </c>
      <c r="G86" s="84" t="s">
        <v>41</v>
      </c>
      <c r="H86" s="84" t="s">
        <v>5</v>
      </c>
      <c r="I86" s="84"/>
      <c r="J86" s="84"/>
      <c r="K86" s="84"/>
      <c r="L86" s="84"/>
      <c r="M86" s="84" t="s">
        <v>375</v>
      </c>
      <c r="N86" s="84"/>
      <c r="O86" s="84" t="s">
        <v>346</v>
      </c>
      <c r="P86" s="84"/>
      <c r="Q86" s="86"/>
      <c r="R86" s="86"/>
      <c r="S86" s="86"/>
      <c r="T86" s="86"/>
      <c r="U86" s="87"/>
      <c r="V86" s="84"/>
      <c r="W86" s="84"/>
      <c r="X86" s="23" t="str">
        <f t="shared" si="12"/>
        <v>OK</v>
      </c>
      <c r="Y86" s="23" t="str">
        <f t="shared" si="13"/>
        <v>REST PENDENTE</v>
      </c>
      <c r="Z86" s="23" t="str">
        <f t="shared" si="14"/>
        <v>OK</v>
      </c>
      <c r="AA86" s="23" t="str">
        <f t="shared" si="15"/>
        <v>OK</v>
      </c>
      <c r="AB86" s="23" t="str">
        <f t="shared" ca="1" si="16"/>
        <v/>
      </c>
      <c r="AC86" s="23" t="str">
        <f t="shared" si="17"/>
        <v/>
      </c>
      <c r="AD86" s="23" t="str">
        <f ca="1">IF(OR(A86="",U86="",NOT(ISNUMBER(AB86))),"",RANK(AB86,$AB$3:$AB$164,1)+COUNTIFS($AB$3:AB86,AB86)-1)</f>
        <v/>
      </c>
      <c r="AE86" s="4"/>
    </row>
    <row r="87" spans="1:31" ht="21.95" customHeight="1" x14ac:dyDescent="0.25">
      <c r="A87" s="81" t="s">
        <v>209</v>
      </c>
      <c r="B87" s="80" t="s">
        <v>207</v>
      </c>
      <c r="C87" s="80" t="s">
        <v>62</v>
      </c>
      <c r="D87" s="80" t="s">
        <v>384</v>
      </c>
      <c r="E87" s="80"/>
      <c r="F87" s="80" t="s">
        <v>208</v>
      </c>
      <c r="G87" s="80" t="s">
        <v>4</v>
      </c>
      <c r="H87" s="80" t="s">
        <v>5</v>
      </c>
      <c r="I87" s="80"/>
      <c r="J87" s="80"/>
      <c r="K87" s="80"/>
      <c r="L87" s="80"/>
      <c r="M87" s="80" t="s">
        <v>375</v>
      </c>
      <c r="N87" s="80"/>
      <c r="O87" s="80" t="s">
        <v>346</v>
      </c>
      <c r="P87" s="80"/>
      <c r="Q87" s="82"/>
      <c r="R87" s="82"/>
      <c r="S87" s="82"/>
      <c r="T87" s="82"/>
      <c r="U87" s="83"/>
      <c r="V87" s="80"/>
      <c r="W87" s="80"/>
      <c r="X87" s="23" t="str">
        <f t="shared" si="12"/>
        <v>OK</v>
      </c>
      <c r="Y87" s="23" t="str">
        <f t="shared" si="13"/>
        <v>REST PENDENTE</v>
      </c>
      <c r="Z87" s="23" t="str">
        <f t="shared" si="14"/>
        <v>OK</v>
      </c>
      <c r="AA87" s="23" t="str">
        <f t="shared" si="15"/>
        <v>OK</v>
      </c>
      <c r="AB87" s="23" t="str">
        <f t="shared" ca="1" si="16"/>
        <v/>
      </c>
      <c r="AC87" s="23" t="str">
        <f t="shared" si="17"/>
        <v/>
      </c>
      <c r="AD87" s="23" t="str">
        <f ca="1">IF(OR(A87="",U87="",NOT(ISNUMBER(AB87))),"",RANK(AB87,$AB$3:$AB$164,1)+COUNTIFS($AB$3:AB87,AB87)-1)</f>
        <v/>
      </c>
      <c r="AE87" s="4"/>
    </row>
    <row r="88" spans="1:31" ht="21.95" customHeight="1" x14ac:dyDescent="0.25">
      <c r="A88" s="85" t="s">
        <v>210</v>
      </c>
      <c r="B88" s="84" t="s">
        <v>211</v>
      </c>
      <c r="C88" s="84" t="s">
        <v>69</v>
      </c>
      <c r="D88" s="84" t="s">
        <v>383</v>
      </c>
      <c r="E88" s="84"/>
      <c r="F88" s="84"/>
      <c r="G88" s="84" t="s">
        <v>4</v>
      </c>
      <c r="H88" s="84" t="s">
        <v>49</v>
      </c>
      <c r="I88" s="84"/>
      <c r="J88" s="84"/>
      <c r="K88" s="84"/>
      <c r="L88" s="84"/>
      <c r="M88" s="84" t="s">
        <v>375</v>
      </c>
      <c r="N88" s="84"/>
      <c r="O88" s="84" t="s">
        <v>346</v>
      </c>
      <c r="P88" s="84"/>
      <c r="Q88" s="86"/>
      <c r="R88" s="86"/>
      <c r="S88" s="86"/>
      <c r="T88" s="86"/>
      <c r="U88" s="87"/>
      <c r="V88" s="84"/>
      <c r="W88" s="84"/>
      <c r="X88" s="23" t="str">
        <f t="shared" si="12"/>
        <v>OK</v>
      </c>
      <c r="Y88" s="23" t="str">
        <f t="shared" si="13"/>
        <v>REST PENDENTE</v>
      </c>
      <c r="Z88" s="23" t="str">
        <f t="shared" si="14"/>
        <v>OK</v>
      </c>
      <c r="AA88" s="23" t="str">
        <f t="shared" si="15"/>
        <v>OK</v>
      </c>
      <c r="AB88" s="23" t="str">
        <f t="shared" ca="1" si="16"/>
        <v/>
      </c>
      <c r="AC88" s="23" t="str">
        <f t="shared" si="17"/>
        <v/>
      </c>
      <c r="AD88" s="23" t="str">
        <f ca="1">IF(OR(A88="",U88="",NOT(ISNUMBER(AB88))),"",RANK(AB88,$AB$3:$AB$164,1)+COUNTIFS($AB$3:AB88,AB88)-1)</f>
        <v/>
      </c>
      <c r="AE88" s="4"/>
    </row>
    <row r="89" spans="1:31" ht="21.95" customHeight="1" x14ac:dyDescent="0.25">
      <c r="A89" s="81" t="s">
        <v>212</v>
      </c>
      <c r="B89" s="80" t="s">
        <v>211</v>
      </c>
      <c r="C89" s="80" t="s">
        <v>69</v>
      </c>
      <c r="D89" s="80"/>
      <c r="E89" s="80"/>
      <c r="F89" s="80"/>
      <c r="G89" s="80" t="s">
        <v>4</v>
      </c>
      <c r="H89" s="80" t="s">
        <v>49</v>
      </c>
      <c r="I89" s="80"/>
      <c r="J89" s="80"/>
      <c r="K89" s="80"/>
      <c r="L89" s="80"/>
      <c r="M89" s="80" t="s">
        <v>375</v>
      </c>
      <c r="N89" s="80"/>
      <c r="O89" s="80" t="s">
        <v>346</v>
      </c>
      <c r="P89" s="80"/>
      <c r="Q89" s="82"/>
      <c r="R89" s="82"/>
      <c r="S89" s="82"/>
      <c r="T89" s="82"/>
      <c r="U89" s="83"/>
      <c r="V89" s="80"/>
      <c r="W89" s="80"/>
      <c r="X89" s="23" t="str">
        <f t="shared" si="12"/>
        <v>CNPJ INVALIDO</v>
      </c>
      <c r="Y89" s="23" t="str">
        <f t="shared" si="13"/>
        <v>REST PENDENTE</v>
      </c>
      <c r="Z89" s="23" t="str">
        <f t="shared" si="14"/>
        <v>OK</v>
      </c>
      <c r="AA89" s="23" t="str">
        <f t="shared" si="15"/>
        <v>OK</v>
      </c>
      <c r="AB89" s="23" t="str">
        <f t="shared" ca="1" si="16"/>
        <v/>
      </c>
      <c r="AC89" s="23" t="str">
        <f t="shared" si="17"/>
        <v/>
      </c>
      <c r="AD89" s="23" t="str">
        <f ca="1">IF(OR(A89="",U89="",NOT(ISNUMBER(AB89))),"",RANK(AB89,$AB$3:$AB$164,1)+COUNTIFS($AB$3:AB89,AB89)-1)</f>
        <v/>
      </c>
      <c r="AE89" s="4"/>
    </row>
    <row r="90" spans="1:31" ht="21.95" customHeight="1" x14ac:dyDescent="0.25">
      <c r="A90" s="85" t="s">
        <v>213</v>
      </c>
      <c r="B90" s="84" t="s">
        <v>214</v>
      </c>
      <c r="C90" s="84" t="s">
        <v>62</v>
      </c>
      <c r="D90" s="84">
        <v>44868733000118</v>
      </c>
      <c r="E90" s="84"/>
      <c r="F90" s="84" t="s">
        <v>215</v>
      </c>
      <c r="G90" s="84" t="s">
        <v>4</v>
      </c>
      <c r="H90" s="84" t="s">
        <v>5</v>
      </c>
      <c r="I90" s="84"/>
      <c r="J90" s="84"/>
      <c r="K90" s="84"/>
      <c r="L90" s="84"/>
      <c r="M90" s="84" t="s">
        <v>375</v>
      </c>
      <c r="N90" s="84"/>
      <c r="O90" s="84" t="s">
        <v>347</v>
      </c>
      <c r="P90" s="84"/>
      <c r="Q90" s="86"/>
      <c r="R90" s="86"/>
      <c r="S90" s="86"/>
      <c r="T90" s="86"/>
      <c r="U90" s="87"/>
      <c r="V90" s="84"/>
      <c r="W90" s="84"/>
      <c r="X90" s="23" t="str">
        <f t="shared" si="12"/>
        <v>OK</v>
      </c>
      <c r="Y90" s="23" t="str">
        <f t="shared" si="13"/>
        <v>REST PENDENTE</v>
      </c>
      <c r="Z90" s="23" t="str">
        <f t="shared" si="14"/>
        <v>OK</v>
      </c>
      <c r="AA90" s="23" t="str">
        <f t="shared" si="15"/>
        <v>OK</v>
      </c>
      <c r="AB90" s="23" t="str">
        <f t="shared" ca="1" si="16"/>
        <v/>
      </c>
      <c r="AC90" s="23" t="str">
        <f t="shared" si="17"/>
        <v/>
      </c>
      <c r="AD90" s="23" t="str">
        <f ca="1">IF(OR(A90="",U90="",NOT(ISNUMBER(AB90))),"",RANK(AB90,$AB$3:$AB$164,1)+COUNTIFS($AB$3:AB90,AB90)-1)</f>
        <v/>
      </c>
      <c r="AE90" s="4"/>
    </row>
    <row r="91" spans="1:31" ht="21.95" customHeight="1" x14ac:dyDescent="0.25">
      <c r="A91" s="81" t="s">
        <v>216</v>
      </c>
      <c r="B91" s="80" t="s">
        <v>9</v>
      </c>
      <c r="C91" s="80" t="s">
        <v>69</v>
      </c>
      <c r="D91" s="80" t="s">
        <v>217</v>
      </c>
      <c r="E91" s="80"/>
      <c r="F91" s="80" t="s">
        <v>12</v>
      </c>
      <c r="G91" s="80" t="s">
        <v>13</v>
      </c>
      <c r="H91" s="80" t="s">
        <v>49</v>
      </c>
      <c r="I91" s="80"/>
      <c r="J91" s="80"/>
      <c r="K91" s="80"/>
      <c r="L91" s="80"/>
      <c r="M91" s="80" t="s">
        <v>375</v>
      </c>
      <c r="N91" s="80"/>
      <c r="O91" s="80" t="s">
        <v>346</v>
      </c>
      <c r="P91" s="80"/>
      <c r="Q91" s="82"/>
      <c r="R91" s="82"/>
      <c r="S91" s="82"/>
      <c r="T91" s="82"/>
      <c r="U91" s="83"/>
      <c r="V91" s="80"/>
      <c r="W91" s="80"/>
      <c r="X91" s="23" t="str">
        <f t="shared" si="12"/>
        <v>OK</v>
      </c>
      <c r="Y91" s="23" t="str">
        <f t="shared" si="13"/>
        <v>REST PENDENTE</v>
      </c>
      <c r="Z91" s="23" t="str">
        <f t="shared" si="14"/>
        <v>OK</v>
      </c>
      <c r="AA91" s="23" t="str">
        <f t="shared" si="15"/>
        <v>OK</v>
      </c>
      <c r="AB91" s="23" t="str">
        <f t="shared" ca="1" si="16"/>
        <v/>
      </c>
      <c r="AC91" s="23" t="str">
        <f t="shared" si="17"/>
        <v/>
      </c>
      <c r="AD91" s="23" t="str">
        <f ca="1">IF(OR(A91="",U91="",NOT(ISNUMBER(AB91))),"",RANK(AB91,$AB$3:$AB$164,1)+COUNTIFS($AB$3:AB91,AB91)-1)</f>
        <v/>
      </c>
      <c r="AE91" s="4"/>
    </row>
    <row r="92" spans="1:31" ht="21.95" customHeight="1" x14ac:dyDescent="0.25">
      <c r="A92" s="85" t="s">
        <v>218</v>
      </c>
      <c r="B92" s="84" t="s">
        <v>219</v>
      </c>
      <c r="C92" s="84" t="s">
        <v>62</v>
      </c>
      <c r="D92" s="84">
        <v>51987426000111</v>
      </c>
      <c r="E92" s="84"/>
      <c r="F92" s="84" t="s">
        <v>220</v>
      </c>
      <c r="G92" s="84" t="s">
        <v>4</v>
      </c>
      <c r="H92" s="84" t="s">
        <v>5</v>
      </c>
      <c r="I92" s="84"/>
      <c r="J92" s="84"/>
      <c r="K92" s="84"/>
      <c r="L92" s="84"/>
      <c r="M92" s="84" t="s">
        <v>385</v>
      </c>
      <c r="N92" s="84"/>
      <c r="O92" s="84" t="s">
        <v>347</v>
      </c>
      <c r="P92" s="84"/>
      <c r="Q92" s="86"/>
      <c r="R92" s="86"/>
      <c r="S92" s="86"/>
      <c r="T92" s="86"/>
      <c r="U92" s="87"/>
      <c r="V92" s="84"/>
      <c r="W92" s="84"/>
      <c r="X92" s="23" t="str">
        <f t="shared" si="12"/>
        <v>OK</v>
      </c>
      <c r="Y92" s="23" t="str">
        <f t="shared" si="13"/>
        <v>REST PENDENTE</v>
      </c>
      <c r="Z92" s="23" t="str">
        <f t="shared" si="14"/>
        <v>OK</v>
      </c>
      <c r="AA92" s="23" t="str">
        <f t="shared" si="15"/>
        <v>OK</v>
      </c>
      <c r="AB92" s="23" t="str">
        <f t="shared" ca="1" si="16"/>
        <v/>
      </c>
      <c r="AC92" s="23" t="str">
        <f t="shared" si="17"/>
        <v/>
      </c>
      <c r="AD92" s="23" t="str">
        <f ca="1">IF(OR(A92="",U92="",NOT(ISNUMBER(AB92))),"",RANK(AB92,$AB$3:$AB$164,1)+COUNTIFS($AB$3:AB92,AB92)-1)</f>
        <v/>
      </c>
      <c r="AE92" s="4"/>
    </row>
    <row r="93" spans="1:31" ht="21.95" customHeight="1" x14ac:dyDescent="0.25">
      <c r="A93" s="81" t="s">
        <v>221</v>
      </c>
      <c r="B93" s="80" t="s">
        <v>222</v>
      </c>
      <c r="C93" s="80" t="s">
        <v>62</v>
      </c>
      <c r="D93" s="80" t="s">
        <v>386</v>
      </c>
      <c r="E93" s="80"/>
      <c r="F93" s="80" t="s">
        <v>223</v>
      </c>
      <c r="G93" s="80" t="s">
        <v>13</v>
      </c>
      <c r="H93" s="80" t="s">
        <v>49</v>
      </c>
      <c r="I93" s="80"/>
      <c r="J93" s="80"/>
      <c r="K93" s="80"/>
      <c r="L93" s="80"/>
      <c r="M93" s="80" t="s">
        <v>385</v>
      </c>
      <c r="N93" s="80"/>
      <c r="O93" s="80" t="s">
        <v>347</v>
      </c>
      <c r="P93" s="80"/>
      <c r="Q93" s="82"/>
      <c r="R93" s="82"/>
      <c r="S93" s="82"/>
      <c r="T93" s="82"/>
      <c r="U93" s="83"/>
      <c r="V93" s="80"/>
      <c r="W93" s="80"/>
      <c r="X93" s="23" t="str">
        <f t="shared" si="12"/>
        <v>OK</v>
      </c>
      <c r="Y93" s="23" t="str">
        <f t="shared" si="13"/>
        <v>REST PENDENTE</v>
      </c>
      <c r="Z93" s="23" t="str">
        <f t="shared" si="14"/>
        <v>OK</v>
      </c>
      <c r="AA93" s="23" t="str">
        <f t="shared" si="15"/>
        <v>OK</v>
      </c>
      <c r="AB93" s="23" t="str">
        <f t="shared" ca="1" si="16"/>
        <v/>
      </c>
      <c r="AC93" s="23" t="str">
        <f t="shared" si="17"/>
        <v/>
      </c>
      <c r="AD93" s="23" t="str">
        <f ca="1">IF(OR(A93="",U93="",NOT(ISNUMBER(AB93))),"",RANK(AB93,$AB$3:$AB$164,1)+COUNTIFS($AB$3:AB93,AB93)-1)</f>
        <v/>
      </c>
      <c r="AE93" s="4"/>
    </row>
    <row r="94" spans="1:31" ht="21.95" customHeight="1" x14ac:dyDescent="0.25">
      <c r="A94" s="85" t="s">
        <v>224</v>
      </c>
      <c r="B94" s="84" t="s">
        <v>182</v>
      </c>
      <c r="C94" s="84" t="s">
        <v>83</v>
      </c>
      <c r="D94" s="84">
        <v>21371431000134</v>
      </c>
      <c r="E94" s="84"/>
      <c r="F94" s="84" t="s">
        <v>225</v>
      </c>
      <c r="G94" s="84" t="s">
        <v>4</v>
      </c>
      <c r="H94" s="84" t="s">
        <v>5</v>
      </c>
      <c r="I94" s="84"/>
      <c r="J94" s="84"/>
      <c r="K94" s="84"/>
      <c r="L94" s="84"/>
      <c r="M94" s="84" t="s">
        <v>371</v>
      </c>
      <c r="N94" s="84"/>
      <c r="O94" s="84" t="s">
        <v>354</v>
      </c>
      <c r="P94" s="84"/>
      <c r="Q94" s="86"/>
      <c r="R94" s="86"/>
      <c r="S94" s="86"/>
      <c r="T94" s="86"/>
      <c r="U94" s="87"/>
      <c r="V94" s="84"/>
      <c r="W94" s="84"/>
      <c r="X94" s="23" t="str">
        <f t="shared" si="12"/>
        <v>OK</v>
      </c>
      <c r="Y94" s="23" t="str">
        <f t="shared" si="13"/>
        <v>REST PENDENTE</v>
      </c>
      <c r="Z94" s="23" t="str">
        <f t="shared" si="14"/>
        <v>OK</v>
      </c>
      <c r="AA94" s="23" t="str">
        <f t="shared" si="15"/>
        <v>OK</v>
      </c>
      <c r="AB94" s="23" t="str">
        <f t="shared" ca="1" si="16"/>
        <v/>
      </c>
      <c r="AC94" s="23" t="str">
        <f t="shared" si="17"/>
        <v/>
      </c>
      <c r="AD94" s="23" t="str">
        <f ca="1">IF(OR(A94="",U94="",NOT(ISNUMBER(AB94))),"",RANK(AB94,$AB$3:$AB$164,1)+COUNTIFS($AB$3:AB94,AB94)-1)</f>
        <v/>
      </c>
      <c r="AE94" s="4"/>
    </row>
    <row r="95" spans="1:31" ht="21.95" customHeight="1" x14ac:dyDescent="0.25">
      <c r="A95" s="81" t="s">
        <v>226</v>
      </c>
      <c r="B95" s="80" t="s">
        <v>227</v>
      </c>
      <c r="C95" s="80" t="s">
        <v>122</v>
      </c>
      <c r="D95" s="80">
        <v>9421791000106</v>
      </c>
      <c r="E95" s="80"/>
      <c r="F95" s="80" t="s">
        <v>228</v>
      </c>
      <c r="G95" s="80" t="s">
        <v>4</v>
      </c>
      <c r="H95" s="80" t="s">
        <v>5</v>
      </c>
      <c r="I95" s="80"/>
      <c r="J95" s="80"/>
      <c r="K95" s="80"/>
      <c r="L95" s="80"/>
      <c r="M95" s="80" t="s">
        <v>375</v>
      </c>
      <c r="N95" s="80"/>
      <c r="O95" s="80" t="s">
        <v>346</v>
      </c>
      <c r="P95" s="80"/>
      <c r="Q95" s="82"/>
      <c r="R95" s="82"/>
      <c r="S95" s="82"/>
      <c r="T95" s="82"/>
      <c r="U95" s="83"/>
      <c r="V95" s="80"/>
      <c r="W95" s="80"/>
      <c r="X95" s="23" t="str">
        <f t="shared" si="12"/>
        <v>OK</v>
      </c>
      <c r="Y95" s="23" t="str">
        <f t="shared" si="13"/>
        <v>REST PENDENTE</v>
      </c>
      <c r="Z95" s="23" t="str">
        <f t="shared" si="14"/>
        <v>OK</v>
      </c>
      <c r="AA95" s="23" t="str">
        <f t="shared" si="15"/>
        <v>OK</v>
      </c>
      <c r="AB95" s="23" t="str">
        <f t="shared" ca="1" si="16"/>
        <v/>
      </c>
      <c r="AC95" s="23" t="str">
        <f t="shared" si="17"/>
        <v/>
      </c>
      <c r="AD95" s="23" t="str">
        <f ca="1">IF(OR(A95="",U95="",NOT(ISNUMBER(AB95))),"",RANK(AB95,$AB$3:$AB$164,1)+COUNTIFS($AB$3:AB95,AB95)-1)</f>
        <v/>
      </c>
      <c r="AE95" s="4"/>
    </row>
    <row r="96" spans="1:31" ht="21.95" customHeight="1" x14ac:dyDescent="0.25">
      <c r="A96" s="85" t="s">
        <v>229</v>
      </c>
      <c r="B96" s="84" t="s">
        <v>96</v>
      </c>
      <c r="C96" s="84" t="s">
        <v>230</v>
      </c>
      <c r="D96" s="84" t="s">
        <v>387</v>
      </c>
      <c r="E96" s="84"/>
      <c r="F96" s="84" t="s">
        <v>99</v>
      </c>
      <c r="G96" s="84" t="s">
        <v>4</v>
      </c>
      <c r="H96" s="84" t="s">
        <v>14</v>
      </c>
      <c r="I96" s="84"/>
      <c r="J96" s="84"/>
      <c r="K96" s="84"/>
      <c r="L96" s="84"/>
      <c r="M96" s="84" t="s">
        <v>372</v>
      </c>
      <c r="N96" s="84"/>
      <c r="O96" s="84" t="s">
        <v>346</v>
      </c>
      <c r="P96" s="84"/>
      <c r="Q96" s="86"/>
      <c r="R96" s="86"/>
      <c r="S96" s="86"/>
      <c r="T96" s="86"/>
      <c r="U96" s="87"/>
      <c r="V96" s="84"/>
      <c r="W96" s="84"/>
      <c r="X96" s="23" t="str">
        <f t="shared" si="12"/>
        <v>OK</v>
      </c>
      <c r="Y96" s="23" t="str">
        <f t="shared" si="13"/>
        <v>REST PENDENTE</v>
      </c>
      <c r="Z96" s="23" t="str">
        <f t="shared" si="14"/>
        <v>OK</v>
      </c>
      <c r="AA96" s="23" t="str">
        <f t="shared" si="15"/>
        <v>OK</v>
      </c>
      <c r="AB96" s="23" t="str">
        <f t="shared" ca="1" si="16"/>
        <v/>
      </c>
      <c r="AC96" s="23" t="str">
        <f t="shared" si="17"/>
        <v/>
      </c>
      <c r="AD96" s="23" t="str">
        <f ca="1">IF(OR(A96="",U96="",NOT(ISNUMBER(AB96))),"",RANK(AB96,$AB$3:$AB$164,1)+COUNTIFS($AB$3:AB96,AB96)-1)</f>
        <v/>
      </c>
      <c r="AE96" s="4"/>
    </row>
    <row r="97" spans="1:31" ht="21.95" customHeight="1" x14ac:dyDescent="0.25">
      <c r="A97" s="81" t="s">
        <v>231</v>
      </c>
      <c r="B97" s="80" t="s">
        <v>211</v>
      </c>
      <c r="C97" s="80" t="s">
        <v>69</v>
      </c>
      <c r="D97" s="80" t="s">
        <v>232</v>
      </c>
      <c r="E97" s="80"/>
      <c r="F97" s="80"/>
      <c r="G97" s="80" t="s">
        <v>4</v>
      </c>
      <c r="H97" s="80" t="s">
        <v>49</v>
      </c>
      <c r="I97" s="80"/>
      <c r="J97" s="80"/>
      <c r="K97" s="80"/>
      <c r="L97" s="80"/>
      <c r="M97" s="80" t="s">
        <v>375</v>
      </c>
      <c r="N97" s="80"/>
      <c r="O97" s="80" t="s">
        <v>346</v>
      </c>
      <c r="P97" s="80"/>
      <c r="Q97" s="82"/>
      <c r="R97" s="82"/>
      <c r="S97" s="82"/>
      <c r="T97" s="82"/>
      <c r="U97" s="83"/>
      <c r="V97" s="80"/>
      <c r="W97" s="80"/>
      <c r="X97" s="23" t="str">
        <f t="shared" si="12"/>
        <v>OK</v>
      </c>
      <c r="Y97" s="23" t="str">
        <f t="shared" si="13"/>
        <v>REST PENDENTE</v>
      </c>
      <c r="Z97" s="23" t="str">
        <f t="shared" si="14"/>
        <v>OK</v>
      </c>
      <c r="AA97" s="23" t="str">
        <f t="shared" si="15"/>
        <v>OK</v>
      </c>
      <c r="AB97" s="23" t="str">
        <f t="shared" ca="1" si="16"/>
        <v/>
      </c>
      <c r="AC97" s="23" t="str">
        <f t="shared" si="17"/>
        <v/>
      </c>
      <c r="AD97" s="23" t="str">
        <f ca="1">IF(OR(A97="",U97="",NOT(ISNUMBER(AB97))),"",RANK(AB97,$AB$3:$AB$164,1)+COUNTIFS($AB$3:AB97,AB97)-1)</f>
        <v/>
      </c>
      <c r="AE97" s="4"/>
    </row>
    <row r="98" spans="1:31" ht="21.95" customHeight="1" x14ac:dyDescent="0.25">
      <c r="A98" s="85" t="s">
        <v>233</v>
      </c>
      <c r="B98" s="84" t="s">
        <v>134</v>
      </c>
      <c r="C98" s="84" t="s">
        <v>116</v>
      </c>
      <c r="D98" s="84" t="s">
        <v>234</v>
      </c>
      <c r="E98" s="84"/>
      <c r="F98" s="84" t="s">
        <v>138</v>
      </c>
      <c r="G98" s="84" t="s">
        <v>13</v>
      </c>
      <c r="H98" s="84" t="s">
        <v>14</v>
      </c>
      <c r="I98" s="84"/>
      <c r="J98" s="84"/>
      <c r="K98" s="84"/>
      <c r="L98" s="84"/>
      <c r="M98" s="84" t="s">
        <v>356</v>
      </c>
      <c r="N98" s="84"/>
      <c r="O98" s="84" t="s">
        <v>355</v>
      </c>
      <c r="P98" s="84"/>
      <c r="Q98" s="86"/>
      <c r="R98" s="86"/>
      <c r="S98" s="86"/>
      <c r="T98" s="86"/>
      <c r="U98" s="87"/>
      <c r="V98" s="84"/>
      <c r="W98" s="84"/>
      <c r="X98" s="23" t="str">
        <f t="shared" si="12"/>
        <v>OK</v>
      </c>
      <c r="Y98" s="23" t="str">
        <f t="shared" si="13"/>
        <v>REST PENDENTE</v>
      </c>
      <c r="Z98" s="23" t="str">
        <f t="shared" si="14"/>
        <v>OK</v>
      </c>
      <c r="AA98" s="23" t="str">
        <f t="shared" si="15"/>
        <v>OK</v>
      </c>
      <c r="AB98" s="23" t="str">
        <f t="shared" ca="1" si="16"/>
        <v/>
      </c>
      <c r="AC98" s="23" t="str">
        <f t="shared" si="17"/>
        <v/>
      </c>
      <c r="AD98" s="23" t="str">
        <f ca="1">IF(OR(A98="",U98="",NOT(ISNUMBER(AB98))),"",RANK(AB98,$AB$3:$AB$164,1)+COUNTIFS($AB$3:AB98,AB98)-1)</f>
        <v/>
      </c>
      <c r="AE98" s="4"/>
    </row>
    <row r="99" spans="1:31" ht="21.95" customHeight="1" x14ac:dyDescent="0.25">
      <c r="A99" s="81" t="s">
        <v>235</v>
      </c>
      <c r="B99" s="80" t="s">
        <v>134</v>
      </c>
      <c r="C99" s="80" t="s">
        <v>116</v>
      </c>
      <c r="D99" s="80" t="s">
        <v>236</v>
      </c>
      <c r="E99" s="80"/>
      <c r="F99" s="80" t="s">
        <v>138</v>
      </c>
      <c r="G99" s="80" t="s">
        <v>13</v>
      </c>
      <c r="H99" s="80" t="s">
        <v>14</v>
      </c>
      <c r="I99" s="80"/>
      <c r="J99" s="80"/>
      <c r="K99" s="80"/>
      <c r="L99" s="80"/>
      <c r="M99" s="80" t="s">
        <v>356</v>
      </c>
      <c r="N99" s="80"/>
      <c r="O99" s="80" t="s">
        <v>355</v>
      </c>
      <c r="P99" s="80"/>
      <c r="Q99" s="82"/>
      <c r="R99" s="82"/>
      <c r="S99" s="82"/>
      <c r="T99" s="82"/>
      <c r="U99" s="83"/>
      <c r="V99" s="80"/>
      <c r="W99" s="80"/>
      <c r="X99" s="23" t="str">
        <f t="shared" ref="X99:X130" si="18">IF(A99="","",IF(LEN(IF(ISNUMBER(D99),TEXT(D99,"00000000000000"),SUBSTITUTE(SUBSTITUTE(SUBSTITUTE(SUBSTITUTE(SUBSTITUTE(D99,".",""),"/",""),"-","")," ",""),CHAR(160),"")))&lt;&gt;14,"CNPJ INVALIDO","OK"))</f>
        <v>OK</v>
      </c>
      <c r="Y99" s="23" t="str">
        <f t="shared" ref="Y99:Y130" si="19">IF(A99="","",IF(R99="","REST PENDENTE","REST OK"))</f>
        <v>REST PENDENTE</v>
      </c>
      <c r="Z99" s="23" t="str">
        <f t="shared" ref="Z99:Z130" si="20">IF(A99="","",IF(AND(R99&lt;&gt;"",COUNTIFS($D$3:$D$164,D99,$R$3:$R$164,"&lt;&gt;")&gt;1),"DUPLICADO","OK"))</f>
        <v>OK</v>
      </c>
      <c r="AA99" s="23" t="str">
        <f t="shared" ref="AA99:AA130" si="21">IF(A99="","",IF(OR(LEN(Q99)&gt;180,LEN(R99)&gt;180,LEN(S99)&gt;180,LEN(T99)&gt;180),"CAMINHO LONGO","OK"))</f>
        <v>OK</v>
      </c>
      <c r="AB99" s="23" t="str">
        <f t="shared" ref="AB99:AB130" ca="1" si="22">IF(A99="","",IF(U99="","",IFERROR(INT(U99-TODAY()),"")))</f>
        <v/>
      </c>
      <c r="AC99" s="23" t="str">
        <f t="shared" ref="AC99:AC130" si="23">IF(A99="","",IF(AND(T99="",U99=""),"",IF(T99="","SEM CAMINHO",IF(U99="","SEM DATA",IFERROR(IF(AB99&lt;15,"VERMELHO",IF(AB99&lt;=30,"AMARELO","VERDE")),"DATA INVALIDA")))))</f>
        <v/>
      </c>
      <c r="AD99" s="23" t="str">
        <f ca="1">IF(OR(A99="",U99="",NOT(ISNUMBER(AB99))),"",RANK(AB99,$AB$3:$AB$164,1)+COUNTIFS($AB$3:AB99,AB99)-1)</f>
        <v/>
      </c>
      <c r="AE99" s="4"/>
    </row>
    <row r="100" spans="1:31" ht="21.95" customHeight="1" x14ac:dyDescent="0.25">
      <c r="A100" s="85" t="s">
        <v>237</v>
      </c>
      <c r="B100" s="84" t="s">
        <v>134</v>
      </c>
      <c r="C100" s="84" t="s">
        <v>116</v>
      </c>
      <c r="D100" s="84" t="s">
        <v>238</v>
      </c>
      <c r="E100" s="84"/>
      <c r="F100" s="84" t="s">
        <v>138</v>
      </c>
      <c r="G100" s="84" t="s">
        <v>13</v>
      </c>
      <c r="H100" s="84" t="s">
        <v>14</v>
      </c>
      <c r="I100" s="84"/>
      <c r="J100" s="84"/>
      <c r="K100" s="84"/>
      <c r="L100" s="84"/>
      <c r="M100" s="84" t="s">
        <v>356</v>
      </c>
      <c r="N100" s="84"/>
      <c r="O100" s="84" t="s">
        <v>355</v>
      </c>
      <c r="P100" s="84"/>
      <c r="Q100" s="86"/>
      <c r="R100" s="86"/>
      <c r="S100" s="86"/>
      <c r="T100" s="86"/>
      <c r="U100" s="87"/>
      <c r="V100" s="84"/>
      <c r="W100" s="84"/>
      <c r="X100" s="23" t="str">
        <f t="shared" si="18"/>
        <v>OK</v>
      </c>
      <c r="Y100" s="23" t="str">
        <f t="shared" si="19"/>
        <v>REST PENDENTE</v>
      </c>
      <c r="Z100" s="23" t="str">
        <f t="shared" si="20"/>
        <v>OK</v>
      </c>
      <c r="AA100" s="23" t="str">
        <f t="shared" si="21"/>
        <v>OK</v>
      </c>
      <c r="AB100" s="23" t="str">
        <f t="shared" ca="1" si="22"/>
        <v/>
      </c>
      <c r="AC100" s="23" t="str">
        <f t="shared" si="23"/>
        <v/>
      </c>
      <c r="AD100" s="23" t="str">
        <f ca="1">IF(OR(A100="",U100="",NOT(ISNUMBER(AB100))),"",RANK(AB100,$AB$3:$AB$164,1)+COUNTIFS($AB$3:AB100,AB100)-1)</f>
        <v/>
      </c>
      <c r="AE100" s="4"/>
    </row>
    <row r="101" spans="1:31" ht="21.95" customHeight="1" x14ac:dyDescent="0.25">
      <c r="A101" s="81" t="s">
        <v>239</v>
      </c>
      <c r="B101" s="80" t="s">
        <v>55</v>
      </c>
      <c r="C101" s="80" t="s">
        <v>56</v>
      </c>
      <c r="D101" s="80" t="s">
        <v>240</v>
      </c>
      <c r="E101" s="80"/>
      <c r="F101" s="80" t="s">
        <v>57</v>
      </c>
      <c r="G101" s="80" t="s">
        <v>13</v>
      </c>
      <c r="H101" s="80" t="s">
        <v>5</v>
      </c>
      <c r="I101" s="80"/>
      <c r="J101" s="80"/>
      <c r="K101" s="80"/>
      <c r="L101" s="80"/>
      <c r="M101" s="80" t="s">
        <v>372</v>
      </c>
      <c r="N101" s="80" t="s">
        <v>357</v>
      </c>
      <c r="O101" s="80" t="s">
        <v>346</v>
      </c>
      <c r="P101" s="80"/>
      <c r="Q101" s="82"/>
      <c r="R101" s="82"/>
      <c r="S101" s="82"/>
      <c r="T101" s="82"/>
      <c r="U101" s="83"/>
      <c r="V101" s="80"/>
      <c r="W101" s="80"/>
      <c r="X101" s="23" t="str">
        <f t="shared" si="18"/>
        <v>OK</v>
      </c>
      <c r="Y101" s="23" t="str">
        <f t="shared" si="19"/>
        <v>REST PENDENTE</v>
      </c>
      <c r="Z101" s="23" t="str">
        <f t="shared" si="20"/>
        <v>OK</v>
      </c>
      <c r="AA101" s="23" t="str">
        <f t="shared" si="21"/>
        <v>OK</v>
      </c>
      <c r="AB101" s="23" t="str">
        <f t="shared" ca="1" si="22"/>
        <v/>
      </c>
      <c r="AC101" s="23" t="str">
        <f t="shared" si="23"/>
        <v/>
      </c>
      <c r="AD101" s="23" t="str">
        <f ca="1">IF(OR(A101="",U101="",NOT(ISNUMBER(AB101))),"",RANK(AB101,$AB$3:$AB$164,1)+COUNTIFS($AB$3:AB101,AB101)-1)</f>
        <v/>
      </c>
      <c r="AE101" s="4"/>
    </row>
    <row r="102" spans="1:31" ht="21.95" customHeight="1" x14ac:dyDescent="0.25">
      <c r="A102" s="85" t="s">
        <v>241</v>
      </c>
      <c r="B102" s="84" t="s">
        <v>55</v>
      </c>
      <c r="C102" s="84" t="s">
        <v>242</v>
      </c>
      <c r="D102" s="84" t="s">
        <v>243</v>
      </c>
      <c r="E102" s="84"/>
      <c r="F102" s="84" t="s">
        <v>57</v>
      </c>
      <c r="G102" s="84" t="s">
        <v>13</v>
      </c>
      <c r="H102" s="84" t="s">
        <v>5</v>
      </c>
      <c r="I102" s="84"/>
      <c r="J102" s="84"/>
      <c r="K102" s="84"/>
      <c r="L102" s="84"/>
      <c r="M102" s="84" t="s">
        <v>372</v>
      </c>
      <c r="N102" s="84" t="s">
        <v>368</v>
      </c>
      <c r="O102" s="84" t="s">
        <v>346</v>
      </c>
      <c r="P102" s="84"/>
      <c r="Q102" s="86"/>
      <c r="R102" s="86"/>
      <c r="S102" s="86"/>
      <c r="T102" s="86"/>
      <c r="U102" s="87"/>
      <c r="V102" s="84"/>
      <c r="W102" s="84"/>
      <c r="X102" s="23" t="str">
        <f t="shared" si="18"/>
        <v>OK</v>
      </c>
      <c r="Y102" s="23" t="str">
        <f t="shared" si="19"/>
        <v>REST PENDENTE</v>
      </c>
      <c r="Z102" s="23" t="str">
        <f t="shared" si="20"/>
        <v>OK</v>
      </c>
      <c r="AA102" s="23" t="str">
        <f t="shared" si="21"/>
        <v>OK</v>
      </c>
      <c r="AB102" s="23" t="str">
        <f t="shared" ca="1" si="22"/>
        <v/>
      </c>
      <c r="AC102" s="23" t="str">
        <f t="shared" si="23"/>
        <v/>
      </c>
      <c r="AD102" s="23" t="str">
        <f ca="1">IF(OR(A102="",U102="",NOT(ISNUMBER(AB102))),"",RANK(AB102,$AB$3:$AB$164,1)+COUNTIFS($AB$3:AB102,AB102)-1)</f>
        <v/>
      </c>
      <c r="AE102" s="4"/>
    </row>
    <row r="103" spans="1:31" ht="21.95" customHeight="1" x14ac:dyDescent="0.25">
      <c r="A103" s="81" t="s">
        <v>244</v>
      </c>
      <c r="B103" s="80" t="s">
        <v>55</v>
      </c>
      <c r="C103" s="80" t="s">
        <v>245</v>
      </c>
      <c r="D103" s="80" t="s">
        <v>246</v>
      </c>
      <c r="E103" s="80"/>
      <c r="F103" s="80" t="s">
        <v>57</v>
      </c>
      <c r="G103" s="80" t="s">
        <v>13</v>
      </c>
      <c r="H103" s="80" t="s">
        <v>5</v>
      </c>
      <c r="I103" s="80"/>
      <c r="J103" s="80"/>
      <c r="K103" s="80"/>
      <c r="L103" s="80"/>
      <c r="M103" s="80" t="s">
        <v>372</v>
      </c>
      <c r="N103" s="80" t="s">
        <v>357</v>
      </c>
      <c r="O103" s="80" t="s">
        <v>346</v>
      </c>
      <c r="P103" s="80"/>
      <c r="Q103" s="82"/>
      <c r="R103" s="82"/>
      <c r="S103" s="82"/>
      <c r="T103" s="82"/>
      <c r="U103" s="83"/>
      <c r="V103" s="80"/>
      <c r="W103" s="80"/>
      <c r="X103" s="23" t="str">
        <f t="shared" si="18"/>
        <v>OK</v>
      </c>
      <c r="Y103" s="23" t="str">
        <f t="shared" si="19"/>
        <v>REST PENDENTE</v>
      </c>
      <c r="Z103" s="23" t="str">
        <f t="shared" si="20"/>
        <v>OK</v>
      </c>
      <c r="AA103" s="23" t="str">
        <f t="shared" si="21"/>
        <v>OK</v>
      </c>
      <c r="AB103" s="23" t="str">
        <f t="shared" ca="1" si="22"/>
        <v/>
      </c>
      <c r="AC103" s="23" t="str">
        <f t="shared" si="23"/>
        <v/>
      </c>
      <c r="AD103" s="23" t="str">
        <f ca="1">IF(OR(A103="",U103="",NOT(ISNUMBER(AB103))),"",RANK(AB103,$AB$3:$AB$164,1)+COUNTIFS($AB$3:AB103,AB103)-1)</f>
        <v/>
      </c>
      <c r="AE103" s="4"/>
    </row>
    <row r="104" spans="1:31" ht="21.95" customHeight="1" x14ac:dyDescent="0.25">
      <c r="A104" s="85" t="s">
        <v>247</v>
      </c>
      <c r="B104" s="84" t="s">
        <v>55</v>
      </c>
      <c r="C104" s="84" t="s">
        <v>248</v>
      </c>
      <c r="D104" s="84" t="s">
        <v>249</v>
      </c>
      <c r="E104" s="84"/>
      <c r="F104" s="84" t="s">
        <v>57</v>
      </c>
      <c r="G104" s="84" t="s">
        <v>13</v>
      </c>
      <c r="H104" s="84" t="s">
        <v>49</v>
      </c>
      <c r="I104" s="84"/>
      <c r="J104" s="84"/>
      <c r="K104" s="84"/>
      <c r="L104" s="84"/>
      <c r="M104" s="84" t="s">
        <v>372</v>
      </c>
      <c r="N104" s="84" t="s">
        <v>369</v>
      </c>
      <c r="O104" s="84" t="s">
        <v>346</v>
      </c>
      <c r="P104" s="84"/>
      <c r="Q104" s="86"/>
      <c r="R104" s="86"/>
      <c r="S104" s="86"/>
      <c r="T104" s="86"/>
      <c r="U104" s="87"/>
      <c r="V104" s="84"/>
      <c r="W104" s="84"/>
      <c r="X104" s="23" t="str">
        <f t="shared" si="18"/>
        <v>OK</v>
      </c>
      <c r="Y104" s="23" t="str">
        <f t="shared" si="19"/>
        <v>REST PENDENTE</v>
      </c>
      <c r="Z104" s="23" t="str">
        <f t="shared" si="20"/>
        <v>OK</v>
      </c>
      <c r="AA104" s="23" t="str">
        <f t="shared" si="21"/>
        <v>OK</v>
      </c>
      <c r="AB104" s="23" t="str">
        <f t="shared" ca="1" si="22"/>
        <v/>
      </c>
      <c r="AC104" s="23" t="str">
        <f t="shared" si="23"/>
        <v/>
      </c>
      <c r="AD104" s="23" t="str">
        <f ca="1">IF(OR(A104="",U104="",NOT(ISNUMBER(AB104))),"",RANK(AB104,$AB$3:$AB$164,1)+COUNTIFS($AB$3:AB104,AB104)-1)</f>
        <v/>
      </c>
      <c r="AE104" s="4"/>
    </row>
    <row r="105" spans="1:31" ht="21.95" customHeight="1" x14ac:dyDescent="0.25">
      <c r="A105" s="81" t="s">
        <v>250</v>
      </c>
      <c r="B105" s="80" t="s">
        <v>1</v>
      </c>
      <c r="C105" s="80" t="s">
        <v>2</v>
      </c>
      <c r="D105" s="80" t="s">
        <v>251</v>
      </c>
      <c r="E105" s="80"/>
      <c r="F105" s="80" t="s">
        <v>252</v>
      </c>
      <c r="G105" s="80" t="s">
        <v>4</v>
      </c>
      <c r="H105" s="80" t="s">
        <v>49</v>
      </c>
      <c r="I105" s="80"/>
      <c r="J105" s="80"/>
      <c r="K105" s="80"/>
      <c r="L105" s="80"/>
      <c r="M105" s="80" t="s">
        <v>367</v>
      </c>
      <c r="N105" s="80" t="s">
        <v>357</v>
      </c>
      <c r="O105" s="80" t="s">
        <v>346</v>
      </c>
      <c r="P105" s="80"/>
      <c r="Q105" s="82"/>
      <c r="R105" s="82"/>
      <c r="S105" s="82"/>
      <c r="T105" s="82"/>
      <c r="U105" s="83"/>
      <c r="V105" s="80"/>
      <c r="W105" s="80"/>
      <c r="X105" s="23" t="str">
        <f t="shared" si="18"/>
        <v>OK</v>
      </c>
      <c r="Y105" s="23" t="str">
        <f t="shared" si="19"/>
        <v>REST PENDENTE</v>
      </c>
      <c r="Z105" s="23" t="str">
        <f t="shared" si="20"/>
        <v>OK</v>
      </c>
      <c r="AA105" s="23" t="str">
        <f t="shared" si="21"/>
        <v>OK</v>
      </c>
      <c r="AB105" s="23" t="str">
        <f t="shared" ca="1" si="22"/>
        <v/>
      </c>
      <c r="AC105" s="23" t="str">
        <f t="shared" si="23"/>
        <v/>
      </c>
      <c r="AD105" s="23" t="str">
        <f ca="1">IF(OR(A105="",U105="",NOT(ISNUMBER(AB105))),"",RANK(AB105,$AB$3:$AB$164,1)+COUNTIFS($AB$3:AB105,AB105)-1)</f>
        <v/>
      </c>
      <c r="AE105" s="4"/>
    </row>
    <row r="106" spans="1:31" ht="21.95" customHeight="1" x14ac:dyDescent="0.25">
      <c r="A106" s="85" t="s">
        <v>253</v>
      </c>
      <c r="B106" s="84" t="s">
        <v>214</v>
      </c>
      <c r="C106" s="84" t="s">
        <v>62</v>
      </c>
      <c r="D106" s="84" t="s">
        <v>388</v>
      </c>
      <c r="E106" s="84"/>
      <c r="F106" s="84" t="s">
        <v>254</v>
      </c>
      <c r="G106" s="84" t="s">
        <v>13</v>
      </c>
      <c r="H106" s="84" t="s">
        <v>5</v>
      </c>
      <c r="I106" s="84"/>
      <c r="J106" s="84"/>
      <c r="K106" s="84"/>
      <c r="L106" s="84"/>
      <c r="M106" s="84" t="s">
        <v>372</v>
      </c>
      <c r="N106" s="84"/>
      <c r="O106" s="84" t="s">
        <v>346</v>
      </c>
      <c r="P106" s="84"/>
      <c r="Q106" s="86"/>
      <c r="R106" s="86"/>
      <c r="S106" s="86"/>
      <c r="T106" s="86"/>
      <c r="U106" s="87"/>
      <c r="V106" s="84"/>
      <c r="W106" s="84"/>
      <c r="X106" s="23" t="str">
        <f t="shared" si="18"/>
        <v>CNPJ INVALIDO</v>
      </c>
      <c r="Y106" s="23" t="str">
        <f t="shared" si="19"/>
        <v>REST PENDENTE</v>
      </c>
      <c r="Z106" s="23" t="str">
        <f t="shared" si="20"/>
        <v>OK</v>
      </c>
      <c r="AA106" s="23" t="str">
        <f t="shared" si="21"/>
        <v>OK</v>
      </c>
      <c r="AB106" s="23" t="str">
        <f t="shared" ca="1" si="22"/>
        <v/>
      </c>
      <c r="AC106" s="23" t="str">
        <f t="shared" si="23"/>
        <v/>
      </c>
      <c r="AD106" s="23" t="str">
        <f ca="1">IF(OR(A106="",U106="",NOT(ISNUMBER(AB106))),"",RANK(AB106,$AB$3:$AB$164,1)+COUNTIFS($AB$3:AB106,AB106)-1)</f>
        <v/>
      </c>
      <c r="AE106" s="4"/>
    </row>
    <row r="107" spans="1:31" ht="21.95" customHeight="1" x14ac:dyDescent="0.25">
      <c r="A107" s="81" t="s">
        <v>255</v>
      </c>
      <c r="B107" s="80" t="s">
        <v>214</v>
      </c>
      <c r="C107" s="80" t="s">
        <v>62</v>
      </c>
      <c r="D107" s="80" t="s">
        <v>389</v>
      </c>
      <c r="E107" s="80"/>
      <c r="F107" s="80" t="s">
        <v>254</v>
      </c>
      <c r="G107" s="80" t="s">
        <v>13</v>
      </c>
      <c r="H107" s="80" t="s">
        <v>49</v>
      </c>
      <c r="I107" s="80"/>
      <c r="J107" s="80"/>
      <c r="K107" s="80"/>
      <c r="L107" s="80"/>
      <c r="M107" s="80" t="s">
        <v>385</v>
      </c>
      <c r="N107" s="80"/>
      <c r="O107" s="80" t="s">
        <v>346</v>
      </c>
      <c r="P107" s="80"/>
      <c r="Q107" s="82"/>
      <c r="R107" s="82"/>
      <c r="S107" s="82"/>
      <c r="T107" s="82"/>
      <c r="U107" s="83"/>
      <c r="V107" s="80"/>
      <c r="W107" s="80"/>
      <c r="X107" s="23" t="str">
        <f t="shared" si="18"/>
        <v>OK</v>
      </c>
      <c r="Y107" s="23" t="str">
        <f t="shared" si="19"/>
        <v>REST PENDENTE</v>
      </c>
      <c r="Z107" s="23" t="str">
        <f t="shared" si="20"/>
        <v>OK</v>
      </c>
      <c r="AA107" s="23" t="str">
        <f t="shared" si="21"/>
        <v>OK</v>
      </c>
      <c r="AB107" s="23" t="str">
        <f t="shared" ca="1" si="22"/>
        <v/>
      </c>
      <c r="AC107" s="23" t="str">
        <f t="shared" si="23"/>
        <v/>
      </c>
      <c r="AD107" s="23" t="str">
        <f ca="1">IF(OR(A107="",U107="",NOT(ISNUMBER(AB107))),"",RANK(AB107,$AB$3:$AB$164,1)+COUNTIFS($AB$3:AB107,AB107)-1)</f>
        <v/>
      </c>
      <c r="AE107" s="4"/>
    </row>
    <row r="108" spans="1:31" ht="21.95" customHeight="1" x14ac:dyDescent="0.25">
      <c r="A108" s="85" t="s">
        <v>256</v>
      </c>
      <c r="B108" s="84" t="s">
        <v>214</v>
      </c>
      <c r="C108" s="84" t="s">
        <v>62</v>
      </c>
      <c r="D108" s="84" t="s">
        <v>390</v>
      </c>
      <c r="E108" s="84"/>
      <c r="F108" s="84" t="s">
        <v>257</v>
      </c>
      <c r="G108" s="84" t="s">
        <v>4</v>
      </c>
      <c r="H108" s="84" t="s">
        <v>5</v>
      </c>
      <c r="I108" s="84"/>
      <c r="J108" s="84"/>
      <c r="K108" s="84"/>
      <c r="L108" s="84"/>
      <c r="M108" s="84" t="s">
        <v>375</v>
      </c>
      <c r="N108" s="84"/>
      <c r="O108" s="84" t="s">
        <v>346</v>
      </c>
      <c r="P108" s="84"/>
      <c r="Q108" s="86"/>
      <c r="R108" s="86"/>
      <c r="S108" s="86"/>
      <c r="T108" s="86"/>
      <c r="U108" s="87"/>
      <c r="V108" s="84"/>
      <c r="W108" s="84"/>
      <c r="X108" s="23" t="str">
        <f t="shared" si="18"/>
        <v>OK</v>
      </c>
      <c r="Y108" s="23" t="str">
        <f t="shared" si="19"/>
        <v>REST PENDENTE</v>
      </c>
      <c r="Z108" s="23" t="str">
        <f t="shared" si="20"/>
        <v>OK</v>
      </c>
      <c r="AA108" s="23" t="str">
        <f t="shared" si="21"/>
        <v>OK</v>
      </c>
      <c r="AB108" s="23" t="str">
        <f t="shared" ca="1" si="22"/>
        <v/>
      </c>
      <c r="AC108" s="23" t="str">
        <f t="shared" si="23"/>
        <v/>
      </c>
      <c r="AD108" s="23" t="str">
        <f ca="1">IF(OR(A108="",U108="",NOT(ISNUMBER(AB108))),"",RANK(AB108,$AB$3:$AB$164,1)+COUNTIFS($AB$3:AB108,AB108)-1)</f>
        <v/>
      </c>
      <c r="AE108" s="4"/>
    </row>
    <row r="109" spans="1:31" ht="21.95" customHeight="1" x14ac:dyDescent="0.25">
      <c r="A109" s="81" t="s">
        <v>258</v>
      </c>
      <c r="B109" s="80" t="s">
        <v>259</v>
      </c>
      <c r="C109" s="80" t="s">
        <v>69</v>
      </c>
      <c r="D109" s="80" t="s">
        <v>260</v>
      </c>
      <c r="E109" s="80"/>
      <c r="F109" s="80" t="s">
        <v>261</v>
      </c>
      <c r="G109" s="80" t="s">
        <v>4</v>
      </c>
      <c r="H109" s="80" t="s">
        <v>5</v>
      </c>
      <c r="I109" s="80"/>
      <c r="J109" s="80"/>
      <c r="K109" s="80"/>
      <c r="L109" s="80"/>
      <c r="M109" s="80" t="s">
        <v>367</v>
      </c>
      <c r="N109" s="80"/>
      <c r="O109" s="80"/>
      <c r="P109" s="80"/>
      <c r="Q109" s="82"/>
      <c r="R109" s="82"/>
      <c r="S109" s="82"/>
      <c r="T109" s="82"/>
      <c r="U109" s="83"/>
      <c r="V109" s="80"/>
      <c r="W109" s="80"/>
      <c r="X109" s="23" t="str">
        <f t="shared" si="18"/>
        <v>OK</v>
      </c>
      <c r="Y109" s="23" t="str">
        <f t="shared" si="19"/>
        <v>REST PENDENTE</v>
      </c>
      <c r="Z109" s="23" t="str">
        <f t="shared" si="20"/>
        <v>OK</v>
      </c>
      <c r="AA109" s="23" t="str">
        <f t="shared" si="21"/>
        <v>OK</v>
      </c>
      <c r="AB109" s="23" t="str">
        <f t="shared" ca="1" si="22"/>
        <v/>
      </c>
      <c r="AC109" s="23" t="str">
        <f t="shared" si="23"/>
        <v/>
      </c>
      <c r="AD109" s="23" t="str">
        <f ca="1">IF(OR(A109="",U109="",NOT(ISNUMBER(AB109))),"",RANK(AB109,$AB$3:$AB$164,1)+COUNTIFS($AB$3:AB109,AB109)-1)</f>
        <v/>
      </c>
      <c r="AE109" s="4"/>
    </row>
    <row r="110" spans="1:31" ht="21.95" customHeight="1" x14ac:dyDescent="0.25">
      <c r="A110" s="85" t="s">
        <v>262</v>
      </c>
      <c r="B110" s="84" t="s">
        <v>259</v>
      </c>
      <c r="C110" s="84" t="s">
        <v>69</v>
      </c>
      <c r="D110" s="84" t="s">
        <v>263</v>
      </c>
      <c r="E110" s="84"/>
      <c r="F110" s="84" t="s">
        <v>261</v>
      </c>
      <c r="G110" s="84" t="s">
        <v>13</v>
      </c>
      <c r="H110" s="84" t="s">
        <v>5</v>
      </c>
      <c r="I110" s="84"/>
      <c r="J110" s="84"/>
      <c r="K110" s="84"/>
      <c r="L110" s="84"/>
      <c r="M110" s="84" t="s">
        <v>367</v>
      </c>
      <c r="N110" s="84"/>
      <c r="O110" s="84"/>
      <c r="P110" s="84"/>
      <c r="Q110" s="86"/>
      <c r="R110" s="86"/>
      <c r="S110" s="86"/>
      <c r="T110" s="86"/>
      <c r="U110" s="87"/>
      <c r="V110" s="84"/>
      <c r="W110" s="84"/>
      <c r="X110" s="23" t="str">
        <f t="shared" si="18"/>
        <v>OK</v>
      </c>
      <c r="Y110" s="23" t="str">
        <f t="shared" si="19"/>
        <v>REST PENDENTE</v>
      </c>
      <c r="Z110" s="23" t="str">
        <f t="shared" si="20"/>
        <v>OK</v>
      </c>
      <c r="AA110" s="23" t="str">
        <f t="shared" si="21"/>
        <v>OK</v>
      </c>
      <c r="AB110" s="23" t="str">
        <f t="shared" ca="1" si="22"/>
        <v/>
      </c>
      <c r="AC110" s="23" t="str">
        <f t="shared" si="23"/>
        <v/>
      </c>
      <c r="AD110" s="23" t="str">
        <f ca="1">IF(OR(A110="",U110="",NOT(ISNUMBER(AB110))),"",RANK(AB110,$AB$3:$AB$164,1)+COUNTIFS($AB$3:AB110,AB110)-1)</f>
        <v/>
      </c>
      <c r="AE110" s="4"/>
    </row>
    <row r="111" spans="1:31" ht="21.95" customHeight="1" x14ac:dyDescent="0.25">
      <c r="A111" s="81" t="s">
        <v>264</v>
      </c>
      <c r="B111" s="80" t="s">
        <v>159</v>
      </c>
      <c r="C111" s="80" t="s">
        <v>69</v>
      </c>
      <c r="D111" s="80" t="s">
        <v>265</v>
      </c>
      <c r="E111" s="80"/>
      <c r="F111" s="80" t="s">
        <v>266</v>
      </c>
      <c r="G111" s="80" t="s">
        <v>13</v>
      </c>
      <c r="H111" s="80" t="s">
        <v>5</v>
      </c>
      <c r="I111" s="80"/>
      <c r="J111" s="80"/>
      <c r="K111" s="80"/>
      <c r="L111" s="80"/>
      <c r="M111" s="80" t="s">
        <v>385</v>
      </c>
      <c r="N111" s="80"/>
      <c r="O111" s="80" t="s">
        <v>359</v>
      </c>
      <c r="P111" s="80"/>
      <c r="Q111" s="82"/>
      <c r="R111" s="82"/>
      <c r="S111" s="82"/>
      <c r="T111" s="82"/>
      <c r="U111" s="83"/>
      <c r="V111" s="80"/>
      <c r="W111" s="80"/>
      <c r="X111" s="23" t="str">
        <f t="shared" si="18"/>
        <v>OK</v>
      </c>
      <c r="Y111" s="23" t="str">
        <f t="shared" si="19"/>
        <v>REST PENDENTE</v>
      </c>
      <c r="Z111" s="23" t="str">
        <f t="shared" si="20"/>
        <v>OK</v>
      </c>
      <c r="AA111" s="23" t="str">
        <f t="shared" si="21"/>
        <v>OK</v>
      </c>
      <c r="AB111" s="23" t="str">
        <f t="shared" ca="1" si="22"/>
        <v/>
      </c>
      <c r="AC111" s="23" t="str">
        <f t="shared" si="23"/>
        <v/>
      </c>
      <c r="AD111" s="23" t="str">
        <f ca="1">IF(OR(A111="",U111="",NOT(ISNUMBER(AB111))),"",RANK(AB111,$AB$3:$AB$164,1)+COUNTIFS($AB$3:AB111,AB111)-1)</f>
        <v/>
      </c>
      <c r="AE111" s="4"/>
    </row>
    <row r="112" spans="1:31" ht="21.95" customHeight="1" x14ac:dyDescent="0.25">
      <c r="A112" s="85" t="s">
        <v>267</v>
      </c>
      <c r="B112" s="84" t="s">
        <v>159</v>
      </c>
      <c r="C112" s="84" t="s">
        <v>268</v>
      </c>
      <c r="D112" s="84" t="s">
        <v>269</v>
      </c>
      <c r="E112" s="84"/>
      <c r="F112" s="84" t="s">
        <v>266</v>
      </c>
      <c r="G112" s="84" t="s">
        <v>13</v>
      </c>
      <c r="H112" s="84" t="s">
        <v>14</v>
      </c>
      <c r="I112" s="84"/>
      <c r="J112" s="84"/>
      <c r="K112" s="84"/>
      <c r="L112" s="84"/>
      <c r="M112" s="84" t="s">
        <v>372</v>
      </c>
      <c r="N112" s="84"/>
      <c r="O112" s="84" t="s">
        <v>346</v>
      </c>
      <c r="P112" s="84"/>
      <c r="Q112" s="86"/>
      <c r="R112" s="86"/>
      <c r="S112" s="86"/>
      <c r="T112" s="86"/>
      <c r="U112" s="87"/>
      <c r="V112" s="84"/>
      <c r="W112" s="84"/>
      <c r="X112" s="23" t="str">
        <f t="shared" si="18"/>
        <v>OK</v>
      </c>
      <c r="Y112" s="23" t="str">
        <f t="shared" si="19"/>
        <v>REST PENDENTE</v>
      </c>
      <c r="Z112" s="23" t="str">
        <f t="shared" si="20"/>
        <v>OK</v>
      </c>
      <c r="AA112" s="23" t="str">
        <f t="shared" si="21"/>
        <v>OK</v>
      </c>
      <c r="AB112" s="23" t="str">
        <f t="shared" ca="1" si="22"/>
        <v/>
      </c>
      <c r="AC112" s="23" t="str">
        <f t="shared" si="23"/>
        <v/>
      </c>
      <c r="AD112" s="23" t="str">
        <f ca="1">IF(OR(A112="",U112="",NOT(ISNUMBER(AB112))),"",RANK(AB112,$AB$3:$AB$164,1)+COUNTIFS($AB$3:AB112,AB112)-1)</f>
        <v/>
      </c>
      <c r="AE112" s="4"/>
    </row>
    <row r="113" spans="1:31" ht="21.95" customHeight="1" x14ac:dyDescent="0.25">
      <c r="A113" s="81" t="s">
        <v>270</v>
      </c>
      <c r="B113" s="80" t="s">
        <v>271</v>
      </c>
      <c r="C113" s="80"/>
      <c r="D113" s="80" t="s">
        <v>272</v>
      </c>
      <c r="E113" s="80"/>
      <c r="F113" s="80" t="s">
        <v>273</v>
      </c>
      <c r="G113" s="80" t="s">
        <v>41</v>
      </c>
      <c r="H113" s="80" t="s">
        <v>49</v>
      </c>
      <c r="I113" s="80"/>
      <c r="J113" s="80"/>
      <c r="K113" s="80"/>
      <c r="L113" s="80"/>
      <c r="M113" s="80" t="s">
        <v>375</v>
      </c>
      <c r="N113" s="80"/>
      <c r="O113" s="80" t="s">
        <v>360</v>
      </c>
      <c r="P113" s="80"/>
      <c r="Q113" s="82"/>
      <c r="R113" s="82"/>
      <c r="S113" s="82"/>
      <c r="T113" s="82"/>
      <c r="U113" s="83"/>
      <c r="V113" s="80"/>
      <c r="W113" s="80"/>
      <c r="X113" s="23" t="str">
        <f t="shared" si="18"/>
        <v>OK</v>
      </c>
      <c r="Y113" s="23" t="str">
        <f t="shared" si="19"/>
        <v>REST PENDENTE</v>
      </c>
      <c r="Z113" s="23" t="str">
        <f t="shared" si="20"/>
        <v>OK</v>
      </c>
      <c r="AA113" s="23" t="str">
        <f t="shared" si="21"/>
        <v>OK</v>
      </c>
      <c r="AB113" s="23" t="str">
        <f t="shared" ca="1" si="22"/>
        <v/>
      </c>
      <c r="AC113" s="23" t="str">
        <f t="shared" si="23"/>
        <v/>
      </c>
      <c r="AD113" s="23" t="str">
        <f ca="1">IF(OR(A113="",U113="",NOT(ISNUMBER(AB113))),"",RANK(AB113,$AB$3:$AB$164,1)+COUNTIFS($AB$3:AB113,AB113)-1)</f>
        <v/>
      </c>
      <c r="AE113" s="4"/>
    </row>
    <row r="114" spans="1:31" ht="21.95" customHeight="1" x14ac:dyDescent="0.25">
      <c r="A114" s="85" t="s">
        <v>274</v>
      </c>
      <c r="B114" s="84" t="s">
        <v>134</v>
      </c>
      <c r="C114" s="84" t="s">
        <v>122</v>
      </c>
      <c r="D114" s="84" t="s">
        <v>391</v>
      </c>
      <c r="E114" s="84"/>
      <c r="F114" s="84" t="s">
        <v>275</v>
      </c>
      <c r="G114" s="84" t="s">
        <v>4</v>
      </c>
      <c r="H114" s="84" t="s">
        <v>5</v>
      </c>
      <c r="I114" s="84"/>
      <c r="J114" s="84"/>
      <c r="K114" s="84"/>
      <c r="L114" s="84"/>
      <c r="M114" s="84" t="s">
        <v>375</v>
      </c>
      <c r="N114" s="84"/>
      <c r="O114" s="84" t="s">
        <v>361</v>
      </c>
      <c r="P114" s="84"/>
      <c r="Q114" s="86"/>
      <c r="R114" s="86"/>
      <c r="S114" s="86"/>
      <c r="T114" s="86"/>
      <c r="U114" s="87"/>
      <c r="V114" s="84"/>
      <c r="W114" s="84"/>
      <c r="X114" s="23" t="str">
        <f t="shared" si="18"/>
        <v>OK</v>
      </c>
      <c r="Y114" s="23" t="str">
        <f t="shared" si="19"/>
        <v>REST PENDENTE</v>
      </c>
      <c r="Z114" s="23" t="str">
        <f t="shared" si="20"/>
        <v>OK</v>
      </c>
      <c r="AA114" s="23" t="str">
        <f t="shared" si="21"/>
        <v>OK</v>
      </c>
      <c r="AB114" s="23" t="str">
        <f t="shared" ca="1" si="22"/>
        <v/>
      </c>
      <c r="AC114" s="23" t="str">
        <f t="shared" si="23"/>
        <v/>
      </c>
      <c r="AD114" s="23" t="str">
        <f ca="1">IF(OR(A114="",U114="",NOT(ISNUMBER(AB114))),"",RANK(AB114,$AB$3:$AB$164,1)+COUNTIFS($AB$3:AB114,AB114)-1)</f>
        <v/>
      </c>
      <c r="AE114" s="4"/>
    </row>
    <row r="115" spans="1:31" ht="21.95" customHeight="1" x14ac:dyDescent="0.25">
      <c r="A115" s="81" t="s">
        <v>276</v>
      </c>
      <c r="B115" s="80" t="s">
        <v>182</v>
      </c>
      <c r="C115" s="80" t="s">
        <v>83</v>
      </c>
      <c r="D115" s="80" t="s">
        <v>392</v>
      </c>
      <c r="E115" s="80"/>
      <c r="F115" s="80" t="s">
        <v>225</v>
      </c>
      <c r="G115" s="80" t="s">
        <v>4</v>
      </c>
      <c r="H115" s="80" t="s">
        <v>5</v>
      </c>
      <c r="I115" s="80"/>
      <c r="J115" s="80"/>
      <c r="K115" s="80"/>
      <c r="L115" s="80"/>
      <c r="M115" s="80" t="s">
        <v>372</v>
      </c>
      <c r="N115" s="80"/>
      <c r="O115" s="80" t="s">
        <v>361</v>
      </c>
      <c r="P115" s="80"/>
      <c r="Q115" s="82"/>
      <c r="R115" s="82"/>
      <c r="S115" s="82"/>
      <c r="T115" s="82"/>
      <c r="U115" s="83"/>
      <c r="V115" s="80"/>
      <c r="W115" s="80"/>
      <c r="X115" s="23" t="str">
        <f t="shared" si="18"/>
        <v>OK</v>
      </c>
      <c r="Y115" s="23" t="str">
        <f t="shared" si="19"/>
        <v>REST PENDENTE</v>
      </c>
      <c r="Z115" s="23" t="str">
        <f t="shared" si="20"/>
        <v>OK</v>
      </c>
      <c r="AA115" s="23" t="str">
        <f t="shared" si="21"/>
        <v>OK</v>
      </c>
      <c r="AB115" s="23" t="str">
        <f t="shared" ca="1" si="22"/>
        <v/>
      </c>
      <c r="AC115" s="23" t="str">
        <f t="shared" si="23"/>
        <v/>
      </c>
      <c r="AD115" s="23" t="str">
        <f ca="1">IF(OR(A115="",U115="",NOT(ISNUMBER(AB115))),"",RANK(AB115,$AB$3:$AB$164,1)+COUNTIFS($AB$3:AB115,AB115)-1)</f>
        <v/>
      </c>
      <c r="AE115" s="4"/>
    </row>
    <row r="116" spans="1:31" ht="21.95" customHeight="1" x14ac:dyDescent="0.25">
      <c r="A116" s="85" t="s">
        <v>277</v>
      </c>
      <c r="B116" s="84" t="s">
        <v>211</v>
      </c>
      <c r="C116" s="84" t="s">
        <v>69</v>
      </c>
      <c r="D116" s="84" t="s">
        <v>278</v>
      </c>
      <c r="E116" s="84"/>
      <c r="F116" s="84" t="s">
        <v>279</v>
      </c>
      <c r="G116" s="84" t="s">
        <v>13</v>
      </c>
      <c r="H116" s="84" t="s">
        <v>49</v>
      </c>
      <c r="I116" s="84">
        <v>46147</v>
      </c>
      <c r="J116" s="84"/>
      <c r="K116" s="84"/>
      <c r="L116" s="84"/>
      <c r="M116" s="84" t="s">
        <v>362</v>
      </c>
      <c r="N116" s="84"/>
      <c r="O116" s="84" t="s">
        <v>359</v>
      </c>
      <c r="P116" s="84"/>
      <c r="Q116" s="86"/>
      <c r="R116" s="86"/>
      <c r="S116" s="86"/>
      <c r="T116" s="86"/>
      <c r="U116" s="87"/>
      <c r="V116" s="84"/>
      <c r="W116" s="84"/>
      <c r="X116" s="23" t="str">
        <f t="shared" si="18"/>
        <v>OK</v>
      </c>
      <c r="Y116" s="23" t="str">
        <f t="shared" si="19"/>
        <v>REST PENDENTE</v>
      </c>
      <c r="Z116" s="23" t="str">
        <f t="shared" si="20"/>
        <v>OK</v>
      </c>
      <c r="AA116" s="23" t="str">
        <f t="shared" si="21"/>
        <v>OK</v>
      </c>
      <c r="AB116" s="23" t="str">
        <f t="shared" ca="1" si="22"/>
        <v/>
      </c>
      <c r="AC116" s="23" t="str">
        <f t="shared" si="23"/>
        <v/>
      </c>
      <c r="AD116" s="23" t="str">
        <f ca="1">IF(OR(A116="",U116="",NOT(ISNUMBER(AB116))),"",RANK(AB116,$AB$3:$AB$164,1)+COUNTIFS($AB$3:AB116,AB116)-1)</f>
        <v/>
      </c>
      <c r="AE116" s="4"/>
    </row>
    <row r="117" spans="1:31" ht="21.95" customHeight="1" x14ac:dyDescent="0.25">
      <c r="A117" s="81" t="s">
        <v>280</v>
      </c>
      <c r="B117" s="80" t="s">
        <v>162</v>
      </c>
      <c r="C117" s="80" t="s">
        <v>281</v>
      </c>
      <c r="D117" s="80" t="s">
        <v>282</v>
      </c>
      <c r="E117" s="80"/>
      <c r="F117" s="80"/>
      <c r="G117" s="80" t="s">
        <v>4</v>
      </c>
      <c r="H117" s="80" t="s">
        <v>49</v>
      </c>
      <c r="I117" s="80"/>
      <c r="J117" s="80"/>
      <c r="K117" s="80"/>
      <c r="L117" s="80"/>
      <c r="M117" s="80" t="s">
        <v>372</v>
      </c>
      <c r="N117" s="80" t="s">
        <v>358</v>
      </c>
      <c r="O117" s="80" t="s">
        <v>361</v>
      </c>
      <c r="P117" s="80"/>
      <c r="Q117" s="82"/>
      <c r="R117" s="82"/>
      <c r="S117" s="82"/>
      <c r="T117" s="82"/>
      <c r="U117" s="83"/>
      <c r="V117" s="80"/>
      <c r="W117" s="80"/>
      <c r="X117" s="23" t="str">
        <f t="shared" si="18"/>
        <v>OK</v>
      </c>
      <c r="Y117" s="23" t="str">
        <f t="shared" si="19"/>
        <v>REST PENDENTE</v>
      </c>
      <c r="Z117" s="23" t="str">
        <f t="shared" si="20"/>
        <v>OK</v>
      </c>
      <c r="AA117" s="23" t="str">
        <f t="shared" si="21"/>
        <v>OK</v>
      </c>
      <c r="AB117" s="23" t="str">
        <f t="shared" ca="1" si="22"/>
        <v/>
      </c>
      <c r="AC117" s="23" t="str">
        <f t="shared" si="23"/>
        <v/>
      </c>
      <c r="AD117" s="23" t="str">
        <f ca="1">IF(OR(A117="",U117="",NOT(ISNUMBER(AB117))),"",RANK(AB117,$AB$3:$AB$164,1)+COUNTIFS($AB$3:AB117,AB117)-1)</f>
        <v/>
      </c>
      <c r="AE117" s="4"/>
    </row>
    <row r="118" spans="1:31" ht="21.95" customHeight="1" x14ac:dyDescent="0.25">
      <c r="A118" s="85" t="s">
        <v>283</v>
      </c>
      <c r="B118" s="84" t="s">
        <v>75</v>
      </c>
      <c r="C118" s="84" t="s">
        <v>62</v>
      </c>
      <c r="D118" s="84" t="s">
        <v>393</v>
      </c>
      <c r="E118" s="84"/>
      <c r="F118" s="84" t="s">
        <v>284</v>
      </c>
      <c r="G118" s="84" t="s">
        <v>4</v>
      </c>
      <c r="H118" s="84" t="s">
        <v>14</v>
      </c>
      <c r="I118" s="84"/>
      <c r="J118" s="84"/>
      <c r="K118" s="84"/>
      <c r="L118" s="84"/>
      <c r="M118" s="84" t="s">
        <v>385</v>
      </c>
      <c r="N118" s="84"/>
      <c r="O118" s="84" t="s">
        <v>361</v>
      </c>
      <c r="P118" s="84"/>
      <c r="Q118" s="86"/>
      <c r="R118" s="86"/>
      <c r="S118" s="86"/>
      <c r="T118" s="86"/>
      <c r="U118" s="87"/>
      <c r="V118" s="84"/>
      <c r="W118" s="84"/>
      <c r="X118" s="23" t="str">
        <f t="shared" si="18"/>
        <v>OK</v>
      </c>
      <c r="Y118" s="23" t="str">
        <f t="shared" si="19"/>
        <v>REST PENDENTE</v>
      </c>
      <c r="Z118" s="23" t="str">
        <f t="shared" si="20"/>
        <v>OK</v>
      </c>
      <c r="AA118" s="23" t="str">
        <f t="shared" si="21"/>
        <v>OK</v>
      </c>
      <c r="AB118" s="23" t="str">
        <f t="shared" ca="1" si="22"/>
        <v/>
      </c>
      <c r="AC118" s="23" t="str">
        <f t="shared" si="23"/>
        <v/>
      </c>
      <c r="AD118" s="23" t="str">
        <f ca="1">IF(OR(A118="",U118="",NOT(ISNUMBER(AB118))),"",RANK(AB118,$AB$3:$AB$164,1)+COUNTIFS($AB$3:AB118,AB118)-1)</f>
        <v/>
      </c>
      <c r="AE118" s="4"/>
    </row>
    <row r="119" spans="1:31" ht="21.95" customHeight="1" x14ac:dyDescent="0.25">
      <c r="A119" s="81" t="s">
        <v>285</v>
      </c>
      <c r="B119" s="80" t="s">
        <v>286</v>
      </c>
      <c r="C119" s="80"/>
      <c r="D119" s="80" t="s">
        <v>394</v>
      </c>
      <c r="E119" s="80"/>
      <c r="F119" s="80" t="s">
        <v>287</v>
      </c>
      <c r="G119" s="80" t="s">
        <v>4</v>
      </c>
      <c r="H119" s="80" t="s">
        <v>49</v>
      </c>
      <c r="I119" s="80"/>
      <c r="J119" s="80"/>
      <c r="K119" s="80"/>
      <c r="L119" s="80"/>
      <c r="M119" s="80" t="s">
        <v>375</v>
      </c>
      <c r="N119" s="80"/>
      <c r="O119" s="80" t="s">
        <v>361</v>
      </c>
      <c r="P119" s="80"/>
      <c r="Q119" s="82"/>
      <c r="R119" s="82"/>
      <c r="S119" s="82"/>
      <c r="T119" s="82"/>
      <c r="U119" s="83"/>
      <c r="V119" s="80"/>
      <c r="W119" s="80"/>
      <c r="X119" s="23" t="str">
        <f t="shared" si="18"/>
        <v>OK</v>
      </c>
      <c r="Y119" s="23" t="str">
        <f t="shared" si="19"/>
        <v>REST PENDENTE</v>
      </c>
      <c r="Z119" s="23" t="str">
        <f t="shared" si="20"/>
        <v>OK</v>
      </c>
      <c r="AA119" s="23" t="str">
        <f t="shared" si="21"/>
        <v>OK</v>
      </c>
      <c r="AB119" s="23" t="str">
        <f t="shared" ca="1" si="22"/>
        <v/>
      </c>
      <c r="AC119" s="23" t="str">
        <f t="shared" si="23"/>
        <v/>
      </c>
      <c r="AD119" s="23" t="str">
        <f ca="1">IF(OR(A119="",U119="",NOT(ISNUMBER(AB119))),"",RANK(AB119,$AB$3:$AB$164,1)+COUNTIFS($AB$3:AB119,AB119)-1)</f>
        <v/>
      </c>
      <c r="AE119" s="4"/>
    </row>
    <row r="120" spans="1:31" ht="21.95" customHeight="1" x14ac:dyDescent="0.25">
      <c r="A120" s="85" t="s">
        <v>288</v>
      </c>
      <c r="B120" s="84" t="s">
        <v>286</v>
      </c>
      <c r="C120" s="84" t="s">
        <v>69</v>
      </c>
      <c r="D120" s="84" t="s">
        <v>289</v>
      </c>
      <c r="E120" s="84"/>
      <c r="F120" s="84" t="s">
        <v>290</v>
      </c>
      <c r="G120" s="84" t="s">
        <v>13</v>
      </c>
      <c r="H120" s="84" t="s">
        <v>49</v>
      </c>
      <c r="I120" s="84"/>
      <c r="J120" s="84"/>
      <c r="K120" s="84"/>
      <c r="L120" s="84"/>
      <c r="M120" s="84" t="s">
        <v>372</v>
      </c>
      <c r="N120" s="84"/>
      <c r="O120" s="84" t="s">
        <v>361</v>
      </c>
      <c r="P120" s="84"/>
      <c r="Q120" s="86"/>
      <c r="R120" s="86"/>
      <c r="S120" s="86"/>
      <c r="T120" s="86"/>
      <c r="U120" s="87"/>
      <c r="V120" s="84"/>
      <c r="W120" s="84"/>
      <c r="X120" s="23" t="str">
        <f t="shared" si="18"/>
        <v>CNPJ INVALIDO</v>
      </c>
      <c r="Y120" s="23" t="str">
        <f t="shared" si="19"/>
        <v>REST PENDENTE</v>
      </c>
      <c r="Z120" s="23" t="str">
        <f t="shared" si="20"/>
        <v>OK</v>
      </c>
      <c r="AA120" s="23" t="str">
        <f t="shared" si="21"/>
        <v>OK</v>
      </c>
      <c r="AB120" s="23" t="str">
        <f t="shared" ca="1" si="22"/>
        <v/>
      </c>
      <c r="AC120" s="23" t="str">
        <f t="shared" si="23"/>
        <v/>
      </c>
      <c r="AD120" s="23" t="str">
        <f ca="1">IF(OR(A120="",U120="",NOT(ISNUMBER(AB120))),"",RANK(AB120,$AB$3:$AB$164,1)+COUNTIFS($AB$3:AB120,AB120)-1)</f>
        <v/>
      </c>
      <c r="AE120" s="4"/>
    </row>
    <row r="121" spans="1:31" ht="21.95" customHeight="1" x14ac:dyDescent="0.25">
      <c r="A121" s="81" t="s">
        <v>291</v>
      </c>
      <c r="B121" s="80" t="s">
        <v>75</v>
      </c>
      <c r="C121" s="80" t="s">
        <v>69</v>
      </c>
      <c r="D121" s="80" t="s">
        <v>292</v>
      </c>
      <c r="E121" s="80"/>
      <c r="F121" s="80"/>
      <c r="G121" s="80"/>
      <c r="H121" s="80"/>
      <c r="I121" s="80"/>
      <c r="J121" s="80"/>
      <c r="K121" s="80"/>
      <c r="L121" s="80"/>
      <c r="M121" s="80" t="s">
        <v>367</v>
      </c>
      <c r="N121" s="80"/>
      <c r="O121" s="80"/>
      <c r="P121" s="80"/>
      <c r="Q121" s="82"/>
      <c r="R121" s="82"/>
      <c r="S121" s="82"/>
      <c r="T121" s="82"/>
      <c r="U121" s="83"/>
      <c r="V121" s="80"/>
      <c r="W121" s="80"/>
      <c r="X121" s="23" t="str">
        <f t="shared" si="18"/>
        <v>OK</v>
      </c>
      <c r="Y121" s="23" t="str">
        <f t="shared" si="19"/>
        <v>REST PENDENTE</v>
      </c>
      <c r="Z121" s="23" t="str">
        <f t="shared" si="20"/>
        <v>OK</v>
      </c>
      <c r="AA121" s="23" t="str">
        <f t="shared" si="21"/>
        <v>OK</v>
      </c>
      <c r="AB121" s="23" t="str">
        <f t="shared" ca="1" si="22"/>
        <v/>
      </c>
      <c r="AC121" s="23" t="str">
        <f t="shared" si="23"/>
        <v/>
      </c>
      <c r="AD121" s="23" t="str">
        <f ca="1">IF(OR(A121="",U121="",NOT(ISNUMBER(AB121))),"",RANK(AB121,$AB$3:$AB$164,1)+COUNTIFS($AB$3:AB121,AB121)-1)</f>
        <v/>
      </c>
      <c r="AE121" s="4"/>
    </row>
    <row r="122" spans="1:31" ht="21.95" customHeight="1" x14ac:dyDescent="0.25">
      <c r="A122" s="85" t="s">
        <v>293</v>
      </c>
      <c r="B122" s="84" t="s">
        <v>227</v>
      </c>
      <c r="C122" s="84" t="s">
        <v>116</v>
      </c>
      <c r="D122" s="84" t="s">
        <v>294</v>
      </c>
      <c r="E122" s="84"/>
      <c r="F122" s="84" t="s">
        <v>228</v>
      </c>
      <c r="G122" s="84" t="s">
        <v>13</v>
      </c>
      <c r="H122" s="84" t="s">
        <v>14</v>
      </c>
      <c r="I122" s="84"/>
      <c r="J122" s="84"/>
      <c r="K122" s="84"/>
      <c r="L122" s="84"/>
      <c r="M122" s="84" t="s">
        <v>364</v>
      </c>
      <c r="N122" s="84"/>
      <c r="O122" s="84" t="s">
        <v>365</v>
      </c>
      <c r="P122" s="84"/>
      <c r="Q122" s="86"/>
      <c r="R122" s="86"/>
      <c r="S122" s="86"/>
      <c r="T122" s="86"/>
      <c r="U122" s="87"/>
      <c r="V122" s="84"/>
      <c r="W122" s="84"/>
      <c r="X122" s="23" t="str">
        <f t="shared" si="18"/>
        <v>OK</v>
      </c>
      <c r="Y122" s="23" t="str">
        <f t="shared" si="19"/>
        <v>REST PENDENTE</v>
      </c>
      <c r="Z122" s="23" t="str">
        <f t="shared" si="20"/>
        <v>OK</v>
      </c>
      <c r="AA122" s="23" t="str">
        <f t="shared" si="21"/>
        <v>OK</v>
      </c>
      <c r="AB122" s="23" t="str">
        <f t="shared" ca="1" si="22"/>
        <v/>
      </c>
      <c r="AC122" s="23" t="str">
        <f t="shared" si="23"/>
        <v/>
      </c>
      <c r="AD122" s="23" t="str">
        <f ca="1">IF(OR(A122="",U122="",NOT(ISNUMBER(AB122))),"",RANK(AB122,$AB$3:$AB$164,1)+COUNTIFS($AB$3:AB122,AB122)-1)</f>
        <v/>
      </c>
      <c r="AE122" s="4"/>
    </row>
    <row r="123" spans="1:31" ht="21.95" customHeight="1" x14ac:dyDescent="0.25">
      <c r="A123" s="81" t="s">
        <v>295</v>
      </c>
      <c r="B123" s="80" t="s">
        <v>45</v>
      </c>
      <c r="C123" s="80" t="s">
        <v>296</v>
      </c>
      <c r="D123" s="80" t="s">
        <v>297</v>
      </c>
      <c r="E123" s="80"/>
      <c r="F123" s="80" t="s">
        <v>48</v>
      </c>
      <c r="G123" s="80" t="s">
        <v>13</v>
      </c>
      <c r="H123" s="80" t="s">
        <v>14</v>
      </c>
      <c r="I123" s="80"/>
      <c r="J123" s="80"/>
      <c r="K123" s="80"/>
      <c r="L123" s="80"/>
      <c r="M123" s="80" t="s">
        <v>367</v>
      </c>
      <c r="N123" s="80"/>
      <c r="O123" s="80" t="s">
        <v>363</v>
      </c>
      <c r="P123" s="80"/>
      <c r="Q123" s="82"/>
      <c r="R123" s="82"/>
      <c r="S123" s="82"/>
      <c r="T123" s="82"/>
      <c r="U123" s="83"/>
      <c r="V123" s="80"/>
      <c r="W123" s="80"/>
      <c r="X123" s="23" t="str">
        <f t="shared" si="18"/>
        <v>OK</v>
      </c>
      <c r="Y123" s="23" t="str">
        <f t="shared" si="19"/>
        <v>REST PENDENTE</v>
      </c>
      <c r="Z123" s="23" t="str">
        <f t="shared" si="20"/>
        <v>OK</v>
      </c>
      <c r="AA123" s="23" t="str">
        <f t="shared" si="21"/>
        <v>OK</v>
      </c>
      <c r="AB123" s="23" t="str">
        <f t="shared" ca="1" si="22"/>
        <v/>
      </c>
      <c r="AC123" s="23" t="str">
        <f t="shared" si="23"/>
        <v/>
      </c>
      <c r="AD123" s="23" t="str">
        <f ca="1">IF(OR(A123="",U123="",NOT(ISNUMBER(AB123))),"",RANK(AB123,$AB$3:$AB$164,1)+COUNTIFS($AB$3:AB123,AB123)-1)</f>
        <v/>
      </c>
      <c r="AE123" s="4"/>
    </row>
    <row r="124" spans="1:31" ht="21.95" customHeight="1" x14ac:dyDescent="0.25">
      <c r="A124" s="85" t="s">
        <v>298</v>
      </c>
      <c r="B124" s="84" t="s">
        <v>299</v>
      </c>
      <c r="C124" s="84" t="s">
        <v>16</v>
      </c>
      <c r="D124" s="84" t="s">
        <v>300</v>
      </c>
      <c r="E124" s="84"/>
      <c r="F124" s="84" t="s">
        <v>109</v>
      </c>
      <c r="G124" s="84" t="s">
        <v>4</v>
      </c>
      <c r="H124" s="84" t="s">
        <v>49</v>
      </c>
      <c r="I124" s="84"/>
      <c r="J124" s="84"/>
      <c r="K124" s="84"/>
      <c r="L124" s="84"/>
      <c r="M124" s="84" t="s">
        <v>375</v>
      </c>
      <c r="N124" s="84"/>
      <c r="O124" s="84" t="s">
        <v>361</v>
      </c>
      <c r="P124" s="84"/>
      <c r="Q124" s="86"/>
      <c r="R124" s="86"/>
      <c r="S124" s="86"/>
      <c r="T124" s="86"/>
      <c r="U124" s="87"/>
      <c r="V124" s="84"/>
      <c r="W124" s="84"/>
      <c r="X124" s="23" t="str">
        <f t="shared" si="18"/>
        <v>OK</v>
      </c>
      <c r="Y124" s="23" t="str">
        <f t="shared" si="19"/>
        <v>REST PENDENTE</v>
      </c>
      <c r="Z124" s="23" t="str">
        <f t="shared" si="20"/>
        <v>OK</v>
      </c>
      <c r="AA124" s="23" t="str">
        <f t="shared" si="21"/>
        <v>OK</v>
      </c>
      <c r="AB124" s="23" t="str">
        <f t="shared" ca="1" si="22"/>
        <v/>
      </c>
      <c r="AC124" s="23" t="str">
        <f t="shared" si="23"/>
        <v/>
      </c>
      <c r="AD124" s="23" t="str">
        <f ca="1">IF(OR(A124="",U124="",NOT(ISNUMBER(AB124))),"",RANK(AB124,$AB$3:$AB$164,1)+COUNTIFS($AB$3:AB124,AB124)-1)</f>
        <v/>
      </c>
      <c r="AE124" s="4"/>
    </row>
    <row r="125" spans="1:31" ht="21.95" customHeight="1" x14ac:dyDescent="0.25">
      <c r="A125" s="81" t="s">
        <v>301</v>
      </c>
      <c r="B125" s="80" t="s">
        <v>302</v>
      </c>
      <c r="C125" s="80" t="s">
        <v>69</v>
      </c>
      <c r="D125" s="80" t="s">
        <v>303</v>
      </c>
      <c r="E125" s="80"/>
      <c r="F125" s="80"/>
      <c r="G125" s="80" t="s">
        <v>4</v>
      </c>
      <c r="H125" s="80" t="s">
        <v>49</v>
      </c>
      <c r="I125" s="80"/>
      <c r="J125" s="80"/>
      <c r="K125" s="80"/>
      <c r="L125" s="80"/>
      <c r="M125" s="80" t="s">
        <v>375</v>
      </c>
      <c r="N125" s="80"/>
      <c r="O125" s="80" t="s">
        <v>361</v>
      </c>
      <c r="P125" s="80"/>
      <c r="Q125" s="82"/>
      <c r="R125" s="82"/>
      <c r="S125" s="82"/>
      <c r="T125" s="82"/>
      <c r="U125" s="83"/>
      <c r="V125" s="80"/>
      <c r="W125" s="80"/>
      <c r="X125" s="23" t="str">
        <f t="shared" si="18"/>
        <v>OK</v>
      </c>
      <c r="Y125" s="23" t="str">
        <f t="shared" si="19"/>
        <v>REST PENDENTE</v>
      </c>
      <c r="Z125" s="23" t="str">
        <f t="shared" si="20"/>
        <v>OK</v>
      </c>
      <c r="AA125" s="23" t="str">
        <f t="shared" si="21"/>
        <v>OK</v>
      </c>
      <c r="AB125" s="23" t="str">
        <f t="shared" ca="1" si="22"/>
        <v/>
      </c>
      <c r="AC125" s="23" t="str">
        <f t="shared" si="23"/>
        <v/>
      </c>
      <c r="AD125" s="23" t="str">
        <f ca="1">IF(OR(A125="",U125="",NOT(ISNUMBER(AB125))),"",RANK(AB125,$AB$3:$AB$164,1)+COUNTIFS($AB$3:AB125,AB125)-1)</f>
        <v/>
      </c>
      <c r="AE125" s="4"/>
    </row>
    <row r="126" spans="1:31" ht="21.95" customHeight="1" x14ac:dyDescent="0.25">
      <c r="A126" s="85" t="s">
        <v>304</v>
      </c>
      <c r="B126" s="84" t="s">
        <v>305</v>
      </c>
      <c r="C126" s="84"/>
      <c r="D126" s="84"/>
      <c r="E126" s="84"/>
      <c r="F126" s="84" t="s">
        <v>306</v>
      </c>
      <c r="G126" s="84" t="s">
        <v>13</v>
      </c>
      <c r="H126" s="84"/>
      <c r="I126" s="84"/>
      <c r="J126" s="84"/>
      <c r="K126" s="84"/>
      <c r="L126" s="84"/>
      <c r="M126" s="84" t="s">
        <v>367</v>
      </c>
      <c r="N126" s="84"/>
      <c r="O126" s="84" t="s">
        <v>359</v>
      </c>
      <c r="P126" s="84"/>
      <c r="Q126" s="86"/>
      <c r="R126" s="86"/>
      <c r="S126" s="86"/>
      <c r="T126" s="86"/>
      <c r="U126" s="87"/>
      <c r="V126" s="84"/>
      <c r="W126" s="84"/>
      <c r="X126" s="23" t="str">
        <f t="shared" si="18"/>
        <v>CNPJ INVALIDO</v>
      </c>
      <c r="Y126" s="23" t="str">
        <f t="shared" si="19"/>
        <v>REST PENDENTE</v>
      </c>
      <c r="Z126" s="23" t="str">
        <f t="shared" si="20"/>
        <v>OK</v>
      </c>
      <c r="AA126" s="23" t="str">
        <f t="shared" si="21"/>
        <v>OK</v>
      </c>
      <c r="AB126" s="23" t="str">
        <f t="shared" ca="1" si="22"/>
        <v/>
      </c>
      <c r="AC126" s="23" t="str">
        <f t="shared" si="23"/>
        <v/>
      </c>
      <c r="AD126" s="23" t="str">
        <f ca="1">IF(OR(A126="",U126="",NOT(ISNUMBER(AB126))),"",RANK(AB126,$AB$3:$AB$164,1)+COUNTIFS($AB$3:AB126,AB126)-1)</f>
        <v/>
      </c>
      <c r="AE126" s="4"/>
    </row>
    <row r="127" spans="1:31" ht="21.95" customHeight="1" x14ac:dyDescent="0.25">
      <c r="A127" s="81" t="s">
        <v>307</v>
      </c>
      <c r="B127" s="80" t="s">
        <v>305</v>
      </c>
      <c r="C127" s="80"/>
      <c r="D127" s="80"/>
      <c r="E127" s="80"/>
      <c r="F127" s="80" t="s">
        <v>306</v>
      </c>
      <c r="G127" s="80" t="s">
        <v>308</v>
      </c>
      <c r="H127" s="80"/>
      <c r="I127" s="80"/>
      <c r="J127" s="80"/>
      <c r="K127" s="80"/>
      <c r="L127" s="80"/>
      <c r="M127" s="80" t="s">
        <v>367</v>
      </c>
      <c r="N127" s="80"/>
      <c r="O127" s="80" t="s">
        <v>359</v>
      </c>
      <c r="P127" s="80"/>
      <c r="Q127" s="82"/>
      <c r="R127" s="82"/>
      <c r="S127" s="82"/>
      <c r="T127" s="82"/>
      <c r="U127" s="83"/>
      <c r="V127" s="80"/>
      <c r="W127" s="80"/>
      <c r="X127" s="23" t="str">
        <f t="shared" si="18"/>
        <v>CNPJ INVALIDO</v>
      </c>
      <c r="Y127" s="23" t="str">
        <f t="shared" si="19"/>
        <v>REST PENDENTE</v>
      </c>
      <c r="Z127" s="23" t="str">
        <f t="shared" si="20"/>
        <v>OK</v>
      </c>
      <c r="AA127" s="23" t="str">
        <f t="shared" si="21"/>
        <v>OK</v>
      </c>
      <c r="AB127" s="23" t="str">
        <f t="shared" ca="1" si="22"/>
        <v/>
      </c>
      <c r="AC127" s="23" t="str">
        <f t="shared" si="23"/>
        <v/>
      </c>
      <c r="AD127" s="23" t="str">
        <f ca="1">IF(OR(A127="",U127="",NOT(ISNUMBER(AB127))),"",RANK(AB127,$AB$3:$AB$164,1)+COUNTIFS($AB$3:AB127,AB127)-1)</f>
        <v/>
      </c>
      <c r="AE127" s="4"/>
    </row>
    <row r="128" spans="1:31" ht="21.95" customHeight="1" x14ac:dyDescent="0.25">
      <c r="A128" s="85" t="s">
        <v>309</v>
      </c>
      <c r="B128" s="84" t="s">
        <v>9</v>
      </c>
      <c r="C128" s="84" t="s">
        <v>69</v>
      </c>
      <c r="D128" s="84" t="s">
        <v>310</v>
      </c>
      <c r="E128" s="84"/>
      <c r="F128" s="84" t="s">
        <v>311</v>
      </c>
      <c r="G128" s="84" t="s">
        <v>13</v>
      </c>
      <c r="H128" s="84" t="s">
        <v>49</v>
      </c>
      <c r="I128" s="84"/>
      <c r="J128" s="84"/>
      <c r="K128" s="84"/>
      <c r="L128" s="84"/>
      <c r="M128" s="84" t="s">
        <v>372</v>
      </c>
      <c r="N128" s="84"/>
      <c r="O128" s="84" t="s">
        <v>361</v>
      </c>
      <c r="P128" s="84"/>
      <c r="Q128" s="86"/>
      <c r="R128" s="86"/>
      <c r="S128" s="86"/>
      <c r="T128" s="86"/>
      <c r="U128" s="87"/>
      <c r="V128" s="84"/>
      <c r="W128" s="84"/>
      <c r="X128" s="23" t="str">
        <f t="shared" si="18"/>
        <v>OK</v>
      </c>
      <c r="Y128" s="23" t="str">
        <f t="shared" si="19"/>
        <v>REST PENDENTE</v>
      </c>
      <c r="Z128" s="23" t="str">
        <f t="shared" si="20"/>
        <v>OK</v>
      </c>
      <c r="AA128" s="23" t="str">
        <f t="shared" si="21"/>
        <v>OK</v>
      </c>
      <c r="AB128" s="23" t="str">
        <f t="shared" ca="1" si="22"/>
        <v/>
      </c>
      <c r="AC128" s="23" t="str">
        <f t="shared" si="23"/>
        <v/>
      </c>
      <c r="AD128" s="23" t="str">
        <f ca="1">IF(OR(A128="",U128="",NOT(ISNUMBER(AB128))),"",RANK(AB128,$AB$3:$AB$164,1)+COUNTIFS($AB$3:AB128,AB128)-1)</f>
        <v/>
      </c>
      <c r="AE128" s="4"/>
    </row>
    <row r="129" spans="1:31" ht="21.95" customHeight="1" x14ac:dyDescent="0.25">
      <c r="A129" s="81" t="s">
        <v>312</v>
      </c>
      <c r="B129" s="80" t="s">
        <v>75</v>
      </c>
      <c r="C129" s="80" t="s">
        <v>69</v>
      </c>
      <c r="D129" s="80" t="s">
        <v>313</v>
      </c>
      <c r="E129" s="80"/>
      <c r="F129" s="80" t="s">
        <v>314</v>
      </c>
      <c r="G129" s="80" t="s">
        <v>4</v>
      </c>
      <c r="H129" s="80" t="s">
        <v>49</v>
      </c>
      <c r="I129" s="80"/>
      <c r="J129" s="80"/>
      <c r="K129" s="80"/>
      <c r="L129" s="80"/>
      <c r="M129" s="80" t="s">
        <v>375</v>
      </c>
      <c r="N129" s="80"/>
      <c r="O129" s="80" t="s">
        <v>366</v>
      </c>
      <c r="P129" s="80"/>
      <c r="Q129" s="82"/>
      <c r="R129" s="82"/>
      <c r="S129" s="82"/>
      <c r="T129" s="82"/>
      <c r="U129" s="83"/>
      <c r="V129" s="80"/>
      <c r="W129" s="80"/>
      <c r="X129" s="23" t="str">
        <f t="shared" si="18"/>
        <v>OK</v>
      </c>
      <c r="Y129" s="23" t="str">
        <f t="shared" si="19"/>
        <v>REST PENDENTE</v>
      </c>
      <c r="Z129" s="23" t="str">
        <f t="shared" si="20"/>
        <v>OK</v>
      </c>
      <c r="AA129" s="23" t="str">
        <f t="shared" si="21"/>
        <v>OK</v>
      </c>
      <c r="AB129" s="23" t="str">
        <f t="shared" ca="1" si="22"/>
        <v/>
      </c>
      <c r="AC129" s="23" t="str">
        <f t="shared" si="23"/>
        <v/>
      </c>
      <c r="AD129" s="23" t="str">
        <f ca="1">IF(OR(A129="",U129="",NOT(ISNUMBER(AB129))),"",RANK(AB129,$AB$3:$AB$164,1)+COUNTIFS($AB$3:AB129,AB129)-1)</f>
        <v/>
      </c>
      <c r="AE129" s="4"/>
    </row>
    <row r="130" spans="1:31" ht="21.95" customHeight="1" x14ac:dyDescent="0.25">
      <c r="A130" s="85" t="s">
        <v>315</v>
      </c>
      <c r="B130" s="84" t="s">
        <v>45</v>
      </c>
      <c r="C130" s="84" t="s">
        <v>316</v>
      </c>
      <c r="D130" s="84" t="s">
        <v>317</v>
      </c>
      <c r="E130" s="84"/>
      <c r="F130" s="84"/>
      <c r="G130" s="84" t="s">
        <v>13</v>
      </c>
      <c r="H130" s="84"/>
      <c r="I130" s="84"/>
      <c r="J130" s="84"/>
      <c r="K130" s="84"/>
      <c r="L130" s="84"/>
      <c r="M130" s="84" t="s">
        <v>395</v>
      </c>
      <c r="N130" s="84" t="s">
        <v>370</v>
      </c>
      <c r="O130" s="84" t="s">
        <v>363</v>
      </c>
      <c r="P130" s="84"/>
      <c r="Q130" s="86"/>
      <c r="R130" s="86"/>
      <c r="S130" s="86"/>
      <c r="T130" s="86"/>
      <c r="U130" s="87"/>
      <c r="V130" s="84"/>
      <c r="W130" s="84"/>
      <c r="X130" s="23" t="str">
        <f t="shared" si="18"/>
        <v>OK</v>
      </c>
      <c r="Y130" s="23" t="str">
        <f t="shared" si="19"/>
        <v>REST PENDENTE</v>
      </c>
      <c r="Z130" s="23" t="str">
        <f t="shared" si="20"/>
        <v>OK</v>
      </c>
      <c r="AA130" s="23" t="str">
        <f t="shared" si="21"/>
        <v>OK</v>
      </c>
      <c r="AB130" s="23" t="str">
        <f t="shared" ca="1" si="22"/>
        <v/>
      </c>
      <c r="AC130" s="23" t="str">
        <f t="shared" si="23"/>
        <v/>
      </c>
      <c r="AD130" s="23" t="str">
        <f ca="1">IF(OR(A130="",U130="",NOT(ISNUMBER(AB130))),"",RANK(AB130,$AB$3:$AB$164,1)+COUNTIFS($AB$3:AB130,AB130)-1)</f>
        <v/>
      </c>
      <c r="AE130" s="4"/>
    </row>
    <row r="131" spans="1:31" ht="21.95" customHeight="1" x14ac:dyDescent="0.25">
      <c r="A131" s="81" t="s">
        <v>318</v>
      </c>
      <c r="B131" s="80" t="s">
        <v>45</v>
      </c>
      <c r="C131" s="80" t="s">
        <v>316</v>
      </c>
      <c r="D131" s="80" t="s">
        <v>319</v>
      </c>
      <c r="E131" s="80"/>
      <c r="F131" s="80" t="s">
        <v>48</v>
      </c>
      <c r="G131" s="80" t="s">
        <v>320</v>
      </c>
      <c r="H131" s="80"/>
      <c r="I131" s="80"/>
      <c r="J131" s="80"/>
      <c r="K131" s="80"/>
      <c r="L131" s="80"/>
      <c r="M131" s="80" t="s">
        <v>395</v>
      </c>
      <c r="N131" s="80" t="s">
        <v>370</v>
      </c>
      <c r="O131" s="80" t="s">
        <v>367</v>
      </c>
      <c r="P131" s="80"/>
      <c r="Q131" s="82"/>
      <c r="R131" s="82"/>
      <c r="S131" s="82"/>
      <c r="T131" s="82"/>
      <c r="U131" s="83"/>
      <c r="V131" s="80"/>
      <c r="W131" s="80"/>
      <c r="X131" s="23" t="str">
        <f t="shared" ref="X131:X164" si="24">IF(A131="","",IF(LEN(IF(ISNUMBER(D131),TEXT(D131,"00000000000000"),SUBSTITUTE(SUBSTITUTE(SUBSTITUTE(SUBSTITUTE(SUBSTITUTE(D131,".",""),"/",""),"-","")," ",""),CHAR(160),"")))&lt;&gt;14,"CNPJ INVALIDO","OK"))</f>
        <v>OK</v>
      </c>
      <c r="Y131" s="23" t="str">
        <f t="shared" ref="Y131:Y164" si="25">IF(A131="","",IF(R131="","REST PENDENTE","REST OK"))</f>
        <v>REST PENDENTE</v>
      </c>
      <c r="Z131" s="23" t="str">
        <f t="shared" ref="Z131:Z164" si="26">IF(A131="","",IF(AND(R131&lt;&gt;"",COUNTIFS($D$3:$D$164,D131,$R$3:$R$164,"&lt;&gt;")&gt;1),"DUPLICADO","OK"))</f>
        <v>OK</v>
      </c>
      <c r="AA131" s="23" t="str">
        <f t="shared" ref="AA131:AA164" si="27">IF(A131="","",IF(OR(LEN(Q131)&gt;180,LEN(R131)&gt;180,LEN(S131)&gt;180,LEN(T131)&gt;180),"CAMINHO LONGO","OK"))</f>
        <v>OK</v>
      </c>
      <c r="AB131" s="23" t="str">
        <f t="shared" ref="AB131:AB164" ca="1" si="28">IF(A131="","",IF(U131="","",IFERROR(INT(U131-TODAY()),"")))</f>
        <v/>
      </c>
      <c r="AC131" s="23" t="str">
        <f t="shared" ref="AC131:AC162" si="29">IF(A131="","",IF(AND(T131="",U131=""),"",IF(T131="","SEM CAMINHO",IF(U131="","SEM DATA",IFERROR(IF(AB131&lt;15,"VERMELHO",IF(AB131&lt;=30,"AMARELO","VERDE")),"DATA INVALIDA")))))</f>
        <v/>
      </c>
      <c r="AD131" s="23" t="str">
        <f ca="1">IF(OR(A131="",U131="",NOT(ISNUMBER(AB131))),"",RANK(AB131,$AB$3:$AB$164,1)+COUNTIFS($AB$3:AB131,AB131)-1)</f>
        <v/>
      </c>
      <c r="AE131" s="4"/>
    </row>
    <row r="132" spans="1:31" ht="21.95" customHeight="1" x14ac:dyDescent="0.25">
      <c r="A132" s="85" t="s">
        <v>321</v>
      </c>
      <c r="B132" s="84" t="s">
        <v>45</v>
      </c>
      <c r="C132" s="84" t="s">
        <v>316</v>
      </c>
      <c r="D132" s="84" t="s">
        <v>322</v>
      </c>
      <c r="E132" s="84"/>
      <c r="F132" s="84" t="s">
        <v>48</v>
      </c>
      <c r="G132" s="84" t="s">
        <v>320</v>
      </c>
      <c r="H132" s="84"/>
      <c r="I132" s="84"/>
      <c r="J132" s="84"/>
      <c r="K132" s="84"/>
      <c r="L132" s="84"/>
      <c r="M132" s="84" t="s">
        <v>375</v>
      </c>
      <c r="N132" s="84" t="s">
        <v>370</v>
      </c>
      <c r="O132" s="84" t="s">
        <v>366</v>
      </c>
      <c r="P132" s="84"/>
      <c r="Q132" s="86"/>
      <c r="R132" s="86"/>
      <c r="S132" s="86"/>
      <c r="T132" s="86"/>
      <c r="U132" s="87"/>
      <c r="V132" s="84"/>
      <c r="W132" s="84"/>
      <c r="X132" s="23" t="str">
        <f t="shared" si="24"/>
        <v>OK</v>
      </c>
      <c r="Y132" s="23" t="str">
        <f t="shared" si="25"/>
        <v>REST PENDENTE</v>
      </c>
      <c r="Z132" s="23" t="str">
        <f t="shared" si="26"/>
        <v>OK</v>
      </c>
      <c r="AA132" s="23" t="str">
        <f t="shared" si="27"/>
        <v>OK</v>
      </c>
      <c r="AB132" s="23" t="str">
        <f t="shared" ca="1" si="28"/>
        <v/>
      </c>
      <c r="AC132" s="23" t="str">
        <f t="shared" si="29"/>
        <v/>
      </c>
      <c r="AD132" s="23" t="str">
        <f ca="1">IF(OR(A132="",U132="",NOT(ISNUMBER(AB132))),"",RANK(AB132,$AB$3:$AB$164,1)+COUNTIFS($AB$3:AB132,AB132)-1)</f>
        <v/>
      </c>
      <c r="AE132" s="4"/>
    </row>
    <row r="133" spans="1:31" ht="21.95" customHeight="1" x14ac:dyDescent="0.25">
      <c r="A133" s="81" t="s">
        <v>323</v>
      </c>
      <c r="B133" s="80" t="s">
        <v>305</v>
      </c>
      <c r="C133" s="80"/>
      <c r="D133" s="80"/>
      <c r="E133" s="80"/>
      <c r="F133" s="80" t="s">
        <v>306</v>
      </c>
      <c r="G133" s="80" t="s">
        <v>4</v>
      </c>
      <c r="H133" s="80"/>
      <c r="I133" s="80"/>
      <c r="J133" s="80"/>
      <c r="K133" s="80"/>
      <c r="L133" s="80"/>
      <c r="M133" s="80" t="s">
        <v>367</v>
      </c>
      <c r="N133" s="80"/>
      <c r="O133" s="80" t="s">
        <v>361</v>
      </c>
      <c r="P133" s="80"/>
      <c r="Q133" s="82"/>
      <c r="R133" s="82"/>
      <c r="S133" s="82"/>
      <c r="T133" s="82"/>
      <c r="U133" s="83"/>
      <c r="V133" s="80"/>
      <c r="W133" s="80"/>
      <c r="X133" s="23" t="str">
        <f t="shared" si="24"/>
        <v>CNPJ INVALIDO</v>
      </c>
      <c r="Y133" s="23" t="str">
        <f t="shared" si="25"/>
        <v>REST PENDENTE</v>
      </c>
      <c r="Z133" s="23" t="str">
        <f t="shared" si="26"/>
        <v>OK</v>
      </c>
      <c r="AA133" s="23" t="str">
        <f t="shared" si="27"/>
        <v>OK</v>
      </c>
      <c r="AB133" s="23" t="str">
        <f t="shared" ca="1" si="28"/>
        <v/>
      </c>
      <c r="AC133" s="23" t="str">
        <f t="shared" si="29"/>
        <v/>
      </c>
      <c r="AD133" s="23" t="str">
        <f ca="1">IF(OR(A133="",U133="",NOT(ISNUMBER(AB133))),"",RANK(AB133,$AB$3:$AB$164,1)+COUNTIFS($AB$3:AB133,AB133)-1)</f>
        <v/>
      </c>
      <c r="AE133" s="4"/>
    </row>
    <row r="134" spans="1:31" ht="21.95" customHeight="1" x14ac:dyDescent="0.25">
      <c r="A134" s="85" t="s">
        <v>324</v>
      </c>
      <c r="B134" s="84" t="s">
        <v>75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 t="s">
        <v>367</v>
      </c>
      <c r="N134" s="84"/>
      <c r="O134" s="84" t="s">
        <v>367</v>
      </c>
      <c r="P134" s="84"/>
      <c r="Q134" s="86"/>
      <c r="R134" s="86"/>
      <c r="S134" s="86"/>
      <c r="T134" s="86"/>
      <c r="U134" s="87"/>
      <c r="V134" s="84"/>
      <c r="W134" s="84"/>
      <c r="X134" s="23" t="str">
        <f t="shared" si="24"/>
        <v>CNPJ INVALIDO</v>
      </c>
      <c r="Y134" s="23" t="str">
        <f t="shared" si="25"/>
        <v>REST PENDENTE</v>
      </c>
      <c r="Z134" s="23" t="str">
        <f t="shared" si="26"/>
        <v>OK</v>
      </c>
      <c r="AA134" s="23" t="str">
        <f t="shared" si="27"/>
        <v>OK</v>
      </c>
      <c r="AB134" s="23" t="str">
        <f t="shared" ca="1" si="28"/>
        <v/>
      </c>
      <c r="AC134" s="23" t="str">
        <f t="shared" si="29"/>
        <v/>
      </c>
      <c r="AD134" s="23" t="str">
        <f ca="1">IF(OR(A134="",U134="",NOT(ISNUMBER(AB134))),"",RANK(AB134,$AB$3:$AB$164,1)+COUNTIFS($AB$3:AB134,AB134)-1)</f>
        <v/>
      </c>
      <c r="AE134" s="4"/>
    </row>
    <row r="135" spans="1:31" ht="21.95" customHeight="1" x14ac:dyDescent="0.25">
      <c r="A135" s="81"/>
      <c r="B135" s="80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2"/>
      <c r="R135" s="82"/>
      <c r="S135" s="82"/>
      <c r="T135" s="82"/>
      <c r="U135" s="83"/>
      <c r="V135" s="80"/>
      <c r="W135" s="80"/>
      <c r="X135" s="23" t="str">
        <f t="shared" si="24"/>
        <v/>
      </c>
      <c r="Y135" s="23" t="str">
        <f t="shared" si="25"/>
        <v/>
      </c>
      <c r="Z135" s="23" t="str">
        <f t="shared" si="26"/>
        <v/>
      </c>
      <c r="AA135" s="23" t="str">
        <f t="shared" si="27"/>
        <v/>
      </c>
      <c r="AB135" s="23" t="str">
        <f t="shared" ca="1" si="28"/>
        <v/>
      </c>
      <c r="AC135" s="23" t="str">
        <f t="shared" si="29"/>
        <v/>
      </c>
      <c r="AD135" s="23" t="str">
        <f ca="1">IF(OR(A135="",U135="",NOT(ISNUMBER(AB135))),"",RANK(AB135,$AB$3:$AB$164,1)+COUNTIFS($AB$3:AB135,AB135)-1)</f>
        <v/>
      </c>
      <c r="AE135" s="4"/>
    </row>
    <row r="136" spans="1:31" ht="21.95" customHeight="1" x14ac:dyDescent="0.25">
      <c r="A136" s="85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6"/>
      <c r="R136" s="86"/>
      <c r="S136" s="86"/>
      <c r="T136" s="86"/>
      <c r="U136" s="87"/>
      <c r="V136" s="84"/>
      <c r="W136" s="84"/>
      <c r="X136" s="23" t="str">
        <f t="shared" si="24"/>
        <v/>
      </c>
      <c r="Y136" s="23" t="str">
        <f t="shared" si="25"/>
        <v/>
      </c>
      <c r="Z136" s="23" t="str">
        <f t="shared" si="26"/>
        <v/>
      </c>
      <c r="AA136" s="23" t="str">
        <f t="shared" si="27"/>
        <v/>
      </c>
      <c r="AB136" s="23" t="str">
        <f t="shared" ca="1" si="28"/>
        <v/>
      </c>
      <c r="AC136" s="23" t="str">
        <f t="shared" si="29"/>
        <v/>
      </c>
      <c r="AD136" s="23" t="str">
        <f ca="1">IF(OR(A136="",U136="",NOT(ISNUMBER(AB136))),"",RANK(AB136,$AB$3:$AB$164,1)+COUNTIFS($AB$3:AB136,AB136)-1)</f>
        <v/>
      </c>
      <c r="AE136" s="4"/>
    </row>
    <row r="137" spans="1:31" ht="21.95" customHeight="1" x14ac:dyDescent="0.25">
      <c r="A137" s="81"/>
      <c r="B137" s="80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2"/>
      <c r="R137" s="82"/>
      <c r="S137" s="82"/>
      <c r="T137" s="82"/>
      <c r="U137" s="83"/>
      <c r="V137" s="80"/>
      <c r="W137" s="80"/>
      <c r="X137" s="23" t="str">
        <f t="shared" si="24"/>
        <v/>
      </c>
      <c r="Y137" s="23" t="str">
        <f t="shared" si="25"/>
        <v/>
      </c>
      <c r="Z137" s="23" t="str">
        <f t="shared" si="26"/>
        <v/>
      </c>
      <c r="AA137" s="23" t="str">
        <f t="shared" si="27"/>
        <v/>
      </c>
      <c r="AB137" s="23" t="str">
        <f t="shared" ca="1" si="28"/>
        <v/>
      </c>
      <c r="AC137" s="23" t="str">
        <f t="shared" si="29"/>
        <v/>
      </c>
      <c r="AD137" s="23" t="str">
        <f ca="1">IF(OR(A137="",U137="",NOT(ISNUMBER(AB137))),"",RANK(AB137,$AB$3:$AB$164,1)+COUNTIFS($AB$3:AB137,AB137)-1)</f>
        <v/>
      </c>
      <c r="AE137" s="4"/>
    </row>
    <row r="138" spans="1:31" ht="21.95" customHeight="1" x14ac:dyDescent="0.25">
      <c r="A138" s="85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6"/>
      <c r="R138" s="86"/>
      <c r="S138" s="86"/>
      <c r="T138" s="86"/>
      <c r="U138" s="87"/>
      <c r="V138" s="84"/>
      <c r="W138" s="84"/>
      <c r="X138" s="23" t="str">
        <f t="shared" si="24"/>
        <v/>
      </c>
      <c r="Y138" s="23" t="str">
        <f t="shared" si="25"/>
        <v/>
      </c>
      <c r="Z138" s="23" t="str">
        <f t="shared" si="26"/>
        <v/>
      </c>
      <c r="AA138" s="23" t="str">
        <f t="shared" si="27"/>
        <v/>
      </c>
      <c r="AB138" s="23" t="str">
        <f t="shared" ca="1" si="28"/>
        <v/>
      </c>
      <c r="AC138" s="23" t="str">
        <f t="shared" si="29"/>
        <v/>
      </c>
      <c r="AD138" s="23" t="str">
        <f ca="1">IF(OR(A138="",U138="",NOT(ISNUMBER(AB138))),"",RANK(AB138,$AB$3:$AB$164,1)+COUNTIFS($AB$3:AB138,AB138)-1)</f>
        <v/>
      </c>
      <c r="AE138" s="4"/>
    </row>
    <row r="139" spans="1:31" ht="21.95" customHeight="1" x14ac:dyDescent="0.25">
      <c r="A139" s="81"/>
      <c r="B139" s="80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2"/>
      <c r="R139" s="82"/>
      <c r="S139" s="82"/>
      <c r="T139" s="82"/>
      <c r="U139" s="83"/>
      <c r="V139" s="80"/>
      <c r="W139" s="80"/>
      <c r="X139" s="23" t="str">
        <f t="shared" si="24"/>
        <v/>
      </c>
      <c r="Y139" s="23" t="str">
        <f t="shared" si="25"/>
        <v/>
      </c>
      <c r="Z139" s="23" t="str">
        <f t="shared" si="26"/>
        <v/>
      </c>
      <c r="AA139" s="23" t="str">
        <f t="shared" si="27"/>
        <v/>
      </c>
      <c r="AB139" s="23" t="str">
        <f t="shared" ca="1" si="28"/>
        <v/>
      </c>
      <c r="AC139" s="23" t="str">
        <f t="shared" si="29"/>
        <v/>
      </c>
      <c r="AD139" s="23" t="str">
        <f ca="1">IF(OR(A139="",U139="",NOT(ISNUMBER(AB139))),"",RANK(AB139,$AB$3:$AB$164,1)+COUNTIFS($AB$3:AB139,AB139)-1)</f>
        <v/>
      </c>
      <c r="AE139" s="4"/>
    </row>
    <row r="140" spans="1:31" ht="21.95" customHeight="1" x14ac:dyDescent="0.25">
      <c r="A140" s="85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6"/>
      <c r="R140" s="86"/>
      <c r="S140" s="86"/>
      <c r="T140" s="86"/>
      <c r="U140" s="87"/>
      <c r="V140" s="84"/>
      <c r="W140" s="84"/>
      <c r="X140" s="23" t="str">
        <f t="shared" si="24"/>
        <v/>
      </c>
      <c r="Y140" s="23" t="str">
        <f t="shared" si="25"/>
        <v/>
      </c>
      <c r="Z140" s="23" t="str">
        <f t="shared" si="26"/>
        <v/>
      </c>
      <c r="AA140" s="23" t="str">
        <f t="shared" si="27"/>
        <v/>
      </c>
      <c r="AB140" s="23" t="str">
        <f t="shared" ca="1" si="28"/>
        <v/>
      </c>
      <c r="AC140" s="23" t="str">
        <f t="shared" si="29"/>
        <v/>
      </c>
      <c r="AD140" s="23" t="str">
        <f ca="1">IF(OR(A140="",U140="",NOT(ISNUMBER(AB140))),"",RANK(AB140,$AB$3:$AB$164,1)+COUNTIFS($AB$3:AB140,AB140)-1)</f>
        <v/>
      </c>
      <c r="AE140" s="4"/>
    </row>
    <row r="141" spans="1:31" ht="21.95" customHeight="1" x14ac:dyDescent="0.25">
      <c r="A141" s="81"/>
      <c r="B141" s="80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82"/>
      <c r="R141" s="82"/>
      <c r="S141" s="82"/>
      <c r="T141" s="82"/>
      <c r="U141" s="83"/>
      <c r="V141" s="80"/>
      <c r="W141" s="80"/>
      <c r="X141" s="23" t="str">
        <f t="shared" si="24"/>
        <v/>
      </c>
      <c r="Y141" s="23" t="str">
        <f t="shared" si="25"/>
        <v/>
      </c>
      <c r="Z141" s="23" t="str">
        <f t="shared" si="26"/>
        <v/>
      </c>
      <c r="AA141" s="23" t="str">
        <f t="shared" si="27"/>
        <v/>
      </c>
      <c r="AB141" s="23" t="str">
        <f t="shared" ca="1" si="28"/>
        <v/>
      </c>
      <c r="AC141" s="23" t="str">
        <f t="shared" si="29"/>
        <v/>
      </c>
      <c r="AD141" s="23" t="str">
        <f ca="1">IF(OR(A141="",U141="",NOT(ISNUMBER(AB141))),"",RANK(AB141,$AB$3:$AB$164,1)+COUNTIFS($AB$3:AB141,AB141)-1)</f>
        <v/>
      </c>
      <c r="AE141" s="4"/>
    </row>
    <row r="142" spans="1:31" ht="21.95" customHeight="1" x14ac:dyDescent="0.25">
      <c r="A142" s="85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6"/>
      <c r="R142" s="86"/>
      <c r="S142" s="86"/>
      <c r="T142" s="86"/>
      <c r="U142" s="87"/>
      <c r="V142" s="84"/>
      <c r="W142" s="84"/>
      <c r="X142" s="23" t="str">
        <f t="shared" si="24"/>
        <v/>
      </c>
      <c r="Y142" s="23" t="str">
        <f t="shared" si="25"/>
        <v/>
      </c>
      <c r="Z142" s="23" t="str">
        <f t="shared" si="26"/>
        <v/>
      </c>
      <c r="AA142" s="23" t="str">
        <f t="shared" si="27"/>
        <v/>
      </c>
      <c r="AB142" s="23" t="str">
        <f t="shared" ca="1" si="28"/>
        <v/>
      </c>
      <c r="AC142" s="23" t="str">
        <f t="shared" si="29"/>
        <v/>
      </c>
      <c r="AD142" s="23" t="str">
        <f ca="1">IF(OR(A142="",U142="",NOT(ISNUMBER(AB142))),"",RANK(AB142,$AB$3:$AB$164,1)+COUNTIFS($AB$3:AB142,AB142)-1)</f>
        <v/>
      </c>
      <c r="AE142" s="4"/>
    </row>
    <row r="143" spans="1:31" ht="21.95" customHeight="1" x14ac:dyDescent="0.25">
      <c r="A143" s="81"/>
      <c r="B143" s="80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  <c r="N143" s="80"/>
      <c r="O143" s="80"/>
      <c r="P143" s="80"/>
      <c r="Q143" s="82"/>
      <c r="R143" s="82"/>
      <c r="S143" s="82"/>
      <c r="T143" s="82"/>
      <c r="U143" s="83"/>
      <c r="V143" s="80"/>
      <c r="W143" s="80"/>
      <c r="X143" s="23" t="str">
        <f t="shared" si="24"/>
        <v/>
      </c>
      <c r="Y143" s="23" t="str">
        <f t="shared" si="25"/>
        <v/>
      </c>
      <c r="Z143" s="23" t="str">
        <f t="shared" si="26"/>
        <v/>
      </c>
      <c r="AA143" s="23" t="str">
        <f t="shared" si="27"/>
        <v/>
      </c>
      <c r="AB143" s="23" t="str">
        <f t="shared" ca="1" si="28"/>
        <v/>
      </c>
      <c r="AC143" s="23" t="str">
        <f t="shared" si="29"/>
        <v/>
      </c>
      <c r="AD143" s="23" t="str">
        <f ca="1">IF(OR(A143="",U143="",NOT(ISNUMBER(AB143))),"",RANK(AB143,$AB$3:$AB$164,1)+COUNTIFS($AB$3:AB143,AB143)-1)</f>
        <v/>
      </c>
      <c r="AE143" s="4"/>
    </row>
    <row r="144" spans="1:31" ht="21.95" customHeight="1" x14ac:dyDescent="0.25">
      <c r="A144" s="85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6"/>
      <c r="R144" s="86"/>
      <c r="S144" s="86"/>
      <c r="T144" s="86"/>
      <c r="U144" s="87"/>
      <c r="V144" s="84"/>
      <c r="W144" s="84"/>
      <c r="X144" s="23" t="str">
        <f t="shared" si="24"/>
        <v/>
      </c>
      <c r="Y144" s="23" t="str">
        <f t="shared" si="25"/>
        <v/>
      </c>
      <c r="Z144" s="23" t="str">
        <f t="shared" si="26"/>
        <v/>
      </c>
      <c r="AA144" s="23" t="str">
        <f t="shared" si="27"/>
        <v/>
      </c>
      <c r="AB144" s="23" t="str">
        <f t="shared" ca="1" si="28"/>
        <v/>
      </c>
      <c r="AC144" s="23" t="str">
        <f t="shared" si="29"/>
        <v/>
      </c>
      <c r="AD144" s="23" t="str">
        <f ca="1">IF(OR(A144="",U144="",NOT(ISNUMBER(AB144))),"",RANK(AB144,$AB$3:$AB$164,1)+COUNTIFS($AB$3:AB144,AB144)-1)</f>
        <v/>
      </c>
      <c r="AE144" s="4"/>
    </row>
    <row r="145" spans="1:31" ht="21.95" customHeight="1" x14ac:dyDescent="0.25">
      <c r="A145" s="81"/>
      <c r="B145" s="80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/>
      <c r="P145" s="80"/>
      <c r="Q145" s="82"/>
      <c r="R145" s="82"/>
      <c r="S145" s="82"/>
      <c r="T145" s="82"/>
      <c r="U145" s="83"/>
      <c r="V145" s="80"/>
      <c r="W145" s="80"/>
      <c r="X145" s="23" t="str">
        <f t="shared" si="24"/>
        <v/>
      </c>
      <c r="Y145" s="23" t="str">
        <f t="shared" si="25"/>
        <v/>
      </c>
      <c r="Z145" s="23" t="str">
        <f t="shared" si="26"/>
        <v/>
      </c>
      <c r="AA145" s="23" t="str">
        <f t="shared" si="27"/>
        <v/>
      </c>
      <c r="AB145" s="23" t="str">
        <f t="shared" ca="1" si="28"/>
        <v/>
      </c>
      <c r="AC145" s="23" t="str">
        <f t="shared" si="29"/>
        <v/>
      </c>
      <c r="AD145" s="23" t="str">
        <f ca="1">IF(OR(A145="",U145="",NOT(ISNUMBER(AB145))),"",RANK(AB145,$AB$3:$AB$164,1)+COUNTIFS($AB$3:AB145,AB145)-1)</f>
        <v/>
      </c>
      <c r="AE145" s="4"/>
    </row>
    <row r="146" spans="1:31" ht="21.95" customHeight="1" x14ac:dyDescent="0.25">
      <c r="A146" s="85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6"/>
      <c r="R146" s="86"/>
      <c r="S146" s="86"/>
      <c r="T146" s="86"/>
      <c r="U146" s="87"/>
      <c r="V146" s="84"/>
      <c r="W146" s="84"/>
      <c r="X146" s="23" t="str">
        <f t="shared" si="24"/>
        <v/>
      </c>
      <c r="Y146" s="23" t="str">
        <f t="shared" si="25"/>
        <v/>
      </c>
      <c r="Z146" s="23" t="str">
        <f t="shared" si="26"/>
        <v/>
      </c>
      <c r="AA146" s="23" t="str">
        <f t="shared" si="27"/>
        <v/>
      </c>
      <c r="AB146" s="23" t="str">
        <f t="shared" ca="1" si="28"/>
        <v/>
      </c>
      <c r="AC146" s="23" t="str">
        <f t="shared" si="29"/>
        <v/>
      </c>
      <c r="AD146" s="23" t="str">
        <f ca="1">IF(OR(A146="",U146="",NOT(ISNUMBER(AB146))),"",RANK(AB146,$AB$3:$AB$164,1)+COUNTIFS($AB$3:AB146,AB146)-1)</f>
        <v/>
      </c>
      <c r="AE146" s="4"/>
    </row>
    <row r="147" spans="1:31" ht="21.95" customHeight="1" x14ac:dyDescent="0.25">
      <c r="A147" s="81"/>
      <c r="B147" s="80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82"/>
      <c r="R147" s="82"/>
      <c r="S147" s="82"/>
      <c r="T147" s="82"/>
      <c r="U147" s="83"/>
      <c r="V147" s="80"/>
      <c r="W147" s="80"/>
      <c r="X147" s="23" t="str">
        <f t="shared" si="24"/>
        <v/>
      </c>
      <c r="Y147" s="23" t="str">
        <f t="shared" si="25"/>
        <v/>
      </c>
      <c r="Z147" s="23" t="str">
        <f t="shared" si="26"/>
        <v/>
      </c>
      <c r="AA147" s="23" t="str">
        <f t="shared" si="27"/>
        <v/>
      </c>
      <c r="AB147" s="23" t="str">
        <f t="shared" ca="1" si="28"/>
        <v/>
      </c>
      <c r="AC147" s="23" t="str">
        <f t="shared" si="29"/>
        <v/>
      </c>
      <c r="AD147" s="23" t="str">
        <f ca="1">IF(OR(A147="",U147="",NOT(ISNUMBER(AB147))),"",RANK(AB147,$AB$3:$AB$164,1)+COUNTIFS($AB$3:AB147,AB147)-1)</f>
        <v/>
      </c>
      <c r="AE147" s="4"/>
    </row>
    <row r="148" spans="1:31" ht="21.95" customHeight="1" x14ac:dyDescent="0.25">
      <c r="A148" s="85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6"/>
      <c r="R148" s="86"/>
      <c r="S148" s="86"/>
      <c r="T148" s="86"/>
      <c r="U148" s="87"/>
      <c r="V148" s="84"/>
      <c r="W148" s="84"/>
      <c r="X148" s="23" t="str">
        <f t="shared" si="24"/>
        <v/>
      </c>
      <c r="Y148" s="23" t="str">
        <f t="shared" si="25"/>
        <v/>
      </c>
      <c r="Z148" s="23" t="str">
        <f t="shared" si="26"/>
        <v/>
      </c>
      <c r="AA148" s="23" t="str">
        <f t="shared" si="27"/>
        <v/>
      </c>
      <c r="AB148" s="23" t="str">
        <f t="shared" ca="1" si="28"/>
        <v/>
      </c>
      <c r="AC148" s="23" t="str">
        <f t="shared" si="29"/>
        <v/>
      </c>
      <c r="AD148" s="23" t="str">
        <f ca="1">IF(OR(A148="",U148="",NOT(ISNUMBER(AB148))),"",RANK(AB148,$AB$3:$AB$164,1)+COUNTIFS($AB$3:AB148,AB148)-1)</f>
        <v/>
      </c>
      <c r="AE148" s="4"/>
    </row>
    <row r="149" spans="1:31" ht="21.95" customHeight="1" x14ac:dyDescent="0.25">
      <c r="A149" s="81"/>
      <c r="B149" s="80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82"/>
      <c r="R149" s="82"/>
      <c r="S149" s="82"/>
      <c r="T149" s="82"/>
      <c r="U149" s="83"/>
      <c r="V149" s="80"/>
      <c r="W149" s="80"/>
      <c r="X149" s="23" t="str">
        <f t="shared" si="24"/>
        <v/>
      </c>
      <c r="Y149" s="23" t="str">
        <f t="shared" si="25"/>
        <v/>
      </c>
      <c r="Z149" s="23" t="str">
        <f t="shared" si="26"/>
        <v/>
      </c>
      <c r="AA149" s="23" t="str">
        <f t="shared" si="27"/>
        <v/>
      </c>
      <c r="AB149" s="23" t="str">
        <f t="shared" ca="1" si="28"/>
        <v/>
      </c>
      <c r="AC149" s="23" t="str">
        <f t="shared" si="29"/>
        <v/>
      </c>
      <c r="AD149" s="23" t="str">
        <f ca="1">IF(OR(A149="",U149="",NOT(ISNUMBER(AB149))),"",RANK(AB149,$AB$3:$AB$164,1)+COUNTIFS($AB$3:AB149,AB149)-1)</f>
        <v/>
      </c>
      <c r="AE149" s="4"/>
    </row>
    <row r="150" spans="1:31" ht="21.95" customHeight="1" x14ac:dyDescent="0.25">
      <c r="A150" s="85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6"/>
      <c r="R150" s="86"/>
      <c r="S150" s="86"/>
      <c r="T150" s="86"/>
      <c r="U150" s="87"/>
      <c r="V150" s="84"/>
      <c r="W150" s="84"/>
      <c r="X150" s="23" t="str">
        <f t="shared" si="24"/>
        <v/>
      </c>
      <c r="Y150" s="23" t="str">
        <f t="shared" si="25"/>
        <v/>
      </c>
      <c r="Z150" s="23" t="str">
        <f t="shared" si="26"/>
        <v/>
      </c>
      <c r="AA150" s="23" t="str">
        <f t="shared" si="27"/>
        <v/>
      </c>
      <c r="AB150" s="23" t="str">
        <f t="shared" ca="1" si="28"/>
        <v/>
      </c>
      <c r="AC150" s="23" t="str">
        <f t="shared" si="29"/>
        <v/>
      </c>
      <c r="AD150" s="23" t="str">
        <f ca="1">IF(OR(A150="",U150="",NOT(ISNUMBER(AB150))),"",RANK(AB150,$AB$3:$AB$164,1)+COUNTIFS($AB$3:AB150,AB150)-1)</f>
        <v/>
      </c>
      <c r="AE150" s="4"/>
    </row>
    <row r="151" spans="1:31" ht="21.95" customHeight="1" x14ac:dyDescent="0.25">
      <c r="A151" s="81"/>
      <c r="B151" s="80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82"/>
      <c r="R151" s="82"/>
      <c r="S151" s="82"/>
      <c r="T151" s="82"/>
      <c r="U151" s="83"/>
      <c r="V151" s="80"/>
      <c r="W151" s="80"/>
      <c r="X151" s="23" t="str">
        <f t="shared" si="24"/>
        <v/>
      </c>
      <c r="Y151" s="23" t="str">
        <f t="shared" si="25"/>
        <v/>
      </c>
      <c r="Z151" s="23" t="str">
        <f t="shared" si="26"/>
        <v/>
      </c>
      <c r="AA151" s="23" t="str">
        <f t="shared" si="27"/>
        <v/>
      </c>
      <c r="AB151" s="23" t="str">
        <f t="shared" ca="1" si="28"/>
        <v/>
      </c>
      <c r="AC151" s="23" t="str">
        <f t="shared" si="29"/>
        <v/>
      </c>
      <c r="AD151" s="23" t="str">
        <f ca="1">IF(OR(A151="",U151="",NOT(ISNUMBER(AB151))),"",RANK(AB151,$AB$3:$AB$164,1)+COUNTIFS($AB$3:AB151,AB151)-1)</f>
        <v/>
      </c>
      <c r="AE151" s="4"/>
    </row>
    <row r="152" spans="1:31" ht="21.95" customHeight="1" x14ac:dyDescent="0.25">
      <c r="A152" s="85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6"/>
      <c r="R152" s="86"/>
      <c r="S152" s="86"/>
      <c r="T152" s="86"/>
      <c r="U152" s="87"/>
      <c r="V152" s="84"/>
      <c r="W152" s="84"/>
      <c r="X152" s="23" t="str">
        <f t="shared" si="24"/>
        <v/>
      </c>
      <c r="Y152" s="23" t="str">
        <f t="shared" si="25"/>
        <v/>
      </c>
      <c r="Z152" s="23" t="str">
        <f t="shared" si="26"/>
        <v/>
      </c>
      <c r="AA152" s="23" t="str">
        <f t="shared" si="27"/>
        <v/>
      </c>
      <c r="AB152" s="23" t="str">
        <f t="shared" ca="1" si="28"/>
        <v/>
      </c>
      <c r="AC152" s="23" t="str">
        <f t="shared" si="29"/>
        <v/>
      </c>
      <c r="AD152" s="23" t="str">
        <f ca="1">IF(OR(A152="",U152="",NOT(ISNUMBER(AB152))),"",RANK(AB152,$AB$3:$AB$164,1)+COUNTIFS($AB$3:AB152,AB152)-1)</f>
        <v/>
      </c>
      <c r="AE152" s="4"/>
    </row>
    <row r="153" spans="1:31" ht="21.95" customHeight="1" x14ac:dyDescent="0.25">
      <c r="A153" s="81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2"/>
      <c r="R153" s="82"/>
      <c r="S153" s="82"/>
      <c r="T153" s="82"/>
      <c r="U153" s="83"/>
      <c r="V153" s="80"/>
      <c r="W153" s="80"/>
      <c r="X153" s="23" t="str">
        <f t="shared" si="24"/>
        <v/>
      </c>
      <c r="Y153" s="23" t="str">
        <f t="shared" si="25"/>
        <v/>
      </c>
      <c r="Z153" s="23" t="str">
        <f t="shared" si="26"/>
        <v/>
      </c>
      <c r="AA153" s="23" t="str">
        <f t="shared" si="27"/>
        <v/>
      </c>
      <c r="AB153" s="23" t="str">
        <f t="shared" ca="1" si="28"/>
        <v/>
      </c>
      <c r="AC153" s="23" t="str">
        <f t="shared" si="29"/>
        <v/>
      </c>
      <c r="AD153" s="23" t="str">
        <f ca="1">IF(OR(A153="",U153="",NOT(ISNUMBER(AB153))),"",RANK(AB153,$AB$3:$AB$164,1)+COUNTIFS($AB$3:AB153,AB153)-1)</f>
        <v/>
      </c>
      <c r="AE153" s="4"/>
    </row>
    <row r="154" spans="1:31" ht="21.95" customHeight="1" x14ac:dyDescent="0.25">
      <c r="A154" s="85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6"/>
      <c r="R154" s="86"/>
      <c r="S154" s="86"/>
      <c r="T154" s="86"/>
      <c r="U154" s="87"/>
      <c r="V154" s="84"/>
      <c r="W154" s="84"/>
      <c r="X154" s="23" t="str">
        <f t="shared" si="24"/>
        <v/>
      </c>
      <c r="Y154" s="23" t="str">
        <f t="shared" si="25"/>
        <v/>
      </c>
      <c r="Z154" s="23" t="str">
        <f t="shared" si="26"/>
        <v/>
      </c>
      <c r="AA154" s="23" t="str">
        <f t="shared" si="27"/>
        <v/>
      </c>
      <c r="AB154" s="23" t="str">
        <f t="shared" ca="1" si="28"/>
        <v/>
      </c>
      <c r="AC154" s="23" t="str">
        <f t="shared" si="29"/>
        <v/>
      </c>
      <c r="AD154" s="23" t="str">
        <f ca="1">IF(OR(A154="",U154="",NOT(ISNUMBER(AB154))),"",RANK(AB154,$AB$3:$AB$164,1)+COUNTIFS($AB$3:AB154,AB154)-1)</f>
        <v/>
      </c>
      <c r="AE154" s="4"/>
    </row>
    <row r="155" spans="1:31" ht="21.95" customHeight="1" x14ac:dyDescent="0.25">
      <c r="A155" s="81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2"/>
      <c r="R155" s="82"/>
      <c r="S155" s="82"/>
      <c r="T155" s="82"/>
      <c r="U155" s="83"/>
      <c r="V155" s="80"/>
      <c r="W155" s="80"/>
      <c r="X155" s="23" t="str">
        <f t="shared" si="24"/>
        <v/>
      </c>
      <c r="Y155" s="23" t="str">
        <f t="shared" si="25"/>
        <v/>
      </c>
      <c r="Z155" s="23" t="str">
        <f t="shared" si="26"/>
        <v/>
      </c>
      <c r="AA155" s="23" t="str">
        <f t="shared" si="27"/>
        <v/>
      </c>
      <c r="AB155" s="23" t="str">
        <f t="shared" ca="1" si="28"/>
        <v/>
      </c>
      <c r="AC155" s="23" t="str">
        <f t="shared" si="29"/>
        <v/>
      </c>
      <c r="AD155" s="23" t="str">
        <f ca="1">IF(OR(A155="",U155="",NOT(ISNUMBER(AB155))),"",RANK(AB155,$AB$3:$AB$164,1)+COUNTIFS($AB$3:AB155,AB155)-1)</f>
        <v/>
      </c>
      <c r="AE155" s="4"/>
    </row>
    <row r="156" spans="1:31" ht="21.95" customHeight="1" x14ac:dyDescent="0.25">
      <c r="A156" s="85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6"/>
      <c r="R156" s="86"/>
      <c r="S156" s="86"/>
      <c r="T156" s="86"/>
      <c r="U156" s="87"/>
      <c r="V156" s="84"/>
      <c r="W156" s="84"/>
      <c r="X156" s="23" t="str">
        <f t="shared" si="24"/>
        <v/>
      </c>
      <c r="Y156" s="23" t="str">
        <f t="shared" si="25"/>
        <v/>
      </c>
      <c r="Z156" s="23" t="str">
        <f t="shared" si="26"/>
        <v/>
      </c>
      <c r="AA156" s="23" t="str">
        <f t="shared" si="27"/>
        <v/>
      </c>
      <c r="AB156" s="23" t="str">
        <f t="shared" ca="1" si="28"/>
        <v/>
      </c>
      <c r="AC156" s="23" t="str">
        <f t="shared" si="29"/>
        <v/>
      </c>
      <c r="AD156" s="23" t="str">
        <f ca="1">IF(OR(A156="",U156="",NOT(ISNUMBER(AB156))),"",RANK(AB156,$AB$3:$AB$164,1)+COUNTIFS($AB$3:AB156,AB156)-1)</f>
        <v/>
      </c>
      <c r="AE156" s="4"/>
    </row>
    <row r="157" spans="1:31" ht="21.95" customHeight="1" x14ac:dyDescent="0.25">
      <c r="A157" s="81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2"/>
      <c r="R157" s="82"/>
      <c r="S157" s="82"/>
      <c r="T157" s="82"/>
      <c r="U157" s="83"/>
      <c r="V157" s="80"/>
      <c r="W157" s="80"/>
      <c r="X157" s="23" t="str">
        <f t="shared" si="24"/>
        <v/>
      </c>
      <c r="Y157" s="23" t="str">
        <f t="shared" si="25"/>
        <v/>
      </c>
      <c r="Z157" s="23" t="str">
        <f t="shared" si="26"/>
        <v/>
      </c>
      <c r="AA157" s="23" t="str">
        <f t="shared" si="27"/>
        <v/>
      </c>
      <c r="AB157" s="23" t="str">
        <f t="shared" ca="1" si="28"/>
        <v/>
      </c>
      <c r="AC157" s="23" t="str">
        <f t="shared" si="29"/>
        <v/>
      </c>
      <c r="AD157" s="23" t="str">
        <f ca="1">IF(OR(A157="",U157="",NOT(ISNUMBER(AB157))),"",RANK(AB157,$AB$3:$AB$164,1)+COUNTIFS($AB$3:AB157,AB157)-1)</f>
        <v/>
      </c>
      <c r="AE157" s="4"/>
    </row>
    <row r="158" spans="1:31" ht="21.95" customHeight="1" x14ac:dyDescent="0.25">
      <c r="A158" s="85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6"/>
      <c r="R158" s="86"/>
      <c r="S158" s="86"/>
      <c r="T158" s="86"/>
      <c r="U158" s="87"/>
      <c r="V158" s="84"/>
      <c r="W158" s="84"/>
      <c r="X158" s="23" t="str">
        <f t="shared" si="24"/>
        <v/>
      </c>
      <c r="Y158" s="23" t="str">
        <f t="shared" si="25"/>
        <v/>
      </c>
      <c r="Z158" s="23" t="str">
        <f t="shared" si="26"/>
        <v/>
      </c>
      <c r="AA158" s="23" t="str">
        <f t="shared" si="27"/>
        <v/>
      </c>
      <c r="AB158" s="23" t="str">
        <f t="shared" ca="1" si="28"/>
        <v/>
      </c>
      <c r="AC158" s="23" t="str">
        <f t="shared" si="29"/>
        <v/>
      </c>
      <c r="AD158" s="23" t="str">
        <f ca="1">IF(OR(A158="",U158="",NOT(ISNUMBER(AB158))),"",RANK(AB158,$AB$3:$AB$164,1)+COUNTIFS($AB$3:AB158,AB158)-1)</f>
        <v/>
      </c>
      <c r="AE158" s="4"/>
    </row>
    <row r="159" spans="1:31" ht="21.95" customHeight="1" x14ac:dyDescent="0.25">
      <c r="A159" s="81"/>
      <c r="B159" s="80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80"/>
      <c r="P159" s="80"/>
      <c r="Q159" s="82"/>
      <c r="R159" s="82"/>
      <c r="S159" s="82"/>
      <c r="T159" s="82"/>
      <c r="U159" s="83"/>
      <c r="V159" s="80"/>
      <c r="W159" s="80"/>
      <c r="X159" s="23" t="str">
        <f t="shared" si="24"/>
        <v/>
      </c>
      <c r="Y159" s="23" t="str">
        <f t="shared" si="25"/>
        <v/>
      </c>
      <c r="Z159" s="23" t="str">
        <f t="shared" si="26"/>
        <v/>
      </c>
      <c r="AA159" s="23" t="str">
        <f t="shared" si="27"/>
        <v/>
      </c>
      <c r="AB159" s="23" t="str">
        <f t="shared" ca="1" si="28"/>
        <v/>
      </c>
      <c r="AC159" s="23" t="str">
        <f t="shared" si="29"/>
        <v/>
      </c>
      <c r="AD159" s="23" t="str">
        <f ca="1">IF(OR(A159="",U159="",NOT(ISNUMBER(AB159))),"",RANK(AB159,$AB$3:$AB$164,1)+COUNTIFS($AB$3:AB159,AB159)-1)</f>
        <v/>
      </c>
      <c r="AE159" s="4"/>
    </row>
    <row r="160" spans="1:31" ht="21.95" customHeight="1" x14ac:dyDescent="0.25">
      <c r="A160" s="85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6"/>
      <c r="R160" s="86"/>
      <c r="S160" s="86"/>
      <c r="T160" s="86"/>
      <c r="U160" s="87"/>
      <c r="V160" s="84"/>
      <c r="W160" s="84"/>
      <c r="X160" s="23" t="str">
        <f t="shared" si="24"/>
        <v/>
      </c>
      <c r="Y160" s="23" t="str">
        <f t="shared" si="25"/>
        <v/>
      </c>
      <c r="Z160" s="23" t="str">
        <f t="shared" si="26"/>
        <v/>
      </c>
      <c r="AA160" s="23" t="str">
        <f t="shared" si="27"/>
        <v/>
      </c>
      <c r="AB160" s="23" t="str">
        <f t="shared" ca="1" si="28"/>
        <v/>
      </c>
      <c r="AC160" s="23" t="str">
        <f t="shared" si="29"/>
        <v/>
      </c>
      <c r="AD160" s="23" t="str">
        <f ca="1">IF(OR(A160="",U160="",NOT(ISNUMBER(AB160))),"",RANK(AB160,$AB$3:$AB$164,1)+COUNTIFS($AB$3:AB160,AB160)-1)</f>
        <v/>
      </c>
      <c r="AE160" s="4"/>
    </row>
    <row r="161" spans="1:31" ht="21.95" customHeight="1" x14ac:dyDescent="0.25">
      <c r="A161" s="81"/>
      <c r="B161" s="80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0"/>
      <c r="N161" s="80"/>
      <c r="O161" s="80"/>
      <c r="P161" s="80"/>
      <c r="Q161" s="82"/>
      <c r="R161" s="82"/>
      <c r="S161" s="82"/>
      <c r="T161" s="82"/>
      <c r="U161" s="83"/>
      <c r="V161" s="80"/>
      <c r="W161" s="80"/>
      <c r="X161" s="23" t="str">
        <f t="shared" si="24"/>
        <v/>
      </c>
      <c r="Y161" s="23" t="str">
        <f t="shared" si="25"/>
        <v/>
      </c>
      <c r="Z161" s="23" t="str">
        <f t="shared" si="26"/>
        <v/>
      </c>
      <c r="AA161" s="23" t="str">
        <f t="shared" si="27"/>
        <v/>
      </c>
      <c r="AB161" s="23" t="str">
        <f t="shared" ca="1" si="28"/>
        <v/>
      </c>
      <c r="AC161" s="23" t="str">
        <f t="shared" si="29"/>
        <v/>
      </c>
      <c r="AD161" s="23" t="str">
        <f ca="1">IF(OR(A161="",U161="",NOT(ISNUMBER(AB161))),"",RANK(AB161,$AB$3:$AB$164,1)+COUNTIFS($AB$3:AB161,AB161)-1)</f>
        <v/>
      </c>
      <c r="AE161" s="4"/>
    </row>
    <row r="162" spans="1:31" ht="21.95" customHeight="1" x14ac:dyDescent="0.25">
      <c r="A162" s="85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6"/>
      <c r="R162" s="86"/>
      <c r="S162" s="86"/>
      <c r="T162" s="86"/>
      <c r="U162" s="87"/>
      <c r="V162" s="84"/>
      <c r="W162" s="84"/>
      <c r="X162" s="23" t="str">
        <f t="shared" si="24"/>
        <v/>
      </c>
      <c r="Y162" s="23" t="str">
        <f t="shared" si="25"/>
        <v/>
      </c>
      <c r="Z162" s="23" t="str">
        <f t="shared" si="26"/>
        <v/>
      </c>
      <c r="AA162" s="23" t="str">
        <f t="shared" si="27"/>
        <v/>
      </c>
      <c r="AB162" s="23" t="str">
        <f t="shared" ca="1" si="28"/>
        <v/>
      </c>
      <c r="AC162" s="23" t="str">
        <f t="shared" si="29"/>
        <v/>
      </c>
      <c r="AD162" s="23" t="str">
        <f ca="1">IF(OR(A162="",U162="",NOT(ISNUMBER(AB162))),"",RANK(AB162,$AB$3:$AB$164,1)+COUNTIFS($AB$3:AB162,AB162)-1)</f>
        <v/>
      </c>
      <c r="AE162" s="4"/>
    </row>
    <row r="163" spans="1:31" ht="21.95" customHeight="1" x14ac:dyDescent="0.25">
      <c r="A163" s="81"/>
      <c r="B163" s="80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2"/>
      <c r="R163" s="82"/>
      <c r="S163" s="82"/>
      <c r="T163" s="82"/>
      <c r="U163" s="83"/>
      <c r="V163" s="80"/>
      <c r="W163" s="80"/>
      <c r="X163" s="23" t="str">
        <f t="shared" si="24"/>
        <v/>
      </c>
      <c r="Y163" s="23" t="str">
        <f t="shared" si="25"/>
        <v/>
      </c>
      <c r="Z163" s="23" t="str">
        <f t="shared" si="26"/>
        <v/>
      </c>
      <c r="AA163" s="23" t="str">
        <f t="shared" si="27"/>
        <v/>
      </c>
      <c r="AB163" s="23" t="str">
        <f t="shared" ca="1" si="28"/>
        <v/>
      </c>
      <c r="AC163" s="23" t="str">
        <f t="shared" ref="AC163:AC194" si="30">IF(A163="","",IF(AND(T163="",U163=""),"",IF(T163="","SEM CAMINHO",IF(U163="","SEM DATA",IFERROR(IF(AB163&lt;15,"VERMELHO",IF(AB163&lt;=30,"AMARELO","VERDE")),"DATA INVALIDA")))))</f>
        <v/>
      </c>
      <c r="AD163" s="23" t="str">
        <f ca="1">IF(OR(A163="",U163="",NOT(ISNUMBER(AB163))),"",RANK(AB163,$AB$3:$AB$164,1)+COUNTIFS($AB$3:AB163,AB163)-1)</f>
        <v/>
      </c>
      <c r="AE163" s="4"/>
    </row>
    <row r="164" spans="1:31" ht="21.95" customHeight="1" x14ac:dyDescent="0.25">
      <c r="A164" s="85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6"/>
      <c r="R164" s="86"/>
      <c r="S164" s="86"/>
      <c r="T164" s="86"/>
      <c r="U164" s="87"/>
      <c r="V164" s="84"/>
      <c r="W164" s="84"/>
      <c r="X164" s="23" t="str">
        <f t="shared" si="24"/>
        <v/>
      </c>
      <c r="Y164" s="23" t="str">
        <f t="shared" si="25"/>
        <v/>
      </c>
      <c r="Z164" s="23" t="str">
        <f t="shared" si="26"/>
        <v/>
      </c>
      <c r="AA164" s="23" t="str">
        <f t="shared" si="27"/>
        <v/>
      </c>
      <c r="AB164" s="23" t="str">
        <f t="shared" ca="1" si="28"/>
        <v/>
      </c>
      <c r="AC164" s="23" t="str">
        <f t="shared" si="30"/>
        <v/>
      </c>
      <c r="AD164" s="23" t="str">
        <f ca="1">IF(OR(A164="",U164="",NOT(ISNUMBER(AB164))),"",RANK(AB164,$AB$3:$AB$164,1)+COUNTIFS($AB$3:AB164,AB164)-1)</f>
        <v/>
      </c>
      <c r="AE164" s="4"/>
    </row>
  </sheetData>
  <autoFilter ref="A2:W164" xr:uid="{00000000-0009-0000-0000-000009000000}"/>
  <mergeCells count="1">
    <mergeCell ref="A1:W1"/>
  </mergeCells>
  <phoneticPr fontId="1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B7D5D-2399-4C15-B489-043258DCDA9B}">
  <dimension ref="A1:F11"/>
  <sheetViews>
    <sheetView showGridLines="0" workbookViewId="0"/>
  </sheetViews>
  <sheetFormatPr defaultRowHeight="15" x14ac:dyDescent="0.25"/>
  <cols>
    <col min="1" max="1" customWidth="true" width="24.0"/>
    <col min="2" max="2" customWidth="true" width="42.0"/>
    <col min="3" max="3" customWidth="true" width="28.0"/>
    <col min="5" max="5" customWidth="true" width="24.0"/>
    <col min="6" max="6" customWidth="true" width="18.0"/>
  </cols>
  <sheetData>
    <row r="1" spans="1:6" x14ac:dyDescent="0.25">
      <c r="A1" s="254" t="s">
        <v>416</v>
      </c>
      <c r="B1" s="255"/>
      <c r="C1" s="255"/>
      <c r="D1" s="255"/>
      <c r="E1" s="255"/>
      <c r="F1" s="255"/>
    </row>
    <row r="2" spans="1:6" x14ac:dyDescent="0.25">
      <c r="A2" s="110" t="s">
        <v>417</v>
      </c>
      <c r="B2" s="111" t="s">
        <v>418</v>
      </c>
      <c r="C2" s="112" t="s">
        <v>419</v>
      </c>
      <c r="D2" s="113" t="s">
        <v>420</v>
      </c>
      <c r="E2" s="114" t="s">
        <v>421</v>
      </c>
      <c r="F2" s="115" t="s">
        <v>422</v>
      </c>
    </row>
    <row r="3" spans="1:6" x14ac:dyDescent="0.25">
      <c r="A3" s="116" t="s">
        <v>412</v>
      </c>
      <c r="B3" s="116" t="s">
        <v>423</v>
      </c>
      <c r="C3" s="116" t="s">
        <v>407</v>
      </c>
      <c r="E3" s="121" t="s">
        <v>428</v>
      </c>
      <c r="F3" s="121" t="s">
        <v>429</v>
      </c>
    </row>
    <row r="4" spans="1:6" ht="25.5" x14ac:dyDescent="0.25">
      <c r="A4" s="117" t="s">
        <v>424</v>
      </c>
      <c r="B4" s="117" t="s">
        <v>425</v>
      </c>
      <c r="C4" s="117" t="s">
        <v>407</v>
      </c>
      <c r="E4" s="122" t="s">
        <v>430</v>
      </c>
      <c r="F4" s="122" t="s">
        <v>431</v>
      </c>
    </row>
    <row r="5" spans="1:6" x14ac:dyDescent="0.25">
      <c r="A5" s="118" t="s">
        <v>14</v>
      </c>
      <c r="B5" s="118" t="s">
        <v>426</v>
      </c>
      <c r="C5" s="118" t="s">
        <v>427</v>
      </c>
      <c r="E5" s="123" t="s">
        <v>432</v>
      </c>
      <c r="F5" s="123" t="s">
        <v>433</v>
      </c>
    </row>
    <row r="6" spans="1:6" x14ac:dyDescent="0.25">
      <c r="A6" s="119" t="s">
        <v>49</v>
      </c>
      <c r="B6" s="119" t="s">
        <v>426</v>
      </c>
      <c r="C6" s="119" t="s">
        <v>427</v>
      </c>
      <c r="E6" s="124" t="s">
        <v>434</v>
      </c>
      <c r="F6" s="124" t="s">
        <v>435</v>
      </c>
    </row>
    <row r="7" spans="1:6" x14ac:dyDescent="0.25">
      <c r="A7" s="120" t="s">
        <v>5</v>
      </c>
      <c r="B7" s="120" t="s">
        <v>426</v>
      </c>
      <c r="C7" s="120" t="s">
        <v>427</v>
      </c>
      <c r="E7" s="125" t="s">
        <v>436</v>
      </c>
      <c r="F7" s="125" t="s">
        <v>437</v>
      </c>
    </row>
    <row r="9" spans="1:6" x14ac:dyDescent="0.25">
      <c r="A9" s="126" t="s">
        <v>451</v>
      </c>
      <c r="B9" s="127" t="s">
        <v>452</v>
      </c>
      <c r="C9" s="128" t="s">
        <v>419</v>
      </c>
    </row>
    <row r="10" spans="1:6" ht="25.5" x14ac:dyDescent="0.25">
      <c r="A10" s="129" t="s">
        <v>453</v>
      </c>
      <c r="B10" s="129">
        <v>0</v>
      </c>
      <c r="C10" s="129" t="s">
        <v>454</v>
      </c>
    </row>
    <row r="11" spans="1:6" ht="25.5" x14ac:dyDescent="0.25">
      <c r="A11" s="130" t="s">
        <v>455</v>
      </c>
      <c r="B11" s="130">
        <v>0</v>
      </c>
      <c r="C11" s="130" t="s">
        <v>456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DASHBOARD</vt:lpstr>
      <vt:lpstr>CADASTRO ABRIL</vt:lpstr>
      <vt:lpstr>CADASTRO MAIO</vt:lpstr>
      <vt:lpstr>CADASTRO JUNHO</vt:lpstr>
      <vt:lpstr>CADASTRO JULHO</vt:lpstr>
      <vt:lpstr>CADASTRO AGOSTO</vt:lpstr>
      <vt:lpstr>CADASTRO SETEMBRO</vt:lpstr>
      <vt:lpstr>CADASTRO OUTUBRO</vt:lpstr>
      <vt:lpstr>CADASTRO NOVEMBRO</vt:lpstr>
      <vt:lpstr>CADASTRO DEZEMBRO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2026-04-30T15:03:48Z</dcterms:created>
  <dc:creator>Thiago Caetano Faria</dc:creator>
  <cp:lastModifiedBy>Thiago Caetano Faria</cp:lastModifiedBy>
  <dcterms:modified xsi:type="dcterms:W3CDTF">2026-05-07T18:40:59Z</dcterms:modified>
</cp:coreProperties>
</file>