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5dec15f66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PROTONS" sheetId="1" r:id="Rc146c2ba72e34bf9"/>
    <x:sheet xmlns:r="http://schemas.openxmlformats.org/officeDocument/2006/relationships" name="BANCO_DE_DADOS" sheetId="2" r:id="R6ed9042516424148"/>
    <x:sheet xmlns:r="http://schemas.openxmlformats.org/officeDocument/2006/relationships" name="CONFIG" sheetId="3" r:id="R67174dbdfd304dae"/>
    <x:sheet xmlns:r="http://schemas.openxmlformats.org/officeDocument/2006/relationships" name="GUIA_USO" sheetId="4" r:id="Rdd9cbbff730b4970"/>
    <x:sheet xmlns:r="http://schemas.openxmlformats.org/officeDocument/2006/relationships" name="BASE_ORIGINAL" sheetId="5" r:id="R6812e2dc44b2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20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0"/>
      <x:color rgb="9FBAD0"/>
      <x:name val="Carlito"/>
    </x:font>
    <x:font>
      <x:b/>
      <x:sz val="10"/>
      <x:color rgb="FFFFFF"/>
      <x:name val="Carlito"/>
    </x:font>
    <x:font>
      <x:sz val="9"/>
      <x:color rgb="0F172A"/>
      <x:name val="Carlito"/>
    </x:font>
    <x:font>
      <x:sz val="8"/>
      <x:color rgb="0F172A"/>
      <x:name val="Carlito"/>
    </x:font>
    <x:font>
      <x:b/>
      <x:sz val="9"/>
      <x:color rgb="0F172A"/>
      <x:name val="Carlito"/>
    </x:font>
    <x:font>
      <x:sz val="10"/>
      <x:color rgb="EAF6FF"/>
      <x:name val="Carlito"/>
    </x:font>
    <x:font>
      <x:b/>
      <x:sz val="20"/>
      <x:color rgb="FFFFFF"/>
      <x:name val="Carlito"/>
    </x:font>
    <x:font>
      <x:i/>
      <x:sz val="10"/>
      <x:color rgb="22D3EE"/>
      <x:name val="Carlito"/>
    </x:font>
    <x:font>
      <x:b/>
      <x:sz val="9"/>
      <x:color rgb="22D3EE"/>
      <x:name val="Carlito"/>
    </x:font>
    <x:font>
      <x:b/>
      <x:sz val="22"/>
      <x:color rgb="FFFFFF"/>
      <x:name val="Carlito"/>
    </x:font>
    <x:font>
      <x:sz val="8"/>
      <x:color rgb="9FBAD0"/>
      <x:name val="Carlito"/>
    </x:font>
    <x:font>
      <x:b/>
      <x:sz val="10"/>
      <x:color rgb="22D3EE"/>
      <x:name val="Carlito"/>
    </x:font>
    <x:font>
      <x:sz val="9"/>
      <x:color rgb="EAF6FF"/>
      <x:name val="Carlito"/>
    </x:font>
    <x:font>
      <x:sz val="10"/>
      <x:color rgb="9FBAD0"/>
      <x:name val="Carlito"/>
    </x:font>
    <x:font>
      <x:b/>
      <x:sz val="16"/>
      <x:color rgb="FFFFFF"/>
      <x:name val="Carlito"/>
    </x:font>
    <x:font>
      <x:b/>
      <x:sz val="11"/>
      <x:color rgb="22D3EE"/>
      <x:name val="Carlito"/>
    </x:font>
    <x:font>
      <x:sz val="11"/>
      <x:color rgb="0F172A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0A2F52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061A2F"/>
      </x:patternFill>
    </x:fill>
    <x:fill>
      <x:patternFill patternType="solid">
        <x:fgColor rgb="08243E"/>
      </x:patternFill>
    </x:fill>
    <x:fill>
      <x:patternFill patternType="solid">
        <x:fgColor rgb="F8FBFF"/>
      </x:patternFill>
    </x:fill>
    <x:fill>
      <x:patternFill patternType="solid">
        <x:fgColor rgb="EFF6FF"/>
      </x:patternFill>
    </x:fill>
    <x:fill>
      <x:patternFill patternType="solid">
        <x:fgColor rgb="EEF6FF"/>
      </x:patternFill>
    </x:fill>
    <x:fill>
      <x:patternFill patternType="solid">
        <x:fgColor rgb="0B2545"/>
      </x:patternFill>
    </x:fill>
    <x:fill>
      <x:patternFill patternType="solid">
        <x:fgColor rgb="0D315A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200" fontId="5" fillId="7" borderId="0" xfId="0" applyNumberFormat="1" applyFont="1" applyFill="1" applyBorder="1" applyAlignment="1">
      <x:alignment vertical="center" wrapText="1"/>
    </x:xf>
    <x:xf numFmtId="200" fontId="5" fillId="7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11" fillId="11" borderId="1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2" fillId="10" borderId="1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13" fillId="10" borderId="1" xfId="0" applyNumberFormat="1" applyFont="1" applyFill="1" applyBorder="1" applyAlignment="1">
      <x:alignment horizontal="center" vertical="center"/>
    </x:xf>
    <x:xf numFmtId="201" fontId="12" fillId="10" borderId="0" xfId="0" applyNumberFormat="1" applyFont="1" applyFill="1" applyBorder="1" applyAlignment="1">
      <x:alignment horizontal="center" vertical="center"/>
    </x:xf>
    <x:xf numFmtId="201" fontId="12" fillId="10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4" fillId="11" borderId="0" xfId="0" applyNumberFormat="1" applyFont="1" applyFill="1" applyBorder="1" applyAlignment="1">
      <x:alignment horizontal="center" vertical="center"/>
    </x:xf>
    <x:xf numFmtId="0" fontId="14" fillId="11" borderId="1" xfId="0" applyNumberFormat="1" applyFont="1" applyFill="1" applyBorder="1" applyAlignment="1">
      <x:alignment horizontal="center" vertical="center"/>
    </x:xf>
    <x:xf numFmtId="201" fontId="8" fillId="10" borderId="0" xfId="0" applyNumberFormat="1" applyFont="1" applyFill="1" applyBorder="1" applyAlignment="1">
      <x:alignment horizontal="center" vertical="center"/>
    </x:xf>
    <x:xf numFmtId="201" fontId="8" fillId="10" borderId="1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horizontal="center"/>
    </x:xf>
    <x:xf numFmtId="0" fontId="14" fillId="11" borderId="0" xfId="0" applyNumberFormat="1" applyFont="1" applyFill="1" applyBorder="1" applyAlignment="1">
      <x:alignment horizontal="center"/>
    </x:xf>
    <x:xf numFmtId="0" fontId="8" fillId="11" borderId="1" xfId="0" applyNumberFormat="1" applyFont="1" applyFill="1" applyBorder="1" applyAlignment="1">
      <x:alignment horizontal="center"/>
    </x:xf>
    <x:xf numFmtId="0" fontId="14" fillId="11" borderId="1" xfId="0" applyNumberFormat="1" applyFont="1" applyFill="1" applyBorder="1" applyAlignment="1">
      <x:alignment horizontal="center"/>
    </x:xf>
    <x:xf numFmtId="201" fontId="8" fillId="10" borderId="0" xfId="0" applyNumberFormat="1" applyFont="1" applyFill="1" applyBorder="1" applyAlignment="1">
      <x:alignment horizontal="center"/>
    </x:xf>
    <x:xf numFmtId="201" fontId="8" fillId="10" borderId="1" xfId="0" applyNumberFormat="1" applyFont="1" applyFill="1" applyBorder="1" applyAlignment="1">
      <x:alignment horizontal="center"/>
    </x:xf>
    <x:xf numFmtId="0" fontId="8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8" fillId="12" borderId="1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horizontal="center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vertical="center" wrapText="1"/>
    </x:xf>
    <x:xf numFmtId="0" fontId="15" fillId="10" borderId="1" xfId="0" applyNumberFormat="1" applyFont="1" applyFill="1" applyBorder="1"/>
    <x:xf numFmtId="0" fontId="15" fillId="10" borderId="1" xfId="0" applyNumberFormat="1" applyFont="1" applyFill="1" applyBorder="1" applyAlignment="1">
      <x:alignment wrapText="1"/>
    </x:xf>
    <x:xf numFmtId="0" fontId="15" fillId="10" borderId="1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wrapText="1"/>
    </x:xf>
    <x:xf numFmtId="0" fontId="16" fillId="6" borderId="0" xfId="0" applyNumberFormat="1" applyFont="1" applyFill="1" applyBorder="1" applyAlignment="1">
      <x:alignment horizont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6" fillId="6" borderId="1" xfId="0" applyNumberFormat="1" applyFont="1" applyFill="1" applyBorder="1"/>
    <x:xf numFmtId="0" fontId="16" fillId="6" borderId="1" xfId="0" applyNumberFormat="1" applyFont="1" applyFill="1" applyBorder="1" applyAlignment="1">
      <x:alignment wrapText="1"/>
    </x:xf>
    <x:xf numFmtId="0" fontId="16" fillId="6" borderId="1" xfId="0" applyNumberFormat="1" applyFont="1" applyFill="1" applyBorder="1" applyAlignment="1">
      <x:alignment horizontal="center" wrapText="1"/>
    </x:xf>
    <x:xf numFmtId="0" fontId="16" fillId="6" borderId="1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/>
    <x:xf numFmtId="0" fontId="17" fillId="5" borderId="0" xfId="0" applyNumberFormat="1" applyFont="1" applyFill="1" applyBorder="1" applyAlignment="1">
      <x:alignment horizontal="center"/>
    </x:xf>
    <x:xf numFmtId="0" fontId="17" fillId="5" borderId="1" xfId="0" applyNumberFormat="1" applyFont="1" applyFill="1" applyBorder="1"/>
    <x:xf numFmtId="0" fontId="17" fillId="5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vertical="center"/>
    </x:xf>
    <x:xf numFmtId="0" fontId="0" fillId="11" borderId="1" xfId="0" applyNumberFormat="1" applyFont="1" applyFill="1" applyBorder="1"/>
    <x:xf numFmtId="0" fontId="18" fillId="11" borderId="1" xfId="0" applyNumberFormat="1" applyFont="1" applyFill="1" applyBorder="1"/>
    <x:xf numFmtId="0" fontId="18" fillId="11" borderId="1" xfId="0" applyNumberFormat="1" applyFont="1" applyFill="1" applyBorder="1" applyAlignment="1">
      <x:alignment vertical="center"/>
    </x:xf>
    <x:xf numFmtId="0" fontId="19" fillId="7" borderId="0" xfId="0" applyNumberFormat="1" applyFont="1" applyFill="1" applyBorder="1"/>
    <x:xf numFmtId="0" fontId="19" fillId="7" borderId="0" xfId="0" applyNumberFormat="1" applyFont="1" applyFill="1" applyBorder="1" applyAlignment="1">
      <x:alignment wrapText="1"/>
    </x:xf>
    <x:xf numFmtId="0" fontId="19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334155"/>
      </x:font>
      <x:fill>
        <x:patternFill patternType="solid">
          <x:bgColor rgb="E2E8F0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334155"/>
      </x:font>
      <x:fill>
        <x:patternFill patternType="solid">
          <x:bgColor rgb="E2E8F0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334155"/>
      </x:font>
      <x:fill>
        <x:patternFill patternType="solid">
          <x:bgColor rgb="E2E8F0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334155"/>
      </x:font>
      <x:fill>
        <x:patternFill patternType="solid">
          <x:bgColor rgb="E2E8F0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0369A1"/>
      </x:font>
      <x:fill>
        <x:patternFill patternType="solid">
          <x:bgColor rgb="E0F2FE"/>
        </x:patternFill>
      </x:fill>
    </x:dxf>
    <x:dxf>
      <x:font>
        <x:b/>
        <x:color rgb="475569"/>
      </x:font>
      <x:fill>
        <x:patternFill patternType="solid">
          <x:bgColor rgb="F1F5F9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c1e88ebc64843" /><Relationship Type="http://schemas.openxmlformats.org/officeDocument/2006/relationships/theme" Target="/xl/theme/theme1.xml" Id="R681ccad11b2348cc" /><Relationship Type="http://schemas.openxmlformats.org/officeDocument/2006/relationships/sharedStrings" Target="/xl/sharedStrings.xml" Id="R0d1cb6c9338b43b4" /><Relationship Type="http://schemas.openxmlformats.org/officeDocument/2006/relationships/worksheet" Target="/xl/worksheets/sheet1.xml" Id="Rc146c2ba72e34bf9" /><Relationship Type="http://schemas.openxmlformats.org/officeDocument/2006/relationships/worksheet" Target="/xl/worksheets/sheet2.xml" Id="R6ed9042516424148" /><Relationship Type="http://schemas.openxmlformats.org/officeDocument/2006/relationships/worksheet" Target="/xl/worksheets/sheet3.xml" Id="R67174dbdfd304dae" /><Relationship Type="http://schemas.openxmlformats.org/officeDocument/2006/relationships/worksheet" Target="/xl/worksheets/sheet4.xml" Id="Rdd9cbbff730b4970" /><Relationship Type="http://schemas.openxmlformats.org/officeDocument/2006/relationships/worksheet" Target="/xl/worksheets/sheet5.xml" Id="R6812e2dc44b247b7" /></Relationships>
</file>

<file path=xl/tables/table1.xml><?xml version="1.0" encoding="utf-8"?>
<x:table xmlns:x="http://schemas.openxmlformats.org/spreadsheetml/2006/main" id="1" name="tblFiscalProtons" displayName="tblFiscalProtons" ref="A4:AA136" headerRowCount="1">
  <x:tableColumns count="27">
    <x:tableColumn id="1" name="CLIENTE"/>
    <x:tableColumn id="2" name="GRUPO ECONÔMICO"/>
    <x:tableColumn id="3" name="EMPRESA / CIDADE"/>
    <x:tableColumn id="4" name="CNPJ"/>
    <x:tableColumn id="5" name="INSCRIÇÃO ESTADUAL"/>
    <x:tableColumn id="6" name="CONTATO"/>
    <x:tableColumn id="7" name="REGIME TRIBUTÁRIO"/>
    <x:tableColumn id="8" name="PRIORIDADE"/>
    <x:tableColumn id="9" name="REST - DATA/STATUS"/>
    <x:tableColumn id="10" name="REST - QTD NOTAS"/>
    <x:tableColumn id="11" name="DMS - DATA/STATUS"/>
    <x:tableColumn id="12" name="DMS - QTD NOTAS"/>
    <x:tableColumn id="13" name="ENTRADA - DATA/STATUS"/>
    <x:tableColumn id="14" name="ENTRADA - QTD/UF"/>
    <x:tableColumn id="15" name="SAÍDA - DATA/STATUS"/>
    <x:tableColumn id="16" name="SAÍDA - QTD/UF"/>
    <x:tableColumn id="17" name="CAMINHO DMS"/>
    <x:tableColumn id="18" name="CAMINHO REST"/>
    <x:tableColumn id="19" name="CAMINHO PRÉVIA"/>
    <x:tableColumn id="20" name="STATUS REST"/>
    <x:tableColumn id="21" name="STATUS DMS"/>
    <x:tableColumn id="22" name="STATUS ENTRADA"/>
    <x:tableColumn id="23" name="STATUS SAÍDA"/>
    <x:tableColumn id="24" name="PASTA DMS?"/>
    <x:tableColumn id="25" name="PASTA REST?"/>
    <x:tableColumn id="26" name="RISCO OPERACIONAL"/>
    <x:tableColumn id="27" name="AÇÃO RECOMEND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38692ec8fa41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3" hidden="0" customWidth="1"/>
    <x:col min="8" max="8" width="18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68" t="str">
        <x:v>⚛ PROTONS CONSULTORIA  |  FISCAL COMMAND CENTER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</x:row>
    <x:row r="2" ht="32" customHeight="1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</x:row>
    <x:row r="3" ht="24" customHeight="1">
      <x:c r="A3" s="74" t="str">
        <x:v>Controle visual de importações fiscais • banco de dados + indicadores executivos • visual azul futurista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</x:row>
    <x:row r="4" ht="24" customHeight="1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</x:row>
    <x:row r="5" ht="24" customHeight="1">
      <x:c r="A5" s="85" t="str">
        <x:v>CLIENTES</x:v>
      </x:c>
      <x:c r="B5" s="80"/>
      <x:c r="C5" s="80"/>
      <x:c r="D5" s="85" t="str">
        <x:v>PRIORIDADE A</x:v>
      </x:c>
      <x:c r="E5" s="80"/>
      <x:c r="F5" s="80"/>
      <x:c r="G5" s="64"/>
      <x:c r="H5" s="85" t="str">
        <x:v>ALERTAS</x:v>
      </x:c>
      <x:c r="I5" s="80"/>
      <x:c r="J5" s="80"/>
      <x:c r="K5" s="85" t="str">
        <x:v>PASTAS REST</x:v>
      </x:c>
      <x:c r="L5" s="80"/>
      <x:c r="M5" s="80"/>
      <x:c r="N5" s="85" t="str">
        <x:v>% OK</x:v>
      </x:c>
      <x:c r="O5" s="80"/>
    </x:row>
    <x:row r="6" ht="24" customHeight="1">
      <x:c r="A6" s="88" t="n">
        <x:f>COUNTA(BANCO_DE_DADOS!$A$5:$A$136)</x:f>
        <x:v>132</x:v>
      </x:c>
      <x:c r="B6" s="80"/>
      <x:c r="C6" s="80"/>
      <x:c r="D6" s="88" t="n">
        <x:f>COUNTIF(BANCO_DE_DADOS!$H$5:$H$136,"A")</x:f>
        <x:v>43</x:v>
      </x:c>
      <x:c r="E6" s="80"/>
      <x:c r="F6" s="80"/>
      <x:c r="G6" s="64"/>
      <x:c r="H6" s="88" t="n">
        <x:f>COUNTIF(BANCO_DE_DADOS!$T$5:$W$136,"ALERTA")</x:f>
        <x:v>107</x:v>
      </x:c>
      <x:c r="I6" s="80"/>
      <x:c r="J6" s="80"/>
      <x:c r="K6" s="88" t="n">
        <x:f>COUNTIF(BANCO_DE_DADOS!$Y$5:$Y$136,"SIM")</x:f>
        <x:v>7</x:v>
      </x:c>
      <x:c r="L6" s="80"/>
      <x:c r="M6" s="80"/>
      <x:c r="N6" s="92" t="n">
        <x:f>IFERROR(COUNTIF(BANCO_DE_DADOS!$T$5:$W$136,"OK")/(COUNTA(BANCO_DE_DADOS!$A$5:$A$136)*4),0)</x:f>
        <x:v>0.19318181818181818</x:v>
      </x:c>
      <x:c r="O6" s="80"/>
    </x:row>
    <x:row r="7" ht="24" customHeight="1">
      <x:c r="A7" s="80"/>
      <x:c r="B7" s="80"/>
      <x:c r="C7" s="80"/>
      <x:c r="D7" s="80"/>
      <x:c r="E7" s="80"/>
      <x:c r="F7" s="80"/>
      <x:c r="G7" s="64"/>
      <x:c r="H7" s="80"/>
      <x:c r="I7" s="80"/>
      <x:c r="J7" s="80"/>
      <x:c r="K7" s="80"/>
      <x:c r="L7" s="80"/>
      <x:c r="M7" s="80"/>
      <x:c r="N7" s="80"/>
      <x:c r="O7" s="80"/>
    </x:row>
    <x:row r="8" ht="24" customHeight="1">
      <x:c r="A8" s="90" t="str">
        <x:v>Total na base</x:v>
      </x:c>
      <x:c r="B8" s="80"/>
      <x:c r="C8" s="80"/>
      <x:c r="D8" s="90" t="str">
        <x:v>Clientes críticos</x:v>
      </x:c>
      <x:c r="E8" s="80"/>
      <x:c r="F8" s="80"/>
      <x:c r="G8" s="64"/>
      <x:c r="H8" s="90" t="str">
        <x:v>Pendências críticas</x:v>
      </x:c>
      <x:c r="I8" s="80"/>
      <x:c r="J8" s="80"/>
      <x:c r="K8" s="90" t="str">
        <x:v>Caminhos configurados</x:v>
      </x:c>
      <x:c r="L8" s="80"/>
      <x:c r="M8" s="80"/>
      <x:c r="N8" s="90" t="str">
        <x:v>Conclusão geral</x:v>
      </x:c>
      <x:c r="O8" s="80"/>
    </x:row>
    <x:row r="9" ht="24" customHeight="1">
      <x:c r="A9" s="64"/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</x:row>
    <x:row r="10" ht="24" customHeight="1">
      <x:c r="A10" s="95" t="str">
        <x:v>🧭 MATRIZ OPERACIONAL</x:v>
      </x:c>
      <x:c r="B10" s="95"/>
      <x:c r="C10" s="95"/>
      <x:c r="D10" s="95"/>
      <x:c r="E10" s="95"/>
      <x:c r="F10" s="95"/>
      <x:c r="G10" s="64"/>
      <x:c r="H10" s="95" t="str">
        <x:v>📊 DISTRIBUIÇÃO ESTRATÉGICA</x:v>
      </x:c>
      <x:c r="I10" s="95"/>
      <x:c r="J10" s="95"/>
      <x:c r="K10" s="95"/>
      <x:c r="L10" s="95"/>
      <x:c r="M10" s="95"/>
      <x:c r="N10" s="95"/>
      <x:c r="O10" s="95"/>
    </x:row>
    <x:row r="11" ht="24" customHeight="1">
      <x:c r="A11" s="98" t="str">
        <x:v>ROTINA</x:v>
      </x:c>
      <x:c r="B11" s="98" t="str">
        <x:v>OK</x:v>
      </x:c>
      <x:c r="C11" s="98" t="str">
        <x:v>PENDENTE</x:v>
      </x:c>
      <x:c r="D11" s="98" t="str">
        <x:v>ALERTA</x:v>
      </x:c>
      <x:c r="E11" s="98" t="str">
        <x:v>DISP.</x:v>
      </x:c>
      <x:c r="F11" s="98" t="str">
        <x:v>% OK</x:v>
      </x:c>
      <x:c r="G11" s="64"/>
      <x:c r="H11" s="103" t="str">
        <x:v>PRIORIDADE</x:v>
      </x:c>
      <x:c r="I11" s="103" t="str">
        <x:v>QTD</x:v>
      </x:c>
      <x:c r="J11" s="103" t="str">
        <x:v>PESO</x:v>
      </x:c>
      <x:c r="K11" s="64"/>
      <x:c r="L11" s="103" t="str">
        <x:v>RISCO</x:v>
      </x:c>
      <x:c r="M11" s="103" t="str">
        <x:v>QTD</x:v>
      </x:c>
      <x:c r="N11" s="103" t="str">
        <x:v>PESO</x:v>
      </x:c>
      <x:c r="O11" s="103" t="str">
        <x:v>SINAL</x:v>
      </x:c>
    </x:row>
    <x:row r="12" ht="24" customHeight="1">
      <x:c r="A12" s="80" t="str">
        <x:v>REST</x:v>
      </x:c>
      <x:c r="B12" s="80" t="n">
        <x:f>COUNTIF(BANCO_DE_DADOS!$T$5:$T$136,"OK")</x:f>
        <x:v>15</x:v>
      </x:c>
      <x:c r="C12" s="80" t="n">
        <x:f>COUNTIF(BANCO_DE_DADOS!$T$5:$T$136,"PENDENTE")</x:f>
        <x:v>117</x:v>
      </x:c>
      <x:c r="D12" s="80" t="n">
        <x:f>COUNTIF(BANCO_DE_DADOS!$T$5:$T$136,"ALERTA")</x:f>
        <x:v>0</x:v>
      </x:c>
      <x:c r="E12" s="80" t="n">
        <x:f>COUNTIF(BANCO_DE_DADOS!$T$5:$T$136,"DISPENSADO")</x:f>
        <x:v>0</x:v>
      </x:c>
      <x:c r="F12" s="100" t="n">
        <x:f>IFERROR(B12/SUM(B12:E12),0)</x:f>
        <x:v>0.11363636363636363</x:v>
      </x:c>
      <x:c r="G12" s="64"/>
      <x:c r="H12" s="79" t="str">
        <x:v>A</x:v>
      </x:c>
      <x:c r="I12" s="79" t="n">
        <x:f>COUNTIF(BANCO_DE_DADOS!$H$5:$H$136,H12)</x:f>
        <x:v>43</x:v>
      </x:c>
      <x:c r="J12" s="106" t="n">
        <x:f>IFERROR(I12/SUM($I$12:$I$15),0)</x:f>
        <x:v>0.32575757575757575</x:v>
      </x:c>
      <x:c r="K12" s="64"/>
      <x:c r="L12" s="79" t="str">
        <x:v>ALTO</x:v>
      </x:c>
      <x:c r="M12" s="79" t="n">
        <x:f>COUNTIF(BANCO_DE_DADOS!$Z$5:$Z$136,L12)</x:f>
        <x:v>113</x:v>
      </x:c>
      <x:c r="N12" s="106" t="n">
        <x:f>IFERROR(M12/SUM($M$12:$M$14),0)</x:f>
        <x:v>0.8560606060606061</x:v>
      </x:c>
      <x:c r="O12" s="79" t="str">
        <x:f>REPT("█",ROUND(N12*12,0))</x:f>
        <x:v>██████████</x:v>
      </x:c>
    </x:row>
    <x:row r="13" ht="24" customHeight="1">
      <x:c r="A13" s="80" t="str">
        <x:v>DMS</x:v>
      </x:c>
      <x:c r="B13" s="80" t="n">
        <x:f>COUNTIF(BANCO_DE_DADOS!$U$5:$U$136,"OK")</x:f>
        <x:v>11</x:v>
      </x:c>
      <x:c r="C13" s="80" t="n">
        <x:f>COUNTIF(BANCO_DE_DADOS!$U$5:$U$136,"PENDENTE")</x:f>
        <x:v>121</x:v>
      </x:c>
      <x:c r="D13" s="80" t="n">
        <x:f>COUNTIF(BANCO_DE_DADOS!$U$5:$U$136,"ALERTA")</x:f>
        <x:v>0</x:v>
      </x:c>
      <x:c r="E13" s="80" t="n">
        <x:f>COUNTIF(BANCO_DE_DADOS!$U$5:$U$136,"DISPENSADO")</x:f>
        <x:v>0</x:v>
      </x:c>
      <x:c r="F13" s="100" t="n">
        <x:f>IFERROR(B13/SUM(B13:E13),0)</x:f>
        <x:v>0.08333333333333333</x:v>
      </x:c>
      <x:c r="G13" s="64"/>
      <x:c r="H13" s="79" t="str">
        <x:v>B</x:v>
      </x:c>
      <x:c r="I13" s="79" t="n">
        <x:f>COUNTIF(BANCO_DE_DADOS!$H$5:$H$136,H13)</x:f>
        <x:v>32</x:v>
      </x:c>
      <x:c r="J13" s="106" t="n">
        <x:f>IFERROR(I13/SUM($I$12:$I$15),0)</x:f>
        <x:v>0.24242424242424243</x:v>
      </x:c>
      <x:c r="K13" s="64"/>
      <x:c r="L13" s="79" t="str">
        <x:v>MÉDIO</x:v>
      </x:c>
      <x:c r="M13" s="79" t="n">
        <x:f>COUNTIF(BANCO_DE_DADOS!$Z$5:$Z$136,L13)</x:f>
        <x:v>18</x:v>
      </x:c>
      <x:c r="N13" s="106" t="n">
        <x:f>IFERROR(M13/SUM($M$12:$M$14),0)</x:f>
        <x:v>0.13636363636363635</x:v>
      </x:c>
      <x:c r="O13" s="79" t="str">
        <x:f>REPT("█",ROUND(N13*12,0))</x:f>
        <x:v>██</x:v>
      </x:c>
    </x:row>
    <x:row r="14" ht="24" customHeight="1">
      <x:c r="A14" s="80" t="str">
        <x:v>ENTRADA</x:v>
      </x:c>
      <x:c r="B14" s="80" t="n">
        <x:f>COUNTIF(BANCO_DE_DADOS!$V$5:$V$136,"OK")</x:f>
        <x:v>39</x:v>
      </x:c>
      <x:c r="C14" s="80" t="n">
        <x:f>COUNTIF(BANCO_DE_DADOS!$V$5:$V$136,"PENDENTE")</x:f>
        <x:v>3</x:v>
      </x:c>
      <x:c r="D14" s="80" t="n">
        <x:f>COUNTIF(BANCO_DE_DADOS!$V$5:$V$136,"ALERTA")</x:f>
        <x:v>21</x:v>
      </x:c>
      <x:c r="E14" s="80" t="n">
        <x:f>COUNTIF(BANCO_DE_DADOS!$V$5:$V$136,"DISPENSADO")</x:f>
        <x:v>69</x:v>
      </x:c>
      <x:c r="F14" s="100" t="n">
        <x:f>IFERROR(B14/SUM(B14:E14),0)</x:f>
        <x:v>0.29545454545454547</x:v>
      </x:c>
      <x:c r="G14" s="64"/>
      <x:c r="H14" s="79" t="str">
        <x:v>C</x:v>
      </x:c>
      <x:c r="I14" s="79" t="n">
        <x:f>COUNTIF(BANCO_DE_DADOS!$H$5:$H$136,H14)</x:f>
        <x:v>49</x:v>
      </x:c>
      <x:c r="J14" s="106" t="n">
        <x:f>IFERROR(I14/SUM($I$12:$I$15),0)</x:f>
        <x:v>0.3712121212121212</x:v>
      </x:c>
      <x:c r="K14" s="64"/>
      <x:c r="L14" s="79" t="str">
        <x:v>BAIXO</x:v>
      </x:c>
      <x:c r="M14" s="79" t="n">
        <x:f>COUNTIF(BANCO_DE_DADOS!$Z$5:$Z$136,L14)</x:f>
        <x:v>1</x:v>
      </x:c>
      <x:c r="N14" s="106" t="n">
        <x:f>IFERROR(M14/SUM($M$12:$M$14),0)</x:f>
        <x:v>0.007575757575757576</x:v>
      </x:c>
      <x:c r="O14" s="79" t="str">
        <x:f>REPT("█",ROUND(N14*12,0))</x:f>
      </x:c>
    </x:row>
    <x:row r="15" ht="24" customHeight="1">
      <x:c r="A15" s="80" t="str">
        <x:v>SAÍDA</x:v>
      </x:c>
      <x:c r="B15" s="80" t="n">
        <x:f>COUNTIF(BANCO_DE_DADOS!$W$5:$W$136,"OK")</x:f>
        <x:v>37</x:v>
      </x:c>
      <x:c r="C15" s="80" t="n">
        <x:f>COUNTIF(BANCO_DE_DADOS!$W$5:$W$136,"PENDENTE")</x:f>
        <x:v>9</x:v>
      </x:c>
      <x:c r="D15" s="80" t="n">
        <x:f>COUNTIF(BANCO_DE_DADOS!$W$5:$W$136,"ALERTA")</x:f>
        <x:v>86</x:v>
      </x:c>
      <x:c r="E15" s="80" t="n">
        <x:f>COUNTIF(BANCO_DE_DADOS!$W$5:$W$136,"DISPENSADO")</x:f>
        <x:v>0</x:v>
      </x:c>
      <x:c r="F15" s="100" t="n">
        <x:f>IFERROR(B15/SUM(B15:E15),0)</x:f>
        <x:v>0.2803030303030303</x:v>
      </x:c>
      <x:c r="G15" s="64"/>
      <x:c r="H15" s="79" t="str">
        <x:v>SEM PRIOR.</x:v>
      </x:c>
      <x:c r="I15" s="79" t="n">
        <x:f>COUNTBLANK(BANCO_DE_DADOS!$H$5:$H$136)</x:f>
        <x:v>8</x:v>
      </x:c>
      <x:c r="J15" s="106" t="n">
        <x:f>IFERROR(I15/SUM($I$12:$I$15),0)</x:f>
        <x:v>0.06060606060606061</x:v>
      </x:c>
      <x:c r="K15" s="64"/>
      <x:c r="L15" s="64"/>
      <x:c r="M15" s="64"/>
      <x:c r="N15" s="64"/>
      <x:c r="O15" s="64"/>
    </x:row>
    <x:row r="16" ht="24" customHeight="1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</x:row>
    <x:row r="17" ht="24" customHeight="1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</x:row>
    <x:row r="18" ht="24" customHeight="1">
      <x:c r="A18" s="110" t="str">
        <x:v>⚠️ ALERTAS OPERACIONAIS — PRIMEIRAS AÇÕES RECOMENDADAS</x:v>
      </x:c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110"/>
      <x:c r="O18" s="110"/>
    </x:row>
    <x:row r="19" ht="24" customHeight="1">
      <x:c r="A19" s="122" t="str">
        <x:v>CLIENTE</x:v>
      </x:c>
      <x:c r="B19" s="122" t="str">
        <x:v>GRUPO</x:v>
      </x:c>
      <x:c r="C19" s="122" t="str">
        <x:v>PRIORIDADE</x:v>
      </x:c>
      <x:c r="D19" s="122" t="str">
        <x:v>RISCO</x:v>
      </x:c>
      <x:c r="E19" s="122" t="str">
        <x:v>MOTIVO / BLOQUEIO</x:v>
      </x:c>
      <x:c r="F19" s="122"/>
      <x:c r="G19" s="122"/>
      <x:c r="H19" s="122"/>
      <x:c r="I19" s="122"/>
      <x:c r="J19" s="122"/>
      <x:c r="K19" s="122"/>
      <x:c r="L19" s="122"/>
      <x:c r="M19" s="122"/>
      <x:c r="N19" s="122"/>
      <x:c r="O19" s="122"/>
    </x:row>
    <x:row r="20" ht="30" customHeight="1">
      <x:c r="A20" s="116" t="str">
        <x:v>ALPTRON LTDA - 106</x:v>
      </x:c>
      <x:c r="B20" s="116" t="str">
        <x:v>POWER SOURCE</x:v>
      </x:c>
      <x:c r="C20" s="116" t="str">
        <x:v>A</x:v>
      </x:c>
      <x:c r="D20" s="116" t="str">
        <x:v>ALTO</x:v>
      </x:c>
      <x:c r="E20" s="116" t="str">
        <x:v>SAÍDA: SEM RESULTADO</x:v>
      </x:c>
      <x:c r="F20" s="116"/>
      <x:c r="G20" s="116"/>
      <x:c r="H20" s="116"/>
      <x:c r="I20" s="116"/>
      <x:c r="J20" s="116"/>
      <x:c r="K20" s="116"/>
      <x:c r="L20" s="116"/>
      <x:c r="M20" s="116"/>
      <x:c r="N20" s="116"/>
      <x:c r="O20" s="116"/>
    </x:row>
    <x:row r="21" ht="30" customHeight="1">
      <x:c r="A21" s="116" t="str">
        <x:v>AM SERVIÇOS DE COLHEITAS LTDA - 202</x:v>
      </x:c>
      <x:c r="B21" s="116" t="str">
        <x:v>AGRONOVA</x:v>
      </x:c>
      <x:c r="C21" s="116" t="str">
        <x:v>A</x:v>
      </x:c>
      <x:c r="D21" s="116" t="str">
        <x:v>ALTO</x:v>
      </x:c>
      <x:c r="E21" s="116" t="str">
        <x:v>SAÍDA: CERTIF VENCIUDO</x:v>
      </x:c>
      <x:c r="F21" s="116"/>
      <x:c r="G21" s="116"/>
      <x:c r="H21" s="116"/>
      <x:c r="I21" s="116"/>
      <x:c r="J21" s="116"/>
      <x:c r="K21" s="116"/>
      <x:c r="L21" s="116"/>
      <x:c r="M21" s="116"/>
      <x:c r="N21" s="116"/>
      <x:c r="O21" s="116"/>
    </x:row>
    <x:row r="22" ht="30" customHeight="1">
      <x:c r="A22" s="116" t="str">
        <x:v>COPEMBOM CHOCOLATES LTDA</x:v>
      </x:c>
      <x:c r="B22" s="116" t="str">
        <x:v>COPEMBOM</x:v>
      </x:c>
      <x:c r="C22" s="116" t="str">
        <x:v>A</x:v>
      </x:c>
      <x:c r="D22" s="116" t="str">
        <x:v>ALTO</x:v>
      </x:c>
      <x:c r="E22" s="116" t="str">
        <x:v>ENTRADA: SEM PREMISSÃO; SAÍDA: SEM RESULTADO</x:v>
      </x:c>
      <x:c r="F22" s="116"/>
      <x:c r="G22" s="116"/>
      <x:c r="H22" s="116"/>
      <x:c r="I22" s="116"/>
      <x:c r="J22" s="116"/>
      <x:c r="K22" s="116"/>
      <x:c r="L22" s="116"/>
      <x:c r="M22" s="116"/>
      <x:c r="N22" s="116"/>
      <x:c r="O22" s="116"/>
    </x:row>
    <x:row r="23" ht="30" customHeight="1">
      <x:c r="A23" s="116" t="str">
        <x:v>COPEMBOM CHOCOLATES LTDA</x:v>
      </x:c>
      <x:c r="B23" s="116" t="str">
        <x:v>COPEMBOM</x:v>
      </x:c>
      <x:c r="C23" s="116" t="str">
        <x:v>A</x:v>
      </x:c>
      <x:c r="D23" s="116" t="str">
        <x:v>ALTO</x:v>
      </x:c>
      <x:c r="E23" s="116" t="str">
        <x:v>ENTRADA: SEM PERMISSÃO; SAÍDA: SEM RESULTADO</x:v>
      </x:c>
      <x:c r="F23" s="116"/>
      <x:c r="G23" s="116"/>
      <x:c r="H23" s="116"/>
      <x:c r="I23" s="116"/>
      <x:c r="J23" s="116"/>
      <x:c r="K23" s="116"/>
      <x:c r="L23" s="116"/>
      <x:c r="M23" s="116"/>
      <x:c r="N23" s="116"/>
      <x:c r="O23" s="116"/>
    </x:row>
    <x:row r="24" ht="30" customHeight="1">
      <x:c r="A24" s="116" t="str">
        <x:v>COPEMBOM CHOCOLATES LTDA</x:v>
      </x:c>
      <x:c r="B24" s="116" t="str">
        <x:v>COPEMBOM</x:v>
      </x:c>
      <x:c r="C24" s="116" t="str">
        <x:v>A</x:v>
      </x:c>
      <x:c r="D24" s="116" t="str">
        <x:v>ALTO</x:v>
      </x:c>
      <x:c r="E24" s="116" t="str">
        <x:v>ENTRADA: SEM PERMISSÃO; SAÍDA: SEM RESULTADO</x:v>
      </x:c>
      <x:c r="F24" s="116"/>
      <x:c r="G24" s="116"/>
      <x:c r="H24" s="116"/>
      <x:c r="I24" s="116"/>
      <x:c r="J24" s="116"/>
      <x:c r="K24" s="116"/>
      <x:c r="L24" s="116"/>
      <x:c r="M24" s="116"/>
      <x:c r="N24" s="116"/>
      <x:c r="O24" s="116"/>
    </x:row>
    <x:row r="25" ht="30" customHeight="1">
      <x:c r="A25" s="116" t="str">
        <x:v>COPEMBOM CHOCOLATES LTDA</x:v>
      </x:c>
      <x:c r="B25" s="116" t="str">
        <x:v>COPEMBOM</x:v>
      </x:c>
      <x:c r="C25" s="116" t="str">
        <x:v>A</x:v>
      </x:c>
      <x:c r="D25" s="116" t="str">
        <x:v>ALTO</x:v>
      </x:c>
      <x:c r="E25" s="116" t="str">
        <x:v>ENTRADA: SEM PERMISSÃO; SAÍDA: SEM RESULTADO</x:v>
      </x:c>
      <x:c r="F25" s="116"/>
      <x:c r="G25" s="116"/>
      <x:c r="H25" s="116"/>
      <x:c r="I25" s="116"/>
      <x:c r="J25" s="116"/>
      <x:c r="K25" s="116"/>
      <x:c r="L25" s="116"/>
      <x:c r="M25" s="116"/>
      <x:c r="N25" s="116"/>
      <x:c r="O25" s="116"/>
    </x:row>
    <x:row r="26" ht="30" customHeight="1">
      <x:c r="A26" s="116" t="str">
        <x:v>COPEMBOM CHOCOLATES LTDA</x:v>
      </x:c>
      <x:c r="B26" s="116" t="str">
        <x:v>COPEMBOM</x:v>
      </x:c>
      <x:c r="C26" s="116" t="str">
        <x:v>A</x:v>
      </x:c>
      <x:c r="D26" s="116" t="str">
        <x:v>ALTO</x:v>
      </x:c>
      <x:c r="E26" s="116" t="str">
        <x:v>ENTRADA: SEM PERMISSÃO; SAÍDA: SEM RESULTADO</x:v>
      </x:c>
      <x:c r="F26" s="116"/>
      <x:c r="G26" s="116"/>
      <x:c r="H26" s="116"/>
      <x:c r="I26" s="116"/>
      <x:c r="J26" s="116"/>
      <x:c r="K26" s="116"/>
      <x:c r="L26" s="116"/>
      <x:c r="M26" s="116"/>
      <x:c r="N26" s="116"/>
      <x:c r="O26" s="116"/>
    </x:row>
    <x:row r="27" ht="30" customHeight="1">
      <x:c r="A27" s="116" t="str">
        <x:v>COPEMBOM CHOCOLATES LTDA</x:v>
      </x:c>
      <x:c r="B27" s="116" t="str">
        <x:v>COPEMBOM</x:v>
      </x:c>
      <x:c r="C27" s="116" t="str">
        <x:v>A</x:v>
      </x:c>
      <x:c r="D27" s="116" t="str">
        <x:v>ALTO</x:v>
      </x:c>
      <x:c r="E27" s="116" t="str">
        <x:v>ENTRADA: SEM PERMISSÃO; SAÍDA: SEM RESULTADO</x:v>
      </x:c>
      <x:c r="F27" s="116"/>
      <x:c r="G27" s="116"/>
      <x:c r="H27" s="116"/>
      <x:c r="I27" s="116"/>
      <x:c r="J27" s="116"/>
      <x:c r="K27" s="116"/>
      <x:c r="L27" s="116"/>
      <x:c r="M27" s="116"/>
      <x:c r="N27" s="116"/>
      <x:c r="O27" s="116"/>
    </x:row>
    <x:row r="28" ht="24" customHeight="1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</x:row>
    <x:row r="29" ht="24" customHeight="1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</x:row>
    <x:row r="30" ht="24" customHeight="1">
      <x:c r="A30" s="129" t="str">
        <x:v>Como usar: atualize/edite a aba BANCO_DE_DADOS. As colunas STATUS REST/DMS/ENTRADA/SAÍDA classificam automaticamente OK, PENDENTE, ALERTA ou DISPENSADO. A aba BASE_ORIGINAL foi mantida para auditoria. As abas CONFIG e GUIA_USO documentam listas, cores e fontes de referência.</x:v>
      </x:c>
      <x:c r="B30" s="129"/>
      <x:c r="C30" s="129"/>
      <x:c r="D30" s="129"/>
      <x:c r="E30" s="129"/>
      <x:c r="F30" s="129"/>
      <x:c r="G30" s="129"/>
      <x:c r="H30" s="129"/>
      <x:c r="I30" s="129"/>
      <x:c r="J30" s="129"/>
      <x:c r="K30" s="129"/>
      <x:c r="L30" s="129"/>
      <x:c r="M30" s="129"/>
      <x:c r="N30" s="129"/>
      <x:c r="O30" s="129"/>
    </x:row>
    <x:row r="31" ht="24" customHeight="1">
      <x:c r="A31" s="129"/>
      <x:c r="B31" s="129"/>
      <x:c r="C31" s="129"/>
      <x:c r="D31" s="129"/>
      <x:c r="E31" s="129"/>
      <x:c r="F31" s="129"/>
      <x:c r="G31" s="129"/>
      <x:c r="H31" s="129"/>
      <x:c r="I31" s="129"/>
      <x:c r="J31" s="129"/>
      <x:c r="K31" s="129"/>
      <x:c r="L31" s="129"/>
      <x:c r="M31" s="129"/>
      <x:c r="N31" s="129"/>
      <x:c r="O31" s="129"/>
    </x:row>
    <x:row r="32" ht="24" customHeight="1">
      <x:c r="A32" s="129"/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129"/>
      <x:c r="M32" s="129"/>
      <x:c r="N32" s="129"/>
      <x:c r="O32" s="129"/>
    </x:row>
    <x:row r="33" ht="24" customHeight="1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</x:row>
    <x:row r="34" ht="24" customHeight="1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</x:row>
    <x:row r="35" ht="24" customHeight="1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</x:row>
    <x:row r="36" ht="24" customHeight="1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</x:row>
    <x:row r="37" ht="24" customHeight="1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</x:row>
    <x:row r="38" ht="24" customHeight="1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H5:J5"/>
    <x:mergeCell ref="H6:J7"/>
    <x:mergeCell ref="H8:J8"/>
    <x:mergeCell ref="K5:M5"/>
    <x:mergeCell ref="K6:M7"/>
    <x:mergeCell ref="K8:M8"/>
    <x:mergeCell ref="N5:O5"/>
    <x:mergeCell ref="N6:O7"/>
    <x:mergeCell ref="N8:O8"/>
    <x:mergeCell ref="A10:F10"/>
    <x:mergeCell ref="H10:O10"/>
    <x:mergeCell ref="A18:O18"/>
    <x:mergeCell ref="E19:O19"/>
    <x:mergeCell ref="E20:O20"/>
    <x:mergeCell ref="E21:O21"/>
    <x:mergeCell ref="E22:O22"/>
    <x:mergeCell ref="E23:O23"/>
    <x:mergeCell ref="E24:O24"/>
    <x:mergeCell ref="E25:O25"/>
    <x:mergeCell ref="E26:O26"/>
    <x:mergeCell ref="E27:O27"/>
    <x:mergeCell ref="A30:O32"/>
  </x:mergeCells>
  <x:conditionalFormatting sqref="B12:E15">
    <x:cfRule type="dataBar" priority="1">
      <x:dataBar>
        <x:cfvo type="min"/>
        <x:cfvo type="max"/>
        <x:color rgb="22D3EE"/>
      </x:dataBar>
      <x:extLst>
        <x:ext xmlns:x14="http://schemas.microsoft.com/office/spreadsheetml/2009/9/main" uri="{B025F937-C7B1-47D3-B67F-A62EFF666E3E}">
          <x14:id>{EA3AEE76-78E7-3A1F-A8FD-441B44A68BE0}</x14:id>
        </x:ext>
      </x:extLst>
    </x:cfRule>
  </x:conditionalFormatting>
  <x:conditionalFormatting sqref="F12:F15">
    <x:cfRule type="dataBar" priority="2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{F3909157-6DF0-680B-7E72-01B7CC09F883}</x14:id>
        </x:ext>
      </x:extLst>
    </x:cfRule>
  </x:conditionalFormatting>
  <x:conditionalFormatting sqref="I12:I15">
    <x:cfRule type="dataBar" priority="3">
      <x:dataBar>
        <x:cfvo type="min"/>
        <x:cfvo type="max"/>
        <x:color rgb="1D4ED8"/>
      </x:dataBar>
      <x:extLst>
        <x:ext xmlns:x14="http://schemas.microsoft.com/office/spreadsheetml/2009/9/main" uri="{B025F937-C7B1-47D3-B67F-A62EFF666E3E}">
          <x14:id>{406E05C7-33C0-1D67-222D-8C412AC58E47}</x14:id>
        </x:ext>
      </x:extLst>
    </x:cfRule>
  </x:conditionalFormatting>
  <x:conditionalFormatting sqref="M12:M14">
    <x:cfRule type="dataBar" priority="4">
      <x:dataBar>
        <x:cfvo type="min"/>
        <x:cfvo type="max"/>
        <x:color rgb="EF4444"/>
      </x:dataBar>
      <x:extLst>
        <x:ext xmlns:x14="http://schemas.microsoft.com/office/spreadsheetml/2009/9/main" uri="{B025F937-C7B1-47D3-B67F-A62EFF666E3E}">
          <x14:id>{A66F90FE-3436-5075-C847-9D8F145C82F3}</x14:id>
        </x:ext>
      </x:extLst>
    </x:cfRule>
  </x:conditionalFormatting>
  <x:conditionalFormatting sqref="D20:D27">
    <x:cfRule type="expression" dxfId="22" priority="5">
      <x:formula>$D20="ALTO"</x:formula>
    </x:cfRule>
    <x:cfRule type="expression" dxfId="23" priority="6">
      <x:formula>$D20="MÉDIO"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A3AEE76-78E7-3A1F-A8FD-441B44A68BE0}">
            <x14:dataBar gradient="1">
              <x14:cfvo type="min"/>
              <x14:cfvo type="max"/>
              <x14:fillColor rgb="22D3EE"/>
            </x14:dataBar>
          </x14:cfRule>
          <xm:sqref>B12:E15</xm:sqref>
        </x14:conditionalFormatting>
        <x14:conditionalFormatting>
          <x14:cfRule type="dataBar" priority="2" id="{F3909157-6DF0-680B-7E72-01B7CC09F883}">
            <x14:dataBar gradient="1">
              <x14:cfvo type="min"/>
              <x14:cfvo type="max"/>
              <x14:fillColor rgb="10B981"/>
            </x14:dataBar>
          </x14:cfRule>
          <xm:sqref>F12:F15</xm:sqref>
        </x14:conditionalFormatting>
        <x14:conditionalFormatting>
          <x14:cfRule type="dataBar" priority="3" id="{406E05C7-33C0-1D67-222D-8C412AC58E47}">
            <x14:dataBar gradient="1">
              <x14:cfvo type="min"/>
              <x14:cfvo type="max"/>
              <x14:fillColor rgb="1D4ED8"/>
            </x14:dataBar>
          </x14:cfRule>
          <xm:sqref>I12:I15</xm:sqref>
        </x14:conditionalFormatting>
        <x14:conditionalFormatting>
          <x14:cfRule type="dataBar" priority="4" id="{A66F90FE-3436-5075-C847-9D8F145C82F3}">
            <x14:dataBar gradient="1">
              <x14:cfvo type="min"/>
              <x14:cfvo type="max"/>
              <x14:fillColor rgb="EF4444"/>
            </x14:dataBar>
          </x14:cfRule>
          <xm:sqref>M12:M14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20" hidden="0" customWidth="1"/>
    <x:col min="7" max="7" width="20" hidden="0" customWidth="1"/>
    <x:col min="8" max="8" width="12" hidden="0" customWidth="1"/>
    <x:col min="9" max="9" width="18" hidden="0" customWidth="1"/>
    <x:col min="10" max="10" width="12" hidden="0" customWidth="1"/>
    <x:col min="11" max="11" width="18" hidden="0" customWidth="1"/>
    <x:col min="12" max="12" width="12" hidden="0" customWidth="1"/>
    <x:col min="13" max="13" width="20" hidden="0" customWidth="1"/>
    <x:col min="14" max="14" width="12" hidden="0" customWidth="1"/>
    <x:col min="15" max="15" width="20" hidden="0" customWidth="1"/>
    <x:col min="16" max="16" width="12" hidden="0" customWidth="1"/>
    <x:col min="17" max="17" width="36" hidden="0" customWidth="1"/>
    <x:col min="18" max="18" width="36" hidden="0" customWidth="1"/>
    <x:col min="19" max="19" width="36" hidden="0" customWidth="1"/>
    <x:col min="20" max="20" width="16" hidden="0" customWidth="1"/>
    <x:col min="21" max="21" width="16" hidden="0" customWidth="1"/>
    <x:col min="22" max="22" width="17" hidden="0" customWidth="1"/>
    <x:col min="23" max="23" width="17" hidden="0" customWidth="1"/>
    <x:col min="24" max="24" width="14" hidden="0" customWidth="1"/>
    <x:col min="25" max="25" width="14" hidden="0" customWidth="1"/>
    <x:col min="26" max="26" width="18" hidden="0" customWidth="1"/>
    <x:col min="27" max="27" width="30" hidden="0" customWidth="1"/>
  </x:cols>
  <x:sheetData>
    <x:row r="1" ht="34" customHeight="1">
      <x:c r="A1" s="27" t="str">
        <x:v>⚛ PROTONS CONSULTORIA  |  BANCO DE DADOS FISCAL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</x:row>
    <x:row r="2" ht="24" customHeight="1">
      <x:c r="A2" s="34" t="str">
        <x:v>Base operacional redesenhada • 132 empresas importadas da planilha original • usar filtros para pesquisar cliente, grupo, regime, prioridade e status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</x:row>
    <x:row r="4" ht="42" customHeight="1">
      <x:c r="A4" s="41" t="str">
        <x:v>CLIENTE</x:v>
      </x:c>
      <x:c r="B4" s="41" t="str">
        <x:v>GRUPO ECONÔMICO</x:v>
      </x:c>
      <x:c r="C4" s="41" t="str">
        <x:v>EMPRESA / CIDADE</x:v>
      </x:c>
      <x:c r="D4" s="41" t="str">
        <x:v>CNPJ</x:v>
      </x:c>
      <x:c r="E4" s="41" t="str">
        <x:v>INSCRIÇÃO ESTADUAL</x:v>
      </x:c>
      <x:c r="F4" s="41" t="str">
        <x:v>CONTATO</x:v>
      </x:c>
      <x:c r="G4" s="41" t="str">
        <x:v>REGIME TRIBUTÁRIO</x:v>
      </x:c>
      <x:c r="H4" s="41" t="str">
        <x:v>PRIORIDADE</x:v>
      </x:c>
      <x:c r="I4" s="41" t="str">
        <x:v>REST - DATA/STATUS</x:v>
      </x:c>
      <x:c r="J4" s="41" t="str">
        <x:v>REST - QTD NOTAS</x:v>
      </x:c>
      <x:c r="K4" s="41" t="str">
        <x:v>DMS - DATA/STATUS</x:v>
      </x:c>
      <x:c r="L4" s="41" t="str">
        <x:v>DMS - QTD NOTAS</x:v>
      </x:c>
      <x:c r="M4" s="41" t="str">
        <x:v>ENTRADA - DATA/STATUS</x:v>
      </x:c>
      <x:c r="N4" s="41" t="str">
        <x:v>ENTRADA - QTD/UF</x:v>
      </x:c>
      <x:c r="O4" s="41" t="str">
        <x:v>SAÍDA - DATA/STATUS</x:v>
      </x:c>
      <x:c r="P4" s="41" t="str">
        <x:v>SAÍDA - QTD/UF</x:v>
      </x:c>
      <x:c r="Q4" s="41" t="str">
        <x:v>CAMINHO DMS</x:v>
      </x:c>
      <x:c r="R4" s="41" t="str">
        <x:v>CAMINHO REST</x:v>
      </x:c>
      <x:c r="S4" s="41" t="str">
        <x:v>CAMINHO PRÉVIA</x:v>
      </x:c>
      <x:c r="T4" s="41" t="str">
        <x:v>STATUS REST</x:v>
      </x:c>
      <x:c r="U4" s="41" t="str">
        <x:v>STATUS DMS</x:v>
      </x:c>
      <x:c r="V4" s="41" t="str">
        <x:v>STATUS ENTRADA</x:v>
      </x:c>
      <x:c r="W4" s="41" t="str">
        <x:v>STATUS SAÍDA</x:v>
      </x:c>
      <x:c r="X4" s="41" t="str">
        <x:v>PASTA DMS?</x:v>
      </x:c>
      <x:c r="Y4" s="41" t="str">
        <x:v>PASTA REST?</x:v>
      </x:c>
      <x:c r="Z4" s="41" t="str">
        <x:v>RISCO OPERACIONAL</x:v>
      </x:c>
      <x:c r="AA4" s="41" t="str">
        <x:v>AÇÃO RECOMENDADA</x:v>
      </x:c>
    </x:row>
    <x:row r="5">
      <x:c r="A5" s="61" t="str">
        <x:v>3H COMERCIO DE CHOCOLATES - 205</x:v>
      </x:c>
      <x:c r="B5" s="49" t="str">
        <x:v>HH</x:v>
      </x:c>
      <x:c r="C5" s="49" t="str">
        <x:v>LIMEIRA</x:v>
      </x:c>
      <x:c r="D5" s="49" t="str">
        <x:v>35.381.421/0001-94</x:v>
      </x:c>
      <x:c r="E5" s="49"/>
      <x:c r="F5" s="49" t="str">
        <x:v>DANIELLE</x:v>
      </x:c>
      <x:c r="G5" s="49" t="str">
        <x:v>SIMPLES NACIONAL</x:v>
      </x:c>
      <x:c r="H5" s="49" t="str">
        <x:v>C</x:v>
      </x:c>
      <x:c r="I5" s="54" t="str">
        <x:v>x</x:v>
      </x:c>
      <x:c r="J5" s="49"/>
      <x:c r="K5" s="54"/>
      <x:c r="L5" s="49"/>
      <x:c r="M5" s="54"/>
      <x:c r="N5" s="49"/>
      <x:c r="O5" s="54"/>
      <x:c r="P5" s="49"/>
      <x:c r="Q5" s="57"/>
      <x:c r="R5" s="57" t="str">
        <x:v>W:\TESTE RENOMEADOR\PASTA QUALQUER ======= PDF\2026\1\SADFLJNHSADOIUABSHDIBNASKJDNPKSJANPDJKNASPKJDNPASKJNDPKJNSAPKJDNPASKJNDKJASNDKJNPASKJNDPKJSANPJNPASJNDKAJNDKJS</x:v>
      </x:c>
      <x:c r="S5" s="57"/>
      <x:c r="T5" s="49" t="str">
        <x:f>IF(OR(I5="x",ISNUMBER(I5),ISNUMBER(SEARCH("OK",UPPER(I5&amp;""))),ISNUMBER(SEARCH("JÁ",UPPER(I5&amp;""))),ISNUMBER(SEARCH("JA ",UPPER(I5&amp;"")))),"OK",IF(I5="","PENDENTE",IF(OR(ISNUMBER(SEARCH("SEM MOV",UPPER(I5&amp;""))),ISNUMBER(SEARCH("SEM I.E",UPPER(I5&amp;""))),ISNUMBER(SEARCH("SEM IE",UPPER(I5&amp;"")))),"DISPENSADO","ALERTA")))</x:f>
        <x:v>OK</x:v>
      </x:c>
      <x:c r="U5" s="49" t="str">
        <x:f>IF(OR(K5="x",ISNUMBER(K5),ISNUMBER(SEARCH("OK",UPPER(K5&amp;""))),ISNUMBER(SEARCH("JÁ",UPPER(K5&amp;""))),ISNUMBER(SEARCH("JA ",UPPER(K5&amp;"")))),"OK",IF(K5="","PENDENTE",IF(OR(ISNUMBER(SEARCH("SEM MOV",UPPER(K5&amp;""))),ISNUMBER(SEARCH("SEM I.E",UPPER(K5&amp;""))),ISNUMBER(SEARCH("SEM IE",UPPER(K5&amp;"")))),"DISPENSADO","ALERTA")))</x:f>
        <x:v>PENDENTE</x:v>
      </x:c>
      <x:c r="V5" s="49" t="str">
        <x:f>IF(OR(M5="x",ISNUMBER(M5),ISNUMBER(SEARCH("OK",UPPER(M5&amp;""))),ISNUMBER(SEARCH("JÁ",UPPER(M5&amp;""))),ISNUMBER(SEARCH("JA ",UPPER(M5&amp;"")))),"OK",IF(M5="","PENDENTE",IF(OR(ISNUMBER(SEARCH("SEM MOV",UPPER(M5&amp;""))),ISNUMBER(SEARCH("SEM I.E",UPPER(M5&amp;""))),ISNUMBER(SEARCH("SEM IE",UPPER(M5&amp;"")))),"DISPENSADO","ALERTA")))</x:f>
        <x:v>PENDENTE</x:v>
      </x:c>
      <x:c r="W5" s="49" t="str">
        <x:f>IF(OR(O5="x",ISNUMBER(O5),ISNUMBER(SEARCH("OK",UPPER(O5&amp;""))),ISNUMBER(SEARCH("JÁ",UPPER(O5&amp;""))),ISNUMBER(SEARCH("JA ",UPPER(O5&amp;"")))),"OK",IF(O5="","PENDENTE",IF(OR(ISNUMBER(SEARCH("SEM MOV",UPPER(O5&amp;""))),ISNUMBER(SEARCH("SEM I.E",UPPER(O5&amp;""))),ISNUMBER(SEARCH("SEM IE",UPPER(O5&amp;"")))),"DISPENSADO","ALERTA")))</x:f>
        <x:v>PENDENTE</x:v>
      </x:c>
      <x:c r="X5" s="49" t="str">
        <x:f>IF(Q5&lt;&gt;"","SIM","NÃO")</x:f>
        <x:v>NÃO</x:v>
      </x:c>
      <x:c r="Y5" s="49" t="str">
        <x:f>IF(R5&lt;&gt;"","SIM","NÃO")</x:f>
        <x:v>SIM</x:v>
      </x:c>
      <x:c r="Z5" s="49" t="str">
        <x:f>IF(OR(H5="A",V5="ALERTA",W5="ALERTA",T5="ALERTA",U5="ALERTA"),"ALTO",IF(OR(T5="PENDENTE",U5="PENDENTE",V5="PENDENTE",W5="PENDENTE"),"MÉDIO","BAIXO"))</x:f>
        <x:v>MÉDIO</x:v>
      </x:c>
      <x:c r="AA5" s="49" t="str">
        <x:f>IF(Z5="ALTO","Resolver certificado/permissão/CNPJ/status antes da rotina",IF(Z5="MÉDIO","Completar pasta/status pendente","Rotina regular"))</x:f>
        <x:v>Completar pasta/status pendente</x:v>
      </x:c>
    </x:row>
    <x:row r="6">
      <x:c r="A6" s="61" t="str">
        <x:v>3H COMERCIO DE CHOCOLATES LTDA - 207</x:v>
      </x:c>
      <x:c r="B6" s="49" t="str">
        <x:v>HH</x:v>
      </x:c>
      <x:c r="C6" s="49" t="str">
        <x:v>LIMEIRA</x:v>
      </x:c>
      <x:c r="D6" s="49" t="str">
        <x:v>35.381.421/0003-56</x:v>
      </x:c>
      <x:c r="E6" s="49"/>
      <x:c r="F6" s="49" t="str">
        <x:v>DANIELLE</x:v>
      </x:c>
      <x:c r="G6" s="49" t="str">
        <x:v>SIMPLES NACIONAL</x:v>
      </x:c>
      <x:c r="H6" s="49" t="str">
        <x:v>C</x:v>
      </x:c>
      <x:c r="I6" s="54" t="str">
        <x:v>x</x:v>
      </x:c>
      <x:c r="J6" s="49"/>
      <x:c r="K6" s="54"/>
      <x:c r="L6" s="49"/>
      <x:c r="M6" s="54"/>
      <x:c r="N6" s="49"/>
      <x:c r="O6" s="54"/>
      <x:c r="P6" s="49"/>
      <x:c r="Q6" s="57"/>
      <x:c r="R6" s="57"/>
      <x:c r="S6" s="57"/>
      <x:c r="T6" s="49" t="str">
        <x:f>IF(OR(I6="x",ISNUMBER(I6),ISNUMBER(SEARCH("OK",UPPER(I6&amp;""))),ISNUMBER(SEARCH("JÁ",UPPER(I6&amp;""))),ISNUMBER(SEARCH("JA ",UPPER(I6&amp;"")))),"OK",IF(I6="","PENDENTE",IF(OR(ISNUMBER(SEARCH("SEM MOV",UPPER(I6&amp;""))),ISNUMBER(SEARCH("SEM I.E",UPPER(I6&amp;""))),ISNUMBER(SEARCH("SEM IE",UPPER(I6&amp;"")))),"DISPENSADO","ALERTA")))</x:f>
        <x:v>OK</x:v>
      </x:c>
      <x:c r="U6" s="49" t="str">
        <x:f>IF(OR(K6="x",ISNUMBER(K6),ISNUMBER(SEARCH("OK",UPPER(K6&amp;""))),ISNUMBER(SEARCH("JÁ",UPPER(K6&amp;""))),ISNUMBER(SEARCH("JA ",UPPER(K6&amp;"")))),"OK",IF(K6="","PENDENTE",IF(OR(ISNUMBER(SEARCH("SEM MOV",UPPER(K6&amp;""))),ISNUMBER(SEARCH("SEM I.E",UPPER(K6&amp;""))),ISNUMBER(SEARCH("SEM IE",UPPER(K6&amp;"")))),"DISPENSADO","ALERTA")))</x:f>
        <x:v>PENDENTE</x:v>
      </x:c>
      <x:c r="V6" s="49" t="str">
        <x:f>IF(OR(M6="x",ISNUMBER(M6),ISNUMBER(SEARCH("OK",UPPER(M6&amp;""))),ISNUMBER(SEARCH("JÁ",UPPER(M6&amp;""))),ISNUMBER(SEARCH("JA ",UPPER(M6&amp;"")))),"OK",IF(M6="","PENDENTE",IF(OR(ISNUMBER(SEARCH("SEM MOV",UPPER(M6&amp;""))),ISNUMBER(SEARCH("SEM I.E",UPPER(M6&amp;""))),ISNUMBER(SEARCH("SEM IE",UPPER(M6&amp;"")))),"DISPENSADO","ALERTA")))</x:f>
        <x:v>PENDENTE</x:v>
      </x:c>
      <x:c r="W6" s="49" t="str">
        <x:f>IF(OR(O6="x",ISNUMBER(O6),ISNUMBER(SEARCH("OK",UPPER(O6&amp;""))),ISNUMBER(SEARCH("JÁ",UPPER(O6&amp;""))),ISNUMBER(SEARCH("JA ",UPPER(O6&amp;"")))),"OK",IF(O6="","PENDENTE",IF(OR(ISNUMBER(SEARCH("SEM MOV",UPPER(O6&amp;""))),ISNUMBER(SEARCH("SEM I.E",UPPER(O6&amp;""))),ISNUMBER(SEARCH("SEM IE",UPPER(O6&amp;"")))),"DISPENSADO","ALERTA")))</x:f>
        <x:v>PENDENTE</x:v>
      </x:c>
      <x:c r="X6" s="49" t="str">
        <x:f>IF(Q6&lt;&gt;"","SIM","NÃO")</x:f>
        <x:v>NÃO</x:v>
      </x:c>
      <x:c r="Y6" s="49" t="str">
        <x:f>IF(R6&lt;&gt;"","SIM","NÃO")</x:f>
        <x:v>NÃO</x:v>
      </x:c>
      <x:c r="Z6" s="49" t="str">
        <x:f>IF(OR(H6="A",V6="ALERTA",W6="ALERTA",T6="ALERTA",U6="ALERTA"),"ALTO",IF(OR(T6="PENDENTE",U6="PENDENTE",V6="PENDENTE",W6="PENDENTE"),"MÉDIO","BAIXO"))</x:f>
        <x:v>MÉDIO</x:v>
      </x:c>
      <x:c r="AA6" s="49" t="str">
        <x:f>IF(Z6="ALTO","Resolver certificado/permissão/CNPJ/status antes da rotina",IF(Z6="MÉDIO","Completar pasta/status pendente","Rotina regular"))</x:f>
        <x:v>Completar pasta/status pendente</x:v>
      </x:c>
    </x:row>
    <x:row r="7">
      <x:c r="A7" s="61" t="str">
        <x:v>AGROBOM ARMAZENS GERAIS - FL 02</x:v>
      </x:c>
      <x:c r="B7" s="49" t="str">
        <x:v>AGROBOM</x:v>
      </x:c>
      <x:c r="C7" s="49" t="str">
        <x:v>JOVIANIA</x:v>
      </x:c>
      <x:c r="D7" s="49" t="str">
        <x:v>10.627.382/0002-12</x:v>
      </x:c>
      <x:c r="E7" s="49"/>
      <x:c r="F7" s="49" t="str">
        <x:v>DANIEL</x:v>
      </x:c>
      <x:c r="G7" s="49" t="str">
        <x:v>LUCRO REAL</x:v>
      </x:c>
      <x:c r="H7" s="49" t="str">
        <x:v>A</x:v>
      </x:c>
      <x:c r="I7" s="54" t="str">
        <x:v>x</x:v>
      </x:c>
      <x:c r="J7" s="49"/>
      <x:c r="K7" s="54"/>
      <x:c r="L7" s="49"/>
      <x:c r="M7" s="54"/>
      <x:c r="N7" s="49"/>
      <x:c r="O7" s="54"/>
      <x:c r="P7" s="49"/>
      <x:c r="Q7" s="57"/>
      <x:c r="R7" s="57"/>
      <x:c r="S7" s="57"/>
      <x:c r="T7" s="49" t="str">
        <x:f>IF(OR(I7="x",ISNUMBER(I7),ISNUMBER(SEARCH("OK",UPPER(I7&amp;""))),ISNUMBER(SEARCH("JÁ",UPPER(I7&amp;""))),ISNUMBER(SEARCH("JA ",UPPER(I7&amp;"")))),"OK",IF(I7="","PENDENTE",IF(OR(ISNUMBER(SEARCH("SEM MOV",UPPER(I7&amp;""))),ISNUMBER(SEARCH("SEM I.E",UPPER(I7&amp;""))),ISNUMBER(SEARCH("SEM IE",UPPER(I7&amp;"")))),"DISPENSADO","ALERTA")))</x:f>
        <x:v>OK</x:v>
      </x:c>
      <x:c r="U7" s="49" t="str">
        <x:f>IF(OR(K7="x",ISNUMBER(K7),ISNUMBER(SEARCH("OK",UPPER(K7&amp;""))),ISNUMBER(SEARCH("JÁ",UPPER(K7&amp;""))),ISNUMBER(SEARCH("JA ",UPPER(K7&amp;"")))),"OK",IF(K7="","PENDENTE",IF(OR(ISNUMBER(SEARCH("SEM MOV",UPPER(K7&amp;""))),ISNUMBER(SEARCH("SEM I.E",UPPER(K7&amp;""))),ISNUMBER(SEARCH("SEM IE",UPPER(K7&amp;"")))),"DISPENSADO","ALERTA")))</x:f>
        <x:v>PENDENTE</x:v>
      </x:c>
      <x:c r="V7" s="49" t="str">
        <x:f>IF(OR(M7="x",ISNUMBER(M7),ISNUMBER(SEARCH("OK",UPPER(M7&amp;""))),ISNUMBER(SEARCH("JÁ",UPPER(M7&amp;""))),ISNUMBER(SEARCH("JA ",UPPER(M7&amp;"")))),"OK",IF(M7="","PENDENTE",IF(OR(ISNUMBER(SEARCH("SEM MOV",UPPER(M7&amp;""))),ISNUMBER(SEARCH("SEM I.E",UPPER(M7&amp;""))),ISNUMBER(SEARCH("SEM IE",UPPER(M7&amp;"")))),"DISPENSADO","ALERTA")))</x:f>
        <x:v>PENDENTE</x:v>
      </x:c>
      <x:c r="W7" s="49" t="str">
        <x:f>IF(OR(O7="x",ISNUMBER(O7),ISNUMBER(SEARCH("OK",UPPER(O7&amp;""))),ISNUMBER(SEARCH("JÁ",UPPER(O7&amp;""))),ISNUMBER(SEARCH("JA ",UPPER(O7&amp;"")))),"OK",IF(O7="","PENDENTE",IF(OR(ISNUMBER(SEARCH("SEM MOV",UPPER(O7&amp;""))),ISNUMBER(SEARCH("SEM I.E",UPPER(O7&amp;""))),ISNUMBER(SEARCH("SEM IE",UPPER(O7&amp;"")))),"DISPENSADO","ALERTA")))</x:f>
        <x:v>PENDENTE</x:v>
      </x:c>
      <x:c r="X7" s="49" t="str">
        <x:f>IF(Q7&lt;&gt;"","SIM","NÃO")</x:f>
        <x:v>NÃO</x:v>
      </x:c>
      <x:c r="Y7" s="49" t="str">
        <x:f>IF(R7&lt;&gt;"","SIM","NÃO")</x:f>
        <x:v>NÃO</x:v>
      </x:c>
      <x:c r="Z7" s="49" t="str">
        <x:f>IF(OR(H7="A",V7="ALERTA",W7="ALERTA",T7="ALERTA",U7="ALERTA"),"ALTO",IF(OR(T7="PENDENTE",U7="PENDENTE",V7="PENDENTE",W7="PENDENTE"),"MÉDIO","BAIXO"))</x:f>
        <x:v>ALTO</x:v>
      </x:c>
      <x:c r="AA7" s="49" t="str">
        <x:f>IF(Z7="ALTO","Resolver certificado/permissão/CNPJ/status antes da rotina",IF(Z7="MÉDIO","Completar pasta/status pendente","Rotina regular"))</x:f>
        <x:v>Resolver certificado/permissão/CNPJ/status antes da rotina</x:v>
      </x:c>
    </x:row>
    <x:row r="8">
      <x:c r="A8" s="61" t="str">
        <x:v>AGROBOM ARMAZENS GERAIS - FL 03</x:v>
      </x:c>
      <x:c r="B8" s="49" t="str">
        <x:v>AGROBOM</x:v>
      </x:c>
      <x:c r="C8" s="49" t="str">
        <x:v>ITUMBIARA</x:v>
      </x:c>
      <x:c r="D8" s="49" t="str">
        <x:v>10.627.382/0003-01</x:v>
      </x:c>
      <x:c r="E8" s="49"/>
      <x:c r="F8" s="49" t="str">
        <x:v>DANIEL</x:v>
      </x:c>
      <x:c r="G8" s="49" t="str">
        <x:v>LUCRO REAL</x:v>
      </x:c>
      <x:c r="H8" s="49" t="str">
        <x:v>A</x:v>
      </x:c>
      <x:c r="I8" s="54" t="str">
        <x:v>x</x:v>
      </x:c>
      <x:c r="J8" s="49" t="str">
        <x:v>x</x:v>
      </x:c>
      <x:c r="K8" s="54" t="str">
        <x:v>x</x:v>
      </x:c>
      <x:c r="L8" s="49" t="str">
        <x:v>x</x:v>
      </x:c>
      <x:c r="M8" s="54" t="str">
        <x:v>x</x:v>
      </x:c>
      <x:c r="N8" s="49" t="str">
        <x:v>x</x:v>
      </x:c>
      <x:c r="O8" s="54" t="str">
        <x:v>x</x:v>
      </x:c>
      <x:c r="P8" s="49" t="str">
        <x:v>x</x:v>
      </x:c>
      <x:c r="Q8" s="57"/>
      <x:c r="R8" s="57"/>
      <x:c r="S8" s="57"/>
      <x:c r="T8" s="49" t="str">
        <x:f>IF(OR(I8="x",ISNUMBER(I8),ISNUMBER(SEARCH("OK",UPPER(I8&amp;""))),ISNUMBER(SEARCH("JÁ",UPPER(I8&amp;""))),ISNUMBER(SEARCH("JA ",UPPER(I8&amp;"")))),"OK",IF(I8="","PENDENTE",IF(OR(ISNUMBER(SEARCH("SEM MOV",UPPER(I8&amp;""))),ISNUMBER(SEARCH("SEM I.E",UPPER(I8&amp;""))),ISNUMBER(SEARCH("SEM IE",UPPER(I8&amp;"")))),"DISPENSADO","ALERTA")))</x:f>
        <x:v>OK</x:v>
      </x:c>
      <x:c r="U8" s="49" t="str">
        <x:f>IF(OR(K8="x",ISNUMBER(K8),ISNUMBER(SEARCH("OK",UPPER(K8&amp;""))),ISNUMBER(SEARCH("JÁ",UPPER(K8&amp;""))),ISNUMBER(SEARCH("JA ",UPPER(K8&amp;"")))),"OK",IF(K8="","PENDENTE",IF(OR(ISNUMBER(SEARCH("SEM MOV",UPPER(K8&amp;""))),ISNUMBER(SEARCH("SEM I.E",UPPER(K8&amp;""))),ISNUMBER(SEARCH("SEM IE",UPPER(K8&amp;"")))),"DISPENSADO","ALERTA")))</x:f>
        <x:v>OK</x:v>
      </x:c>
      <x:c r="V8" s="49" t="str">
        <x:f>IF(OR(M8="x",ISNUMBER(M8),ISNUMBER(SEARCH("OK",UPPER(M8&amp;""))),ISNUMBER(SEARCH("JÁ",UPPER(M8&amp;""))),ISNUMBER(SEARCH("JA ",UPPER(M8&amp;"")))),"OK",IF(M8="","PENDENTE",IF(OR(ISNUMBER(SEARCH("SEM MOV",UPPER(M8&amp;""))),ISNUMBER(SEARCH("SEM I.E",UPPER(M8&amp;""))),ISNUMBER(SEARCH("SEM IE",UPPER(M8&amp;"")))),"DISPENSADO","ALERTA")))</x:f>
        <x:v>OK</x:v>
      </x:c>
      <x:c r="W8" s="49" t="str">
        <x:f>IF(OR(O8="x",ISNUMBER(O8),ISNUMBER(SEARCH("OK",UPPER(O8&amp;""))),ISNUMBER(SEARCH("JÁ",UPPER(O8&amp;""))),ISNUMBER(SEARCH("JA ",UPPER(O8&amp;"")))),"OK",IF(O8="","PENDENTE",IF(OR(ISNUMBER(SEARCH("SEM MOV",UPPER(O8&amp;""))),ISNUMBER(SEARCH("SEM I.E",UPPER(O8&amp;""))),ISNUMBER(SEARCH("SEM IE",UPPER(O8&amp;"")))),"DISPENSADO","ALERTA")))</x:f>
        <x:v>OK</x:v>
      </x:c>
      <x:c r="X8" s="49" t="str">
        <x:f>IF(Q8&lt;&gt;"","SIM","NÃO")</x:f>
        <x:v>NÃO</x:v>
      </x:c>
      <x:c r="Y8" s="49" t="str">
        <x:f>IF(R8&lt;&gt;"","SIM","NÃO")</x:f>
        <x:v>NÃO</x:v>
      </x:c>
      <x:c r="Z8" s="49" t="str">
        <x:f>IF(OR(H8="A",V8="ALERTA",W8="ALERTA",T8="ALERTA",U8="ALERTA"),"ALTO",IF(OR(T8="PENDENTE",U8="PENDENTE",V8="PENDENTE",W8="PENDENTE"),"MÉDIO","BAIXO"))</x:f>
        <x:v>ALTO</x:v>
      </x:c>
      <x:c r="AA8" s="49" t="str">
        <x:f>IF(Z8="ALTO","Resolver certificado/permissão/CNPJ/status antes da rotina",IF(Z8="MÉDIO","Completar pasta/status pendente","Rotina regular"))</x:f>
        <x:v>Resolver certificado/permissão/CNPJ/status antes da rotina</x:v>
      </x:c>
    </x:row>
    <x:row r="9">
      <x:c r="A9" s="61" t="str">
        <x:v>AGROBOM ARMAZENS GERAIS - FL 04</x:v>
      </x:c>
      <x:c r="B9" s="49" t="str">
        <x:v>AGROBOM</x:v>
      </x:c>
      <x:c r="C9" s="49" t="str">
        <x:v>PORTEIRÃO</x:v>
      </x:c>
      <x:c r="D9" s="49" t="str">
        <x:v>10.627.382/0004-84</x:v>
      </x:c>
      <x:c r="E9" s="49"/>
      <x:c r="F9" s="49" t="str">
        <x:v>DANIEL</x:v>
      </x:c>
      <x:c r="G9" s="49" t="str">
        <x:v>LUCRO REAL</x:v>
      </x:c>
      <x:c r="H9" s="49" t="str">
        <x:v>A</x:v>
      </x:c>
      <x:c r="I9" s="54" t="str">
        <x:v>x</x:v>
      </x:c>
      <x:c r="J9" s="49" t="str">
        <x:v>x</x:v>
      </x:c>
      <x:c r="K9" s="54" t="str">
        <x:v>x</x:v>
      </x:c>
      <x:c r="L9" s="49" t="str">
        <x:v>x</x:v>
      </x:c>
      <x:c r="M9" s="54" t="str">
        <x:v>x</x:v>
      </x:c>
      <x:c r="N9" s="49" t="str">
        <x:v>x</x:v>
      </x:c>
      <x:c r="O9" s="54" t="str">
        <x:v>x</x:v>
      </x:c>
      <x:c r="P9" s="49" t="str">
        <x:v>x</x:v>
      </x:c>
      <x:c r="Q9" s="57"/>
      <x:c r="R9" s="57"/>
      <x:c r="S9" s="57"/>
      <x:c r="T9" s="49" t="str">
        <x:f>IF(OR(I9="x",ISNUMBER(I9),ISNUMBER(SEARCH("OK",UPPER(I9&amp;""))),ISNUMBER(SEARCH("JÁ",UPPER(I9&amp;""))),ISNUMBER(SEARCH("JA ",UPPER(I9&amp;"")))),"OK",IF(I9="","PENDENTE",IF(OR(ISNUMBER(SEARCH("SEM MOV",UPPER(I9&amp;""))),ISNUMBER(SEARCH("SEM I.E",UPPER(I9&amp;""))),ISNUMBER(SEARCH("SEM IE",UPPER(I9&amp;"")))),"DISPENSADO","ALERTA")))</x:f>
        <x:v>OK</x:v>
      </x:c>
      <x:c r="U9" s="49" t="str">
        <x:f>IF(OR(K9="x",ISNUMBER(K9),ISNUMBER(SEARCH("OK",UPPER(K9&amp;""))),ISNUMBER(SEARCH("JÁ",UPPER(K9&amp;""))),ISNUMBER(SEARCH("JA ",UPPER(K9&amp;"")))),"OK",IF(K9="","PENDENTE",IF(OR(ISNUMBER(SEARCH("SEM MOV",UPPER(K9&amp;""))),ISNUMBER(SEARCH("SEM I.E",UPPER(K9&amp;""))),ISNUMBER(SEARCH("SEM IE",UPPER(K9&amp;"")))),"DISPENSADO","ALERTA")))</x:f>
        <x:v>OK</x:v>
      </x:c>
      <x:c r="V9" s="49" t="str">
        <x:f>IF(OR(M9="x",ISNUMBER(M9),ISNUMBER(SEARCH("OK",UPPER(M9&amp;""))),ISNUMBER(SEARCH("JÁ",UPPER(M9&amp;""))),ISNUMBER(SEARCH("JA ",UPPER(M9&amp;"")))),"OK",IF(M9="","PENDENTE",IF(OR(ISNUMBER(SEARCH("SEM MOV",UPPER(M9&amp;""))),ISNUMBER(SEARCH("SEM I.E",UPPER(M9&amp;""))),ISNUMBER(SEARCH("SEM IE",UPPER(M9&amp;"")))),"DISPENSADO","ALERTA")))</x:f>
        <x:v>OK</x:v>
      </x:c>
      <x:c r="W9" s="49" t="str">
        <x:f>IF(OR(O9="x",ISNUMBER(O9),ISNUMBER(SEARCH("OK",UPPER(O9&amp;""))),ISNUMBER(SEARCH("JÁ",UPPER(O9&amp;""))),ISNUMBER(SEARCH("JA ",UPPER(O9&amp;"")))),"OK",IF(O9="","PENDENTE",IF(OR(ISNUMBER(SEARCH("SEM MOV",UPPER(O9&amp;""))),ISNUMBER(SEARCH("SEM I.E",UPPER(O9&amp;""))),ISNUMBER(SEARCH("SEM IE",UPPER(O9&amp;"")))),"DISPENSADO","ALERTA")))</x:f>
        <x:v>OK</x:v>
      </x:c>
      <x:c r="X9" s="49" t="str">
        <x:f>IF(Q9&lt;&gt;"","SIM","NÃO")</x:f>
        <x:v>NÃO</x:v>
      </x:c>
      <x:c r="Y9" s="49" t="str">
        <x:f>IF(R9&lt;&gt;"","SIM","NÃO")</x:f>
        <x:v>NÃO</x:v>
      </x:c>
      <x:c r="Z9" s="49" t="str">
        <x:f>IF(OR(H9="A",V9="ALERTA",W9="ALERTA",T9="ALERTA",U9="ALERTA"),"ALTO",IF(OR(T9="PENDENTE",U9="PENDENTE",V9="PENDENTE",W9="PENDENTE"),"MÉDIO","BAIXO"))</x:f>
        <x:v>ALTO</x:v>
      </x:c>
      <x:c r="AA9" s="49" t="str">
        <x:f>IF(Z9="ALTO","Resolver certificado/permissão/CNPJ/status antes da rotina",IF(Z9="MÉDIO","Completar pasta/status pendente","Rotina regular"))</x:f>
        <x:v>Resolver certificado/permissão/CNPJ/status antes da rotina</x:v>
      </x:c>
    </x:row>
    <x:row r="10">
      <x:c r="A10" s="61" t="str">
        <x:v>AGROBOM ARMAZENS GERAIS - FL 05</x:v>
      </x:c>
      <x:c r="B10" s="49" t="str">
        <x:v>AGROBOM</x:v>
      </x:c>
      <x:c r="C10" s="49" t="str">
        <x:v>PORTEIRÃO</x:v>
      </x:c>
      <x:c r="D10" s="49" t="str">
        <x:v>10.627.382/0005-65</x:v>
      </x:c>
      <x:c r="E10" s="49"/>
      <x:c r="F10" s="49" t="str">
        <x:v>DANIEL</x:v>
      </x:c>
      <x:c r="G10" s="49" t="str">
        <x:v>LUCRO REAL</x:v>
      </x:c>
      <x:c r="H10" s="49" t="str">
        <x:v>A</x:v>
      </x:c>
      <x:c r="I10" s="54" t="str">
        <x:v>x</x:v>
      </x:c>
      <x:c r="J10" s="49" t="str">
        <x:v>x</x:v>
      </x:c>
      <x:c r="K10" s="54" t="str">
        <x:v>x</x:v>
      </x:c>
      <x:c r="L10" s="49" t="str">
        <x:v>x</x:v>
      </x:c>
      <x:c r="M10" s="54" t="str">
        <x:v>x</x:v>
      </x:c>
      <x:c r="N10" s="49" t="str">
        <x:v>x</x:v>
      </x:c>
      <x:c r="O10" s="54" t="str">
        <x:v>x</x:v>
      </x:c>
      <x:c r="P10" s="49" t="str">
        <x:v>x</x:v>
      </x:c>
      <x:c r="Q10" s="57"/>
      <x:c r="R10" s="57"/>
      <x:c r="S10" s="57"/>
      <x:c r="T10" s="49" t="str">
        <x:f>IF(OR(I10="x",ISNUMBER(I10),ISNUMBER(SEARCH("OK",UPPER(I10&amp;""))),ISNUMBER(SEARCH("JÁ",UPPER(I10&amp;""))),ISNUMBER(SEARCH("JA ",UPPER(I10&amp;"")))),"OK",IF(I10="","PENDENTE",IF(OR(ISNUMBER(SEARCH("SEM MOV",UPPER(I10&amp;""))),ISNUMBER(SEARCH("SEM I.E",UPPER(I10&amp;""))),ISNUMBER(SEARCH("SEM IE",UPPER(I10&amp;"")))),"DISPENSADO","ALERTA")))</x:f>
        <x:v>OK</x:v>
      </x:c>
      <x:c r="U10" s="49" t="str">
        <x:f>IF(OR(K10="x",ISNUMBER(K10),ISNUMBER(SEARCH("OK",UPPER(K10&amp;""))),ISNUMBER(SEARCH("JÁ",UPPER(K10&amp;""))),ISNUMBER(SEARCH("JA ",UPPER(K10&amp;"")))),"OK",IF(K10="","PENDENTE",IF(OR(ISNUMBER(SEARCH("SEM MOV",UPPER(K10&amp;""))),ISNUMBER(SEARCH("SEM I.E",UPPER(K10&amp;""))),ISNUMBER(SEARCH("SEM IE",UPPER(K10&amp;"")))),"DISPENSADO","ALERTA")))</x:f>
        <x:v>OK</x:v>
      </x:c>
      <x:c r="V10" s="49" t="str">
        <x:f>IF(OR(M10="x",ISNUMBER(M10),ISNUMBER(SEARCH("OK",UPPER(M10&amp;""))),ISNUMBER(SEARCH("JÁ",UPPER(M10&amp;""))),ISNUMBER(SEARCH("JA ",UPPER(M10&amp;"")))),"OK",IF(M10="","PENDENTE",IF(OR(ISNUMBER(SEARCH("SEM MOV",UPPER(M10&amp;""))),ISNUMBER(SEARCH("SEM I.E",UPPER(M10&amp;""))),ISNUMBER(SEARCH("SEM IE",UPPER(M10&amp;"")))),"DISPENSADO","ALERTA")))</x:f>
        <x:v>OK</x:v>
      </x:c>
      <x:c r="W10" s="49" t="str">
        <x:f>IF(OR(O10="x",ISNUMBER(O10),ISNUMBER(SEARCH("OK",UPPER(O10&amp;""))),ISNUMBER(SEARCH("JÁ",UPPER(O10&amp;""))),ISNUMBER(SEARCH("JA ",UPPER(O10&amp;"")))),"OK",IF(O10="","PENDENTE",IF(OR(ISNUMBER(SEARCH("SEM MOV",UPPER(O10&amp;""))),ISNUMBER(SEARCH("SEM I.E",UPPER(O10&amp;""))),ISNUMBER(SEARCH("SEM IE",UPPER(O10&amp;"")))),"DISPENSADO","ALERTA")))</x:f>
        <x:v>OK</x:v>
      </x:c>
      <x:c r="X10" s="49" t="str">
        <x:f>IF(Q10&lt;&gt;"","SIM","NÃO")</x:f>
        <x:v>NÃO</x:v>
      </x:c>
      <x:c r="Y10" s="49" t="str">
        <x:f>IF(R10&lt;&gt;"","SIM","NÃO")</x:f>
        <x:v>NÃO</x:v>
      </x:c>
      <x:c r="Z10" s="49" t="str">
        <x:f>IF(OR(H10="A",V10="ALERTA",W10="ALERTA",T10="ALERTA",U10="ALERTA"),"ALTO",IF(OR(T10="PENDENTE",U10="PENDENTE",V10="PENDENTE",W10="PENDENTE"),"MÉDIO","BAIXO"))</x:f>
        <x:v>ALTO</x:v>
      </x:c>
      <x:c r="AA10" s="49" t="str">
        <x:f>IF(Z10="ALTO","Resolver certificado/permissão/CNPJ/status antes da rotina",IF(Z10="MÉDIO","Completar pasta/status pendente","Rotina regular"))</x:f>
        <x:v>Resolver certificado/permissão/CNPJ/status antes da rotina</x:v>
      </x:c>
    </x:row>
    <x:row r="11">
      <x:c r="A11" s="61" t="str">
        <x:v>AGROBOM ARMAZENS GERAIS - FL 06</x:v>
      </x:c>
      <x:c r="B11" s="49" t="str">
        <x:v>AGROBOM</x:v>
      </x:c>
      <x:c r="C11" s="49" t="str">
        <x:v>BOM JESUS</x:v>
      </x:c>
      <x:c r="D11" s="49" t="str">
        <x:v>10.627.382/0006-46</x:v>
      </x:c>
      <x:c r="E11" s="49"/>
      <x:c r="F11" s="49" t="str">
        <x:v>DANIEL</x:v>
      </x:c>
      <x:c r="G11" s="49" t="str">
        <x:v>LUCRO REAL</x:v>
      </x:c>
      <x:c r="H11" s="49" t="str">
        <x:v>A</x:v>
      </x:c>
      <x:c r="I11" s="54" t="str">
        <x:v>x</x:v>
      </x:c>
      <x:c r="J11" s="49" t="str">
        <x:v>x</x:v>
      </x:c>
      <x:c r="K11" s="54" t="str">
        <x:v>x</x:v>
      </x:c>
      <x:c r="L11" s="49" t="str">
        <x:v>x</x:v>
      </x:c>
      <x:c r="M11" s="54" t="str">
        <x:v>x</x:v>
      </x:c>
      <x:c r="N11" s="49" t="str">
        <x:v>x</x:v>
      </x:c>
      <x:c r="O11" s="54" t="str">
        <x:v>x</x:v>
      </x:c>
      <x:c r="P11" s="49" t="str">
        <x:v>x</x:v>
      </x:c>
      <x:c r="Q11" s="57"/>
      <x:c r="R11" s="57"/>
      <x:c r="S11" s="57"/>
      <x:c r="T11" s="49" t="str">
        <x:f>IF(OR(I11="x",ISNUMBER(I11),ISNUMBER(SEARCH("OK",UPPER(I11&amp;""))),ISNUMBER(SEARCH("JÁ",UPPER(I11&amp;""))),ISNUMBER(SEARCH("JA ",UPPER(I11&amp;"")))),"OK",IF(I11="","PENDENTE",IF(OR(ISNUMBER(SEARCH("SEM MOV",UPPER(I11&amp;""))),ISNUMBER(SEARCH("SEM I.E",UPPER(I11&amp;""))),ISNUMBER(SEARCH("SEM IE",UPPER(I11&amp;"")))),"DISPENSADO","ALERTA")))</x:f>
        <x:v>OK</x:v>
      </x:c>
      <x:c r="U11" s="49" t="str">
        <x:f>IF(OR(K11="x",ISNUMBER(K11),ISNUMBER(SEARCH("OK",UPPER(K11&amp;""))),ISNUMBER(SEARCH("JÁ",UPPER(K11&amp;""))),ISNUMBER(SEARCH("JA ",UPPER(K11&amp;"")))),"OK",IF(K11="","PENDENTE",IF(OR(ISNUMBER(SEARCH("SEM MOV",UPPER(K11&amp;""))),ISNUMBER(SEARCH("SEM I.E",UPPER(K11&amp;""))),ISNUMBER(SEARCH("SEM IE",UPPER(K11&amp;"")))),"DISPENSADO","ALERTA")))</x:f>
        <x:v>OK</x:v>
      </x:c>
      <x:c r="V11" s="49" t="str">
        <x:f>IF(OR(M11="x",ISNUMBER(M11),ISNUMBER(SEARCH("OK",UPPER(M11&amp;""))),ISNUMBER(SEARCH("JÁ",UPPER(M11&amp;""))),ISNUMBER(SEARCH("JA ",UPPER(M11&amp;"")))),"OK",IF(M11="","PENDENTE",IF(OR(ISNUMBER(SEARCH("SEM MOV",UPPER(M11&amp;""))),ISNUMBER(SEARCH("SEM I.E",UPPER(M11&amp;""))),ISNUMBER(SEARCH("SEM IE",UPPER(M11&amp;"")))),"DISPENSADO","ALERTA")))</x:f>
        <x:v>OK</x:v>
      </x:c>
      <x:c r="W11" s="49" t="str">
        <x:f>IF(OR(O11="x",ISNUMBER(O11),ISNUMBER(SEARCH("OK",UPPER(O11&amp;""))),ISNUMBER(SEARCH("JÁ",UPPER(O11&amp;""))),ISNUMBER(SEARCH("JA ",UPPER(O11&amp;"")))),"OK",IF(O11="","PENDENTE",IF(OR(ISNUMBER(SEARCH("SEM MOV",UPPER(O11&amp;""))),ISNUMBER(SEARCH("SEM I.E",UPPER(O11&amp;""))),ISNUMBER(SEARCH("SEM IE",UPPER(O11&amp;"")))),"DISPENSADO","ALERTA")))</x:f>
        <x:v>OK</x:v>
      </x:c>
      <x:c r="X11" s="49" t="str">
        <x:f>IF(Q11&lt;&gt;"","SIM","NÃO")</x:f>
        <x:v>NÃO</x:v>
      </x:c>
      <x:c r="Y11" s="49" t="str">
        <x:f>IF(R11&lt;&gt;"","SIM","NÃO")</x:f>
        <x:v>NÃO</x:v>
      </x:c>
      <x:c r="Z11" s="49" t="str">
        <x:f>IF(OR(H11="A",V11="ALERTA",W11="ALERTA",T11="ALERTA",U11="ALERTA"),"ALTO",IF(OR(T11="PENDENTE",U11="PENDENTE",V11="PENDENTE",W11="PENDENTE"),"MÉDIO","BAIXO"))</x:f>
        <x:v>ALTO</x:v>
      </x:c>
      <x:c r="AA11" s="49" t="str">
        <x:f>IF(Z11="ALTO","Resolver certificado/permissão/CNPJ/status antes da rotina",IF(Z11="MÉDIO","Completar pasta/status pendente","Rotina regular"))</x:f>
        <x:v>Resolver certificado/permissão/CNPJ/status antes da rotina</x:v>
      </x:c>
    </x:row>
    <x:row r="12">
      <x:c r="A12" s="61" t="str">
        <x:v>AGROBOM ARMAZENS GERAIS - FL 07</x:v>
      </x:c>
      <x:c r="B12" s="49" t="str">
        <x:v>AGROBOM</x:v>
      </x:c>
      <x:c r="C12" s="49" t="str">
        <x:v>GOIATUBA</x:v>
      </x:c>
      <x:c r="D12" s="49" t="str">
        <x:v>10.627.382/0007-27</x:v>
      </x:c>
      <x:c r="E12" s="49"/>
      <x:c r="F12" s="49" t="str">
        <x:v>DANIEL</x:v>
      </x:c>
      <x:c r="G12" s="49" t="str">
        <x:v>LUCRO REAL</x:v>
      </x:c>
      <x:c r="H12" s="49" t="str">
        <x:v>A</x:v>
      </x:c>
      <x:c r="I12" s="54" t="str">
        <x:v>x</x:v>
      </x:c>
      <x:c r="J12" s="49" t="str">
        <x:v>x</x:v>
      </x:c>
      <x:c r="K12" s="54" t="str">
        <x:v>x</x:v>
      </x:c>
      <x:c r="L12" s="49" t="str">
        <x:v>x</x:v>
      </x:c>
      <x:c r="M12" s="54" t="str">
        <x:v>x</x:v>
      </x:c>
      <x:c r="N12" s="49" t="str">
        <x:v>x</x:v>
      </x:c>
      <x:c r="O12" s="54" t="str">
        <x:v>x</x:v>
      </x:c>
      <x:c r="P12" s="49" t="str">
        <x:v>x</x:v>
      </x:c>
      <x:c r="Q12" s="57"/>
      <x:c r="R12" s="57"/>
      <x:c r="S12" s="57"/>
      <x:c r="T12" s="49" t="str">
        <x:f>IF(OR(I12="x",ISNUMBER(I12),ISNUMBER(SEARCH("OK",UPPER(I12&amp;""))),ISNUMBER(SEARCH("JÁ",UPPER(I12&amp;""))),ISNUMBER(SEARCH("JA ",UPPER(I12&amp;"")))),"OK",IF(I12="","PENDENTE",IF(OR(ISNUMBER(SEARCH("SEM MOV",UPPER(I12&amp;""))),ISNUMBER(SEARCH("SEM I.E",UPPER(I12&amp;""))),ISNUMBER(SEARCH("SEM IE",UPPER(I12&amp;"")))),"DISPENSADO","ALERTA")))</x:f>
        <x:v>OK</x:v>
      </x:c>
      <x:c r="U12" s="49" t="str">
        <x:f>IF(OR(K12="x",ISNUMBER(K12),ISNUMBER(SEARCH("OK",UPPER(K12&amp;""))),ISNUMBER(SEARCH("JÁ",UPPER(K12&amp;""))),ISNUMBER(SEARCH("JA ",UPPER(K12&amp;"")))),"OK",IF(K12="","PENDENTE",IF(OR(ISNUMBER(SEARCH("SEM MOV",UPPER(K12&amp;""))),ISNUMBER(SEARCH("SEM I.E",UPPER(K12&amp;""))),ISNUMBER(SEARCH("SEM IE",UPPER(K12&amp;"")))),"DISPENSADO","ALERTA")))</x:f>
        <x:v>OK</x:v>
      </x:c>
      <x:c r="V12" s="49" t="str">
        <x:f>IF(OR(M12="x",ISNUMBER(M12),ISNUMBER(SEARCH("OK",UPPER(M12&amp;""))),ISNUMBER(SEARCH("JÁ",UPPER(M12&amp;""))),ISNUMBER(SEARCH("JA ",UPPER(M12&amp;"")))),"OK",IF(M12="","PENDENTE",IF(OR(ISNUMBER(SEARCH("SEM MOV",UPPER(M12&amp;""))),ISNUMBER(SEARCH("SEM I.E",UPPER(M12&amp;""))),ISNUMBER(SEARCH("SEM IE",UPPER(M12&amp;"")))),"DISPENSADO","ALERTA")))</x:f>
        <x:v>OK</x:v>
      </x:c>
      <x:c r="W12" s="49" t="str">
        <x:f>IF(OR(O12="x",ISNUMBER(O12),ISNUMBER(SEARCH("OK",UPPER(O12&amp;""))),ISNUMBER(SEARCH("JÁ",UPPER(O12&amp;""))),ISNUMBER(SEARCH("JA ",UPPER(O12&amp;"")))),"OK",IF(O12="","PENDENTE",IF(OR(ISNUMBER(SEARCH("SEM MOV",UPPER(O12&amp;""))),ISNUMBER(SEARCH("SEM I.E",UPPER(O12&amp;""))),ISNUMBER(SEARCH("SEM IE",UPPER(O12&amp;"")))),"DISPENSADO","ALERTA")))</x:f>
        <x:v>OK</x:v>
      </x:c>
      <x:c r="X12" s="49" t="str">
        <x:f>IF(Q12&lt;&gt;"","SIM","NÃO")</x:f>
        <x:v>NÃO</x:v>
      </x:c>
      <x:c r="Y12" s="49" t="str">
        <x:f>IF(R12&lt;&gt;"","SIM","NÃO")</x:f>
        <x:v>NÃO</x:v>
      </x:c>
      <x:c r="Z12" s="49" t="str">
        <x:f>IF(OR(H12="A",V12="ALERTA",W12="ALERTA",T12="ALERTA",U12="ALERTA"),"ALTO",IF(OR(T12="PENDENTE",U12="PENDENTE",V12="PENDENTE",W12="PENDENTE"),"MÉDIO","BAIXO"))</x:f>
        <x:v>ALTO</x:v>
      </x:c>
      <x:c r="AA12" s="49" t="str">
        <x:f>IF(Z12="ALTO","Resolver certificado/permissão/CNPJ/status antes da rotina",IF(Z12="MÉDIO","Completar pasta/status pendente","Rotina regular"))</x:f>
        <x:v>Resolver certificado/permissão/CNPJ/status antes da rotina</x:v>
      </x:c>
    </x:row>
    <x:row r="13">
      <x:c r="A13" s="61" t="str">
        <x:v>AGROBOM ARMAZENS GERAIS - FL 08</x:v>
      </x:c>
      <x:c r="B13" s="49" t="str">
        <x:v>AGROBOM</x:v>
      </x:c>
      <x:c r="C13" s="49" t="str">
        <x:v>ITUMBIARA</x:v>
      </x:c>
      <x:c r="D13" s="49" t="str">
        <x:v>10.627.382/0008-08</x:v>
      </x:c>
      <x:c r="E13" s="49"/>
      <x:c r="F13" s="49" t="str">
        <x:v>DANIEL</x:v>
      </x:c>
      <x:c r="G13" s="49" t="str">
        <x:v>LUCRO REAL</x:v>
      </x:c>
      <x:c r="H13" s="49" t="str">
        <x:v>A</x:v>
      </x:c>
      <x:c r="I13" s="54" t="str">
        <x:v>x</x:v>
      </x:c>
      <x:c r="J13" s="49" t="str">
        <x:v>x</x:v>
      </x:c>
      <x:c r="K13" s="54" t="str">
        <x:v>x</x:v>
      </x:c>
      <x:c r="L13" s="49" t="str">
        <x:v>x</x:v>
      </x:c>
      <x:c r="M13" s="54" t="str">
        <x:v>x</x:v>
      </x:c>
      <x:c r="N13" s="49" t="str">
        <x:v>x</x:v>
      </x:c>
      <x:c r="O13" s="54" t="str">
        <x:v>x</x:v>
      </x:c>
      <x:c r="P13" s="49" t="str">
        <x:v>x</x:v>
      </x:c>
      <x:c r="Q13" s="57"/>
      <x:c r="R13" s="57"/>
      <x:c r="S13" s="57"/>
      <x:c r="T13" s="49" t="str">
        <x:f>IF(OR(I13="x",ISNUMBER(I13),ISNUMBER(SEARCH("OK",UPPER(I13&amp;""))),ISNUMBER(SEARCH("JÁ",UPPER(I13&amp;""))),ISNUMBER(SEARCH("JA ",UPPER(I13&amp;"")))),"OK",IF(I13="","PENDENTE",IF(OR(ISNUMBER(SEARCH("SEM MOV",UPPER(I13&amp;""))),ISNUMBER(SEARCH("SEM I.E",UPPER(I13&amp;""))),ISNUMBER(SEARCH("SEM IE",UPPER(I13&amp;"")))),"DISPENSADO","ALERTA")))</x:f>
        <x:v>OK</x:v>
      </x:c>
      <x:c r="U13" s="49" t="str">
        <x:f>IF(OR(K13="x",ISNUMBER(K13),ISNUMBER(SEARCH("OK",UPPER(K13&amp;""))),ISNUMBER(SEARCH("JÁ",UPPER(K13&amp;""))),ISNUMBER(SEARCH("JA ",UPPER(K13&amp;"")))),"OK",IF(K13="","PENDENTE",IF(OR(ISNUMBER(SEARCH("SEM MOV",UPPER(K13&amp;""))),ISNUMBER(SEARCH("SEM I.E",UPPER(K13&amp;""))),ISNUMBER(SEARCH("SEM IE",UPPER(K13&amp;"")))),"DISPENSADO","ALERTA")))</x:f>
        <x:v>OK</x:v>
      </x:c>
      <x:c r="V13" s="49" t="str">
        <x:f>IF(OR(M13="x",ISNUMBER(M13),ISNUMBER(SEARCH("OK",UPPER(M13&amp;""))),ISNUMBER(SEARCH("JÁ",UPPER(M13&amp;""))),ISNUMBER(SEARCH("JA ",UPPER(M13&amp;"")))),"OK",IF(M13="","PENDENTE",IF(OR(ISNUMBER(SEARCH("SEM MOV",UPPER(M13&amp;""))),ISNUMBER(SEARCH("SEM I.E",UPPER(M13&amp;""))),ISNUMBER(SEARCH("SEM IE",UPPER(M13&amp;"")))),"DISPENSADO","ALERTA")))</x:f>
        <x:v>OK</x:v>
      </x:c>
      <x:c r="W13" s="49" t="str">
        <x:f>IF(OR(O13="x",ISNUMBER(O13),ISNUMBER(SEARCH("OK",UPPER(O13&amp;""))),ISNUMBER(SEARCH("JÁ",UPPER(O13&amp;""))),ISNUMBER(SEARCH("JA ",UPPER(O13&amp;"")))),"OK",IF(O13="","PENDENTE",IF(OR(ISNUMBER(SEARCH("SEM MOV",UPPER(O13&amp;""))),ISNUMBER(SEARCH("SEM I.E",UPPER(O13&amp;""))),ISNUMBER(SEARCH("SEM IE",UPPER(O13&amp;"")))),"DISPENSADO","ALERTA")))</x:f>
        <x:v>OK</x:v>
      </x:c>
      <x:c r="X13" s="49" t="str">
        <x:f>IF(Q13&lt;&gt;"","SIM","NÃO")</x:f>
        <x:v>NÃO</x:v>
      </x:c>
      <x:c r="Y13" s="49" t="str">
        <x:f>IF(R13&lt;&gt;"","SIM","NÃO")</x:f>
        <x:v>NÃO</x:v>
      </x:c>
      <x:c r="Z13" s="49" t="str">
        <x:f>IF(OR(H13="A",V13="ALERTA",W13="ALERTA",T13="ALERTA",U13="ALERTA"),"ALTO",IF(OR(T13="PENDENTE",U13="PENDENTE",V13="PENDENTE",W13="PENDENTE"),"MÉDIO","BAIXO"))</x:f>
        <x:v>ALTO</x:v>
      </x:c>
      <x:c r="AA13" s="49" t="str">
        <x:f>IF(Z13="ALTO","Resolver certificado/permissão/CNPJ/status antes da rotina",IF(Z13="MÉDIO","Completar pasta/status pendente","Rotina regular"))</x:f>
        <x:v>Resolver certificado/permissão/CNPJ/status antes da rotina</x:v>
      </x:c>
    </x:row>
    <x:row r="14">
      <x:c r="A14" s="61" t="str">
        <x:v>AGROBOM ARMAZENS GERAIS - FL 09(184)</x:v>
      </x:c>
      <x:c r="B14" s="49" t="str">
        <x:v>AGROBOM</x:v>
      </x:c>
      <x:c r="C14" s="49" t="str">
        <x:v>BOM JESUS</x:v>
      </x:c>
      <x:c r="D14" s="49" t="str">
        <x:v>10.627.382/0009-99</x:v>
      </x:c>
      <x:c r="E14" s="49"/>
      <x:c r="F14" s="49" t="str">
        <x:v>DANIEL</x:v>
      </x:c>
      <x:c r="G14" s="49" t="str">
        <x:v>LUCRO REAL</x:v>
      </x:c>
      <x:c r="H14" s="49" t="str">
        <x:v>A</x:v>
      </x:c>
      <x:c r="I14" s="54" t="str">
        <x:v>x</x:v>
      </x:c>
      <x:c r="J14" s="49" t="str">
        <x:v>x</x:v>
      </x:c>
      <x:c r="K14" s="54" t="str">
        <x:v>x</x:v>
      </x:c>
      <x:c r="L14" s="49" t="str">
        <x:v>x</x:v>
      </x:c>
      <x:c r="M14" s="54" t="str">
        <x:v>x</x:v>
      </x:c>
      <x:c r="N14" s="49" t="str">
        <x:v>x</x:v>
      </x:c>
      <x:c r="O14" s="54" t="str">
        <x:v>x</x:v>
      </x:c>
      <x:c r="P14" s="49" t="str">
        <x:v>x</x:v>
      </x:c>
      <x:c r="Q14" s="57"/>
      <x:c r="R14" s="57"/>
      <x:c r="S14" s="57"/>
      <x:c r="T14" s="49" t="str">
        <x:f>IF(OR(I14="x",ISNUMBER(I14),ISNUMBER(SEARCH("OK",UPPER(I14&amp;""))),ISNUMBER(SEARCH("JÁ",UPPER(I14&amp;""))),ISNUMBER(SEARCH("JA ",UPPER(I14&amp;"")))),"OK",IF(I14="","PENDENTE",IF(OR(ISNUMBER(SEARCH("SEM MOV",UPPER(I14&amp;""))),ISNUMBER(SEARCH("SEM I.E",UPPER(I14&amp;""))),ISNUMBER(SEARCH("SEM IE",UPPER(I14&amp;"")))),"DISPENSADO","ALERTA")))</x:f>
        <x:v>OK</x:v>
      </x:c>
      <x:c r="U14" s="49" t="str">
        <x:f>IF(OR(K14="x",ISNUMBER(K14),ISNUMBER(SEARCH("OK",UPPER(K14&amp;""))),ISNUMBER(SEARCH("JÁ",UPPER(K14&amp;""))),ISNUMBER(SEARCH("JA ",UPPER(K14&amp;"")))),"OK",IF(K14="","PENDENTE",IF(OR(ISNUMBER(SEARCH("SEM MOV",UPPER(K14&amp;""))),ISNUMBER(SEARCH("SEM I.E",UPPER(K14&amp;""))),ISNUMBER(SEARCH("SEM IE",UPPER(K14&amp;"")))),"DISPENSADO","ALERTA")))</x:f>
        <x:v>OK</x:v>
      </x:c>
      <x:c r="V14" s="49" t="str">
        <x:f>IF(OR(M14="x",ISNUMBER(M14),ISNUMBER(SEARCH("OK",UPPER(M14&amp;""))),ISNUMBER(SEARCH("JÁ",UPPER(M14&amp;""))),ISNUMBER(SEARCH("JA ",UPPER(M14&amp;"")))),"OK",IF(M14="","PENDENTE",IF(OR(ISNUMBER(SEARCH("SEM MOV",UPPER(M14&amp;""))),ISNUMBER(SEARCH("SEM I.E",UPPER(M14&amp;""))),ISNUMBER(SEARCH("SEM IE",UPPER(M14&amp;"")))),"DISPENSADO","ALERTA")))</x:f>
        <x:v>OK</x:v>
      </x:c>
      <x:c r="W14" s="49" t="str">
        <x:f>IF(OR(O14="x",ISNUMBER(O14),ISNUMBER(SEARCH("OK",UPPER(O14&amp;""))),ISNUMBER(SEARCH("JÁ",UPPER(O14&amp;""))),ISNUMBER(SEARCH("JA ",UPPER(O14&amp;"")))),"OK",IF(O14="","PENDENTE",IF(OR(ISNUMBER(SEARCH("SEM MOV",UPPER(O14&amp;""))),ISNUMBER(SEARCH("SEM I.E",UPPER(O14&amp;""))),ISNUMBER(SEARCH("SEM IE",UPPER(O14&amp;"")))),"DISPENSADO","ALERTA")))</x:f>
        <x:v>OK</x:v>
      </x:c>
      <x:c r="X14" s="49" t="str">
        <x:f>IF(Q14&lt;&gt;"","SIM","NÃO")</x:f>
        <x:v>NÃO</x:v>
      </x:c>
      <x:c r="Y14" s="49" t="str">
        <x:f>IF(R14&lt;&gt;"","SIM","NÃO")</x:f>
        <x:v>NÃO</x:v>
      </x:c>
      <x:c r="Z14" s="49" t="str">
        <x:f>IF(OR(H14="A",V14="ALERTA",W14="ALERTA",T14="ALERTA",U14="ALERTA"),"ALTO",IF(OR(T14="PENDENTE",U14="PENDENTE",V14="PENDENTE",W14="PENDENTE"),"MÉDIO","BAIXO"))</x:f>
        <x:v>ALTO</x:v>
      </x:c>
      <x:c r="AA14" s="49" t="str">
        <x:f>IF(Z14="ALTO","Resolver certificado/permissão/CNPJ/status antes da rotina",IF(Z14="MÉDIO","Completar pasta/status pendente","Rotina regular"))</x:f>
        <x:v>Resolver certificado/permissão/CNPJ/status antes da rotina</x:v>
      </x:c>
    </x:row>
    <x:row r="15">
      <x:c r="A15" s="61" t="str">
        <x:v>AGROBOM ARMAZENS GERAIS - MTZ</x:v>
      </x:c>
      <x:c r="B15" s="49" t="str">
        <x:v>AGROBOM</x:v>
      </x:c>
      <x:c r="C15" s="49" t="str">
        <x:v>BOM JESUS</x:v>
      </x:c>
      <x:c r="D15" s="49" t="str">
        <x:v>10.627.382/0001-31</x:v>
      </x:c>
      <x:c r="E15" s="49"/>
      <x:c r="F15" s="49" t="str">
        <x:v>DANIEL</x:v>
      </x:c>
      <x:c r="G15" s="49" t="str">
        <x:v>LUCRO REAL</x:v>
      </x:c>
      <x:c r="H15" s="49" t="str">
        <x:v>A</x:v>
      </x:c>
      <x:c r="I15" s="54" t="str">
        <x:v>x</x:v>
      </x:c>
      <x:c r="J15" s="49" t="str">
        <x:v>x</x:v>
      </x:c>
      <x:c r="K15" s="54" t="str">
        <x:v>x</x:v>
      </x:c>
      <x:c r="L15" s="49" t="str">
        <x:v>x</x:v>
      </x:c>
      <x:c r="M15" s="54" t="str">
        <x:v>x</x:v>
      </x:c>
      <x:c r="N15" s="49" t="str">
        <x:v>x</x:v>
      </x:c>
      <x:c r="O15" s="54" t="str">
        <x:v>x</x:v>
      </x:c>
      <x:c r="P15" s="49" t="str">
        <x:v>x</x:v>
      </x:c>
      <x:c r="Q15" s="57"/>
      <x:c r="R15" s="57"/>
      <x:c r="S15" s="57"/>
      <x:c r="T15" s="49" t="str">
        <x:f>IF(OR(I15="x",ISNUMBER(I15),ISNUMBER(SEARCH("OK",UPPER(I15&amp;""))),ISNUMBER(SEARCH("JÁ",UPPER(I15&amp;""))),ISNUMBER(SEARCH("JA ",UPPER(I15&amp;"")))),"OK",IF(I15="","PENDENTE",IF(OR(ISNUMBER(SEARCH("SEM MOV",UPPER(I15&amp;""))),ISNUMBER(SEARCH("SEM I.E",UPPER(I15&amp;""))),ISNUMBER(SEARCH("SEM IE",UPPER(I15&amp;"")))),"DISPENSADO","ALERTA")))</x:f>
        <x:v>OK</x:v>
      </x:c>
      <x:c r="U15" s="49" t="str">
        <x:f>IF(OR(K15="x",ISNUMBER(K15),ISNUMBER(SEARCH("OK",UPPER(K15&amp;""))),ISNUMBER(SEARCH("JÁ",UPPER(K15&amp;""))),ISNUMBER(SEARCH("JA ",UPPER(K15&amp;"")))),"OK",IF(K15="","PENDENTE",IF(OR(ISNUMBER(SEARCH("SEM MOV",UPPER(K15&amp;""))),ISNUMBER(SEARCH("SEM I.E",UPPER(K15&amp;""))),ISNUMBER(SEARCH("SEM IE",UPPER(K15&amp;"")))),"DISPENSADO","ALERTA")))</x:f>
        <x:v>OK</x:v>
      </x:c>
      <x:c r="V15" s="49" t="str">
        <x:f>IF(OR(M15="x",ISNUMBER(M15),ISNUMBER(SEARCH("OK",UPPER(M15&amp;""))),ISNUMBER(SEARCH("JÁ",UPPER(M15&amp;""))),ISNUMBER(SEARCH("JA ",UPPER(M15&amp;"")))),"OK",IF(M15="","PENDENTE",IF(OR(ISNUMBER(SEARCH("SEM MOV",UPPER(M15&amp;""))),ISNUMBER(SEARCH("SEM I.E",UPPER(M15&amp;""))),ISNUMBER(SEARCH("SEM IE",UPPER(M15&amp;"")))),"DISPENSADO","ALERTA")))</x:f>
        <x:v>OK</x:v>
      </x:c>
      <x:c r="W15" s="49" t="str">
        <x:f>IF(OR(O15="x",ISNUMBER(O15),ISNUMBER(SEARCH("OK",UPPER(O15&amp;""))),ISNUMBER(SEARCH("JÁ",UPPER(O15&amp;""))),ISNUMBER(SEARCH("JA ",UPPER(O15&amp;"")))),"OK",IF(O15="","PENDENTE",IF(OR(ISNUMBER(SEARCH("SEM MOV",UPPER(O15&amp;""))),ISNUMBER(SEARCH("SEM I.E",UPPER(O15&amp;""))),ISNUMBER(SEARCH("SEM IE",UPPER(O15&amp;"")))),"DISPENSADO","ALERTA")))</x:f>
        <x:v>OK</x:v>
      </x:c>
      <x:c r="X15" s="49" t="str">
        <x:f>IF(Q15&lt;&gt;"","SIM","NÃO")</x:f>
        <x:v>NÃO</x:v>
      </x:c>
      <x:c r="Y15" s="49" t="str">
        <x:f>IF(R15&lt;&gt;"","SIM","NÃO")</x:f>
        <x:v>NÃO</x:v>
      </x:c>
      <x:c r="Z15" s="49" t="str">
        <x:f>IF(OR(H15="A",V15="ALERTA",W15="ALERTA",T15="ALERTA",U15="ALERTA"),"ALTO",IF(OR(T15="PENDENTE",U15="PENDENTE",V15="PENDENTE",W15="PENDENTE"),"MÉDIO","BAIXO"))</x:f>
        <x:v>ALTO</x:v>
      </x:c>
      <x:c r="AA15" s="49" t="str">
        <x:f>IF(Z15="ALTO","Resolver certificado/permissão/CNPJ/status antes da rotina",IF(Z15="MÉDIO","Completar pasta/status pendente","Rotina regular"))</x:f>
        <x:v>Resolver certificado/permissão/CNPJ/status antes da rotina</x:v>
      </x:c>
    </x:row>
    <x:row r="16">
      <x:c r="A16" s="61" t="str">
        <x:v>AGROBOM COMÉRCIO E INDÚSTRIA DE CEREAIS</x:v>
      </x:c>
      <x:c r="B16" s="49" t="str">
        <x:v>AGROBOM</x:v>
      </x:c>
      <x:c r="C16" s="49" t="str">
        <x:v>BOM JESUS</x:v>
      </x:c>
      <x:c r="D16" s="49" t="str">
        <x:v>17.689.853/0001-85</x:v>
      </x:c>
      <x:c r="E16" s="49"/>
      <x:c r="F16" s="49" t="str">
        <x:v>DANIEL/ ELCIMAR</x:v>
      </x:c>
      <x:c r="G16" s="49" t="str">
        <x:v>LUCRO REAL</x:v>
      </x:c>
      <x:c r="H16" s="49" t="str">
        <x:v>A</x:v>
      </x:c>
      <x:c r="I16" s="54" t="str">
        <x:v>x</x:v>
      </x:c>
      <x:c r="J16" s="49" t="str">
        <x:v>x</x:v>
      </x:c>
      <x:c r="K16" s="54" t="str">
        <x:v>x</x:v>
      </x:c>
      <x:c r="L16" s="49" t="str">
        <x:v>x</x:v>
      </x:c>
      <x:c r="M16" s="54" t="str">
        <x:v>x</x:v>
      </x:c>
      <x:c r="N16" s="49" t="str">
        <x:v>x</x:v>
      </x:c>
      <x:c r="O16" s="54" t="str">
        <x:v>x</x:v>
      </x:c>
      <x:c r="P16" s="49" t="str">
        <x:v>x</x:v>
      </x:c>
      <x:c r="Q16" s="57"/>
      <x:c r="R16" s="57"/>
      <x:c r="S16" s="57"/>
      <x:c r="T16" s="49" t="str">
        <x:f>IF(OR(I16="x",ISNUMBER(I16),ISNUMBER(SEARCH("OK",UPPER(I16&amp;""))),ISNUMBER(SEARCH("JÁ",UPPER(I16&amp;""))),ISNUMBER(SEARCH("JA ",UPPER(I16&amp;"")))),"OK",IF(I16="","PENDENTE",IF(OR(ISNUMBER(SEARCH("SEM MOV",UPPER(I16&amp;""))),ISNUMBER(SEARCH("SEM I.E",UPPER(I16&amp;""))),ISNUMBER(SEARCH("SEM IE",UPPER(I16&amp;"")))),"DISPENSADO","ALERTA")))</x:f>
        <x:v>OK</x:v>
      </x:c>
      <x:c r="U16" s="49" t="str">
        <x:f>IF(OR(K16="x",ISNUMBER(K16),ISNUMBER(SEARCH("OK",UPPER(K16&amp;""))),ISNUMBER(SEARCH("JÁ",UPPER(K16&amp;""))),ISNUMBER(SEARCH("JA ",UPPER(K16&amp;"")))),"OK",IF(K16="","PENDENTE",IF(OR(ISNUMBER(SEARCH("SEM MOV",UPPER(K16&amp;""))),ISNUMBER(SEARCH("SEM I.E",UPPER(K16&amp;""))),ISNUMBER(SEARCH("SEM IE",UPPER(K16&amp;"")))),"DISPENSADO","ALERTA")))</x:f>
        <x:v>OK</x:v>
      </x:c>
      <x:c r="V16" s="49" t="str">
        <x:f>IF(OR(M16="x",ISNUMBER(M16),ISNUMBER(SEARCH("OK",UPPER(M16&amp;""))),ISNUMBER(SEARCH("JÁ",UPPER(M16&amp;""))),ISNUMBER(SEARCH("JA ",UPPER(M16&amp;"")))),"OK",IF(M16="","PENDENTE",IF(OR(ISNUMBER(SEARCH("SEM MOV",UPPER(M16&amp;""))),ISNUMBER(SEARCH("SEM I.E",UPPER(M16&amp;""))),ISNUMBER(SEARCH("SEM IE",UPPER(M16&amp;"")))),"DISPENSADO","ALERTA")))</x:f>
        <x:v>OK</x:v>
      </x:c>
      <x:c r="W16" s="49" t="str">
        <x:f>IF(OR(O16="x",ISNUMBER(O16),ISNUMBER(SEARCH("OK",UPPER(O16&amp;""))),ISNUMBER(SEARCH("JÁ",UPPER(O16&amp;""))),ISNUMBER(SEARCH("JA ",UPPER(O16&amp;"")))),"OK",IF(O16="","PENDENTE",IF(OR(ISNUMBER(SEARCH("SEM MOV",UPPER(O16&amp;""))),ISNUMBER(SEARCH("SEM I.E",UPPER(O16&amp;""))),ISNUMBER(SEARCH("SEM IE",UPPER(O16&amp;"")))),"DISPENSADO","ALERTA")))</x:f>
        <x:v>OK</x:v>
      </x:c>
      <x:c r="X16" s="49" t="str">
        <x:f>IF(Q16&lt;&gt;"","SIM","NÃO")</x:f>
        <x:v>NÃO</x:v>
      </x:c>
      <x:c r="Y16" s="49" t="str">
        <x:f>IF(R16&lt;&gt;"","SIM","NÃO")</x:f>
        <x:v>NÃO</x:v>
      </x:c>
      <x:c r="Z16" s="49" t="str">
        <x:f>IF(OR(H16="A",V16="ALERTA",W16="ALERTA",T16="ALERTA",U16="ALERTA"),"ALTO",IF(OR(T16="PENDENTE",U16="PENDENTE",V16="PENDENTE",W16="PENDENTE"),"MÉDIO","BAIXO"))</x:f>
        <x:v>ALTO</x:v>
      </x:c>
      <x:c r="AA16" s="49" t="str">
        <x:f>IF(Z16="ALTO","Resolver certificado/permissão/CNPJ/status antes da rotina",IF(Z16="MÉDIO","Completar pasta/status pendente","Rotina regular"))</x:f>
        <x:v>Resolver certificado/permissão/CNPJ/status antes da rotina</x:v>
      </x:c>
    </x:row>
    <x:row r="17">
      <x:c r="A17" s="61" t="str">
        <x:v>AGROBOM INDÚSTRIA E COMÉRCIO DE CEREAIS</x:v>
      </x:c>
      <x:c r="B17" s="49" t="str">
        <x:v>AGROBOM</x:v>
      </x:c>
      <x:c r="C17" s="49" t="str">
        <x:v>ITUMBIARA</x:v>
      </x:c>
      <x:c r="D17" s="49" t="str">
        <x:v>53.176.308/0001-59</x:v>
      </x:c>
      <x:c r="E17" s="49"/>
      <x:c r="F17" s="49" t="str">
        <x:v>DANIEL/ ELCIMAR</x:v>
      </x:c>
      <x:c r="G17" s="49" t="str">
        <x:v>LUCRO REAL</x:v>
      </x:c>
      <x:c r="H17" s="49" t="str">
        <x:v>A</x:v>
      </x:c>
      <x:c r="I17" s="54" t="str">
        <x:v>x</x:v>
      </x:c>
      <x:c r="J17" s="49" t="str">
        <x:v>x</x:v>
      </x:c>
      <x:c r="K17" s="54" t="str">
        <x:v>x</x:v>
      </x:c>
      <x:c r="L17" s="49" t="str">
        <x:v>x</x:v>
      </x:c>
      <x:c r="M17" s="54" t="str">
        <x:v>x</x:v>
      </x:c>
      <x:c r="N17" s="49" t="str">
        <x:v>x</x:v>
      </x:c>
      <x:c r="O17" s="54" t="str">
        <x:v>x</x:v>
      </x:c>
      <x:c r="P17" s="49" t="str">
        <x:v>x</x:v>
      </x:c>
      <x:c r="Q17" s="57"/>
      <x:c r="R17" s="57"/>
      <x:c r="S17" s="57"/>
      <x:c r="T17" s="49" t="str">
        <x:f>IF(OR(I17="x",ISNUMBER(I17),ISNUMBER(SEARCH("OK",UPPER(I17&amp;""))),ISNUMBER(SEARCH("JÁ",UPPER(I17&amp;""))),ISNUMBER(SEARCH("JA ",UPPER(I17&amp;"")))),"OK",IF(I17="","PENDENTE",IF(OR(ISNUMBER(SEARCH("SEM MOV",UPPER(I17&amp;""))),ISNUMBER(SEARCH("SEM I.E",UPPER(I17&amp;""))),ISNUMBER(SEARCH("SEM IE",UPPER(I17&amp;"")))),"DISPENSADO","ALERTA")))</x:f>
        <x:v>OK</x:v>
      </x:c>
      <x:c r="U17" s="49" t="str">
        <x:f>IF(OR(K17="x",ISNUMBER(K17),ISNUMBER(SEARCH("OK",UPPER(K17&amp;""))),ISNUMBER(SEARCH("JÁ",UPPER(K17&amp;""))),ISNUMBER(SEARCH("JA ",UPPER(K17&amp;"")))),"OK",IF(K17="","PENDENTE",IF(OR(ISNUMBER(SEARCH("SEM MOV",UPPER(K17&amp;""))),ISNUMBER(SEARCH("SEM I.E",UPPER(K17&amp;""))),ISNUMBER(SEARCH("SEM IE",UPPER(K17&amp;"")))),"DISPENSADO","ALERTA")))</x:f>
        <x:v>OK</x:v>
      </x:c>
      <x:c r="V17" s="49" t="str">
        <x:f>IF(OR(M17="x",ISNUMBER(M17),ISNUMBER(SEARCH("OK",UPPER(M17&amp;""))),ISNUMBER(SEARCH("JÁ",UPPER(M17&amp;""))),ISNUMBER(SEARCH("JA ",UPPER(M17&amp;"")))),"OK",IF(M17="","PENDENTE",IF(OR(ISNUMBER(SEARCH("SEM MOV",UPPER(M17&amp;""))),ISNUMBER(SEARCH("SEM I.E",UPPER(M17&amp;""))),ISNUMBER(SEARCH("SEM IE",UPPER(M17&amp;"")))),"DISPENSADO","ALERTA")))</x:f>
        <x:v>OK</x:v>
      </x:c>
      <x:c r="W17" s="49" t="str">
        <x:f>IF(OR(O17="x",ISNUMBER(O17),ISNUMBER(SEARCH("OK",UPPER(O17&amp;""))),ISNUMBER(SEARCH("JÁ",UPPER(O17&amp;""))),ISNUMBER(SEARCH("JA ",UPPER(O17&amp;"")))),"OK",IF(O17="","PENDENTE",IF(OR(ISNUMBER(SEARCH("SEM MOV",UPPER(O17&amp;""))),ISNUMBER(SEARCH("SEM I.E",UPPER(O17&amp;""))),ISNUMBER(SEARCH("SEM IE",UPPER(O17&amp;"")))),"DISPENSADO","ALERTA")))</x:f>
        <x:v>OK</x:v>
      </x:c>
      <x:c r="X17" s="49" t="str">
        <x:f>IF(Q17&lt;&gt;"","SIM","NÃO")</x:f>
        <x:v>NÃO</x:v>
      </x:c>
      <x:c r="Y17" s="49" t="str">
        <x:f>IF(R17&lt;&gt;"","SIM","NÃO")</x:f>
        <x:v>NÃO</x:v>
      </x:c>
      <x:c r="Z17" s="49" t="str">
        <x:f>IF(OR(H17="A",V17="ALERTA",W17="ALERTA",T17="ALERTA",U17="ALERTA"),"ALTO",IF(OR(T17="PENDENTE",U17="PENDENTE",V17="PENDENTE",W17="PENDENTE"),"MÉDIO","BAIXO"))</x:f>
        <x:v>ALTO</x:v>
      </x:c>
      <x:c r="AA17" s="49" t="str">
        <x:f>IF(Z17="ALTO","Resolver certificado/permissão/CNPJ/status antes da rotina",IF(Z17="MÉDIO","Completar pasta/status pendente","Rotina regular"))</x:f>
        <x:v>Resolver certificado/permissão/CNPJ/status antes da rotina</x:v>
      </x:c>
    </x:row>
    <x:row r="18">
      <x:c r="A18" s="61" t="str">
        <x:v>AGROBOM NEGÓCIOS E CONSULTORIA LTDA - 164</x:v>
      </x:c>
      <x:c r="B18" s="49" t="str">
        <x:v>AGROBOM</x:v>
      </x:c>
      <x:c r="C18" s="49" t="str">
        <x:v>BOM JESUS</x:v>
      </x:c>
      <x:c r="D18" s="49" t="str">
        <x:v>17.608.570/0001-61</x:v>
      </x:c>
      <x:c r="E18" s="49"/>
      <x:c r="F18" s="49" t="str">
        <x:v>DANIEL</x:v>
      </x:c>
      <x:c r="G18" s="49" t="str">
        <x:v>LUCRO PRESUMIDO</x:v>
      </x:c>
      <x:c r="H18" s="49" t="str">
        <x:v>C</x:v>
      </x:c>
      <x:c r="I18" s="54" t="str">
        <x:v>x</x:v>
      </x:c>
      <x:c r="J18" s="49" t="str">
        <x:v>x</x:v>
      </x:c>
      <x:c r="K18" s="54" t="str">
        <x:v>x</x:v>
      </x:c>
      <x:c r="L18" s="49" t="str">
        <x:v>x</x:v>
      </x:c>
      <x:c r="M18" s="54" t="str">
        <x:v>x</x:v>
      </x:c>
      <x:c r="N18" s="49" t="str">
        <x:v>x</x:v>
      </x:c>
      <x:c r="O18" s="54" t="str">
        <x:v>x</x:v>
      </x:c>
      <x:c r="P18" s="49" t="str">
        <x:v>x</x:v>
      </x:c>
      <x:c r="Q18" s="57"/>
      <x:c r="R18" s="57"/>
      <x:c r="S18" s="57"/>
      <x:c r="T18" s="49" t="str">
        <x:f>IF(OR(I18="x",ISNUMBER(I18),ISNUMBER(SEARCH("OK",UPPER(I18&amp;""))),ISNUMBER(SEARCH("JÁ",UPPER(I18&amp;""))),ISNUMBER(SEARCH("JA ",UPPER(I18&amp;"")))),"OK",IF(I18="","PENDENTE",IF(OR(ISNUMBER(SEARCH("SEM MOV",UPPER(I18&amp;""))),ISNUMBER(SEARCH("SEM I.E",UPPER(I18&amp;""))),ISNUMBER(SEARCH("SEM IE",UPPER(I18&amp;"")))),"DISPENSADO","ALERTA")))</x:f>
        <x:v>OK</x:v>
      </x:c>
      <x:c r="U18" s="49" t="str">
        <x:f>IF(OR(K18="x",ISNUMBER(K18),ISNUMBER(SEARCH("OK",UPPER(K18&amp;""))),ISNUMBER(SEARCH("JÁ",UPPER(K18&amp;""))),ISNUMBER(SEARCH("JA ",UPPER(K18&amp;"")))),"OK",IF(K18="","PENDENTE",IF(OR(ISNUMBER(SEARCH("SEM MOV",UPPER(K18&amp;""))),ISNUMBER(SEARCH("SEM I.E",UPPER(K18&amp;""))),ISNUMBER(SEARCH("SEM IE",UPPER(K18&amp;"")))),"DISPENSADO","ALERTA")))</x:f>
        <x:v>OK</x:v>
      </x:c>
      <x:c r="V18" s="49" t="str">
        <x:f>IF(OR(M18="x",ISNUMBER(M18),ISNUMBER(SEARCH("OK",UPPER(M18&amp;""))),ISNUMBER(SEARCH("JÁ",UPPER(M18&amp;""))),ISNUMBER(SEARCH("JA ",UPPER(M18&amp;"")))),"OK",IF(M18="","PENDENTE",IF(OR(ISNUMBER(SEARCH("SEM MOV",UPPER(M18&amp;""))),ISNUMBER(SEARCH("SEM I.E",UPPER(M18&amp;""))),ISNUMBER(SEARCH("SEM IE",UPPER(M18&amp;"")))),"DISPENSADO","ALERTA")))</x:f>
        <x:v>OK</x:v>
      </x:c>
      <x:c r="W18" s="49" t="str">
        <x:f>IF(OR(O18="x",ISNUMBER(O18),ISNUMBER(SEARCH("OK",UPPER(O18&amp;""))),ISNUMBER(SEARCH("JÁ",UPPER(O18&amp;""))),ISNUMBER(SEARCH("JA ",UPPER(O18&amp;"")))),"OK",IF(O18="","PENDENTE",IF(OR(ISNUMBER(SEARCH("SEM MOV",UPPER(O18&amp;""))),ISNUMBER(SEARCH("SEM I.E",UPPER(O18&amp;""))),ISNUMBER(SEARCH("SEM IE",UPPER(O18&amp;"")))),"DISPENSADO","ALERTA")))</x:f>
        <x:v>OK</x:v>
      </x:c>
      <x:c r="X18" s="49" t="str">
        <x:f>IF(Q18&lt;&gt;"","SIM","NÃO")</x:f>
        <x:v>NÃO</x:v>
      </x:c>
      <x:c r="Y18" s="49" t="str">
        <x:f>IF(R18&lt;&gt;"","SIM","NÃO")</x:f>
        <x:v>NÃO</x:v>
      </x:c>
      <x:c r="Z18" s="49" t="str">
        <x:f>IF(OR(H18="A",V18="ALERTA",W18="ALERTA",T18="ALERTA",U18="ALERTA"),"ALTO",IF(OR(T18="PENDENTE",U18="PENDENTE",V18="PENDENTE",W18="PENDENTE"),"MÉDIO","BAIXO"))</x:f>
        <x:v>BAIXO</x:v>
      </x:c>
      <x:c r="AA18" s="49" t="str">
        <x:f>IF(Z18="ALTO","Resolver certificado/permissão/CNPJ/status antes da rotina",IF(Z18="MÉDIO","Completar pasta/status pendente","Rotina regular"))</x:f>
        <x:v>Rotina regular</x:v>
      </x:c>
    </x:row>
    <x:row r="19">
      <x:c r="A19" s="61" t="str">
        <x:v>AGROBOM TRANSPORTES</x:v>
      </x:c>
      <x:c r="B19" s="49" t="str">
        <x:v>AGROBOM</x:v>
      </x:c>
      <x:c r="C19" s="49" t="str">
        <x:v>BOM JESUS</x:v>
      </x:c>
      <x:c r="D19" s="49" t="str">
        <x:v>36.989.757/0001-05</x:v>
      </x:c>
      <x:c r="E19" s="49"/>
      <x:c r="F19" s="49" t="str">
        <x:v>DANIEL</x:v>
      </x:c>
      <x:c r="G19" s="49" t="str">
        <x:v>LUCRO PRESUMIDO</x:v>
      </x:c>
      <x:c r="H19" s="49" t="str">
        <x:v>C</x:v>
      </x:c>
      <x:c r="I19" s="54"/>
      <x:c r="J19" s="49"/>
      <x:c r="K19" s="54"/>
      <x:c r="L19" s="49"/>
      <x:c r="M19" s="54" t="str">
        <x:v>SEM MOVIMENTO</x:v>
      </x:c>
      <x:c r="N19" s="49"/>
      <x:c r="O19" s="54" t="str">
        <x:v>S/R</x:v>
      </x:c>
      <x:c r="P19" s="49" t="str">
        <x:v>n</x:v>
      </x:c>
      <x:c r="Q19" s="57"/>
      <x:c r="R19" s="57"/>
      <x:c r="S19" s="57"/>
      <x:c r="T19" s="49" t="str">
        <x:f>IF(OR(I19="x",ISNUMBER(I19),ISNUMBER(SEARCH("OK",UPPER(I19&amp;""))),ISNUMBER(SEARCH("JÁ",UPPER(I19&amp;""))),ISNUMBER(SEARCH("JA ",UPPER(I19&amp;"")))),"OK",IF(I19="","PENDENTE",IF(OR(ISNUMBER(SEARCH("SEM MOV",UPPER(I19&amp;""))),ISNUMBER(SEARCH("SEM I.E",UPPER(I19&amp;""))),ISNUMBER(SEARCH("SEM IE",UPPER(I19&amp;"")))),"DISPENSADO","ALERTA")))</x:f>
        <x:v>PENDENTE</x:v>
      </x:c>
      <x:c r="U19" s="49" t="str">
        <x:f>IF(OR(K19="x",ISNUMBER(K19),ISNUMBER(SEARCH("OK",UPPER(K19&amp;""))),ISNUMBER(SEARCH("JÁ",UPPER(K19&amp;""))),ISNUMBER(SEARCH("JA ",UPPER(K19&amp;"")))),"OK",IF(K19="","PENDENTE",IF(OR(ISNUMBER(SEARCH("SEM MOV",UPPER(K19&amp;""))),ISNUMBER(SEARCH("SEM I.E",UPPER(K19&amp;""))),ISNUMBER(SEARCH("SEM IE",UPPER(K19&amp;"")))),"DISPENSADO","ALERTA")))</x:f>
        <x:v>PENDENTE</x:v>
      </x:c>
      <x:c r="V19" s="49" t="str">
        <x:f>IF(OR(M19="x",ISNUMBER(M19),ISNUMBER(SEARCH("OK",UPPER(M19&amp;""))),ISNUMBER(SEARCH("JÁ",UPPER(M19&amp;""))),ISNUMBER(SEARCH("JA ",UPPER(M19&amp;"")))),"OK",IF(M19="","PENDENTE",IF(OR(ISNUMBER(SEARCH("SEM MOV",UPPER(M19&amp;""))),ISNUMBER(SEARCH("SEM I.E",UPPER(M19&amp;""))),ISNUMBER(SEARCH("SEM IE",UPPER(M19&amp;"")))),"DISPENSADO","ALERTA")))</x:f>
        <x:v>DISPENSADO</x:v>
      </x:c>
      <x:c r="W19" s="49" t="str">
        <x:f>IF(OR(O19="x",ISNUMBER(O19),ISNUMBER(SEARCH("OK",UPPER(O19&amp;""))),ISNUMBER(SEARCH("JÁ",UPPER(O19&amp;""))),ISNUMBER(SEARCH("JA ",UPPER(O19&amp;"")))),"OK",IF(O19="","PENDENTE",IF(OR(ISNUMBER(SEARCH("SEM MOV",UPPER(O19&amp;""))),ISNUMBER(SEARCH("SEM I.E",UPPER(O19&amp;""))),ISNUMBER(SEARCH("SEM IE",UPPER(O19&amp;"")))),"DISPENSADO","ALERTA")))</x:f>
        <x:v>ALERTA</x:v>
      </x:c>
      <x:c r="X19" s="49" t="str">
        <x:f>IF(Q19&lt;&gt;"","SIM","NÃO")</x:f>
        <x:v>NÃO</x:v>
      </x:c>
      <x:c r="Y19" s="49" t="str">
        <x:f>IF(R19&lt;&gt;"","SIM","NÃO")</x:f>
        <x:v>NÃO</x:v>
      </x:c>
      <x:c r="Z19" s="49" t="str">
        <x:f>IF(OR(H19="A",V19="ALERTA",W19="ALERTA",T19="ALERTA",U19="ALERTA"),"ALTO",IF(OR(T19="PENDENTE",U19="PENDENTE",V19="PENDENTE",W19="PENDENTE"),"MÉDIO","BAIXO"))</x:f>
        <x:v>ALTO</x:v>
      </x:c>
      <x:c r="AA19" s="49" t="str">
        <x:f>IF(Z19="ALTO","Resolver certificado/permissão/CNPJ/status antes da rotina",IF(Z19="MÉDIO","Completar pasta/status pendente","Rotina regular"))</x:f>
        <x:v>Resolver certificado/permissão/CNPJ/status antes da rotina</x:v>
      </x:c>
    </x:row>
    <x:row r="20">
      <x:c r="A20" s="61" t="str">
        <x:v>AGRONOVA PEÇAS AGRICOLAS FILIAL  LTDA</x:v>
      </x:c>
      <x:c r="B20" s="49" t="str">
        <x:v>AGRONOVA</x:v>
      </x:c>
      <x:c r="C20" s="49" t="str">
        <x:v>JATAI</x:v>
      </x:c>
      <x:c r="D20" s="49" t="str">
        <x:v>34.088.208/0002-07</x:v>
      </x:c>
      <x:c r="E20" s="49"/>
      <x:c r="F20" s="49" t="str">
        <x:v>CLEUBER</x:v>
      </x:c>
      <x:c r="G20" s="49" t="str">
        <x:v>LUCRO REAL</x:v>
      </x:c>
      <x:c r="H20" s="49" t="str">
        <x:v>B</x:v>
      </x:c>
      <x:c r="I20" s="54"/>
      <x:c r="J20" s="49"/>
      <x:c r="K20" s="54"/>
      <x:c r="L20" s="49"/>
      <x:c r="M20" s="54" t="str">
        <x:v>OK 04/05</x:v>
      </x:c>
      <x:c r="N20" s="49"/>
      <x:c r="O20" s="54" t="str">
        <x:v>OK 30/04</x:v>
      </x:c>
      <x:c r="P20" s="49"/>
      <x:c r="Q20" s="57"/>
      <x:c r="R20" s="57"/>
      <x:c r="S20" s="57"/>
      <x:c r="T20" s="49" t="str">
        <x:f>IF(OR(I20="x",ISNUMBER(I20),ISNUMBER(SEARCH("OK",UPPER(I20&amp;""))),ISNUMBER(SEARCH("JÁ",UPPER(I20&amp;""))),ISNUMBER(SEARCH("JA ",UPPER(I20&amp;"")))),"OK",IF(I20="","PENDENTE",IF(OR(ISNUMBER(SEARCH("SEM MOV",UPPER(I20&amp;""))),ISNUMBER(SEARCH("SEM I.E",UPPER(I20&amp;""))),ISNUMBER(SEARCH("SEM IE",UPPER(I20&amp;"")))),"DISPENSADO","ALERTA")))</x:f>
        <x:v>PENDENTE</x:v>
      </x:c>
      <x:c r="U20" s="49" t="str">
        <x:f>IF(OR(K20="x",ISNUMBER(K20),ISNUMBER(SEARCH("OK",UPPER(K20&amp;""))),ISNUMBER(SEARCH("JÁ",UPPER(K20&amp;""))),ISNUMBER(SEARCH("JA ",UPPER(K20&amp;"")))),"OK",IF(K20="","PENDENTE",IF(OR(ISNUMBER(SEARCH("SEM MOV",UPPER(K20&amp;""))),ISNUMBER(SEARCH("SEM I.E",UPPER(K20&amp;""))),ISNUMBER(SEARCH("SEM IE",UPPER(K20&amp;"")))),"DISPENSADO","ALERTA")))</x:f>
        <x:v>PENDENTE</x:v>
      </x:c>
      <x:c r="V20" s="49" t="str">
        <x:f>IF(OR(M20="x",ISNUMBER(M20),ISNUMBER(SEARCH("OK",UPPER(M20&amp;""))),ISNUMBER(SEARCH("JÁ",UPPER(M20&amp;""))),ISNUMBER(SEARCH("JA ",UPPER(M20&amp;"")))),"OK",IF(M20="","PENDENTE",IF(OR(ISNUMBER(SEARCH("SEM MOV",UPPER(M20&amp;""))),ISNUMBER(SEARCH("SEM I.E",UPPER(M20&amp;""))),ISNUMBER(SEARCH("SEM IE",UPPER(M20&amp;"")))),"DISPENSADO","ALERTA")))</x:f>
        <x:v>OK</x:v>
      </x:c>
      <x:c r="W20" s="49" t="str">
        <x:f>IF(OR(O20="x",ISNUMBER(O20),ISNUMBER(SEARCH("OK",UPPER(O20&amp;""))),ISNUMBER(SEARCH("JÁ",UPPER(O20&amp;""))),ISNUMBER(SEARCH("JA ",UPPER(O20&amp;"")))),"OK",IF(O20="","PENDENTE",IF(OR(ISNUMBER(SEARCH("SEM MOV",UPPER(O20&amp;""))),ISNUMBER(SEARCH("SEM I.E",UPPER(O20&amp;""))),ISNUMBER(SEARCH("SEM IE",UPPER(O20&amp;"")))),"DISPENSADO","ALERTA")))</x:f>
        <x:v>OK</x:v>
      </x:c>
      <x:c r="X20" s="49" t="str">
        <x:f>IF(Q20&lt;&gt;"","SIM","NÃO")</x:f>
        <x:v>NÃO</x:v>
      </x:c>
      <x:c r="Y20" s="49" t="str">
        <x:f>IF(R20&lt;&gt;"","SIM","NÃO")</x:f>
        <x:v>NÃO</x:v>
      </x:c>
      <x:c r="Z20" s="49" t="str">
        <x:f>IF(OR(H20="A",V20="ALERTA",W20="ALERTA",T20="ALERTA",U20="ALERTA"),"ALTO",IF(OR(T20="PENDENTE",U20="PENDENTE",V20="PENDENTE",W20="PENDENTE"),"MÉDIO","BAIXO"))</x:f>
        <x:v>MÉDIO</x:v>
      </x:c>
      <x:c r="AA20" s="49" t="str">
        <x:f>IF(Z20="ALTO","Resolver certificado/permissão/CNPJ/status antes da rotina",IF(Z20="MÉDIO","Completar pasta/status pendente","Rotina regular"))</x:f>
        <x:v>Completar pasta/status pendente</x:v>
      </x:c>
    </x:row>
    <x:row r="21">
      <x:c r="A21" s="61" t="str">
        <x:v>AGRONOVA PEÇAS AGRICOLAS LTDA</x:v>
      </x:c>
      <x:c r="B21" s="49" t="str">
        <x:v>AGRONOVA</x:v>
      </x:c>
      <x:c r="C21" s="49" t="str">
        <x:v>JATAI</x:v>
      </x:c>
      <x:c r="D21" s="49" t="str">
        <x:v>34.088.208/0001-26</x:v>
      </x:c>
      <x:c r="E21" s="49"/>
      <x:c r="F21" s="49" t="str">
        <x:v>CLEUBER</x:v>
      </x:c>
      <x:c r="G21" s="49" t="str">
        <x:v>LUCRO REAL</x:v>
      </x:c>
      <x:c r="H21" s="49" t="str">
        <x:v>B</x:v>
      </x:c>
      <x:c r="I21" s="54"/>
      <x:c r="J21" s="49"/>
      <x:c r="K21" s="54"/>
      <x:c r="L21" s="49"/>
      <x:c r="M21" s="54" t="str">
        <x:v>OK 04/05</x:v>
      </x:c>
      <x:c r="N21" s="49"/>
      <x:c r="O21" s="54" t="str">
        <x:v>OK 30/04</x:v>
      </x:c>
      <x:c r="P21" s="49"/>
      <x:c r="Q21" s="57"/>
      <x:c r="R21" s="57"/>
      <x:c r="S21" s="57"/>
      <x:c r="T21" s="49" t="str">
        <x:f>IF(OR(I21="x",ISNUMBER(I21),ISNUMBER(SEARCH("OK",UPPER(I21&amp;""))),ISNUMBER(SEARCH("JÁ",UPPER(I21&amp;""))),ISNUMBER(SEARCH("JA ",UPPER(I21&amp;"")))),"OK",IF(I21="","PENDENTE",IF(OR(ISNUMBER(SEARCH("SEM MOV",UPPER(I21&amp;""))),ISNUMBER(SEARCH("SEM I.E",UPPER(I21&amp;""))),ISNUMBER(SEARCH("SEM IE",UPPER(I21&amp;"")))),"DISPENSADO","ALERTA")))</x:f>
        <x:v>PENDENTE</x:v>
      </x:c>
      <x:c r="U21" s="49" t="str">
        <x:f>IF(OR(K21="x",ISNUMBER(K21),ISNUMBER(SEARCH("OK",UPPER(K21&amp;""))),ISNUMBER(SEARCH("JÁ",UPPER(K21&amp;""))),ISNUMBER(SEARCH("JA ",UPPER(K21&amp;"")))),"OK",IF(K21="","PENDENTE",IF(OR(ISNUMBER(SEARCH("SEM MOV",UPPER(K21&amp;""))),ISNUMBER(SEARCH("SEM I.E",UPPER(K21&amp;""))),ISNUMBER(SEARCH("SEM IE",UPPER(K21&amp;"")))),"DISPENSADO","ALERTA")))</x:f>
        <x:v>PENDENTE</x:v>
      </x:c>
      <x:c r="V21" s="49" t="str">
        <x:f>IF(OR(M21="x",ISNUMBER(M21),ISNUMBER(SEARCH("OK",UPPER(M21&amp;""))),ISNUMBER(SEARCH("JÁ",UPPER(M21&amp;""))),ISNUMBER(SEARCH("JA ",UPPER(M21&amp;"")))),"OK",IF(M21="","PENDENTE",IF(OR(ISNUMBER(SEARCH("SEM MOV",UPPER(M21&amp;""))),ISNUMBER(SEARCH("SEM I.E",UPPER(M21&amp;""))),ISNUMBER(SEARCH("SEM IE",UPPER(M21&amp;"")))),"DISPENSADO","ALERTA")))</x:f>
        <x:v>OK</x:v>
      </x:c>
      <x:c r="W21" s="49" t="str">
        <x:f>IF(OR(O21="x",ISNUMBER(O21),ISNUMBER(SEARCH("OK",UPPER(O21&amp;""))),ISNUMBER(SEARCH("JÁ",UPPER(O21&amp;""))),ISNUMBER(SEARCH("JA ",UPPER(O21&amp;"")))),"OK",IF(O21="","PENDENTE",IF(OR(ISNUMBER(SEARCH("SEM MOV",UPPER(O21&amp;""))),ISNUMBER(SEARCH("SEM I.E",UPPER(O21&amp;""))),ISNUMBER(SEARCH("SEM IE",UPPER(O21&amp;"")))),"DISPENSADO","ALERTA")))</x:f>
        <x:v>OK</x:v>
      </x:c>
      <x:c r="X21" s="49" t="str">
        <x:f>IF(Q21&lt;&gt;"","SIM","NÃO")</x:f>
        <x:v>NÃO</x:v>
      </x:c>
      <x:c r="Y21" s="49" t="str">
        <x:f>IF(R21&lt;&gt;"","SIM","NÃO")</x:f>
        <x:v>NÃO</x:v>
      </x:c>
      <x:c r="Z21" s="49" t="str">
        <x:f>IF(OR(H21="A",V21="ALERTA",W21="ALERTA",T21="ALERTA",U21="ALERTA"),"ALTO",IF(OR(T21="PENDENTE",U21="PENDENTE",V21="PENDENTE",W21="PENDENTE"),"MÉDIO","BAIXO"))</x:f>
        <x:v>MÉDIO</x:v>
      </x:c>
      <x:c r="AA21" s="49" t="str">
        <x:f>IF(Z21="ALTO","Resolver certificado/permissão/CNPJ/status antes da rotina",IF(Z21="MÉDIO","Completar pasta/status pendente","Rotina regular"))</x:f>
        <x:v>Completar pasta/status pendente</x:v>
      </x:c>
    </x:row>
    <x:row r="22">
      <x:c r="A22" s="61" t="str">
        <x:v>AGRONOVA SERVIÇOS DE COLHEITAS LTDA</x:v>
      </x:c>
      <x:c r="B22" s="49" t="str">
        <x:v>AGRONOVA</x:v>
      </x:c>
      <x:c r="C22" s="49" t="str">
        <x:v>JATAI</x:v>
      </x:c>
      <x:c r="D22" s="49" t="str">
        <x:v>15.054.033/0001-91</x:v>
      </x:c>
      <x:c r="E22" s="49"/>
      <x:c r="F22" s="49" t="str">
        <x:v>CLEUBER</x:v>
      </x:c>
      <x:c r="G22" s="49" t="str">
        <x:v>LUCRO REAL</x:v>
      </x:c>
      <x:c r="H22" s="49" t="str">
        <x:v>A</x:v>
      </x:c>
      <x:c r="I22" s="54"/>
      <x:c r="J22" s="49"/>
      <x:c r="K22" s="54"/>
      <x:c r="L22" s="49"/>
      <x:c r="M22" s="54" t="str">
        <x:v>OK 04/05</x:v>
      </x:c>
      <x:c r="N22" s="49"/>
      <x:c r="O22" s="54" t="str">
        <x:v>OK 30/04</x:v>
      </x:c>
      <x:c r="P22" s="49"/>
      <x:c r="Q22" s="57"/>
      <x:c r="R22" s="57"/>
      <x:c r="S22" s="57"/>
      <x:c r="T22" s="49" t="str">
        <x:f>IF(OR(I22="x",ISNUMBER(I22),ISNUMBER(SEARCH("OK",UPPER(I22&amp;""))),ISNUMBER(SEARCH("JÁ",UPPER(I22&amp;""))),ISNUMBER(SEARCH("JA ",UPPER(I22&amp;"")))),"OK",IF(I22="","PENDENTE",IF(OR(ISNUMBER(SEARCH("SEM MOV",UPPER(I22&amp;""))),ISNUMBER(SEARCH("SEM I.E",UPPER(I22&amp;""))),ISNUMBER(SEARCH("SEM IE",UPPER(I22&amp;"")))),"DISPENSADO","ALERTA")))</x:f>
        <x:v>PENDENTE</x:v>
      </x:c>
      <x:c r="U22" s="49" t="str">
        <x:f>IF(OR(K22="x",ISNUMBER(K22),ISNUMBER(SEARCH("OK",UPPER(K22&amp;""))),ISNUMBER(SEARCH("JÁ",UPPER(K22&amp;""))),ISNUMBER(SEARCH("JA ",UPPER(K22&amp;"")))),"OK",IF(K22="","PENDENTE",IF(OR(ISNUMBER(SEARCH("SEM MOV",UPPER(K22&amp;""))),ISNUMBER(SEARCH("SEM I.E",UPPER(K22&amp;""))),ISNUMBER(SEARCH("SEM IE",UPPER(K22&amp;"")))),"DISPENSADO","ALERTA")))</x:f>
        <x:v>PENDENTE</x:v>
      </x:c>
      <x:c r="V22" s="49" t="str">
        <x:f>IF(OR(M22="x",ISNUMBER(M22),ISNUMBER(SEARCH("OK",UPPER(M22&amp;""))),ISNUMBER(SEARCH("JÁ",UPPER(M22&amp;""))),ISNUMBER(SEARCH("JA ",UPPER(M22&amp;"")))),"OK",IF(M22="","PENDENTE",IF(OR(ISNUMBER(SEARCH("SEM MOV",UPPER(M22&amp;""))),ISNUMBER(SEARCH("SEM I.E",UPPER(M22&amp;""))),ISNUMBER(SEARCH("SEM IE",UPPER(M22&amp;"")))),"DISPENSADO","ALERTA")))</x:f>
        <x:v>OK</x:v>
      </x:c>
      <x:c r="W22" s="49" t="str">
        <x:f>IF(OR(O22="x",ISNUMBER(O22),ISNUMBER(SEARCH("OK",UPPER(O22&amp;""))),ISNUMBER(SEARCH("JÁ",UPPER(O22&amp;""))),ISNUMBER(SEARCH("JA ",UPPER(O22&amp;"")))),"OK",IF(O22="","PENDENTE",IF(OR(ISNUMBER(SEARCH("SEM MOV",UPPER(O22&amp;""))),ISNUMBER(SEARCH("SEM I.E",UPPER(O22&amp;""))),ISNUMBER(SEARCH("SEM IE",UPPER(O22&amp;"")))),"DISPENSADO","ALERTA")))</x:f>
        <x:v>OK</x:v>
      </x:c>
      <x:c r="X22" s="49" t="str">
        <x:f>IF(Q22&lt;&gt;"","SIM","NÃO")</x:f>
        <x:v>NÃO</x:v>
      </x:c>
      <x:c r="Y22" s="49" t="str">
        <x:f>IF(R22&lt;&gt;"","SIM","NÃO")</x:f>
        <x:v>NÃO</x:v>
      </x:c>
      <x:c r="Z22" s="49" t="str">
        <x:f>IF(OR(H22="A",V22="ALERTA",W22="ALERTA",T22="ALERTA",U22="ALERTA"),"ALTO",IF(OR(T22="PENDENTE",U22="PENDENTE",V22="PENDENTE",W22="PENDENTE"),"MÉDIO","BAIXO"))</x:f>
        <x:v>ALTO</x:v>
      </x:c>
      <x:c r="AA22" s="49" t="str">
        <x:f>IF(Z22="ALTO","Resolver certificado/permissão/CNPJ/status antes da rotina",IF(Z22="MÉDIO","Completar pasta/status pendente","Rotina regular"))</x:f>
        <x:v>Resolver certificado/permissão/CNPJ/status antes da rotina</x:v>
      </x:c>
    </x:row>
    <x:row r="23">
      <x:c r="A23" s="61" t="str">
        <x:v>ALPTRON LTDA - 106</x:v>
      </x:c>
      <x:c r="B23" s="49" t="str">
        <x:v>POWER SOURCE</x:v>
      </x:c>
      <x:c r="C23" s="49" t="str">
        <x:v>SÃO PAULO</x:v>
      </x:c>
      <x:c r="D23" s="49" t="str">
        <x:v>57.123.358/0001-29</x:v>
      </x:c>
      <x:c r="E23" s="49"/>
      <x:c r="F23" s="49" t="str">
        <x:v>BRUNA</x:v>
      </x:c>
      <x:c r="G23" s="49" t="str">
        <x:v>SIMPLES NACIONAL</x:v>
      </x:c>
      <x:c r="H23" s="49" t="str">
        <x:v>A</x:v>
      </x:c>
      <x:c r="I23" s="54"/>
      <x:c r="J23" s="49"/>
      <x:c r="K23" s="54"/>
      <x:c r="L23" s="49"/>
      <x:c r="M23" s="54" t="str">
        <x:v>SEM MOVIMENTO</x:v>
      </x:c>
      <x:c r="N23" s="49"/>
      <x:c r="O23" s="54" t="str">
        <x:v>SEM RESULTADO</x:v>
      </x:c>
      <x:c r="P23" s="49"/>
      <x:c r="Q23" s="57"/>
      <x:c r="R23" s="57"/>
      <x:c r="S23" s="57"/>
      <x:c r="T23" s="49" t="str">
        <x:f>IF(OR(I23="x",ISNUMBER(I23),ISNUMBER(SEARCH("OK",UPPER(I23&amp;""))),ISNUMBER(SEARCH("JÁ",UPPER(I23&amp;""))),ISNUMBER(SEARCH("JA ",UPPER(I23&amp;"")))),"OK",IF(I23="","PENDENTE",IF(OR(ISNUMBER(SEARCH("SEM MOV",UPPER(I23&amp;""))),ISNUMBER(SEARCH("SEM I.E",UPPER(I23&amp;""))),ISNUMBER(SEARCH("SEM IE",UPPER(I23&amp;"")))),"DISPENSADO","ALERTA")))</x:f>
        <x:v>PENDENTE</x:v>
      </x:c>
      <x:c r="U23" s="49" t="str">
        <x:f>IF(OR(K23="x",ISNUMBER(K23),ISNUMBER(SEARCH("OK",UPPER(K23&amp;""))),ISNUMBER(SEARCH("JÁ",UPPER(K23&amp;""))),ISNUMBER(SEARCH("JA ",UPPER(K23&amp;"")))),"OK",IF(K23="","PENDENTE",IF(OR(ISNUMBER(SEARCH("SEM MOV",UPPER(K23&amp;""))),ISNUMBER(SEARCH("SEM I.E",UPPER(K23&amp;""))),ISNUMBER(SEARCH("SEM IE",UPPER(K23&amp;"")))),"DISPENSADO","ALERTA")))</x:f>
        <x:v>PENDENTE</x:v>
      </x:c>
      <x:c r="V23" s="49" t="str">
        <x:f>IF(OR(M23="x",ISNUMBER(M23),ISNUMBER(SEARCH("OK",UPPER(M23&amp;""))),ISNUMBER(SEARCH("JÁ",UPPER(M23&amp;""))),ISNUMBER(SEARCH("JA ",UPPER(M23&amp;"")))),"OK",IF(M23="","PENDENTE",IF(OR(ISNUMBER(SEARCH("SEM MOV",UPPER(M23&amp;""))),ISNUMBER(SEARCH("SEM I.E",UPPER(M23&amp;""))),ISNUMBER(SEARCH("SEM IE",UPPER(M23&amp;"")))),"DISPENSADO","ALERTA")))</x:f>
        <x:v>DISPENSADO</x:v>
      </x:c>
      <x:c r="W23" s="49" t="str">
        <x:f>IF(OR(O23="x",ISNUMBER(O23),ISNUMBER(SEARCH("OK",UPPER(O23&amp;""))),ISNUMBER(SEARCH("JÁ",UPPER(O23&amp;""))),ISNUMBER(SEARCH("JA ",UPPER(O23&amp;"")))),"OK",IF(O23="","PENDENTE",IF(OR(ISNUMBER(SEARCH("SEM MOV",UPPER(O23&amp;""))),ISNUMBER(SEARCH("SEM I.E",UPPER(O23&amp;""))),ISNUMBER(SEARCH("SEM IE",UPPER(O23&amp;"")))),"DISPENSADO","ALERTA")))</x:f>
        <x:v>ALERTA</x:v>
      </x:c>
      <x:c r="X23" s="49" t="str">
        <x:f>IF(Q23&lt;&gt;"","SIM","NÃO")</x:f>
        <x:v>NÃO</x:v>
      </x:c>
      <x:c r="Y23" s="49" t="str">
        <x:f>IF(R23&lt;&gt;"","SIM","NÃO")</x:f>
        <x:v>NÃO</x:v>
      </x:c>
      <x:c r="Z23" s="49" t="str">
        <x:f>IF(OR(H23="A",V23="ALERTA",W23="ALERTA",T23="ALERTA",U23="ALERTA"),"ALTO",IF(OR(T23="PENDENTE",U23="PENDENTE",V23="PENDENTE",W23="PENDENTE"),"MÉDIO","BAIXO"))</x:f>
        <x:v>ALTO</x:v>
      </x:c>
      <x:c r="AA23" s="49" t="str">
        <x:f>IF(Z23="ALTO","Resolver certificado/permissão/CNPJ/status antes da rotina",IF(Z23="MÉDIO","Completar pasta/status pendente","Rotina regular"))</x:f>
        <x:v>Resolver certificado/permissão/CNPJ/status antes da rotina</x:v>
      </x:c>
    </x:row>
    <x:row r="24">
      <x:c r="A24" s="61" t="str">
        <x:v>AM SERVIÇOS DE COLHEITAS LTDA - 202</x:v>
      </x:c>
      <x:c r="B24" s="49" t="str">
        <x:v>AGRONOVA</x:v>
      </x:c>
      <x:c r="C24" s="49" t="str">
        <x:v>JATAÍ</x:v>
      </x:c>
      <x:c r="D24" s="49" t="str">
        <x:v>40.870.380/0001-30</x:v>
      </x:c>
      <x:c r="E24" s="49"/>
      <x:c r="F24" s="49" t="str">
        <x:v>CLEUBER</x:v>
      </x:c>
      <x:c r="G24" s="49" t="str">
        <x:v>SIMPLES NACIONAL</x:v>
      </x:c>
      <x:c r="H24" s="49" t="str">
        <x:v>A</x:v>
      </x:c>
      <x:c r="I24" s="54"/>
      <x:c r="J24" s="49"/>
      <x:c r="K24" s="54"/>
      <x:c r="L24" s="49"/>
      <x:c r="M24" s="54" t="str">
        <x:v>SEM MOVIMENTO</x:v>
      </x:c>
      <x:c r="N24" s="49"/>
      <x:c r="O24" s="54" t="str">
        <x:v>CERTIF VENCIUDO</x:v>
      </x:c>
      <x:c r="P24" s="49"/>
      <x:c r="Q24" s="57"/>
      <x:c r="R24" s="57"/>
      <x:c r="S24" s="57"/>
      <x:c r="T24" s="49" t="str">
        <x:f>IF(OR(I24="x",ISNUMBER(I24),ISNUMBER(SEARCH("OK",UPPER(I24&amp;""))),ISNUMBER(SEARCH("JÁ",UPPER(I24&amp;""))),ISNUMBER(SEARCH("JA ",UPPER(I24&amp;"")))),"OK",IF(I24="","PENDENTE",IF(OR(ISNUMBER(SEARCH("SEM MOV",UPPER(I24&amp;""))),ISNUMBER(SEARCH("SEM I.E",UPPER(I24&amp;""))),ISNUMBER(SEARCH("SEM IE",UPPER(I24&amp;"")))),"DISPENSADO","ALERTA")))</x:f>
        <x:v>PENDENTE</x:v>
      </x:c>
      <x:c r="U24" s="49" t="str">
        <x:f>IF(OR(K24="x",ISNUMBER(K24),ISNUMBER(SEARCH("OK",UPPER(K24&amp;""))),ISNUMBER(SEARCH("JÁ",UPPER(K24&amp;""))),ISNUMBER(SEARCH("JA ",UPPER(K24&amp;"")))),"OK",IF(K24="","PENDENTE",IF(OR(ISNUMBER(SEARCH("SEM MOV",UPPER(K24&amp;""))),ISNUMBER(SEARCH("SEM I.E",UPPER(K24&amp;""))),ISNUMBER(SEARCH("SEM IE",UPPER(K24&amp;"")))),"DISPENSADO","ALERTA")))</x:f>
        <x:v>PENDENTE</x:v>
      </x:c>
      <x:c r="V24" s="49" t="str">
        <x:f>IF(OR(M24="x",ISNUMBER(M24),ISNUMBER(SEARCH("OK",UPPER(M24&amp;""))),ISNUMBER(SEARCH("JÁ",UPPER(M24&amp;""))),ISNUMBER(SEARCH("JA ",UPPER(M24&amp;"")))),"OK",IF(M24="","PENDENTE",IF(OR(ISNUMBER(SEARCH("SEM MOV",UPPER(M24&amp;""))),ISNUMBER(SEARCH("SEM I.E",UPPER(M24&amp;""))),ISNUMBER(SEARCH("SEM IE",UPPER(M24&amp;"")))),"DISPENSADO","ALERTA")))</x:f>
        <x:v>DISPENSADO</x:v>
      </x:c>
      <x:c r="W24" s="49" t="str">
        <x:f>IF(OR(O24="x",ISNUMBER(O24),ISNUMBER(SEARCH("OK",UPPER(O24&amp;""))),ISNUMBER(SEARCH("JÁ",UPPER(O24&amp;""))),ISNUMBER(SEARCH("JA ",UPPER(O24&amp;"")))),"OK",IF(O24="","PENDENTE",IF(OR(ISNUMBER(SEARCH("SEM MOV",UPPER(O24&amp;""))),ISNUMBER(SEARCH("SEM I.E",UPPER(O24&amp;""))),ISNUMBER(SEARCH("SEM IE",UPPER(O24&amp;"")))),"DISPENSADO","ALERTA")))</x:f>
        <x:v>ALERTA</x:v>
      </x:c>
      <x:c r="X24" s="49" t="str">
        <x:f>IF(Q24&lt;&gt;"","SIM","NÃO")</x:f>
        <x:v>NÃO</x:v>
      </x:c>
      <x:c r="Y24" s="49" t="str">
        <x:f>IF(R24&lt;&gt;"","SIM","NÃO")</x:f>
        <x:v>NÃO</x:v>
      </x:c>
      <x:c r="Z24" s="49" t="str">
        <x:f>IF(OR(H24="A",V24="ALERTA",W24="ALERTA",T24="ALERTA",U24="ALERTA"),"ALTO",IF(OR(T24="PENDENTE",U24="PENDENTE",V24="PENDENTE",W24="PENDENTE"),"MÉDIO","BAIXO"))</x:f>
        <x:v>ALTO</x:v>
      </x:c>
      <x:c r="AA24" s="49" t="str">
        <x:f>IF(Z24="ALTO","Resolver certificado/permissão/CNPJ/status antes da rotina",IF(Z24="MÉDIO","Completar pasta/status pendente","Rotina regular"))</x:f>
        <x:v>Resolver certificado/permissão/CNPJ/status antes da rotina</x:v>
      </x:c>
    </x:row>
    <x:row r="25">
      <x:c r="A25" s="61" t="str">
        <x:v>ASSOCIACAO GOIANA DE TRANSFORMACAO SOCIAL ATRAVES DA EDUCACAO - 148</x:v>
      </x:c>
      <x:c r="B25" s="49" t="str">
        <x:v>INTERESCHOOL</x:v>
      </x:c>
      <x:c r="C25" s="49" t="str">
        <x:v>GOIÂNIA</x:v>
      </x:c>
      <x:c r="D25" s="49" t="str">
        <x:v>26.837.949/0001-34</x:v>
      </x:c>
      <x:c r="E25" s="49"/>
      <x:c r="F25" s="49" t="str">
        <x:v>ROSICLÉIA</x:v>
      </x:c>
      <x:c r="G25" s="49" t="str">
        <x:v>LUCRO PRESUMIDO</x:v>
      </x:c>
      <x:c r="H25" s="49" t="str">
        <x:v>C</x:v>
      </x:c>
      <x:c r="I25" s="54"/>
      <x:c r="J25" s="49"/>
      <x:c r="K25" s="54"/>
      <x:c r="L25" s="49"/>
      <x:c r="M25" s="54" t="str">
        <x:v>SEM I.E.</x:v>
      </x:c>
      <x:c r="N25" s="49"/>
      <x:c r="O25" s="54"/>
      <x:c r="P25" s="49"/>
      <x:c r="Q25" s="57"/>
      <x:c r="R25" s="57"/>
      <x:c r="S25" s="57"/>
      <x:c r="T25" s="49" t="str">
        <x:f>IF(OR(I25="x",ISNUMBER(I25),ISNUMBER(SEARCH("OK",UPPER(I25&amp;""))),ISNUMBER(SEARCH("JÁ",UPPER(I25&amp;""))),ISNUMBER(SEARCH("JA ",UPPER(I25&amp;"")))),"OK",IF(I25="","PENDENTE",IF(OR(ISNUMBER(SEARCH("SEM MOV",UPPER(I25&amp;""))),ISNUMBER(SEARCH("SEM I.E",UPPER(I25&amp;""))),ISNUMBER(SEARCH("SEM IE",UPPER(I25&amp;"")))),"DISPENSADO","ALERTA")))</x:f>
        <x:v>PENDENTE</x:v>
      </x:c>
      <x:c r="U25" s="49" t="str">
        <x:f>IF(OR(K25="x",ISNUMBER(K25),ISNUMBER(SEARCH("OK",UPPER(K25&amp;""))),ISNUMBER(SEARCH("JÁ",UPPER(K25&amp;""))),ISNUMBER(SEARCH("JA ",UPPER(K25&amp;"")))),"OK",IF(K25="","PENDENTE",IF(OR(ISNUMBER(SEARCH("SEM MOV",UPPER(K25&amp;""))),ISNUMBER(SEARCH("SEM I.E",UPPER(K25&amp;""))),ISNUMBER(SEARCH("SEM IE",UPPER(K25&amp;"")))),"DISPENSADO","ALERTA")))</x:f>
        <x:v>PENDENTE</x:v>
      </x:c>
      <x:c r="V25" s="49" t="str">
        <x:f>IF(OR(M25="x",ISNUMBER(M25),ISNUMBER(SEARCH("OK",UPPER(M25&amp;""))),ISNUMBER(SEARCH("JÁ",UPPER(M25&amp;""))),ISNUMBER(SEARCH("JA ",UPPER(M25&amp;"")))),"OK",IF(M25="","PENDENTE",IF(OR(ISNUMBER(SEARCH("SEM MOV",UPPER(M25&amp;""))),ISNUMBER(SEARCH("SEM I.E",UPPER(M25&amp;""))),ISNUMBER(SEARCH("SEM IE",UPPER(M25&amp;"")))),"DISPENSADO","ALERTA")))</x:f>
        <x:v>DISPENSADO</x:v>
      </x:c>
      <x:c r="W25" s="49" t="str">
        <x:f>IF(OR(O25="x",ISNUMBER(O25),ISNUMBER(SEARCH("OK",UPPER(O25&amp;""))),ISNUMBER(SEARCH("JÁ",UPPER(O25&amp;""))),ISNUMBER(SEARCH("JA ",UPPER(O25&amp;"")))),"OK",IF(O25="","PENDENTE",IF(OR(ISNUMBER(SEARCH("SEM MOV",UPPER(O25&amp;""))),ISNUMBER(SEARCH("SEM I.E",UPPER(O25&amp;""))),ISNUMBER(SEARCH("SEM IE",UPPER(O25&amp;"")))),"DISPENSADO","ALERTA")))</x:f>
        <x:v>PENDENTE</x:v>
      </x:c>
      <x:c r="X25" s="49" t="str">
        <x:f>IF(Q25&lt;&gt;"","SIM","NÃO")</x:f>
        <x:v>NÃO</x:v>
      </x:c>
      <x:c r="Y25" s="49" t="str">
        <x:f>IF(R25&lt;&gt;"","SIM","NÃO")</x:f>
        <x:v>NÃO</x:v>
      </x:c>
      <x:c r="Z25" s="49" t="str">
        <x:f>IF(OR(H25="A",V25="ALERTA",W25="ALERTA",T25="ALERTA",U25="ALERTA"),"ALTO",IF(OR(T25="PENDENTE",U25="PENDENTE",V25="PENDENTE",W25="PENDENTE"),"MÉDIO","BAIXO"))</x:f>
        <x:v>MÉDIO</x:v>
      </x:c>
      <x:c r="AA25" s="49" t="str">
        <x:f>IF(Z25="ALTO","Resolver certificado/permissão/CNPJ/status antes da rotina",IF(Z25="MÉDIO","Completar pasta/status pendente","Rotina regular"))</x:f>
        <x:v>Completar pasta/status pendente</x:v>
      </x:c>
    </x:row>
    <x:row r="26">
      <x:c r="A26" s="61" t="str">
        <x:v>B.H SELECTION SERVICOS E PEÇAS LTDA - 25</x:v>
      </x:c>
      <x:c r="B26" s="49" t="str">
        <x:v>BH</x:v>
      </x:c>
      <x:c r="C26" s="49" t="str">
        <x:v>GOIÂNIA</x:v>
      </x:c>
      <x:c r="D26" s="49" t="str">
        <x:v>12.923.820/0001-34</x:v>
      </x:c>
      <x:c r="E26" s="49"/>
      <x:c r="F26" s="49" t="str">
        <x:v>SHIELEN/MARTA</x:v>
      </x:c>
      <x:c r="G26" s="49" t="str">
        <x:v>LUCRO REAL</x:v>
      </x:c>
      <x:c r="H26" s="49" t="str">
        <x:v>B</x:v>
      </x:c>
      <x:c r="I26" s="54"/>
      <x:c r="J26" s="49"/>
      <x:c r="K26" s="54"/>
      <x:c r="L26" s="49"/>
      <x:c r="M26" s="54" t="str">
        <x:v>OK 04/05</x:v>
      </x:c>
      <x:c r="N26" s="49"/>
      <x:c r="O26" s="54" t="str">
        <x:v>OK 30/04</x:v>
      </x:c>
      <x:c r="P26" s="49"/>
      <x:c r="Q26" s="57"/>
      <x:c r="R26" s="57"/>
      <x:c r="S26" s="57"/>
      <x:c r="T26" s="49" t="str">
        <x:f>IF(OR(I26="x",ISNUMBER(I26),ISNUMBER(SEARCH("OK",UPPER(I26&amp;""))),ISNUMBER(SEARCH("JÁ",UPPER(I26&amp;""))),ISNUMBER(SEARCH("JA ",UPPER(I26&amp;"")))),"OK",IF(I26="","PENDENTE",IF(OR(ISNUMBER(SEARCH("SEM MOV",UPPER(I26&amp;""))),ISNUMBER(SEARCH("SEM I.E",UPPER(I26&amp;""))),ISNUMBER(SEARCH("SEM IE",UPPER(I26&amp;"")))),"DISPENSADO","ALERTA")))</x:f>
        <x:v>PENDENTE</x:v>
      </x:c>
      <x:c r="U26" s="49" t="str">
        <x:f>IF(OR(K26="x",ISNUMBER(K26),ISNUMBER(SEARCH("OK",UPPER(K26&amp;""))),ISNUMBER(SEARCH("JÁ",UPPER(K26&amp;""))),ISNUMBER(SEARCH("JA ",UPPER(K26&amp;"")))),"OK",IF(K26="","PENDENTE",IF(OR(ISNUMBER(SEARCH("SEM MOV",UPPER(K26&amp;""))),ISNUMBER(SEARCH("SEM I.E",UPPER(K26&amp;""))),ISNUMBER(SEARCH("SEM IE",UPPER(K26&amp;"")))),"DISPENSADO","ALERTA")))</x:f>
        <x:v>PENDENTE</x:v>
      </x:c>
      <x:c r="V26" s="49" t="str">
        <x:f>IF(OR(M26="x",ISNUMBER(M26),ISNUMBER(SEARCH("OK",UPPER(M26&amp;""))),ISNUMBER(SEARCH("JÁ",UPPER(M26&amp;""))),ISNUMBER(SEARCH("JA ",UPPER(M26&amp;"")))),"OK",IF(M26="","PENDENTE",IF(OR(ISNUMBER(SEARCH("SEM MOV",UPPER(M26&amp;""))),ISNUMBER(SEARCH("SEM I.E",UPPER(M26&amp;""))),ISNUMBER(SEARCH("SEM IE",UPPER(M26&amp;"")))),"DISPENSADO","ALERTA")))</x:f>
        <x:v>OK</x:v>
      </x:c>
      <x:c r="W26" s="49" t="str">
        <x:f>IF(OR(O26="x",ISNUMBER(O26),ISNUMBER(SEARCH("OK",UPPER(O26&amp;""))),ISNUMBER(SEARCH("JÁ",UPPER(O26&amp;""))),ISNUMBER(SEARCH("JA ",UPPER(O26&amp;"")))),"OK",IF(O26="","PENDENTE",IF(OR(ISNUMBER(SEARCH("SEM MOV",UPPER(O26&amp;""))),ISNUMBER(SEARCH("SEM I.E",UPPER(O26&amp;""))),ISNUMBER(SEARCH("SEM IE",UPPER(O26&amp;"")))),"DISPENSADO","ALERTA")))</x:f>
        <x:v>OK</x:v>
      </x:c>
      <x:c r="X26" s="49" t="str">
        <x:f>IF(Q26&lt;&gt;"","SIM","NÃO")</x:f>
        <x:v>NÃO</x:v>
      </x:c>
      <x:c r="Y26" s="49" t="str">
        <x:f>IF(R26&lt;&gt;"","SIM","NÃO")</x:f>
        <x:v>NÃO</x:v>
      </x:c>
      <x:c r="Z26" s="49" t="str">
        <x:f>IF(OR(H26="A",V26="ALERTA",W26="ALERTA",T26="ALERTA",U26="ALERTA"),"ALTO",IF(OR(T26="PENDENTE",U26="PENDENTE",V26="PENDENTE",W26="PENDENTE"),"MÉDIO","BAIXO"))</x:f>
        <x:v>MÉDIO</x:v>
      </x:c>
      <x:c r="AA26" s="49" t="str">
        <x:f>IF(Z26="ALTO","Resolver certificado/permissão/CNPJ/status antes da rotina",IF(Z26="MÉDIO","Completar pasta/status pendente","Rotina regular"))</x:f>
        <x:v>Completar pasta/status pendente</x:v>
      </x:c>
    </x:row>
    <x:row r="27">
      <x:c r="A27" s="61" t="str">
        <x:v>BESSA ADVOGADOS E ASSOCIADOS</x:v>
      </x:c>
      <x:c r="B27" s="49" t="str">
        <x:v>BESSA</x:v>
      </x:c>
      <x:c r="C27" s="49" t="str">
        <x:v>GOIANIA</x:v>
      </x:c>
      <x:c r="D27" s="49" t="str">
        <x:v>35.310.400/0001-88</x:v>
      </x:c>
      <x:c r="E27" s="49"/>
      <x:c r="F27" s="49" t="str">
        <x:v>LEIDIANA</x:v>
      </x:c>
      <x:c r="G27" s="49" t="str">
        <x:v>SIMPLES NACIONAL</x:v>
      </x:c>
      <x:c r="H27" s="49" t="str">
        <x:v>B</x:v>
      </x:c>
      <x:c r="I27" s="54"/>
      <x:c r="J27" s="49"/>
      <x:c r="K27" s="54"/>
      <x:c r="L27" s="49"/>
      <x:c r="M27" s="54" t="str">
        <x:v>SEM I.E.</x:v>
      </x:c>
      <x:c r="N27" s="49"/>
      <x:c r="O27" s="54" t="str">
        <x:v>SEM RESULTADO</x:v>
      </x:c>
      <x:c r="P27" s="49"/>
      <x:c r="Q27" s="57"/>
      <x:c r="R27" s="57" t="str">
        <x:v>W:\TESTE RENOMEADOR\TESTE - BESSA\2026\ABRIL\FISCAL\MUNICIPAL\REST</x:v>
      </x:c>
      <x:c r="S27" s="57"/>
      <x:c r="T27" s="49" t="str">
        <x:f>IF(OR(I27="x",ISNUMBER(I27),ISNUMBER(SEARCH("OK",UPPER(I27&amp;""))),ISNUMBER(SEARCH("JÁ",UPPER(I27&amp;""))),ISNUMBER(SEARCH("JA ",UPPER(I27&amp;"")))),"OK",IF(I27="","PENDENTE",IF(OR(ISNUMBER(SEARCH("SEM MOV",UPPER(I27&amp;""))),ISNUMBER(SEARCH("SEM I.E",UPPER(I27&amp;""))),ISNUMBER(SEARCH("SEM IE",UPPER(I27&amp;"")))),"DISPENSADO","ALERTA")))</x:f>
        <x:v>PENDENTE</x:v>
      </x:c>
      <x:c r="U27" s="49" t="str">
        <x:f>IF(OR(K27="x",ISNUMBER(K27),ISNUMBER(SEARCH("OK",UPPER(K27&amp;""))),ISNUMBER(SEARCH("JÁ",UPPER(K27&amp;""))),ISNUMBER(SEARCH("JA ",UPPER(K27&amp;"")))),"OK",IF(K27="","PENDENTE",IF(OR(ISNUMBER(SEARCH("SEM MOV",UPPER(K27&amp;""))),ISNUMBER(SEARCH("SEM I.E",UPPER(K27&amp;""))),ISNUMBER(SEARCH("SEM IE",UPPER(K27&amp;"")))),"DISPENSADO","ALERTA")))</x:f>
        <x:v>PENDENTE</x:v>
      </x:c>
      <x:c r="V27" s="49" t="str">
        <x:f>IF(OR(M27="x",ISNUMBER(M27),ISNUMBER(SEARCH("OK",UPPER(M27&amp;""))),ISNUMBER(SEARCH("JÁ",UPPER(M27&amp;""))),ISNUMBER(SEARCH("JA ",UPPER(M27&amp;"")))),"OK",IF(M27="","PENDENTE",IF(OR(ISNUMBER(SEARCH("SEM MOV",UPPER(M27&amp;""))),ISNUMBER(SEARCH("SEM I.E",UPPER(M27&amp;""))),ISNUMBER(SEARCH("SEM IE",UPPER(M27&amp;"")))),"DISPENSADO","ALERTA")))</x:f>
        <x:v>DISPENSADO</x:v>
      </x:c>
      <x:c r="W27" s="49" t="str">
        <x:f>IF(OR(O27="x",ISNUMBER(O27),ISNUMBER(SEARCH("OK",UPPER(O27&amp;""))),ISNUMBER(SEARCH("JÁ",UPPER(O27&amp;""))),ISNUMBER(SEARCH("JA ",UPPER(O27&amp;"")))),"OK",IF(O27="","PENDENTE",IF(OR(ISNUMBER(SEARCH("SEM MOV",UPPER(O27&amp;""))),ISNUMBER(SEARCH("SEM I.E",UPPER(O27&amp;""))),ISNUMBER(SEARCH("SEM IE",UPPER(O27&amp;"")))),"DISPENSADO","ALERTA")))</x:f>
        <x:v>ALERTA</x:v>
      </x:c>
      <x:c r="X27" s="49" t="str">
        <x:f>IF(Q27&lt;&gt;"","SIM","NÃO")</x:f>
        <x:v>NÃO</x:v>
      </x:c>
      <x:c r="Y27" s="49" t="str">
        <x:f>IF(R27&lt;&gt;"","SIM","NÃO")</x:f>
        <x:v>SIM</x:v>
      </x:c>
      <x:c r="Z27" s="49" t="str">
        <x:f>IF(OR(H27="A",V27="ALERTA",W27="ALERTA",T27="ALERTA",U27="ALERTA"),"ALTO",IF(OR(T27="PENDENTE",U27="PENDENTE",V27="PENDENTE",W27="PENDENTE"),"MÉDIO","BAIXO"))</x:f>
        <x:v>ALTO</x:v>
      </x:c>
      <x:c r="AA27" s="49" t="str">
        <x:f>IF(Z27="ALTO","Resolver certificado/permissão/CNPJ/status antes da rotina",IF(Z27="MÉDIO","Completar pasta/status pendente","Rotina regular"))</x:f>
        <x:v>Resolver certificado/permissão/CNPJ/status antes da rotina</x:v>
      </x:c>
    </x:row>
    <x:row r="28">
      <x:c r="A28" s="61" t="str">
        <x:v>BOM JESUS SERVIÇOS ADMINISTRATIVOS LTDA - 144</x:v>
      </x:c>
      <x:c r="B28" s="49" t="str">
        <x:v>AGROBOM</x:v>
      </x:c>
      <x:c r="C28" s="49" t="str">
        <x:v>BOM JESUS</x:v>
      </x:c>
      <x:c r="D28" s="49" t="str">
        <x:v>41.597.807/0001-30</x:v>
      </x:c>
      <x:c r="E28" s="49"/>
      <x:c r="F28" s="49" t="str">
        <x:v>IVON</x:v>
      </x:c>
      <x:c r="G28" s="49" t="str">
        <x:v>SIMPLES NACIONAL</x:v>
      </x:c>
      <x:c r="H28" s="49" t="str">
        <x:v>C</x:v>
      </x:c>
      <x:c r="I28" s="54"/>
      <x:c r="J28" s="49"/>
      <x:c r="K28" s="54"/>
      <x:c r="L28" s="49"/>
      <x:c r="M28" s="54" t="str">
        <x:v>SEM I.E.</x:v>
      </x:c>
      <x:c r="N28" s="49"/>
      <x:c r="O28" s="54" t="str">
        <x:v>OK 30/04</x:v>
      </x:c>
      <x:c r="P28" s="49"/>
      <x:c r="Q28" s="57"/>
      <x:c r="R28" s="57"/>
      <x:c r="S28" s="57"/>
      <x:c r="T28" s="49" t="str">
        <x:f>IF(OR(I28="x",ISNUMBER(I28),ISNUMBER(SEARCH("OK",UPPER(I28&amp;""))),ISNUMBER(SEARCH("JÁ",UPPER(I28&amp;""))),ISNUMBER(SEARCH("JA ",UPPER(I28&amp;"")))),"OK",IF(I28="","PENDENTE",IF(OR(ISNUMBER(SEARCH("SEM MOV",UPPER(I28&amp;""))),ISNUMBER(SEARCH("SEM I.E",UPPER(I28&amp;""))),ISNUMBER(SEARCH("SEM IE",UPPER(I28&amp;"")))),"DISPENSADO","ALERTA")))</x:f>
        <x:v>PENDENTE</x:v>
      </x:c>
      <x:c r="U28" s="49" t="str">
        <x:f>IF(OR(K28="x",ISNUMBER(K28),ISNUMBER(SEARCH("OK",UPPER(K28&amp;""))),ISNUMBER(SEARCH("JÁ",UPPER(K28&amp;""))),ISNUMBER(SEARCH("JA ",UPPER(K28&amp;"")))),"OK",IF(K28="","PENDENTE",IF(OR(ISNUMBER(SEARCH("SEM MOV",UPPER(K28&amp;""))),ISNUMBER(SEARCH("SEM I.E",UPPER(K28&amp;""))),ISNUMBER(SEARCH("SEM IE",UPPER(K28&amp;"")))),"DISPENSADO","ALERTA")))</x:f>
        <x:v>PENDENTE</x:v>
      </x:c>
      <x:c r="V28" s="49" t="str">
        <x:f>IF(OR(M28="x",ISNUMBER(M28),ISNUMBER(SEARCH("OK",UPPER(M28&amp;""))),ISNUMBER(SEARCH("JÁ",UPPER(M28&amp;""))),ISNUMBER(SEARCH("JA ",UPPER(M28&amp;"")))),"OK",IF(M28="","PENDENTE",IF(OR(ISNUMBER(SEARCH("SEM MOV",UPPER(M28&amp;""))),ISNUMBER(SEARCH("SEM I.E",UPPER(M28&amp;""))),ISNUMBER(SEARCH("SEM IE",UPPER(M28&amp;"")))),"DISPENSADO","ALERTA")))</x:f>
        <x:v>DISPENSADO</x:v>
      </x:c>
      <x:c r="W28" s="49" t="str">
        <x:f>IF(OR(O28="x",ISNUMBER(O28),ISNUMBER(SEARCH("OK",UPPER(O28&amp;""))),ISNUMBER(SEARCH("JÁ",UPPER(O28&amp;""))),ISNUMBER(SEARCH("JA ",UPPER(O28&amp;"")))),"OK",IF(O28="","PENDENTE",IF(OR(ISNUMBER(SEARCH("SEM MOV",UPPER(O28&amp;""))),ISNUMBER(SEARCH("SEM I.E",UPPER(O28&amp;""))),ISNUMBER(SEARCH("SEM IE",UPPER(O28&amp;"")))),"DISPENSADO","ALERTA")))</x:f>
        <x:v>OK</x:v>
      </x:c>
      <x:c r="X28" s="49" t="str">
        <x:f>IF(Q28&lt;&gt;"","SIM","NÃO")</x:f>
        <x:v>NÃO</x:v>
      </x:c>
      <x:c r="Y28" s="49" t="str">
        <x:f>IF(R28&lt;&gt;"","SIM","NÃO")</x:f>
        <x:v>NÃO</x:v>
      </x:c>
      <x:c r="Z28" s="49" t="str">
        <x:f>IF(OR(H28="A",V28="ALERTA",W28="ALERTA",T28="ALERTA",U28="ALERTA"),"ALTO",IF(OR(T28="PENDENTE",U28="PENDENTE",V28="PENDENTE",W28="PENDENTE"),"MÉDIO","BAIXO"))</x:f>
        <x:v>MÉDIO</x:v>
      </x:c>
      <x:c r="AA28" s="49" t="str">
        <x:f>IF(Z28="ALTO","Resolver certificado/permissão/CNPJ/status antes da rotina",IF(Z28="MÉDIO","Completar pasta/status pendente","Rotina regular"))</x:f>
        <x:v>Completar pasta/status pendente</x:v>
      </x:c>
    </x:row>
    <x:row r="29">
      <x:c r="A29" s="61" t="str">
        <x:v>BURITI AUTOCENTER - 44</x:v>
      </x:c>
      <x:c r="B29" s="49" t="str">
        <x:v>INDEPENDENTE</x:v>
      </x:c>
      <x:c r="C29" s="49" t="str">
        <x:v>GOIÂNIA</x:v>
      </x:c>
      <x:c r="D29" s="49" t="str">
        <x:v>21.430.001/0001-46</x:v>
      </x:c>
      <x:c r="E29" s="49"/>
      <x:c r="F29" s="49" t="str">
        <x:v>GUIGA</x:v>
      </x:c>
      <x:c r="G29" s="49" t="str">
        <x:v>SIMPLES NACIONAL</x:v>
      </x:c>
      <x:c r="H29" s="49" t="str">
        <x:v>C</x:v>
      </x:c>
      <x:c r="I29" s="54"/>
      <x:c r="J29" s="49"/>
      <x:c r="K29" s="54"/>
      <x:c r="L29" s="49"/>
      <x:c r="M29" s="54" t="str">
        <x:v>OK 04/05</x:v>
      </x:c>
      <x:c r="N29" s="49"/>
      <x:c r="O29" s="54" t="str">
        <x:v>OK 30/04</x:v>
      </x:c>
      <x:c r="P29" s="49"/>
      <x:c r="Q29" s="57"/>
      <x:c r="R29" s="57"/>
      <x:c r="S29" s="57"/>
      <x:c r="T29" s="49" t="str">
        <x:f>IF(OR(I29="x",ISNUMBER(I29),ISNUMBER(SEARCH("OK",UPPER(I29&amp;""))),ISNUMBER(SEARCH("JÁ",UPPER(I29&amp;""))),ISNUMBER(SEARCH("JA ",UPPER(I29&amp;"")))),"OK",IF(I29="","PENDENTE",IF(OR(ISNUMBER(SEARCH("SEM MOV",UPPER(I29&amp;""))),ISNUMBER(SEARCH("SEM I.E",UPPER(I29&amp;""))),ISNUMBER(SEARCH("SEM IE",UPPER(I29&amp;"")))),"DISPENSADO","ALERTA")))</x:f>
        <x:v>PENDENTE</x:v>
      </x:c>
      <x:c r="U29" s="49" t="str">
        <x:f>IF(OR(K29="x",ISNUMBER(K29),ISNUMBER(SEARCH("OK",UPPER(K29&amp;""))),ISNUMBER(SEARCH("JÁ",UPPER(K29&amp;""))),ISNUMBER(SEARCH("JA ",UPPER(K29&amp;"")))),"OK",IF(K29="","PENDENTE",IF(OR(ISNUMBER(SEARCH("SEM MOV",UPPER(K29&amp;""))),ISNUMBER(SEARCH("SEM I.E",UPPER(K29&amp;""))),ISNUMBER(SEARCH("SEM IE",UPPER(K29&amp;"")))),"DISPENSADO","ALERTA")))</x:f>
        <x:v>PENDENTE</x:v>
      </x:c>
      <x:c r="V29" s="49" t="str">
        <x:f>IF(OR(M29="x",ISNUMBER(M29),ISNUMBER(SEARCH("OK",UPPER(M29&amp;""))),ISNUMBER(SEARCH("JÁ",UPPER(M29&amp;""))),ISNUMBER(SEARCH("JA ",UPPER(M29&amp;"")))),"OK",IF(M29="","PENDENTE",IF(OR(ISNUMBER(SEARCH("SEM MOV",UPPER(M29&amp;""))),ISNUMBER(SEARCH("SEM I.E",UPPER(M29&amp;""))),ISNUMBER(SEARCH("SEM IE",UPPER(M29&amp;"")))),"DISPENSADO","ALERTA")))</x:f>
        <x:v>OK</x:v>
      </x:c>
      <x:c r="W29" s="49" t="str">
        <x:f>IF(OR(O29="x",ISNUMBER(O29),ISNUMBER(SEARCH("OK",UPPER(O29&amp;""))),ISNUMBER(SEARCH("JÁ",UPPER(O29&amp;""))),ISNUMBER(SEARCH("JA ",UPPER(O29&amp;"")))),"OK",IF(O29="","PENDENTE",IF(OR(ISNUMBER(SEARCH("SEM MOV",UPPER(O29&amp;""))),ISNUMBER(SEARCH("SEM I.E",UPPER(O29&amp;""))),ISNUMBER(SEARCH("SEM IE",UPPER(O29&amp;"")))),"DISPENSADO","ALERTA")))</x:f>
        <x:v>OK</x:v>
      </x:c>
      <x:c r="X29" s="49" t="str">
        <x:f>IF(Q29&lt;&gt;"","SIM","NÃO")</x:f>
        <x:v>NÃO</x:v>
      </x:c>
      <x:c r="Y29" s="49" t="str">
        <x:f>IF(R29&lt;&gt;"","SIM","NÃO")</x:f>
        <x:v>NÃO</x:v>
      </x:c>
      <x:c r="Z29" s="49" t="str">
        <x:f>IF(OR(H29="A",V29="ALERTA",W29="ALERTA",T29="ALERTA",U29="ALERTA"),"ALTO",IF(OR(T29="PENDENTE",U29="PENDENTE",V29="PENDENTE",W29="PENDENTE"),"MÉDIO","BAIXO"))</x:f>
        <x:v>MÉDIO</x:v>
      </x:c>
      <x:c r="AA29" s="49" t="str">
        <x:f>IF(Z29="ALTO","Resolver certificado/permissão/CNPJ/status antes da rotina",IF(Z29="MÉDIO","Completar pasta/status pendente","Rotina regular"))</x:f>
        <x:v>Completar pasta/status pendente</x:v>
      </x:c>
    </x:row>
    <x:row r="30">
      <x:c r="A30" s="61" t="str">
        <x:v>CARRETEIRO AUTO PECAS</x:v>
      </x:c>
      <x:c r="B30" s="49" t="str">
        <x:v>CARRETEIRO</x:v>
      </x:c>
      <x:c r="C30" s="49" t="str">
        <x:v>GOIANESIA</x:v>
      </x:c>
      <x:c r="D30" s="49" t="str">
        <x:v>10.172.340/0001-53</x:v>
      </x:c>
      <x:c r="E30" s="49"/>
      <x:c r="F30" s="49" t="str">
        <x:v>ANDRÉ /PAULO</x:v>
      </x:c>
      <x:c r="G30" s="49" t="str">
        <x:v>LUCRO REAL</x:v>
      </x:c>
      <x:c r="H30" s="49" t="str">
        <x:v>B</x:v>
      </x:c>
      <x:c r="I30" s="54"/>
      <x:c r="J30" s="49"/>
      <x:c r="K30" s="54"/>
      <x:c r="L30" s="49"/>
      <x:c r="M30" s="54" t="str">
        <x:v>OK 04/05</x:v>
      </x:c>
      <x:c r="N30" s="49"/>
      <x:c r="O30" s="54" t="str">
        <x:v>OK 30/04</x:v>
      </x:c>
      <x:c r="P30" s="49"/>
      <x:c r="Q30" s="57"/>
      <x:c r="R30" s="57"/>
      <x:c r="S30" s="57"/>
      <x:c r="T30" s="49" t="str">
        <x:f>IF(OR(I30="x",ISNUMBER(I30),ISNUMBER(SEARCH("OK",UPPER(I30&amp;""))),ISNUMBER(SEARCH("JÁ",UPPER(I30&amp;""))),ISNUMBER(SEARCH("JA ",UPPER(I30&amp;"")))),"OK",IF(I30="","PENDENTE",IF(OR(ISNUMBER(SEARCH("SEM MOV",UPPER(I30&amp;""))),ISNUMBER(SEARCH("SEM I.E",UPPER(I30&amp;""))),ISNUMBER(SEARCH("SEM IE",UPPER(I30&amp;"")))),"DISPENSADO","ALERTA")))</x:f>
        <x:v>PENDENTE</x:v>
      </x:c>
      <x:c r="U30" s="49" t="str">
        <x:f>IF(OR(K30="x",ISNUMBER(K30),ISNUMBER(SEARCH("OK",UPPER(K30&amp;""))),ISNUMBER(SEARCH("JÁ",UPPER(K30&amp;""))),ISNUMBER(SEARCH("JA ",UPPER(K30&amp;"")))),"OK",IF(K30="","PENDENTE",IF(OR(ISNUMBER(SEARCH("SEM MOV",UPPER(K30&amp;""))),ISNUMBER(SEARCH("SEM I.E",UPPER(K30&amp;""))),ISNUMBER(SEARCH("SEM IE",UPPER(K30&amp;"")))),"DISPENSADO","ALERTA")))</x:f>
        <x:v>PENDENTE</x:v>
      </x:c>
      <x:c r="V30" s="49" t="str">
        <x:f>IF(OR(M30="x",ISNUMBER(M30),ISNUMBER(SEARCH("OK",UPPER(M30&amp;""))),ISNUMBER(SEARCH("JÁ",UPPER(M30&amp;""))),ISNUMBER(SEARCH("JA ",UPPER(M30&amp;"")))),"OK",IF(M30="","PENDENTE",IF(OR(ISNUMBER(SEARCH("SEM MOV",UPPER(M30&amp;""))),ISNUMBER(SEARCH("SEM I.E",UPPER(M30&amp;""))),ISNUMBER(SEARCH("SEM IE",UPPER(M30&amp;"")))),"DISPENSADO","ALERTA")))</x:f>
        <x:v>OK</x:v>
      </x:c>
      <x:c r="W30" s="49" t="str">
        <x:f>IF(OR(O30="x",ISNUMBER(O30),ISNUMBER(SEARCH("OK",UPPER(O30&amp;""))),ISNUMBER(SEARCH("JÁ",UPPER(O30&amp;""))),ISNUMBER(SEARCH("JA ",UPPER(O30&amp;"")))),"OK",IF(O30="","PENDENTE",IF(OR(ISNUMBER(SEARCH("SEM MOV",UPPER(O30&amp;""))),ISNUMBER(SEARCH("SEM I.E",UPPER(O30&amp;""))),ISNUMBER(SEARCH("SEM IE",UPPER(O30&amp;"")))),"DISPENSADO","ALERTA")))</x:f>
        <x:v>OK</x:v>
      </x:c>
      <x:c r="X30" s="49" t="str">
        <x:f>IF(Q30&lt;&gt;"","SIM","NÃO")</x:f>
        <x:v>NÃO</x:v>
      </x:c>
      <x:c r="Y30" s="49" t="str">
        <x:f>IF(R30&lt;&gt;"","SIM","NÃO")</x:f>
        <x:v>NÃO</x:v>
      </x:c>
      <x:c r="Z30" s="49" t="str">
        <x:f>IF(OR(H30="A",V30="ALERTA",W30="ALERTA",T30="ALERTA",U30="ALERTA"),"ALTO",IF(OR(T30="PENDENTE",U30="PENDENTE",V30="PENDENTE",W30="PENDENTE"),"MÉDIO","BAIXO"))</x:f>
        <x:v>MÉDIO</x:v>
      </x:c>
      <x:c r="AA30" s="49" t="str">
        <x:f>IF(Z30="ALTO","Resolver certificado/permissão/CNPJ/status antes da rotina",IF(Z30="MÉDIO","Completar pasta/status pendente","Rotina regular"))</x:f>
        <x:v>Completar pasta/status pendente</x:v>
      </x:c>
    </x:row>
    <x:row r="31">
      <x:c r="A31" s="61" t="str">
        <x:v>CARRETEIRO SERVIÇOS - 221</x:v>
      </x:c>
      <x:c r="B31" s="49" t="str">
        <x:v>CARRETEIRO</x:v>
      </x:c>
      <x:c r="C31" s="49" t="str">
        <x:v>GOIANÉSIA</x:v>
      </x:c>
      <x:c r="D31" s="49" t="str">
        <x:v>62.220.305/0001-66</x:v>
      </x:c>
      <x:c r="E31" s="49"/>
      <x:c r="F31" s="49" t="str">
        <x:v>ANDRÉ /PAULO</x:v>
      </x:c>
      <x:c r="G31" s="49" t="str">
        <x:v>SIMPLES NACIONAL</x:v>
      </x:c>
      <x:c r="H31" s="49" t="str">
        <x:v>C</x:v>
      </x:c>
      <x:c r="I31" s="54"/>
      <x:c r="J31" s="49"/>
      <x:c r="K31" s="54"/>
      <x:c r="L31" s="49"/>
      <x:c r="M31" s="54" t="str">
        <x:v>SEM MOVIMENTO</x:v>
      </x:c>
      <x:c r="N31" s="49"/>
      <x:c r="O31" s="54" t="str">
        <x:v>SEM RESULTADO</x:v>
      </x:c>
      <x:c r="P31" s="49"/>
      <x:c r="Q31" s="57"/>
      <x:c r="R31" s="57"/>
      <x:c r="S31" s="57"/>
      <x:c r="T31" s="49" t="str">
        <x:f>IF(OR(I31="x",ISNUMBER(I31),ISNUMBER(SEARCH("OK",UPPER(I31&amp;""))),ISNUMBER(SEARCH("JÁ",UPPER(I31&amp;""))),ISNUMBER(SEARCH("JA ",UPPER(I31&amp;"")))),"OK",IF(I31="","PENDENTE",IF(OR(ISNUMBER(SEARCH("SEM MOV",UPPER(I31&amp;""))),ISNUMBER(SEARCH("SEM I.E",UPPER(I31&amp;""))),ISNUMBER(SEARCH("SEM IE",UPPER(I31&amp;"")))),"DISPENSADO","ALERTA")))</x:f>
        <x:v>PENDENTE</x:v>
      </x:c>
      <x:c r="U31" s="49" t="str">
        <x:f>IF(OR(K31="x",ISNUMBER(K31),ISNUMBER(SEARCH("OK",UPPER(K31&amp;""))),ISNUMBER(SEARCH("JÁ",UPPER(K31&amp;""))),ISNUMBER(SEARCH("JA ",UPPER(K31&amp;"")))),"OK",IF(K31="","PENDENTE",IF(OR(ISNUMBER(SEARCH("SEM MOV",UPPER(K31&amp;""))),ISNUMBER(SEARCH("SEM I.E",UPPER(K31&amp;""))),ISNUMBER(SEARCH("SEM IE",UPPER(K31&amp;"")))),"DISPENSADO","ALERTA")))</x:f>
        <x:v>PENDENTE</x:v>
      </x:c>
      <x:c r="V31" s="49" t="str">
        <x:f>IF(OR(M31="x",ISNUMBER(M31),ISNUMBER(SEARCH("OK",UPPER(M31&amp;""))),ISNUMBER(SEARCH("JÁ",UPPER(M31&amp;""))),ISNUMBER(SEARCH("JA ",UPPER(M31&amp;"")))),"OK",IF(M31="","PENDENTE",IF(OR(ISNUMBER(SEARCH("SEM MOV",UPPER(M31&amp;""))),ISNUMBER(SEARCH("SEM I.E",UPPER(M31&amp;""))),ISNUMBER(SEARCH("SEM IE",UPPER(M31&amp;"")))),"DISPENSADO","ALERTA")))</x:f>
        <x:v>DISPENSADO</x:v>
      </x:c>
      <x:c r="W31" s="49" t="str">
        <x:f>IF(OR(O31="x",ISNUMBER(O31),ISNUMBER(SEARCH("OK",UPPER(O31&amp;""))),ISNUMBER(SEARCH("JÁ",UPPER(O31&amp;""))),ISNUMBER(SEARCH("JA ",UPPER(O31&amp;"")))),"OK",IF(O31="","PENDENTE",IF(OR(ISNUMBER(SEARCH("SEM MOV",UPPER(O31&amp;""))),ISNUMBER(SEARCH("SEM I.E",UPPER(O31&amp;""))),ISNUMBER(SEARCH("SEM IE",UPPER(O31&amp;"")))),"DISPENSADO","ALERTA")))</x:f>
        <x:v>ALERTA</x:v>
      </x:c>
      <x:c r="X31" s="49" t="str">
        <x:f>IF(Q31&lt;&gt;"","SIM","NÃO")</x:f>
        <x:v>NÃO</x:v>
      </x:c>
      <x:c r="Y31" s="49" t="str">
        <x:f>IF(R31&lt;&gt;"","SIM","NÃO")</x:f>
        <x:v>NÃO</x:v>
      </x:c>
      <x:c r="Z31" s="49" t="str">
        <x:f>IF(OR(H31="A",V31="ALERTA",W31="ALERTA",T31="ALERTA",U31="ALERTA"),"ALTO",IF(OR(T31="PENDENTE",U31="PENDENTE",V31="PENDENTE",W31="PENDENTE"),"MÉDIO","BAIXO"))</x:f>
        <x:v>ALTO</x:v>
      </x:c>
      <x:c r="AA31" s="49" t="str">
        <x:f>IF(Z31="ALTO","Resolver certificado/permissão/CNPJ/status antes da rotina",IF(Z31="MÉDIO","Completar pasta/status pendente","Rotina regular"))</x:f>
        <x:v>Resolver certificado/permissão/CNPJ/status antes da rotina</x:v>
      </x:c>
    </x:row>
    <x:row r="32">
      <x:c r="A32" s="61" t="str">
        <x:v>CÉLIO ADRIANO DA SILVA - CAVIS - 45</x:v>
      </x:c>
      <x:c r="B32" s="49" t="str">
        <x:v>CAVIS</x:v>
      </x:c>
      <x:c r="C32" s="49" t="str">
        <x:v>JATAI</x:v>
      </x:c>
      <x:c r="D32" s="49" t="str">
        <x:v>10.712.858/0001-32</x:v>
      </x:c>
      <x:c r="E32" s="49"/>
      <x:c r="F32" s="49" t="str">
        <x:v>CÉLIO/CINTHYA</x:v>
      </x:c>
      <x:c r="G32" s="49" t="str">
        <x:v>LUCRO REAL</x:v>
      </x:c>
      <x:c r="H32" s="49" t="str">
        <x:v>C</x:v>
      </x:c>
      <x:c r="I32" s="54"/>
      <x:c r="J32" s="49"/>
      <x:c r="K32" s="54"/>
      <x:c r="L32" s="49"/>
      <x:c r="M32" s="54" t="str">
        <x:v>OK 04/05</x:v>
      </x:c>
      <x:c r="N32" s="49"/>
      <x:c r="O32" s="54" t="str">
        <x:v>SEM RESULTADO</x:v>
      </x:c>
      <x:c r="P32" s="49"/>
      <x:c r="Q32" s="57"/>
      <x:c r="R32" s="57"/>
      <x:c r="S32" s="57"/>
      <x:c r="T32" s="49" t="str">
        <x:f>IF(OR(I32="x",ISNUMBER(I32),ISNUMBER(SEARCH("OK",UPPER(I32&amp;""))),ISNUMBER(SEARCH("JÁ",UPPER(I32&amp;""))),ISNUMBER(SEARCH("JA ",UPPER(I32&amp;"")))),"OK",IF(I32="","PENDENTE",IF(OR(ISNUMBER(SEARCH("SEM MOV",UPPER(I32&amp;""))),ISNUMBER(SEARCH("SEM I.E",UPPER(I32&amp;""))),ISNUMBER(SEARCH("SEM IE",UPPER(I32&amp;"")))),"DISPENSADO","ALERTA")))</x:f>
        <x:v>PENDENTE</x:v>
      </x:c>
      <x:c r="U32" s="49" t="str">
        <x:f>IF(OR(K32="x",ISNUMBER(K32),ISNUMBER(SEARCH("OK",UPPER(K32&amp;""))),ISNUMBER(SEARCH("JÁ",UPPER(K32&amp;""))),ISNUMBER(SEARCH("JA ",UPPER(K32&amp;"")))),"OK",IF(K32="","PENDENTE",IF(OR(ISNUMBER(SEARCH("SEM MOV",UPPER(K32&amp;""))),ISNUMBER(SEARCH("SEM I.E",UPPER(K32&amp;""))),ISNUMBER(SEARCH("SEM IE",UPPER(K32&amp;"")))),"DISPENSADO","ALERTA")))</x:f>
        <x:v>PENDENTE</x:v>
      </x:c>
      <x:c r="V32" s="49" t="str">
        <x:f>IF(OR(M32="x",ISNUMBER(M32),ISNUMBER(SEARCH("OK",UPPER(M32&amp;""))),ISNUMBER(SEARCH("JÁ",UPPER(M32&amp;""))),ISNUMBER(SEARCH("JA ",UPPER(M32&amp;"")))),"OK",IF(M32="","PENDENTE",IF(OR(ISNUMBER(SEARCH("SEM MOV",UPPER(M32&amp;""))),ISNUMBER(SEARCH("SEM I.E",UPPER(M32&amp;""))),ISNUMBER(SEARCH("SEM IE",UPPER(M32&amp;"")))),"DISPENSADO","ALERTA")))</x:f>
        <x:v>OK</x:v>
      </x:c>
      <x:c r="W32" s="49" t="str">
        <x:f>IF(OR(O32="x",ISNUMBER(O32),ISNUMBER(SEARCH("OK",UPPER(O32&amp;""))),ISNUMBER(SEARCH("JÁ",UPPER(O32&amp;""))),ISNUMBER(SEARCH("JA ",UPPER(O32&amp;"")))),"OK",IF(O32="","PENDENTE",IF(OR(ISNUMBER(SEARCH("SEM MOV",UPPER(O32&amp;""))),ISNUMBER(SEARCH("SEM I.E",UPPER(O32&amp;""))),ISNUMBER(SEARCH("SEM IE",UPPER(O32&amp;"")))),"DISPENSADO","ALERTA")))</x:f>
        <x:v>ALERTA</x:v>
      </x:c>
      <x:c r="X32" s="49" t="str">
        <x:f>IF(Q32&lt;&gt;"","SIM","NÃO")</x:f>
        <x:v>NÃO</x:v>
      </x:c>
      <x:c r="Y32" s="49" t="str">
        <x:f>IF(R32&lt;&gt;"","SIM","NÃO")</x:f>
        <x:v>NÃO</x:v>
      </x:c>
      <x:c r="Z32" s="49" t="str">
        <x:f>IF(OR(H32="A",V32="ALERTA",W32="ALERTA",T32="ALERTA",U32="ALERTA"),"ALTO",IF(OR(T32="PENDENTE",U32="PENDENTE",V32="PENDENTE",W32="PENDENTE"),"MÉDIO","BAIXO"))</x:f>
        <x:v>ALTO</x:v>
      </x:c>
      <x:c r="AA32" s="49" t="str">
        <x:f>IF(Z32="ALTO","Resolver certificado/permissão/CNPJ/status antes da rotina",IF(Z32="MÉDIO","Completar pasta/status pendente","Rotina regular"))</x:f>
        <x:v>Resolver certificado/permissão/CNPJ/status antes da rotina</x:v>
      </x:c>
    </x:row>
    <x:row r="33">
      <x:c r="A33" s="61" t="str">
        <x:v>CENTRO DE APOIO BILINGUE I LTDA - 151</x:v>
      </x:c>
      <x:c r="B33" s="49" t="str">
        <x:v>INTERESCHOOL</x:v>
      </x:c>
      <x:c r="C33" s="49" t="str">
        <x:v>GOIÂNIA</x:v>
      </x:c>
      <x:c r="D33" s="49" t="str">
        <x:v>53.665.434/0001-77</x:v>
      </x:c>
      <x:c r="E33" s="49"/>
      <x:c r="F33" s="49" t="str">
        <x:v>ROSICLÉIA</x:v>
      </x:c>
      <x:c r="G33" s="49" t="str">
        <x:v>SIMPLES NACIONAL</x:v>
      </x:c>
      <x:c r="H33" s="49" t="str">
        <x:v>C</x:v>
      </x:c>
      <x:c r="I33" s="54"/>
      <x:c r="J33" s="49"/>
      <x:c r="K33" s="54"/>
      <x:c r="L33" s="49"/>
      <x:c r="M33" s="54" t="str">
        <x:v>SEM I.E.</x:v>
      </x:c>
      <x:c r="N33" s="49"/>
      <x:c r="O33" s="54" t="str">
        <x:v>SEM RESULTADO</x:v>
      </x:c>
      <x:c r="P33" s="49"/>
      <x:c r="Q33" s="57"/>
      <x:c r="R33" s="57"/>
      <x:c r="S33" s="57"/>
      <x:c r="T33" s="49" t="str">
        <x:f>IF(OR(I33="x",ISNUMBER(I33),ISNUMBER(SEARCH("OK",UPPER(I33&amp;""))),ISNUMBER(SEARCH("JÁ",UPPER(I33&amp;""))),ISNUMBER(SEARCH("JA ",UPPER(I33&amp;"")))),"OK",IF(I33="","PENDENTE",IF(OR(ISNUMBER(SEARCH("SEM MOV",UPPER(I33&amp;""))),ISNUMBER(SEARCH("SEM I.E",UPPER(I33&amp;""))),ISNUMBER(SEARCH("SEM IE",UPPER(I33&amp;"")))),"DISPENSADO","ALERTA")))</x:f>
        <x:v>PENDENTE</x:v>
      </x:c>
      <x:c r="U33" s="49" t="str">
        <x:f>IF(OR(K33="x",ISNUMBER(K33),ISNUMBER(SEARCH("OK",UPPER(K33&amp;""))),ISNUMBER(SEARCH("JÁ",UPPER(K33&amp;""))),ISNUMBER(SEARCH("JA ",UPPER(K33&amp;"")))),"OK",IF(K33="","PENDENTE",IF(OR(ISNUMBER(SEARCH("SEM MOV",UPPER(K33&amp;""))),ISNUMBER(SEARCH("SEM I.E",UPPER(K33&amp;""))),ISNUMBER(SEARCH("SEM IE",UPPER(K33&amp;"")))),"DISPENSADO","ALERTA")))</x:f>
        <x:v>PENDENTE</x:v>
      </x:c>
      <x:c r="V33" s="49" t="str">
        <x:f>IF(OR(M33="x",ISNUMBER(M33),ISNUMBER(SEARCH("OK",UPPER(M33&amp;""))),ISNUMBER(SEARCH("JÁ",UPPER(M33&amp;""))),ISNUMBER(SEARCH("JA ",UPPER(M33&amp;"")))),"OK",IF(M33="","PENDENTE",IF(OR(ISNUMBER(SEARCH("SEM MOV",UPPER(M33&amp;""))),ISNUMBER(SEARCH("SEM I.E",UPPER(M33&amp;""))),ISNUMBER(SEARCH("SEM IE",UPPER(M33&amp;"")))),"DISPENSADO","ALERTA")))</x:f>
        <x:v>DISPENSADO</x:v>
      </x:c>
      <x:c r="W33" s="49" t="str">
        <x:f>IF(OR(O33="x",ISNUMBER(O33),ISNUMBER(SEARCH("OK",UPPER(O33&amp;""))),ISNUMBER(SEARCH("JÁ",UPPER(O33&amp;""))),ISNUMBER(SEARCH("JA ",UPPER(O33&amp;"")))),"OK",IF(O33="","PENDENTE",IF(OR(ISNUMBER(SEARCH("SEM MOV",UPPER(O33&amp;""))),ISNUMBER(SEARCH("SEM I.E",UPPER(O33&amp;""))),ISNUMBER(SEARCH("SEM IE",UPPER(O33&amp;"")))),"DISPENSADO","ALERTA")))</x:f>
        <x:v>ALERTA</x:v>
      </x:c>
      <x:c r="X33" s="49" t="str">
        <x:f>IF(Q33&lt;&gt;"","SIM","NÃO")</x:f>
        <x:v>NÃO</x:v>
      </x:c>
      <x:c r="Y33" s="49" t="str">
        <x:f>IF(R33&lt;&gt;"","SIM","NÃO")</x:f>
        <x:v>NÃO</x:v>
      </x:c>
      <x:c r="Z33" s="49" t="str">
        <x:f>IF(OR(H33="A",V33="ALERTA",W33="ALERTA",T33="ALERTA",U33="ALERTA"),"ALTO",IF(OR(T33="PENDENTE",U33="PENDENTE",V33="PENDENTE",W33="PENDENTE"),"MÉDIO","BAIXO"))</x:f>
        <x:v>ALTO</x:v>
      </x:c>
      <x:c r="AA33" s="49" t="str">
        <x:f>IF(Z33="ALTO","Resolver certificado/permissão/CNPJ/status antes da rotina",IF(Z33="MÉDIO","Completar pasta/status pendente","Rotina regular"))</x:f>
        <x:v>Resolver certificado/permissão/CNPJ/status antes da rotina</x:v>
      </x:c>
    </x:row>
    <x:row r="34">
      <x:c r="A34" s="61" t="str">
        <x:v>CENTRO DE APOIO BILINGUE II LTDA - 152</x:v>
      </x:c>
      <x:c r="B34" s="49" t="str">
        <x:v>INTERESCHOOL</x:v>
      </x:c>
      <x:c r="C34" s="49" t="str">
        <x:v>GOIÂNIA</x:v>
      </x:c>
      <x:c r="D34" s="49" t="str">
        <x:v>53.665.515/0001-77</x:v>
      </x:c>
      <x:c r="E34" s="49"/>
      <x:c r="F34" s="49" t="str">
        <x:v>ROSICLÉIA</x:v>
      </x:c>
      <x:c r="G34" s="49" t="str">
        <x:v>SIMPLES NACIONAL</x:v>
      </x:c>
      <x:c r="H34" s="49" t="str">
        <x:v>C</x:v>
      </x:c>
      <x:c r="I34" s="54"/>
      <x:c r="J34" s="49"/>
      <x:c r="K34" s="54"/>
      <x:c r="L34" s="49"/>
      <x:c r="M34" s="54" t="str">
        <x:v>SEM I.E.</x:v>
      </x:c>
      <x:c r="N34" s="49"/>
      <x:c r="O34" s="54" t="str">
        <x:v>SEM RESULTADO</x:v>
      </x:c>
      <x:c r="P34" s="49"/>
      <x:c r="Q34" s="57"/>
      <x:c r="R34" s="57"/>
      <x:c r="S34" s="57"/>
      <x:c r="T34" s="49" t="str">
        <x:f>IF(OR(I34="x",ISNUMBER(I34),ISNUMBER(SEARCH("OK",UPPER(I34&amp;""))),ISNUMBER(SEARCH("JÁ",UPPER(I34&amp;""))),ISNUMBER(SEARCH("JA ",UPPER(I34&amp;"")))),"OK",IF(I34="","PENDENTE",IF(OR(ISNUMBER(SEARCH("SEM MOV",UPPER(I34&amp;""))),ISNUMBER(SEARCH("SEM I.E",UPPER(I34&amp;""))),ISNUMBER(SEARCH("SEM IE",UPPER(I34&amp;"")))),"DISPENSADO","ALERTA")))</x:f>
        <x:v>PENDENTE</x:v>
      </x:c>
      <x:c r="U34" s="49" t="str">
        <x:f>IF(OR(K34="x",ISNUMBER(K34),ISNUMBER(SEARCH("OK",UPPER(K34&amp;""))),ISNUMBER(SEARCH("JÁ",UPPER(K34&amp;""))),ISNUMBER(SEARCH("JA ",UPPER(K34&amp;"")))),"OK",IF(K34="","PENDENTE",IF(OR(ISNUMBER(SEARCH("SEM MOV",UPPER(K34&amp;""))),ISNUMBER(SEARCH("SEM I.E",UPPER(K34&amp;""))),ISNUMBER(SEARCH("SEM IE",UPPER(K34&amp;"")))),"DISPENSADO","ALERTA")))</x:f>
        <x:v>PENDENTE</x:v>
      </x:c>
      <x:c r="V34" s="49" t="str">
        <x:f>IF(OR(M34="x",ISNUMBER(M34),ISNUMBER(SEARCH("OK",UPPER(M34&amp;""))),ISNUMBER(SEARCH("JÁ",UPPER(M34&amp;""))),ISNUMBER(SEARCH("JA ",UPPER(M34&amp;"")))),"OK",IF(M34="","PENDENTE",IF(OR(ISNUMBER(SEARCH("SEM MOV",UPPER(M34&amp;""))),ISNUMBER(SEARCH("SEM I.E",UPPER(M34&amp;""))),ISNUMBER(SEARCH("SEM IE",UPPER(M34&amp;"")))),"DISPENSADO","ALERTA")))</x:f>
        <x:v>DISPENSADO</x:v>
      </x:c>
      <x:c r="W34" s="49" t="str">
        <x:f>IF(OR(O34="x",ISNUMBER(O34),ISNUMBER(SEARCH("OK",UPPER(O34&amp;""))),ISNUMBER(SEARCH("JÁ",UPPER(O34&amp;""))),ISNUMBER(SEARCH("JA ",UPPER(O34&amp;"")))),"OK",IF(O34="","PENDENTE",IF(OR(ISNUMBER(SEARCH("SEM MOV",UPPER(O34&amp;""))),ISNUMBER(SEARCH("SEM I.E",UPPER(O34&amp;""))),ISNUMBER(SEARCH("SEM IE",UPPER(O34&amp;"")))),"DISPENSADO","ALERTA")))</x:f>
        <x:v>ALERTA</x:v>
      </x:c>
      <x:c r="X34" s="49" t="str">
        <x:f>IF(Q34&lt;&gt;"","SIM","NÃO")</x:f>
        <x:v>NÃO</x:v>
      </x:c>
      <x:c r="Y34" s="49" t="str">
        <x:f>IF(R34&lt;&gt;"","SIM","NÃO")</x:f>
        <x:v>NÃO</x:v>
      </x:c>
      <x:c r="Z34" s="49" t="str">
        <x:f>IF(OR(H34="A",V34="ALERTA",W34="ALERTA",T34="ALERTA",U34="ALERTA"),"ALTO",IF(OR(T34="PENDENTE",U34="PENDENTE",V34="PENDENTE",W34="PENDENTE"),"MÉDIO","BAIXO"))</x:f>
        <x:v>ALTO</x:v>
      </x:c>
      <x:c r="AA34" s="49" t="str">
        <x:f>IF(Z34="ALTO","Resolver certificado/permissão/CNPJ/status antes da rotina",IF(Z34="MÉDIO","Completar pasta/status pendente","Rotina regular"))</x:f>
        <x:v>Resolver certificado/permissão/CNPJ/status antes da rotina</x:v>
      </x:c>
    </x:row>
    <x:row r="35">
      <x:c r="A35" s="61" t="str">
        <x:v>CENTRO DE APOIO BILINGUE III LTDA - 153</x:v>
      </x:c>
      <x:c r="B35" s="49" t="str">
        <x:v>INTERESCHOOL</x:v>
      </x:c>
      <x:c r="C35" s="49" t="str">
        <x:v>GOIÂNIA</x:v>
      </x:c>
      <x:c r="D35" s="49" t="str">
        <x:v>53.666.225/0001-48</x:v>
      </x:c>
      <x:c r="E35" s="49"/>
      <x:c r="F35" s="49" t="str">
        <x:v>ROSICLÉIA</x:v>
      </x:c>
      <x:c r="G35" s="49" t="str">
        <x:v>SIMPLES NACIONAL</x:v>
      </x:c>
      <x:c r="H35" s="49" t="str">
        <x:v>C</x:v>
      </x:c>
      <x:c r="I35" s="54"/>
      <x:c r="J35" s="49"/>
      <x:c r="K35" s="54"/>
      <x:c r="L35" s="49"/>
      <x:c r="M35" s="54" t="str">
        <x:v>SEM I.E.</x:v>
      </x:c>
      <x:c r="N35" s="49"/>
      <x:c r="O35" s="54" t="str">
        <x:v>SEM RESULTADO</x:v>
      </x:c>
      <x:c r="P35" s="49"/>
      <x:c r="Q35" s="57"/>
      <x:c r="R35" s="57"/>
      <x:c r="S35" s="57"/>
      <x:c r="T35" s="49" t="str">
        <x:f>IF(OR(I35="x",ISNUMBER(I35),ISNUMBER(SEARCH("OK",UPPER(I35&amp;""))),ISNUMBER(SEARCH("JÁ",UPPER(I35&amp;""))),ISNUMBER(SEARCH("JA ",UPPER(I35&amp;"")))),"OK",IF(I35="","PENDENTE",IF(OR(ISNUMBER(SEARCH("SEM MOV",UPPER(I35&amp;""))),ISNUMBER(SEARCH("SEM I.E",UPPER(I35&amp;""))),ISNUMBER(SEARCH("SEM IE",UPPER(I35&amp;"")))),"DISPENSADO","ALERTA")))</x:f>
        <x:v>PENDENTE</x:v>
      </x:c>
      <x:c r="U35" s="49" t="str">
        <x:f>IF(OR(K35="x",ISNUMBER(K35),ISNUMBER(SEARCH("OK",UPPER(K35&amp;""))),ISNUMBER(SEARCH("JÁ",UPPER(K35&amp;""))),ISNUMBER(SEARCH("JA ",UPPER(K35&amp;"")))),"OK",IF(K35="","PENDENTE",IF(OR(ISNUMBER(SEARCH("SEM MOV",UPPER(K35&amp;""))),ISNUMBER(SEARCH("SEM I.E",UPPER(K35&amp;""))),ISNUMBER(SEARCH("SEM IE",UPPER(K35&amp;"")))),"DISPENSADO","ALERTA")))</x:f>
        <x:v>PENDENTE</x:v>
      </x:c>
      <x:c r="V35" s="49" t="str">
        <x:f>IF(OR(M35="x",ISNUMBER(M35),ISNUMBER(SEARCH("OK",UPPER(M35&amp;""))),ISNUMBER(SEARCH("JÁ",UPPER(M35&amp;""))),ISNUMBER(SEARCH("JA ",UPPER(M35&amp;"")))),"OK",IF(M35="","PENDENTE",IF(OR(ISNUMBER(SEARCH("SEM MOV",UPPER(M35&amp;""))),ISNUMBER(SEARCH("SEM I.E",UPPER(M35&amp;""))),ISNUMBER(SEARCH("SEM IE",UPPER(M35&amp;"")))),"DISPENSADO","ALERTA")))</x:f>
        <x:v>DISPENSADO</x:v>
      </x:c>
      <x:c r="W35" s="49" t="str">
        <x:f>IF(OR(O35="x",ISNUMBER(O35),ISNUMBER(SEARCH("OK",UPPER(O35&amp;""))),ISNUMBER(SEARCH("JÁ",UPPER(O35&amp;""))),ISNUMBER(SEARCH("JA ",UPPER(O35&amp;"")))),"OK",IF(O35="","PENDENTE",IF(OR(ISNUMBER(SEARCH("SEM MOV",UPPER(O35&amp;""))),ISNUMBER(SEARCH("SEM I.E",UPPER(O35&amp;""))),ISNUMBER(SEARCH("SEM IE",UPPER(O35&amp;"")))),"DISPENSADO","ALERTA")))</x:f>
        <x:v>ALERTA</x:v>
      </x:c>
      <x:c r="X35" s="49" t="str">
        <x:f>IF(Q35&lt;&gt;"","SIM","NÃO")</x:f>
        <x:v>NÃO</x:v>
      </x:c>
      <x:c r="Y35" s="49" t="str">
        <x:f>IF(R35&lt;&gt;"","SIM","NÃO")</x:f>
        <x:v>NÃO</x:v>
      </x:c>
      <x:c r="Z35" s="49" t="str">
        <x:f>IF(OR(H35="A",V35="ALERTA",W35="ALERTA",T35="ALERTA",U35="ALERTA"),"ALTO",IF(OR(T35="PENDENTE",U35="PENDENTE",V35="PENDENTE",W35="PENDENTE"),"MÉDIO","BAIXO"))</x:f>
        <x:v>ALTO</x:v>
      </x:c>
      <x:c r="AA35" s="49" t="str">
        <x:f>IF(Z35="ALTO","Resolver certificado/permissão/CNPJ/status antes da rotina",IF(Z35="MÉDIO","Completar pasta/status pendente","Rotina regular"))</x:f>
        <x:v>Resolver certificado/permissão/CNPJ/status antes da rotina</x:v>
      </x:c>
    </x:row>
    <x:row r="36">
      <x:c r="A36" s="61" t="str">
        <x:v>CENTRO DE ENSINO BILINGUE LTDA - 145</x:v>
      </x:c>
      <x:c r="B36" s="49" t="str">
        <x:v>INTERESCHOOL</x:v>
      </x:c>
      <x:c r="C36" s="49" t="str">
        <x:v>GOIÂNIA</x:v>
      </x:c>
      <x:c r="D36" s="49" t="str">
        <x:v>17.845.752/0001-56</x:v>
      </x:c>
      <x:c r="E36" s="49"/>
      <x:c r="F36" s="49" t="str">
        <x:v>ROSICLÉIA</x:v>
      </x:c>
      <x:c r="G36" s="49" t="str">
        <x:v>LUCRO PRESUMIDO</x:v>
      </x:c>
      <x:c r="H36" s="49" t="str">
        <x:v>C</x:v>
      </x:c>
      <x:c r="I36" s="54"/>
      <x:c r="J36" s="49"/>
      <x:c r="K36" s="54"/>
      <x:c r="L36" s="49"/>
      <x:c r="M36" s="54" t="str">
        <x:v>NÃO ACHEI</x:v>
      </x:c>
      <x:c r="N36" s="49"/>
      <x:c r="O36" s="54" t="str">
        <x:v>SEM RESULTADO</x:v>
      </x:c>
      <x:c r="P36" s="49"/>
      <x:c r="Q36" s="57"/>
      <x:c r="R36" s="57"/>
      <x:c r="S36" s="57"/>
      <x:c r="T36" s="49" t="str">
        <x:f>IF(OR(I36="x",ISNUMBER(I36),ISNUMBER(SEARCH("OK",UPPER(I36&amp;""))),ISNUMBER(SEARCH("JÁ",UPPER(I36&amp;""))),ISNUMBER(SEARCH("JA ",UPPER(I36&amp;"")))),"OK",IF(I36="","PENDENTE",IF(OR(ISNUMBER(SEARCH("SEM MOV",UPPER(I36&amp;""))),ISNUMBER(SEARCH("SEM I.E",UPPER(I36&amp;""))),ISNUMBER(SEARCH("SEM IE",UPPER(I36&amp;"")))),"DISPENSADO","ALERTA")))</x:f>
        <x:v>PENDENTE</x:v>
      </x:c>
      <x:c r="U36" s="49" t="str">
        <x:f>IF(OR(K36="x",ISNUMBER(K36),ISNUMBER(SEARCH("OK",UPPER(K36&amp;""))),ISNUMBER(SEARCH("JÁ",UPPER(K36&amp;""))),ISNUMBER(SEARCH("JA ",UPPER(K36&amp;"")))),"OK",IF(K36="","PENDENTE",IF(OR(ISNUMBER(SEARCH("SEM MOV",UPPER(K36&amp;""))),ISNUMBER(SEARCH("SEM I.E",UPPER(K36&amp;""))),ISNUMBER(SEARCH("SEM IE",UPPER(K36&amp;"")))),"DISPENSADO","ALERTA")))</x:f>
        <x:v>PENDENTE</x:v>
      </x:c>
      <x:c r="V36" s="49" t="str">
        <x:f>IF(OR(M36="x",ISNUMBER(M36),ISNUMBER(SEARCH("OK",UPPER(M36&amp;""))),ISNUMBER(SEARCH("JÁ",UPPER(M36&amp;""))),ISNUMBER(SEARCH("JA ",UPPER(M36&amp;"")))),"OK",IF(M36="","PENDENTE",IF(OR(ISNUMBER(SEARCH("SEM MOV",UPPER(M36&amp;""))),ISNUMBER(SEARCH("SEM I.E",UPPER(M36&amp;""))),ISNUMBER(SEARCH("SEM IE",UPPER(M36&amp;"")))),"DISPENSADO","ALERTA")))</x:f>
        <x:v>ALERTA</x:v>
      </x:c>
      <x:c r="W36" s="49" t="str">
        <x:f>IF(OR(O36="x",ISNUMBER(O36),ISNUMBER(SEARCH("OK",UPPER(O36&amp;""))),ISNUMBER(SEARCH("JÁ",UPPER(O36&amp;""))),ISNUMBER(SEARCH("JA ",UPPER(O36&amp;"")))),"OK",IF(O36="","PENDENTE",IF(OR(ISNUMBER(SEARCH("SEM MOV",UPPER(O36&amp;""))),ISNUMBER(SEARCH("SEM I.E",UPPER(O36&amp;""))),ISNUMBER(SEARCH("SEM IE",UPPER(O36&amp;"")))),"DISPENSADO","ALERTA")))</x:f>
        <x:v>ALERTA</x:v>
      </x:c>
      <x:c r="X36" s="49" t="str">
        <x:f>IF(Q36&lt;&gt;"","SIM","NÃO")</x:f>
        <x:v>NÃO</x:v>
      </x:c>
      <x:c r="Y36" s="49" t="str">
        <x:f>IF(R36&lt;&gt;"","SIM","NÃO")</x:f>
        <x:v>NÃO</x:v>
      </x:c>
      <x:c r="Z36" s="49" t="str">
        <x:f>IF(OR(H36="A",V36="ALERTA",W36="ALERTA",T36="ALERTA",U36="ALERTA"),"ALTO",IF(OR(T36="PENDENTE",U36="PENDENTE",V36="PENDENTE",W36="PENDENTE"),"MÉDIO","BAIXO"))</x:f>
        <x:v>ALTO</x:v>
      </x:c>
      <x:c r="AA36" s="49" t="str">
        <x:f>IF(Z36="ALTO","Resolver certificado/permissão/CNPJ/status antes da rotina",IF(Z36="MÉDIO","Completar pasta/status pendente","Rotina regular"))</x:f>
        <x:v>Resolver certificado/permissão/CNPJ/status antes da rotina</x:v>
      </x:c>
    </x:row>
    <x:row r="37">
      <x:c r="A37" s="61" t="str">
        <x:v>CENTRO EDUCACIONAL BILINGUE LTDA - 146</x:v>
      </x:c>
      <x:c r="B37" s="49" t="str">
        <x:v>INTERESCHOOL</x:v>
      </x:c>
      <x:c r="C37" s="49" t="str">
        <x:v>GOIÂNIA</x:v>
      </x:c>
      <x:c r="D37" s="49" t="str">
        <x:v>17.813.257/0001-65</x:v>
      </x:c>
      <x:c r="E37" s="49"/>
      <x:c r="F37" s="49" t="str">
        <x:v>ROSICLÉIA</x:v>
      </x:c>
      <x:c r="G37" s="49" t="str">
        <x:v>LUCRO REAL</x:v>
      </x:c>
      <x:c r="H37" s="49" t="str">
        <x:v>C</x:v>
      </x:c>
      <x:c r="I37" s="54"/>
      <x:c r="J37" s="49"/>
      <x:c r="K37" s="54"/>
      <x:c r="L37" s="49"/>
      <x:c r="M37" s="54" t="str">
        <x:v>NÃO ACHEI</x:v>
      </x:c>
      <x:c r="N37" s="49"/>
      <x:c r="O37" s="54" t="str">
        <x:v>SEM RESULTADO</x:v>
      </x:c>
      <x:c r="P37" s="49"/>
      <x:c r="Q37" s="57"/>
      <x:c r="R37" s="57"/>
      <x:c r="S37" s="57"/>
      <x:c r="T37" s="49" t="str">
        <x:f>IF(OR(I37="x",ISNUMBER(I37),ISNUMBER(SEARCH("OK",UPPER(I37&amp;""))),ISNUMBER(SEARCH("JÁ",UPPER(I37&amp;""))),ISNUMBER(SEARCH("JA ",UPPER(I37&amp;"")))),"OK",IF(I37="","PENDENTE",IF(OR(ISNUMBER(SEARCH("SEM MOV",UPPER(I37&amp;""))),ISNUMBER(SEARCH("SEM I.E",UPPER(I37&amp;""))),ISNUMBER(SEARCH("SEM IE",UPPER(I37&amp;"")))),"DISPENSADO","ALERTA")))</x:f>
        <x:v>PENDENTE</x:v>
      </x:c>
      <x:c r="U37" s="49" t="str">
        <x:f>IF(OR(K37="x",ISNUMBER(K37),ISNUMBER(SEARCH("OK",UPPER(K37&amp;""))),ISNUMBER(SEARCH("JÁ",UPPER(K37&amp;""))),ISNUMBER(SEARCH("JA ",UPPER(K37&amp;"")))),"OK",IF(K37="","PENDENTE",IF(OR(ISNUMBER(SEARCH("SEM MOV",UPPER(K37&amp;""))),ISNUMBER(SEARCH("SEM I.E",UPPER(K37&amp;""))),ISNUMBER(SEARCH("SEM IE",UPPER(K37&amp;"")))),"DISPENSADO","ALERTA")))</x:f>
        <x:v>PENDENTE</x:v>
      </x:c>
      <x:c r="V37" s="49" t="str">
        <x:f>IF(OR(M37="x",ISNUMBER(M37),ISNUMBER(SEARCH("OK",UPPER(M37&amp;""))),ISNUMBER(SEARCH("JÁ",UPPER(M37&amp;""))),ISNUMBER(SEARCH("JA ",UPPER(M37&amp;"")))),"OK",IF(M37="","PENDENTE",IF(OR(ISNUMBER(SEARCH("SEM MOV",UPPER(M37&amp;""))),ISNUMBER(SEARCH("SEM I.E",UPPER(M37&amp;""))),ISNUMBER(SEARCH("SEM IE",UPPER(M37&amp;"")))),"DISPENSADO","ALERTA")))</x:f>
        <x:v>ALERTA</x:v>
      </x:c>
      <x:c r="W37" s="49" t="str">
        <x:f>IF(OR(O37="x",ISNUMBER(O37),ISNUMBER(SEARCH("OK",UPPER(O37&amp;""))),ISNUMBER(SEARCH("JÁ",UPPER(O37&amp;""))),ISNUMBER(SEARCH("JA ",UPPER(O37&amp;"")))),"OK",IF(O37="","PENDENTE",IF(OR(ISNUMBER(SEARCH("SEM MOV",UPPER(O37&amp;""))),ISNUMBER(SEARCH("SEM I.E",UPPER(O37&amp;""))),ISNUMBER(SEARCH("SEM IE",UPPER(O37&amp;"")))),"DISPENSADO","ALERTA")))</x:f>
        <x:v>ALERTA</x:v>
      </x:c>
      <x:c r="X37" s="49" t="str">
        <x:f>IF(Q37&lt;&gt;"","SIM","NÃO")</x:f>
        <x:v>NÃO</x:v>
      </x:c>
      <x:c r="Y37" s="49" t="str">
        <x:f>IF(R37&lt;&gt;"","SIM","NÃO")</x:f>
        <x:v>NÃO</x:v>
      </x:c>
      <x:c r="Z37" s="49" t="str">
        <x:f>IF(OR(H37="A",V37="ALERTA",W37="ALERTA",T37="ALERTA",U37="ALERTA"),"ALTO",IF(OR(T37="PENDENTE",U37="PENDENTE",V37="PENDENTE",W37="PENDENTE"),"MÉDIO","BAIXO"))</x:f>
        <x:v>ALTO</x:v>
      </x:c>
      <x:c r="AA37" s="49" t="str">
        <x:f>IF(Z37="ALTO","Resolver certificado/permissão/CNPJ/status antes da rotina",IF(Z37="MÉDIO","Completar pasta/status pendente","Rotina regular"))</x:f>
        <x:v>Resolver certificado/permissão/CNPJ/status antes da rotina</x:v>
      </x:c>
    </x:row>
    <x:row r="38">
      <x:c r="A38" s="61" t="str">
        <x:v>CLAUKE - COMERCIO DE CHOCOLATES - 209</x:v>
      </x:c>
      <x:c r="B38" s="49" t="str">
        <x:v>HH</x:v>
      </x:c>
      <x:c r="C38" s="49" t="str">
        <x:v>PIRACICABA</x:v>
      </x:c>
      <x:c r="D38" s="49" t="str">
        <x:v>05.245.896/0001-92</x:v>
      </x:c>
      <x:c r="E38" s="49"/>
      <x:c r="F38" s="49" t="str">
        <x:v>DANIELLE</x:v>
      </x:c>
      <x:c r="G38" s="49" t="str">
        <x:v>SIMPLES NACIONAL</x:v>
      </x:c>
      <x:c r="H38" s="49" t="str">
        <x:v>C</x:v>
      </x:c>
      <x:c r="I38" s="54"/>
      <x:c r="J38" s="49"/>
      <x:c r="K38" s="54"/>
      <x:c r="L38" s="49"/>
      <x:c r="M38" s="54" t="str">
        <x:v>OK 04/05</x:v>
      </x:c>
      <x:c r="N38" s="49"/>
      <x:c r="O38" s="54" t="str">
        <x:v>SEM RESULTADO</x:v>
      </x:c>
      <x:c r="P38" s="49"/>
      <x:c r="Q38" s="57"/>
      <x:c r="R38" s="57" t="str">
        <x:v>W:\TESTE RENOMEADOR\TESTE - CLAKE\2026\ABRIL\FISCAL\MUNICIPAL\REST</x:v>
      </x:c>
      <x:c r="S38" s="57"/>
      <x:c r="T38" s="49" t="str">
        <x:f>IF(OR(I38="x",ISNUMBER(I38),ISNUMBER(SEARCH("OK",UPPER(I38&amp;""))),ISNUMBER(SEARCH("JÁ",UPPER(I38&amp;""))),ISNUMBER(SEARCH("JA ",UPPER(I38&amp;"")))),"OK",IF(I38="","PENDENTE",IF(OR(ISNUMBER(SEARCH("SEM MOV",UPPER(I38&amp;""))),ISNUMBER(SEARCH("SEM I.E",UPPER(I38&amp;""))),ISNUMBER(SEARCH("SEM IE",UPPER(I38&amp;"")))),"DISPENSADO","ALERTA")))</x:f>
        <x:v>PENDENTE</x:v>
      </x:c>
      <x:c r="U38" s="49" t="str">
        <x:f>IF(OR(K38="x",ISNUMBER(K38),ISNUMBER(SEARCH("OK",UPPER(K38&amp;""))),ISNUMBER(SEARCH("JÁ",UPPER(K38&amp;""))),ISNUMBER(SEARCH("JA ",UPPER(K38&amp;"")))),"OK",IF(K38="","PENDENTE",IF(OR(ISNUMBER(SEARCH("SEM MOV",UPPER(K38&amp;""))),ISNUMBER(SEARCH("SEM I.E",UPPER(K38&amp;""))),ISNUMBER(SEARCH("SEM IE",UPPER(K38&amp;"")))),"DISPENSADO","ALERTA")))</x:f>
        <x:v>PENDENTE</x:v>
      </x:c>
      <x:c r="V38" s="49" t="str">
        <x:f>IF(OR(M38="x",ISNUMBER(M38),ISNUMBER(SEARCH("OK",UPPER(M38&amp;""))),ISNUMBER(SEARCH("JÁ",UPPER(M38&amp;""))),ISNUMBER(SEARCH("JA ",UPPER(M38&amp;"")))),"OK",IF(M38="","PENDENTE",IF(OR(ISNUMBER(SEARCH("SEM MOV",UPPER(M38&amp;""))),ISNUMBER(SEARCH("SEM I.E",UPPER(M38&amp;""))),ISNUMBER(SEARCH("SEM IE",UPPER(M38&amp;"")))),"DISPENSADO","ALERTA")))</x:f>
        <x:v>OK</x:v>
      </x:c>
      <x:c r="W38" s="49" t="str">
        <x:f>IF(OR(O38="x",ISNUMBER(O38),ISNUMBER(SEARCH("OK",UPPER(O38&amp;""))),ISNUMBER(SEARCH("JÁ",UPPER(O38&amp;""))),ISNUMBER(SEARCH("JA ",UPPER(O38&amp;"")))),"OK",IF(O38="","PENDENTE",IF(OR(ISNUMBER(SEARCH("SEM MOV",UPPER(O38&amp;""))),ISNUMBER(SEARCH("SEM I.E",UPPER(O38&amp;""))),ISNUMBER(SEARCH("SEM IE",UPPER(O38&amp;"")))),"DISPENSADO","ALERTA")))</x:f>
        <x:v>ALERTA</x:v>
      </x:c>
      <x:c r="X38" s="49" t="str">
        <x:f>IF(Q38&lt;&gt;"","SIM","NÃO")</x:f>
        <x:v>NÃO</x:v>
      </x:c>
      <x:c r="Y38" s="49" t="str">
        <x:f>IF(R38&lt;&gt;"","SIM","NÃO")</x:f>
        <x:v>SIM</x:v>
      </x:c>
      <x:c r="Z38" s="49" t="str">
        <x:f>IF(OR(H38="A",V38="ALERTA",W38="ALERTA",T38="ALERTA",U38="ALERTA"),"ALTO",IF(OR(T38="PENDENTE",U38="PENDENTE",V38="PENDENTE",W38="PENDENTE"),"MÉDIO","BAIXO"))</x:f>
        <x:v>ALTO</x:v>
      </x:c>
      <x:c r="AA38" s="49" t="str">
        <x:f>IF(Z38="ALTO","Resolver certificado/permissão/CNPJ/status antes da rotina",IF(Z38="MÉDIO","Completar pasta/status pendente","Rotina regular"))</x:f>
        <x:v>Resolver certificado/permissão/CNPJ/status antes da rotina</x:v>
      </x:c>
    </x:row>
    <x:row r="39">
      <x:c r="A39" s="61" t="str">
        <x:v>COPEMBOM CHOCOLATES LTDA</x:v>
      </x:c>
      <x:c r="B39" s="49" t="str">
        <x:v>COPEMBOM</x:v>
      </x:c>
      <x:c r="C39" s="49" t="str">
        <x:v>CUIABA - MT</x:v>
      </x:c>
      <x:c r="D39" s="49" t="str">
        <x:v>30.514.650/0001-16</x:v>
      </x:c>
      <x:c r="E39" s="49"/>
      <x:c r="F39" s="49" t="str">
        <x:v>SANDRA</x:v>
      </x:c>
      <x:c r="G39" s="49" t="str">
        <x:v>LUCRO PRESUMIDO</x:v>
      </x:c>
      <x:c r="H39" s="49" t="str">
        <x:v>A</x:v>
      </x:c>
      <x:c r="I39" s="54"/>
      <x:c r="J39" s="49"/>
      <x:c r="K39" s="54"/>
      <x:c r="L39" s="49"/>
      <x:c r="M39" s="54" t="str">
        <x:v>SEM PREMISSÃO</x:v>
      </x:c>
      <x:c r="N39" s="49" t="str">
        <x:v>MT</x:v>
      </x:c>
      <x:c r="O39" s="54" t="str">
        <x:v>SEM RESULTADO</x:v>
      </x:c>
      <x:c r="P39" s="49"/>
      <x:c r="Q39" s="57"/>
      <x:c r="R39" s="57"/>
      <x:c r="S39" s="57"/>
      <x:c r="T39" s="49" t="str">
        <x:f>IF(OR(I39="x",ISNUMBER(I39),ISNUMBER(SEARCH("OK",UPPER(I39&amp;""))),ISNUMBER(SEARCH("JÁ",UPPER(I39&amp;""))),ISNUMBER(SEARCH("JA ",UPPER(I39&amp;"")))),"OK",IF(I39="","PENDENTE",IF(OR(ISNUMBER(SEARCH("SEM MOV",UPPER(I39&amp;""))),ISNUMBER(SEARCH("SEM I.E",UPPER(I39&amp;""))),ISNUMBER(SEARCH("SEM IE",UPPER(I39&amp;"")))),"DISPENSADO","ALERTA")))</x:f>
        <x:v>PENDENTE</x:v>
      </x:c>
      <x:c r="U39" s="49" t="str">
        <x:f>IF(OR(K39="x",ISNUMBER(K39),ISNUMBER(SEARCH("OK",UPPER(K39&amp;""))),ISNUMBER(SEARCH("JÁ",UPPER(K39&amp;""))),ISNUMBER(SEARCH("JA ",UPPER(K39&amp;"")))),"OK",IF(K39="","PENDENTE",IF(OR(ISNUMBER(SEARCH("SEM MOV",UPPER(K39&amp;""))),ISNUMBER(SEARCH("SEM I.E",UPPER(K39&amp;""))),ISNUMBER(SEARCH("SEM IE",UPPER(K39&amp;"")))),"DISPENSADO","ALERTA")))</x:f>
        <x:v>PENDENTE</x:v>
      </x:c>
      <x:c r="V39" s="49" t="str">
        <x:f>IF(OR(M39="x",ISNUMBER(M39),ISNUMBER(SEARCH("OK",UPPER(M39&amp;""))),ISNUMBER(SEARCH("JÁ",UPPER(M39&amp;""))),ISNUMBER(SEARCH("JA ",UPPER(M39&amp;"")))),"OK",IF(M39="","PENDENTE",IF(OR(ISNUMBER(SEARCH("SEM MOV",UPPER(M39&amp;""))),ISNUMBER(SEARCH("SEM I.E",UPPER(M39&amp;""))),ISNUMBER(SEARCH("SEM IE",UPPER(M39&amp;"")))),"DISPENSADO","ALERTA")))</x:f>
        <x:v>ALERTA</x:v>
      </x:c>
      <x:c r="W39" s="49" t="str">
        <x:f>IF(OR(O39="x",ISNUMBER(O39),ISNUMBER(SEARCH("OK",UPPER(O39&amp;""))),ISNUMBER(SEARCH("JÁ",UPPER(O39&amp;""))),ISNUMBER(SEARCH("JA ",UPPER(O39&amp;"")))),"OK",IF(O39="","PENDENTE",IF(OR(ISNUMBER(SEARCH("SEM MOV",UPPER(O39&amp;""))),ISNUMBER(SEARCH("SEM I.E",UPPER(O39&amp;""))),ISNUMBER(SEARCH("SEM IE",UPPER(O39&amp;"")))),"DISPENSADO","ALERTA")))</x:f>
        <x:v>ALERTA</x:v>
      </x:c>
      <x:c r="X39" s="49" t="str">
        <x:f>IF(Q39&lt;&gt;"","SIM","NÃO")</x:f>
        <x:v>NÃO</x:v>
      </x:c>
      <x:c r="Y39" s="49" t="str">
        <x:f>IF(R39&lt;&gt;"","SIM","NÃO")</x:f>
        <x:v>NÃO</x:v>
      </x:c>
      <x:c r="Z39" s="49" t="str">
        <x:f>IF(OR(H39="A",V39="ALERTA",W39="ALERTA",T39="ALERTA",U39="ALERTA"),"ALTO",IF(OR(T39="PENDENTE",U39="PENDENTE",V39="PENDENTE",W39="PENDENTE"),"MÉDIO","BAIXO"))</x:f>
        <x:v>ALTO</x:v>
      </x:c>
      <x:c r="AA39" s="49" t="str">
        <x:f>IF(Z39="ALTO","Resolver certificado/permissão/CNPJ/status antes da rotina",IF(Z39="MÉDIO","Completar pasta/status pendente","Rotina regular"))</x:f>
        <x:v>Resolver certificado/permissão/CNPJ/status antes da rotina</x:v>
      </x:c>
    </x:row>
    <x:row r="40">
      <x:c r="A40" s="61" t="str">
        <x:v>COPEMBOM CHOCOLATES LTDA</x:v>
      </x:c>
      <x:c r="B40" s="49" t="str">
        <x:v>COPEMBOM</x:v>
      </x:c>
      <x:c r="C40" s="49" t="str">
        <x:v>CUIABA - MT</x:v>
      </x:c>
      <x:c r="D40" s="49" t="str">
        <x:v>04.116.617/0001-28</x:v>
      </x:c>
      <x:c r="E40" s="49"/>
      <x:c r="F40" s="49" t="str">
        <x:v>SANDRA</x:v>
      </x:c>
      <x:c r="G40" s="49" t="str">
        <x:v>LUCRO REAL</x:v>
      </x:c>
      <x:c r="H40" s="49" t="str">
        <x:v>A</x:v>
      </x:c>
      <x:c r="I40" s="54"/>
      <x:c r="J40" s="49"/>
      <x:c r="K40" s="54"/>
      <x:c r="L40" s="49"/>
      <x:c r="M40" s="54" t="str">
        <x:v>SEM PERMISSÃO</x:v>
      </x:c>
      <x:c r="N40" s="49" t="str">
        <x:v>MT</x:v>
      </x:c>
      <x:c r="O40" s="54" t="str">
        <x:v>SEM RESULTADO</x:v>
      </x:c>
      <x:c r="P40" s="49"/>
      <x:c r="Q40" s="57"/>
      <x:c r="R40" s="57"/>
      <x:c r="S40" s="57"/>
      <x:c r="T40" s="49" t="str">
        <x:f>IF(OR(I40="x",ISNUMBER(I40),ISNUMBER(SEARCH("OK",UPPER(I40&amp;""))),ISNUMBER(SEARCH("JÁ",UPPER(I40&amp;""))),ISNUMBER(SEARCH("JA ",UPPER(I40&amp;"")))),"OK",IF(I40="","PENDENTE",IF(OR(ISNUMBER(SEARCH("SEM MOV",UPPER(I40&amp;""))),ISNUMBER(SEARCH("SEM I.E",UPPER(I40&amp;""))),ISNUMBER(SEARCH("SEM IE",UPPER(I40&amp;"")))),"DISPENSADO","ALERTA")))</x:f>
        <x:v>PENDENTE</x:v>
      </x:c>
      <x:c r="U40" s="49" t="str">
        <x:f>IF(OR(K40="x",ISNUMBER(K40),ISNUMBER(SEARCH("OK",UPPER(K40&amp;""))),ISNUMBER(SEARCH("JÁ",UPPER(K40&amp;""))),ISNUMBER(SEARCH("JA ",UPPER(K40&amp;"")))),"OK",IF(K40="","PENDENTE",IF(OR(ISNUMBER(SEARCH("SEM MOV",UPPER(K40&amp;""))),ISNUMBER(SEARCH("SEM I.E",UPPER(K40&amp;""))),ISNUMBER(SEARCH("SEM IE",UPPER(K40&amp;"")))),"DISPENSADO","ALERTA")))</x:f>
        <x:v>PENDENTE</x:v>
      </x:c>
      <x:c r="V40" s="49" t="str">
        <x:f>IF(OR(M40="x",ISNUMBER(M40),ISNUMBER(SEARCH("OK",UPPER(M40&amp;""))),ISNUMBER(SEARCH("JÁ",UPPER(M40&amp;""))),ISNUMBER(SEARCH("JA ",UPPER(M40&amp;"")))),"OK",IF(M40="","PENDENTE",IF(OR(ISNUMBER(SEARCH("SEM MOV",UPPER(M40&amp;""))),ISNUMBER(SEARCH("SEM I.E",UPPER(M40&amp;""))),ISNUMBER(SEARCH("SEM IE",UPPER(M40&amp;"")))),"DISPENSADO","ALERTA")))</x:f>
        <x:v>ALERTA</x:v>
      </x:c>
      <x:c r="W40" s="49" t="str">
        <x:f>IF(OR(O40="x",ISNUMBER(O40),ISNUMBER(SEARCH("OK",UPPER(O40&amp;""))),ISNUMBER(SEARCH("JÁ",UPPER(O40&amp;""))),ISNUMBER(SEARCH("JA ",UPPER(O40&amp;"")))),"OK",IF(O40="","PENDENTE",IF(OR(ISNUMBER(SEARCH("SEM MOV",UPPER(O40&amp;""))),ISNUMBER(SEARCH("SEM I.E",UPPER(O40&amp;""))),ISNUMBER(SEARCH("SEM IE",UPPER(O40&amp;"")))),"DISPENSADO","ALERTA")))</x:f>
        <x:v>ALERTA</x:v>
      </x:c>
      <x:c r="X40" s="49" t="str">
        <x:f>IF(Q40&lt;&gt;"","SIM","NÃO")</x:f>
        <x:v>NÃO</x:v>
      </x:c>
      <x:c r="Y40" s="49" t="str">
        <x:f>IF(R40&lt;&gt;"","SIM","NÃO")</x:f>
        <x:v>NÃO</x:v>
      </x:c>
      <x:c r="Z40" s="49" t="str">
        <x:f>IF(OR(H40="A",V40="ALERTA",W40="ALERTA",T40="ALERTA",U40="ALERTA"),"ALTO",IF(OR(T40="PENDENTE",U40="PENDENTE",V40="PENDENTE",W40="PENDENTE"),"MÉDIO","BAIXO"))</x:f>
        <x:v>ALTO</x:v>
      </x:c>
      <x:c r="AA40" s="49" t="str">
        <x:f>IF(Z40="ALTO","Resolver certificado/permissão/CNPJ/status antes da rotina",IF(Z40="MÉDIO","Completar pasta/status pendente","Rotina regular"))</x:f>
        <x:v>Resolver certificado/permissão/CNPJ/status antes da rotina</x:v>
      </x:c>
    </x:row>
    <x:row r="41">
      <x:c r="A41" s="61" t="str">
        <x:v>COPEMBOM CHOCOLATES LTDA</x:v>
      </x:c>
      <x:c r="B41" s="49" t="str">
        <x:v>COPEMBOM</x:v>
      </x:c>
      <x:c r="C41" s="49" t="str">
        <x:v>CUIABA - MT</x:v>
      </x:c>
      <x:c r="D41" s="49" t="str">
        <x:v>04.116.617/0002-09</x:v>
      </x:c>
      <x:c r="E41" s="49"/>
      <x:c r="F41" s="49" t="str">
        <x:v>SANDRA</x:v>
      </x:c>
      <x:c r="G41" s="49" t="str">
        <x:v>LUCRO REAL</x:v>
      </x:c>
      <x:c r="H41" s="49" t="str">
        <x:v>A</x:v>
      </x:c>
      <x:c r="I41" s="54"/>
      <x:c r="J41" s="49"/>
      <x:c r="K41" s="54"/>
      <x:c r="L41" s="49"/>
      <x:c r="M41" s="54" t="str">
        <x:v>SEM PERMISSÃO</x:v>
      </x:c>
      <x:c r="N41" s="49" t="str">
        <x:v>MT</x:v>
      </x:c>
      <x:c r="O41" s="54" t="str">
        <x:v>SEM RESULTADO</x:v>
      </x:c>
      <x:c r="P41" s="49"/>
      <x:c r="Q41" s="57"/>
      <x:c r="R41" s="57"/>
      <x:c r="S41" s="57"/>
      <x:c r="T41" s="49" t="str">
        <x:f>IF(OR(I41="x",ISNUMBER(I41),ISNUMBER(SEARCH("OK",UPPER(I41&amp;""))),ISNUMBER(SEARCH("JÁ",UPPER(I41&amp;""))),ISNUMBER(SEARCH("JA ",UPPER(I41&amp;"")))),"OK",IF(I41="","PENDENTE",IF(OR(ISNUMBER(SEARCH("SEM MOV",UPPER(I41&amp;""))),ISNUMBER(SEARCH("SEM I.E",UPPER(I41&amp;""))),ISNUMBER(SEARCH("SEM IE",UPPER(I41&amp;"")))),"DISPENSADO","ALERTA")))</x:f>
        <x:v>PENDENTE</x:v>
      </x:c>
      <x:c r="U41" s="49" t="str">
        <x:f>IF(OR(K41="x",ISNUMBER(K41),ISNUMBER(SEARCH("OK",UPPER(K41&amp;""))),ISNUMBER(SEARCH("JÁ",UPPER(K41&amp;""))),ISNUMBER(SEARCH("JA ",UPPER(K41&amp;"")))),"OK",IF(K41="","PENDENTE",IF(OR(ISNUMBER(SEARCH("SEM MOV",UPPER(K41&amp;""))),ISNUMBER(SEARCH("SEM I.E",UPPER(K41&amp;""))),ISNUMBER(SEARCH("SEM IE",UPPER(K41&amp;"")))),"DISPENSADO","ALERTA")))</x:f>
        <x:v>PENDENTE</x:v>
      </x:c>
      <x:c r="V41" s="49" t="str">
        <x:f>IF(OR(M41="x",ISNUMBER(M41),ISNUMBER(SEARCH("OK",UPPER(M41&amp;""))),ISNUMBER(SEARCH("JÁ",UPPER(M41&amp;""))),ISNUMBER(SEARCH("JA ",UPPER(M41&amp;"")))),"OK",IF(M41="","PENDENTE",IF(OR(ISNUMBER(SEARCH("SEM MOV",UPPER(M41&amp;""))),ISNUMBER(SEARCH("SEM I.E",UPPER(M41&amp;""))),ISNUMBER(SEARCH("SEM IE",UPPER(M41&amp;"")))),"DISPENSADO","ALERTA")))</x:f>
        <x:v>ALERTA</x:v>
      </x:c>
      <x:c r="W41" s="49" t="str">
        <x:f>IF(OR(O41="x",ISNUMBER(O41),ISNUMBER(SEARCH("OK",UPPER(O41&amp;""))),ISNUMBER(SEARCH("JÁ",UPPER(O41&amp;""))),ISNUMBER(SEARCH("JA ",UPPER(O41&amp;"")))),"OK",IF(O41="","PENDENTE",IF(OR(ISNUMBER(SEARCH("SEM MOV",UPPER(O41&amp;""))),ISNUMBER(SEARCH("SEM I.E",UPPER(O41&amp;""))),ISNUMBER(SEARCH("SEM IE",UPPER(O41&amp;"")))),"DISPENSADO","ALERTA")))</x:f>
        <x:v>ALERTA</x:v>
      </x:c>
      <x:c r="X41" s="49" t="str">
        <x:f>IF(Q41&lt;&gt;"","SIM","NÃO")</x:f>
        <x:v>NÃO</x:v>
      </x:c>
      <x:c r="Y41" s="49" t="str">
        <x:f>IF(R41&lt;&gt;"","SIM","NÃO")</x:f>
        <x:v>NÃO</x:v>
      </x:c>
      <x:c r="Z41" s="49" t="str">
        <x:f>IF(OR(H41="A",V41="ALERTA",W41="ALERTA",T41="ALERTA",U41="ALERTA"),"ALTO",IF(OR(T41="PENDENTE",U41="PENDENTE",V41="PENDENTE",W41="PENDENTE"),"MÉDIO","BAIXO"))</x:f>
        <x:v>ALTO</x:v>
      </x:c>
      <x:c r="AA41" s="49" t="str">
        <x:f>IF(Z41="ALTO","Resolver certificado/permissão/CNPJ/status antes da rotina",IF(Z41="MÉDIO","Completar pasta/status pendente","Rotina regular"))</x:f>
        <x:v>Resolver certificado/permissão/CNPJ/status antes da rotina</x:v>
      </x:c>
    </x:row>
    <x:row r="42">
      <x:c r="A42" s="61" t="str">
        <x:v>COPEMBOM CHOCOLATES LTDA</x:v>
      </x:c>
      <x:c r="B42" s="49" t="str">
        <x:v>COPEMBOM</x:v>
      </x:c>
      <x:c r="C42" s="49" t="str">
        <x:v>CUIABA - MT</x:v>
      </x:c>
      <x:c r="D42" s="49" t="str">
        <x:v>04.116.617/0003-90</x:v>
      </x:c>
      <x:c r="E42" s="49"/>
      <x:c r="F42" s="49" t="str">
        <x:v>SANDRA</x:v>
      </x:c>
      <x:c r="G42" s="49" t="str">
        <x:v>LUCRO REAL</x:v>
      </x:c>
      <x:c r="H42" s="49" t="str">
        <x:v>A</x:v>
      </x:c>
      <x:c r="I42" s="54"/>
      <x:c r="J42" s="49"/>
      <x:c r="K42" s="54"/>
      <x:c r="L42" s="49"/>
      <x:c r="M42" s="54" t="str">
        <x:v>SEM PERMISSÃO</x:v>
      </x:c>
      <x:c r="N42" s="49" t="str">
        <x:v>MT</x:v>
      </x:c>
      <x:c r="O42" s="54" t="str">
        <x:v>SEM RESULTADO</x:v>
      </x:c>
      <x:c r="P42" s="49"/>
      <x:c r="Q42" s="57"/>
      <x:c r="R42" s="57"/>
      <x:c r="S42" s="57"/>
      <x:c r="T42" s="49" t="str">
        <x:f>IF(OR(I42="x",ISNUMBER(I42),ISNUMBER(SEARCH("OK",UPPER(I42&amp;""))),ISNUMBER(SEARCH("JÁ",UPPER(I42&amp;""))),ISNUMBER(SEARCH("JA ",UPPER(I42&amp;"")))),"OK",IF(I42="","PENDENTE",IF(OR(ISNUMBER(SEARCH("SEM MOV",UPPER(I42&amp;""))),ISNUMBER(SEARCH("SEM I.E",UPPER(I42&amp;""))),ISNUMBER(SEARCH("SEM IE",UPPER(I42&amp;"")))),"DISPENSADO","ALERTA")))</x:f>
        <x:v>PENDENTE</x:v>
      </x:c>
      <x:c r="U42" s="49" t="str">
        <x:f>IF(OR(K42="x",ISNUMBER(K42),ISNUMBER(SEARCH("OK",UPPER(K42&amp;""))),ISNUMBER(SEARCH("JÁ",UPPER(K42&amp;""))),ISNUMBER(SEARCH("JA ",UPPER(K42&amp;"")))),"OK",IF(K42="","PENDENTE",IF(OR(ISNUMBER(SEARCH("SEM MOV",UPPER(K42&amp;""))),ISNUMBER(SEARCH("SEM I.E",UPPER(K42&amp;""))),ISNUMBER(SEARCH("SEM IE",UPPER(K42&amp;"")))),"DISPENSADO","ALERTA")))</x:f>
        <x:v>PENDENTE</x:v>
      </x:c>
      <x:c r="V42" s="49" t="str">
        <x:f>IF(OR(M42="x",ISNUMBER(M42),ISNUMBER(SEARCH("OK",UPPER(M42&amp;""))),ISNUMBER(SEARCH("JÁ",UPPER(M42&amp;""))),ISNUMBER(SEARCH("JA ",UPPER(M42&amp;"")))),"OK",IF(M42="","PENDENTE",IF(OR(ISNUMBER(SEARCH("SEM MOV",UPPER(M42&amp;""))),ISNUMBER(SEARCH("SEM I.E",UPPER(M42&amp;""))),ISNUMBER(SEARCH("SEM IE",UPPER(M42&amp;"")))),"DISPENSADO","ALERTA")))</x:f>
        <x:v>ALERTA</x:v>
      </x:c>
      <x:c r="W42" s="49" t="str">
        <x:f>IF(OR(O42="x",ISNUMBER(O42),ISNUMBER(SEARCH("OK",UPPER(O42&amp;""))),ISNUMBER(SEARCH("JÁ",UPPER(O42&amp;""))),ISNUMBER(SEARCH("JA ",UPPER(O42&amp;"")))),"OK",IF(O42="","PENDENTE",IF(OR(ISNUMBER(SEARCH("SEM MOV",UPPER(O42&amp;""))),ISNUMBER(SEARCH("SEM I.E",UPPER(O42&amp;""))),ISNUMBER(SEARCH("SEM IE",UPPER(O42&amp;"")))),"DISPENSADO","ALERTA")))</x:f>
        <x:v>ALERTA</x:v>
      </x:c>
      <x:c r="X42" s="49" t="str">
        <x:f>IF(Q42&lt;&gt;"","SIM","NÃO")</x:f>
        <x:v>NÃO</x:v>
      </x:c>
      <x:c r="Y42" s="49" t="str">
        <x:f>IF(R42&lt;&gt;"","SIM","NÃO")</x:f>
        <x:v>NÃO</x:v>
      </x:c>
      <x:c r="Z42" s="49" t="str">
        <x:f>IF(OR(H42="A",V42="ALERTA",W42="ALERTA",T42="ALERTA",U42="ALERTA"),"ALTO",IF(OR(T42="PENDENTE",U42="PENDENTE",V42="PENDENTE",W42="PENDENTE"),"MÉDIO","BAIXO"))</x:f>
        <x:v>ALTO</x:v>
      </x:c>
      <x:c r="AA42" s="49" t="str">
        <x:f>IF(Z42="ALTO","Resolver certificado/permissão/CNPJ/status antes da rotina",IF(Z42="MÉDIO","Completar pasta/status pendente","Rotina regular"))</x:f>
        <x:v>Resolver certificado/permissão/CNPJ/status antes da rotina</x:v>
      </x:c>
    </x:row>
    <x:row r="43">
      <x:c r="A43" s="61" t="str">
        <x:v>COPEMBOM CHOCOLATES LTDA</x:v>
      </x:c>
      <x:c r="B43" s="49" t="str">
        <x:v>COPEMBOM</x:v>
      </x:c>
      <x:c r="C43" s="49" t="str">
        <x:v>CUIABA - MT</x:v>
      </x:c>
      <x:c r="D43" s="49" t="str">
        <x:v>04.116.617/0005-51</x:v>
      </x:c>
      <x:c r="E43" s="49"/>
      <x:c r="F43" s="49" t="str">
        <x:v>SANDRA</x:v>
      </x:c>
      <x:c r="G43" s="49" t="str">
        <x:v>LUCRO REAL</x:v>
      </x:c>
      <x:c r="H43" s="49" t="str">
        <x:v>A</x:v>
      </x:c>
      <x:c r="I43" s="54"/>
      <x:c r="J43" s="49"/>
      <x:c r="K43" s="54"/>
      <x:c r="L43" s="49"/>
      <x:c r="M43" s="54" t="str">
        <x:v>SEM PERMISSÃO</x:v>
      </x:c>
      <x:c r="N43" s="49" t="str">
        <x:v>MT</x:v>
      </x:c>
      <x:c r="O43" s="54" t="str">
        <x:v>SEM RESULTADO</x:v>
      </x:c>
      <x:c r="P43" s="49"/>
      <x:c r="Q43" s="57"/>
      <x:c r="R43" s="57"/>
      <x:c r="S43" s="57"/>
      <x:c r="T43" s="49" t="str">
        <x:f>IF(OR(I43="x",ISNUMBER(I43),ISNUMBER(SEARCH("OK",UPPER(I43&amp;""))),ISNUMBER(SEARCH("JÁ",UPPER(I43&amp;""))),ISNUMBER(SEARCH("JA ",UPPER(I43&amp;"")))),"OK",IF(I43="","PENDENTE",IF(OR(ISNUMBER(SEARCH("SEM MOV",UPPER(I43&amp;""))),ISNUMBER(SEARCH("SEM I.E",UPPER(I43&amp;""))),ISNUMBER(SEARCH("SEM IE",UPPER(I43&amp;"")))),"DISPENSADO","ALERTA")))</x:f>
        <x:v>PENDENTE</x:v>
      </x:c>
      <x:c r="U43" s="49" t="str">
        <x:f>IF(OR(K43="x",ISNUMBER(K43),ISNUMBER(SEARCH("OK",UPPER(K43&amp;""))),ISNUMBER(SEARCH("JÁ",UPPER(K43&amp;""))),ISNUMBER(SEARCH("JA ",UPPER(K43&amp;"")))),"OK",IF(K43="","PENDENTE",IF(OR(ISNUMBER(SEARCH("SEM MOV",UPPER(K43&amp;""))),ISNUMBER(SEARCH("SEM I.E",UPPER(K43&amp;""))),ISNUMBER(SEARCH("SEM IE",UPPER(K43&amp;"")))),"DISPENSADO","ALERTA")))</x:f>
        <x:v>PENDENTE</x:v>
      </x:c>
      <x:c r="V43" s="49" t="str">
        <x:f>IF(OR(M43="x",ISNUMBER(M43),ISNUMBER(SEARCH("OK",UPPER(M43&amp;""))),ISNUMBER(SEARCH("JÁ",UPPER(M43&amp;""))),ISNUMBER(SEARCH("JA ",UPPER(M43&amp;"")))),"OK",IF(M43="","PENDENTE",IF(OR(ISNUMBER(SEARCH("SEM MOV",UPPER(M43&amp;""))),ISNUMBER(SEARCH("SEM I.E",UPPER(M43&amp;""))),ISNUMBER(SEARCH("SEM IE",UPPER(M43&amp;"")))),"DISPENSADO","ALERTA")))</x:f>
        <x:v>ALERTA</x:v>
      </x:c>
      <x:c r="W43" s="49" t="str">
        <x:f>IF(OR(O43="x",ISNUMBER(O43),ISNUMBER(SEARCH("OK",UPPER(O43&amp;""))),ISNUMBER(SEARCH("JÁ",UPPER(O43&amp;""))),ISNUMBER(SEARCH("JA ",UPPER(O43&amp;"")))),"OK",IF(O43="","PENDENTE",IF(OR(ISNUMBER(SEARCH("SEM MOV",UPPER(O43&amp;""))),ISNUMBER(SEARCH("SEM I.E",UPPER(O43&amp;""))),ISNUMBER(SEARCH("SEM IE",UPPER(O43&amp;"")))),"DISPENSADO","ALERTA")))</x:f>
        <x:v>ALERTA</x:v>
      </x:c>
      <x:c r="X43" s="49" t="str">
        <x:f>IF(Q43&lt;&gt;"","SIM","NÃO")</x:f>
        <x:v>NÃO</x:v>
      </x:c>
      <x:c r="Y43" s="49" t="str">
        <x:f>IF(R43&lt;&gt;"","SIM","NÃO")</x:f>
        <x:v>NÃO</x:v>
      </x:c>
      <x:c r="Z43" s="49" t="str">
        <x:f>IF(OR(H43="A",V43="ALERTA",W43="ALERTA",T43="ALERTA",U43="ALERTA"),"ALTO",IF(OR(T43="PENDENTE",U43="PENDENTE",V43="PENDENTE",W43="PENDENTE"),"MÉDIO","BAIXO"))</x:f>
        <x:v>ALTO</x:v>
      </x:c>
      <x:c r="AA43" s="49" t="str">
        <x:f>IF(Z43="ALTO","Resolver certificado/permissão/CNPJ/status antes da rotina",IF(Z43="MÉDIO","Completar pasta/status pendente","Rotina regular"))</x:f>
        <x:v>Resolver certificado/permissão/CNPJ/status antes da rotina</x:v>
      </x:c>
    </x:row>
    <x:row r="44">
      <x:c r="A44" s="61" t="str">
        <x:v>COPEMBOM CHOCOLATES LTDA</x:v>
      </x:c>
      <x:c r="B44" s="49" t="str">
        <x:v>COPEMBOM</x:v>
      </x:c>
      <x:c r="C44" s="49" t="str">
        <x:v>VARZEA GRANDE - MT</x:v>
      </x:c>
      <x:c r="D44" s="49" t="str">
        <x:v>04.116.617/0006-32</x:v>
      </x:c>
      <x:c r="E44" s="49"/>
      <x:c r="F44" s="49" t="str">
        <x:v>SANDRA</x:v>
      </x:c>
      <x:c r="G44" s="49" t="str">
        <x:v>LUCRO REAL</x:v>
      </x:c>
      <x:c r="H44" s="49" t="str">
        <x:v>A</x:v>
      </x:c>
      <x:c r="I44" s="54"/>
      <x:c r="J44" s="49"/>
      <x:c r="K44" s="54"/>
      <x:c r="L44" s="49"/>
      <x:c r="M44" s="54" t="str">
        <x:v>SEM PERMISSÃO</x:v>
      </x:c>
      <x:c r="N44" s="49" t="str">
        <x:v>MT</x:v>
      </x:c>
      <x:c r="O44" s="54" t="str">
        <x:v>SEM RESULTADO</x:v>
      </x:c>
      <x:c r="P44" s="49"/>
      <x:c r="Q44" s="57"/>
      <x:c r="R44" s="57"/>
      <x:c r="S44" s="57"/>
      <x:c r="T44" s="49" t="str">
        <x:f>IF(OR(I44="x",ISNUMBER(I44),ISNUMBER(SEARCH("OK",UPPER(I44&amp;""))),ISNUMBER(SEARCH("JÁ",UPPER(I44&amp;""))),ISNUMBER(SEARCH("JA ",UPPER(I44&amp;"")))),"OK",IF(I44="","PENDENTE",IF(OR(ISNUMBER(SEARCH("SEM MOV",UPPER(I44&amp;""))),ISNUMBER(SEARCH("SEM I.E",UPPER(I44&amp;""))),ISNUMBER(SEARCH("SEM IE",UPPER(I44&amp;"")))),"DISPENSADO","ALERTA")))</x:f>
        <x:v>PENDENTE</x:v>
      </x:c>
      <x:c r="U44" s="49" t="str">
        <x:f>IF(OR(K44="x",ISNUMBER(K44),ISNUMBER(SEARCH("OK",UPPER(K44&amp;""))),ISNUMBER(SEARCH("JÁ",UPPER(K44&amp;""))),ISNUMBER(SEARCH("JA ",UPPER(K44&amp;"")))),"OK",IF(K44="","PENDENTE",IF(OR(ISNUMBER(SEARCH("SEM MOV",UPPER(K44&amp;""))),ISNUMBER(SEARCH("SEM I.E",UPPER(K44&amp;""))),ISNUMBER(SEARCH("SEM IE",UPPER(K44&amp;"")))),"DISPENSADO","ALERTA")))</x:f>
        <x:v>PENDENTE</x:v>
      </x:c>
      <x:c r="V44" s="49" t="str">
        <x:f>IF(OR(M44="x",ISNUMBER(M44),ISNUMBER(SEARCH("OK",UPPER(M44&amp;""))),ISNUMBER(SEARCH("JÁ",UPPER(M44&amp;""))),ISNUMBER(SEARCH("JA ",UPPER(M44&amp;"")))),"OK",IF(M44="","PENDENTE",IF(OR(ISNUMBER(SEARCH("SEM MOV",UPPER(M44&amp;""))),ISNUMBER(SEARCH("SEM I.E",UPPER(M44&amp;""))),ISNUMBER(SEARCH("SEM IE",UPPER(M44&amp;"")))),"DISPENSADO","ALERTA")))</x:f>
        <x:v>ALERTA</x:v>
      </x:c>
      <x:c r="W44" s="49" t="str">
        <x:f>IF(OR(O44="x",ISNUMBER(O44),ISNUMBER(SEARCH("OK",UPPER(O44&amp;""))),ISNUMBER(SEARCH("JÁ",UPPER(O44&amp;""))),ISNUMBER(SEARCH("JA ",UPPER(O44&amp;"")))),"OK",IF(O44="","PENDENTE",IF(OR(ISNUMBER(SEARCH("SEM MOV",UPPER(O44&amp;""))),ISNUMBER(SEARCH("SEM I.E",UPPER(O44&amp;""))),ISNUMBER(SEARCH("SEM IE",UPPER(O44&amp;"")))),"DISPENSADO","ALERTA")))</x:f>
        <x:v>ALERTA</x:v>
      </x:c>
      <x:c r="X44" s="49" t="str">
        <x:f>IF(Q44&lt;&gt;"","SIM","NÃO")</x:f>
        <x:v>NÃO</x:v>
      </x:c>
      <x:c r="Y44" s="49" t="str">
        <x:f>IF(R44&lt;&gt;"","SIM","NÃO")</x:f>
        <x:v>NÃO</x:v>
      </x:c>
      <x:c r="Z44" s="49" t="str">
        <x:f>IF(OR(H44="A",V44="ALERTA",W44="ALERTA",T44="ALERTA",U44="ALERTA"),"ALTO",IF(OR(T44="PENDENTE",U44="PENDENTE",V44="PENDENTE",W44="PENDENTE"),"MÉDIO","BAIXO"))</x:f>
        <x:v>ALTO</x:v>
      </x:c>
      <x:c r="AA44" s="49" t="str">
        <x:f>IF(Z44="ALTO","Resolver certificado/permissão/CNPJ/status antes da rotina",IF(Z44="MÉDIO","Completar pasta/status pendente","Rotina regular"))</x:f>
        <x:v>Resolver certificado/permissão/CNPJ/status antes da rotina</x:v>
      </x:c>
    </x:row>
    <x:row r="45">
      <x:c r="A45" s="61" t="str">
        <x:v>COPEMBOM CHOCOLATES LTDA</x:v>
      </x:c>
      <x:c r="B45" s="49" t="str">
        <x:v>COPEMBOM</x:v>
      </x:c>
      <x:c r="C45" s="49" t="str">
        <x:v>VARZEA GRANDE - MT</x:v>
      </x:c>
      <x:c r="D45" s="49" t="str">
        <x:v>04.116.617/0007-13</x:v>
      </x:c>
      <x:c r="E45" s="49"/>
      <x:c r="F45" s="49" t="str">
        <x:v>SANDRA</x:v>
      </x:c>
      <x:c r="G45" s="49" t="str">
        <x:v>LUCRO REAL</x:v>
      </x:c>
      <x:c r="H45" s="49" t="str">
        <x:v>A</x:v>
      </x:c>
      <x:c r="I45" s="54"/>
      <x:c r="J45" s="49"/>
      <x:c r="K45" s="54"/>
      <x:c r="L45" s="49"/>
      <x:c r="M45" s="54" t="str">
        <x:v>SEM PERMISSÃO</x:v>
      </x:c>
      <x:c r="N45" s="49" t="str">
        <x:v>MT</x:v>
      </x:c>
      <x:c r="O45" s="54" t="str">
        <x:v>SEM RESULTADO</x:v>
      </x:c>
      <x:c r="P45" s="49"/>
      <x:c r="Q45" s="57"/>
      <x:c r="R45" s="57"/>
      <x:c r="S45" s="57"/>
      <x:c r="T45" s="49" t="str">
        <x:f>IF(OR(I45="x",ISNUMBER(I45),ISNUMBER(SEARCH("OK",UPPER(I45&amp;""))),ISNUMBER(SEARCH("JÁ",UPPER(I45&amp;""))),ISNUMBER(SEARCH("JA ",UPPER(I45&amp;"")))),"OK",IF(I45="","PENDENTE",IF(OR(ISNUMBER(SEARCH("SEM MOV",UPPER(I45&amp;""))),ISNUMBER(SEARCH("SEM I.E",UPPER(I45&amp;""))),ISNUMBER(SEARCH("SEM IE",UPPER(I45&amp;"")))),"DISPENSADO","ALERTA")))</x:f>
        <x:v>PENDENTE</x:v>
      </x:c>
      <x:c r="U45" s="49" t="str">
        <x:f>IF(OR(K45="x",ISNUMBER(K45),ISNUMBER(SEARCH("OK",UPPER(K45&amp;""))),ISNUMBER(SEARCH("JÁ",UPPER(K45&amp;""))),ISNUMBER(SEARCH("JA ",UPPER(K45&amp;"")))),"OK",IF(K45="","PENDENTE",IF(OR(ISNUMBER(SEARCH("SEM MOV",UPPER(K45&amp;""))),ISNUMBER(SEARCH("SEM I.E",UPPER(K45&amp;""))),ISNUMBER(SEARCH("SEM IE",UPPER(K45&amp;"")))),"DISPENSADO","ALERTA")))</x:f>
        <x:v>PENDENTE</x:v>
      </x:c>
      <x:c r="V45" s="49" t="str">
        <x:f>IF(OR(M45="x",ISNUMBER(M45),ISNUMBER(SEARCH("OK",UPPER(M45&amp;""))),ISNUMBER(SEARCH("JÁ",UPPER(M45&amp;""))),ISNUMBER(SEARCH("JA ",UPPER(M45&amp;"")))),"OK",IF(M45="","PENDENTE",IF(OR(ISNUMBER(SEARCH("SEM MOV",UPPER(M45&amp;""))),ISNUMBER(SEARCH("SEM I.E",UPPER(M45&amp;""))),ISNUMBER(SEARCH("SEM IE",UPPER(M45&amp;"")))),"DISPENSADO","ALERTA")))</x:f>
        <x:v>ALERTA</x:v>
      </x:c>
      <x:c r="W45" s="49" t="str">
        <x:f>IF(OR(O45="x",ISNUMBER(O45),ISNUMBER(SEARCH("OK",UPPER(O45&amp;""))),ISNUMBER(SEARCH("JÁ",UPPER(O45&amp;""))),ISNUMBER(SEARCH("JA ",UPPER(O45&amp;"")))),"OK",IF(O45="","PENDENTE",IF(OR(ISNUMBER(SEARCH("SEM MOV",UPPER(O45&amp;""))),ISNUMBER(SEARCH("SEM I.E",UPPER(O45&amp;""))),ISNUMBER(SEARCH("SEM IE",UPPER(O45&amp;"")))),"DISPENSADO","ALERTA")))</x:f>
        <x:v>ALERTA</x:v>
      </x:c>
      <x:c r="X45" s="49" t="str">
        <x:f>IF(Q45&lt;&gt;"","SIM","NÃO")</x:f>
        <x:v>NÃO</x:v>
      </x:c>
      <x:c r="Y45" s="49" t="str">
        <x:f>IF(R45&lt;&gt;"","SIM","NÃO")</x:f>
        <x:v>NÃO</x:v>
      </x:c>
      <x:c r="Z45" s="49" t="str">
        <x:f>IF(OR(H45="A",V45="ALERTA",W45="ALERTA",T45="ALERTA",U45="ALERTA"),"ALTO",IF(OR(T45="PENDENTE",U45="PENDENTE",V45="PENDENTE",W45="PENDENTE"),"MÉDIO","BAIXO"))</x:f>
        <x:v>ALTO</x:v>
      </x:c>
      <x:c r="AA45" s="49" t="str">
        <x:f>IF(Z45="ALTO","Resolver certificado/permissão/CNPJ/status antes da rotina",IF(Z45="MÉDIO","Completar pasta/status pendente","Rotina regular"))</x:f>
        <x:v>Resolver certificado/permissão/CNPJ/status antes da rotina</x:v>
      </x:c>
    </x:row>
    <x:row r="46">
      <x:c r="A46" s="61" t="str">
        <x:v>CRESCER  SEGURANÇA E MEDICINA - 223</x:v>
      </x:c>
      <x:c r="B46" s="49" t="str">
        <x:v>CRESCER MED</x:v>
      </x:c>
      <x:c r="C46" s="49" t="str">
        <x:v>GOIÂNIA</x:v>
      </x:c>
      <x:c r="D46" s="49" t="str">
        <x:v>50.056.304/0001-49</x:v>
      </x:c>
      <x:c r="E46" s="49"/>
      <x:c r="F46" s="49" t="str">
        <x:v>HELLEN</x:v>
      </x:c>
      <x:c r="G46" s="49" t="str">
        <x:v>SIMPLES NACIONAL</x:v>
      </x:c>
      <x:c r="H46" s="49" t="str">
        <x:v>B</x:v>
      </x:c>
      <x:c r="I46" s="54"/>
      <x:c r="J46" s="49"/>
      <x:c r="K46" s="54"/>
      <x:c r="L46" s="49"/>
      <x:c r="M46" s="54" t="str">
        <x:v>SEM I.E.</x:v>
      </x:c>
      <x:c r="N46" s="49"/>
      <x:c r="O46" s="54" t="str">
        <x:v>SEM RESULTADO</x:v>
      </x:c>
      <x:c r="P46" s="49"/>
      <x:c r="Q46" s="57"/>
      <x:c r="R46" s="57"/>
      <x:c r="S46" s="57"/>
      <x:c r="T46" s="49" t="str">
        <x:f>IF(OR(I46="x",ISNUMBER(I46),ISNUMBER(SEARCH("OK",UPPER(I46&amp;""))),ISNUMBER(SEARCH("JÁ",UPPER(I46&amp;""))),ISNUMBER(SEARCH("JA ",UPPER(I46&amp;"")))),"OK",IF(I46="","PENDENTE",IF(OR(ISNUMBER(SEARCH("SEM MOV",UPPER(I46&amp;""))),ISNUMBER(SEARCH("SEM I.E",UPPER(I46&amp;""))),ISNUMBER(SEARCH("SEM IE",UPPER(I46&amp;"")))),"DISPENSADO","ALERTA")))</x:f>
        <x:v>PENDENTE</x:v>
      </x:c>
      <x:c r="U46" s="49" t="str">
        <x:f>IF(OR(K46="x",ISNUMBER(K46),ISNUMBER(SEARCH("OK",UPPER(K46&amp;""))),ISNUMBER(SEARCH("JÁ",UPPER(K46&amp;""))),ISNUMBER(SEARCH("JA ",UPPER(K46&amp;"")))),"OK",IF(K46="","PENDENTE",IF(OR(ISNUMBER(SEARCH("SEM MOV",UPPER(K46&amp;""))),ISNUMBER(SEARCH("SEM I.E",UPPER(K46&amp;""))),ISNUMBER(SEARCH("SEM IE",UPPER(K46&amp;"")))),"DISPENSADO","ALERTA")))</x:f>
        <x:v>PENDENTE</x:v>
      </x:c>
      <x:c r="V46" s="49" t="str">
        <x:f>IF(OR(M46="x",ISNUMBER(M46),ISNUMBER(SEARCH("OK",UPPER(M46&amp;""))),ISNUMBER(SEARCH("JÁ",UPPER(M46&amp;""))),ISNUMBER(SEARCH("JA ",UPPER(M46&amp;"")))),"OK",IF(M46="","PENDENTE",IF(OR(ISNUMBER(SEARCH("SEM MOV",UPPER(M46&amp;""))),ISNUMBER(SEARCH("SEM I.E",UPPER(M46&amp;""))),ISNUMBER(SEARCH("SEM IE",UPPER(M46&amp;"")))),"DISPENSADO","ALERTA")))</x:f>
        <x:v>DISPENSADO</x:v>
      </x:c>
      <x:c r="W46" s="49" t="str">
        <x:f>IF(OR(O46="x",ISNUMBER(O46),ISNUMBER(SEARCH("OK",UPPER(O46&amp;""))),ISNUMBER(SEARCH("JÁ",UPPER(O46&amp;""))),ISNUMBER(SEARCH("JA ",UPPER(O46&amp;"")))),"OK",IF(O46="","PENDENTE",IF(OR(ISNUMBER(SEARCH("SEM MOV",UPPER(O46&amp;""))),ISNUMBER(SEARCH("SEM I.E",UPPER(O46&amp;""))),ISNUMBER(SEARCH("SEM IE",UPPER(O46&amp;"")))),"DISPENSADO","ALERTA")))</x:f>
        <x:v>ALERTA</x:v>
      </x:c>
      <x:c r="X46" s="49" t="str">
        <x:f>IF(Q46&lt;&gt;"","SIM","NÃO")</x:f>
        <x:v>NÃO</x:v>
      </x:c>
      <x:c r="Y46" s="49" t="str">
        <x:f>IF(R46&lt;&gt;"","SIM","NÃO")</x:f>
        <x:v>NÃO</x:v>
      </x:c>
      <x:c r="Z46" s="49" t="str">
        <x:f>IF(OR(H46="A",V46="ALERTA",W46="ALERTA",T46="ALERTA",U46="ALERTA"),"ALTO",IF(OR(T46="PENDENTE",U46="PENDENTE",V46="PENDENTE",W46="PENDENTE"),"MÉDIO","BAIXO"))</x:f>
        <x:v>ALTO</x:v>
      </x:c>
      <x:c r="AA46" s="49" t="str">
        <x:f>IF(Z46="ALTO","Resolver certificado/permissão/CNPJ/status antes da rotina",IF(Z46="MÉDIO","Completar pasta/status pendente","Rotina regular"))</x:f>
        <x:v>Resolver certificado/permissão/CNPJ/status antes da rotina</x:v>
      </x:c>
    </x:row>
    <x:row r="47">
      <x:c r="A47" s="61" t="str">
        <x:v>CRESCER MED OCUPACIONAL - 222</x:v>
      </x:c>
      <x:c r="B47" s="49" t="str">
        <x:v>CRESCER MED</x:v>
      </x:c>
      <x:c r="C47" s="49" t="str">
        <x:v>GOIÂNIA</x:v>
      </x:c>
      <x:c r="D47" s="49" t="str">
        <x:v>59.971.731/0001-27</x:v>
      </x:c>
      <x:c r="E47" s="49"/>
      <x:c r="F47" s="49" t="str">
        <x:v>HELLEN</x:v>
      </x:c>
      <x:c r="G47" s="49" t="str">
        <x:v>SIMPLES NACIONAL</x:v>
      </x:c>
      <x:c r="H47" s="49" t="str">
        <x:v>B</x:v>
      </x:c>
      <x:c r="I47" s="54"/>
      <x:c r="J47" s="49"/>
      <x:c r="K47" s="54"/>
      <x:c r="L47" s="49"/>
      <x:c r="M47" s="54" t="str">
        <x:v>SEM I.E.</x:v>
      </x:c>
      <x:c r="N47" s="49"/>
      <x:c r="O47" s="54" t="str">
        <x:v>SEM RESULTADO</x:v>
      </x:c>
      <x:c r="P47" s="49"/>
      <x:c r="Q47" s="57"/>
      <x:c r="R47" s="57"/>
      <x:c r="S47" s="57"/>
      <x:c r="T47" s="49" t="str">
        <x:f>IF(OR(I47="x",ISNUMBER(I47),ISNUMBER(SEARCH("OK",UPPER(I47&amp;""))),ISNUMBER(SEARCH("JÁ",UPPER(I47&amp;""))),ISNUMBER(SEARCH("JA ",UPPER(I47&amp;"")))),"OK",IF(I47="","PENDENTE",IF(OR(ISNUMBER(SEARCH("SEM MOV",UPPER(I47&amp;""))),ISNUMBER(SEARCH("SEM I.E",UPPER(I47&amp;""))),ISNUMBER(SEARCH("SEM IE",UPPER(I47&amp;"")))),"DISPENSADO","ALERTA")))</x:f>
        <x:v>PENDENTE</x:v>
      </x:c>
      <x:c r="U47" s="49" t="str">
        <x:f>IF(OR(K47="x",ISNUMBER(K47),ISNUMBER(SEARCH("OK",UPPER(K47&amp;""))),ISNUMBER(SEARCH("JÁ",UPPER(K47&amp;""))),ISNUMBER(SEARCH("JA ",UPPER(K47&amp;"")))),"OK",IF(K47="","PENDENTE",IF(OR(ISNUMBER(SEARCH("SEM MOV",UPPER(K47&amp;""))),ISNUMBER(SEARCH("SEM I.E",UPPER(K47&amp;""))),ISNUMBER(SEARCH("SEM IE",UPPER(K47&amp;"")))),"DISPENSADO","ALERTA")))</x:f>
        <x:v>PENDENTE</x:v>
      </x:c>
      <x:c r="V47" s="49" t="str">
        <x:f>IF(OR(M47="x",ISNUMBER(M47),ISNUMBER(SEARCH("OK",UPPER(M47&amp;""))),ISNUMBER(SEARCH("JÁ",UPPER(M47&amp;""))),ISNUMBER(SEARCH("JA ",UPPER(M47&amp;"")))),"OK",IF(M47="","PENDENTE",IF(OR(ISNUMBER(SEARCH("SEM MOV",UPPER(M47&amp;""))),ISNUMBER(SEARCH("SEM I.E",UPPER(M47&amp;""))),ISNUMBER(SEARCH("SEM IE",UPPER(M47&amp;"")))),"DISPENSADO","ALERTA")))</x:f>
        <x:v>DISPENSADO</x:v>
      </x:c>
      <x:c r="W47" s="49" t="str">
        <x:f>IF(OR(O47="x",ISNUMBER(O47),ISNUMBER(SEARCH("OK",UPPER(O47&amp;""))),ISNUMBER(SEARCH("JÁ",UPPER(O47&amp;""))),ISNUMBER(SEARCH("JA ",UPPER(O47&amp;"")))),"OK",IF(O47="","PENDENTE",IF(OR(ISNUMBER(SEARCH("SEM MOV",UPPER(O47&amp;""))),ISNUMBER(SEARCH("SEM I.E",UPPER(O47&amp;""))),ISNUMBER(SEARCH("SEM IE",UPPER(O47&amp;"")))),"DISPENSADO","ALERTA")))</x:f>
        <x:v>ALERTA</x:v>
      </x:c>
      <x:c r="X47" s="49" t="str">
        <x:f>IF(Q47&lt;&gt;"","SIM","NÃO")</x:f>
        <x:v>NÃO</x:v>
      </x:c>
      <x:c r="Y47" s="49" t="str">
        <x:f>IF(R47&lt;&gt;"","SIM","NÃO")</x:f>
        <x:v>NÃO</x:v>
      </x:c>
      <x:c r="Z47" s="49" t="str">
        <x:f>IF(OR(H47="A",V47="ALERTA",W47="ALERTA",T47="ALERTA",U47="ALERTA"),"ALTO",IF(OR(T47="PENDENTE",U47="PENDENTE",V47="PENDENTE",W47="PENDENTE"),"MÉDIO","BAIXO"))</x:f>
        <x:v>ALTO</x:v>
      </x:c>
      <x:c r="AA47" s="49" t="str">
        <x:f>IF(Z47="ALTO","Resolver certificado/permissão/CNPJ/status antes da rotina",IF(Z47="MÉDIO","Completar pasta/status pendente","Rotina regular"))</x:f>
        <x:v>Resolver certificado/permissão/CNPJ/status antes da rotina</x:v>
      </x:c>
    </x:row>
    <x:row r="48">
      <x:c r="A48" s="61" t="str">
        <x:v>CRESCER TREINAMENTOS E SEGURANÇA DO TRABALHO - 224</x:v>
      </x:c>
      <x:c r="B48" s="49" t="str">
        <x:v>CRESCER MED</x:v>
      </x:c>
      <x:c r="C48" s="49" t="str">
        <x:v>GOIANIA</x:v>
      </x:c>
      <x:c r="D48" s="49" t="str">
        <x:v>18.690.025/0001-20</x:v>
      </x:c>
      <x:c r="E48" s="49"/>
      <x:c r="F48" s="49" t="str">
        <x:v>EDISLANE</x:v>
      </x:c>
      <x:c r="G48" s="49" t="str">
        <x:v>LUCRO REAL</x:v>
      </x:c>
      <x:c r="H48" s="49" t="str">
        <x:v>B</x:v>
      </x:c>
      <x:c r="I48" s="54"/>
      <x:c r="J48" s="49"/>
      <x:c r="K48" s="54"/>
      <x:c r="L48" s="49"/>
      <x:c r="M48" s="54" t="str">
        <x:v>OK 04/05</x:v>
      </x:c>
      <x:c r="N48" s="49"/>
      <x:c r="O48" s="54" t="str">
        <x:v>OK 30/04</x:v>
      </x:c>
      <x:c r="P48" s="49"/>
      <x:c r="Q48" s="57"/>
      <x:c r="R48" s="57"/>
      <x:c r="S48" s="57"/>
      <x:c r="T48" s="49" t="str">
        <x:f>IF(OR(I48="x",ISNUMBER(I48),ISNUMBER(SEARCH("OK",UPPER(I48&amp;""))),ISNUMBER(SEARCH("JÁ",UPPER(I48&amp;""))),ISNUMBER(SEARCH("JA ",UPPER(I48&amp;"")))),"OK",IF(I48="","PENDENTE",IF(OR(ISNUMBER(SEARCH("SEM MOV",UPPER(I48&amp;""))),ISNUMBER(SEARCH("SEM I.E",UPPER(I48&amp;""))),ISNUMBER(SEARCH("SEM IE",UPPER(I48&amp;"")))),"DISPENSADO","ALERTA")))</x:f>
        <x:v>PENDENTE</x:v>
      </x:c>
      <x:c r="U48" s="49" t="str">
        <x:f>IF(OR(K48="x",ISNUMBER(K48),ISNUMBER(SEARCH("OK",UPPER(K48&amp;""))),ISNUMBER(SEARCH("JÁ",UPPER(K48&amp;""))),ISNUMBER(SEARCH("JA ",UPPER(K48&amp;"")))),"OK",IF(K48="","PENDENTE",IF(OR(ISNUMBER(SEARCH("SEM MOV",UPPER(K48&amp;""))),ISNUMBER(SEARCH("SEM I.E",UPPER(K48&amp;""))),ISNUMBER(SEARCH("SEM IE",UPPER(K48&amp;"")))),"DISPENSADO","ALERTA")))</x:f>
        <x:v>PENDENTE</x:v>
      </x:c>
      <x:c r="V48" s="49" t="str">
        <x:f>IF(OR(M48="x",ISNUMBER(M48),ISNUMBER(SEARCH("OK",UPPER(M48&amp;""))),ISNUMBER(SEARCH("JÁ",UPPER(M48&amp;""))),ISNUMBER(SEARCH("JA ",UPPER(M48&amp;"")))),"OK",IF(M48="","PENDENTE",IF(OR(ISNUMBER(SEARCH("SEM MOV",UPPER(M48&amp;""))),ISNUMBER(SEARCH("SEM I.E",UPPER(M48&amp;""))),ISNUMBER(SEARCH("SEM IE",UPPER(M48&amp;"")))),"DISPENSADO","ALERTA")))</x:f>
        <x:v>OK</x:v>
      </x:c>
      <x:c r="W48" s="49" t="str">
        <x:f>IF(OR(O48="x",ISNUMBER(O48),ISNUMBER(SEARCH("OK",UPPER(O48&amp;""))),ISNUMBER(SEARCH("JÁ",UPPER(O48&amp;""))),ISNUMBER(SEARCH("JA ",UPPER(O48&amp;"")))),"OK",IF(O48="","PENDENTE",IF(OR(ISNUMBER(SEARCH("SEM MOV",UPPER(O48&amp;""))),ISNUMBER(SEARCH("SEM I.E",UPPER(O48&amp;""))),ISNUMBER(SEARCH("SEM IE",UPPER(O48&amp;"")))),"DISPENSADO","ALERTA")))</x:f>
        <x:v>OK</x:v>
      </x:c>
      <x:c r="X48" s="49" t="str">
        <x:f>IF(Q48&lt;&gt;"","SIM","NÃO")</x:f>
        <x:v>NÃO</x:v>
      </x:c>
      <x:c r="Y48" s="49" t="str">
        <x:f>IF(R48&lt;&gt;"","SIM","NÃO")</x:f>
        <x:v>NÃO</x:v>
      </x:c>
      <x:c r="Z48" s="49" t="str">
        <x:f>IF(OR(H48="A",V48="ALERTA",W48="ALERTA",T48="ALERTA",U48="ALERTA"),"ALTO",IF(OR(T48="PENDENTE",U48="PENDENTE",V48="PENDENTE",W48="PENDENTE"),"MÉDIO","BAIXO"))</x:f>
        <x:v>MÉDIO</x:v>
      </x:c>
      <x:c r="AA48" s="49" t="str">
        <x:f>IF(Z48="ALTO","Resolver certificado/permissão/CNPJ/status antes da rotina",IF(Z48="MÉDIO","Completar pasta/status pendente","Rotina regular"))</x:f>
        <x:v>Completar pasta/status pendente</x:v>
      </x:c>
    </x:row>
    <x:row r="49">
      <x:c r="A49" s="61" t="str">
        <x:v>CSA - CENTRO DE SOLUÇÕES ANALITICAS</x:v>
      </x:c>
      <x:c r="B49" s="49" t="str">
        <x:v>CSA</x:v>
      </x:c>
      <x:c r="C49" s="49" t="str">
        <x:v>ANAPOLIS</x:v>
      </x:c>
      <x:c r="D49" s="49" t="str">
        <x:v>28.900.799/0001-91</x:v>
      </x:c>
      <x:c r="E49" s="49"/>
      <x:c r="F49" s="49" t="str">
        <x:v>JEYCE/FÁBIO</x:v>
      </x:c>
      <x:c r="G49" s="49" t="str">
        <x:v>LUCRO REAL</x:v>
      </x:c>
      <x:c r="H49" s="49" t="str">
        <x:v>A</x:v>
      </x:c>
      <x:c r="I49" s="54"/>
      <x:c r="J49" s="49"/>
      <x:c r="K49" s="54"/>
      <x:c r="L49" s="49"/>
      <x:c r="M49" s="54" t="str">
        <x:v>OK 04/05</x:v>
      </x:c>
      <x:c r="N49" s="49"/>
      <x:c r="O49" s="54" t="str">
        <x:v>CERT. VENCIDO</x:v>
      </x:c>
      <x:c r="P49" s="49"/>
      <x:c r="Q49" s="57"/>
      <x:c r="R49" s="57"/>
      <x:c r="S49" s="57"/>
      <x:c r="T49" s="49" t="str">
        <x:f>IF(OR(I49="x",ISNUMBER(I49),ISNUMBER(SEARCH("OK",UPPER(I49&amp;""))),ISNUMBER(SEARCH("JÁ",UPPER(I49&amp;""))),ISNUMBER(SEARCH("JA ",UPPER(I49&amp;"")))),"OK",IF(I49="","PENDENTE",IF(OR(ISNUMBER(SEARCH("SEM MOV",UPPER(I49&amp;""))),ISNUMBER(SEARCH("SEM I.E",UPPER(I49&amp;""))),ISNUMBER(SEARCH("SEM IE",UPPER(I49&amp;"")))),"DISPENSADO","ALERTA")))</x:f>
        <x:v>PENDENTE</x:v>
      </x:c>
      <x:c r="U49" s="49" t="str">
        <x:f>IF(OR(K49="x",ISNUMBER(K49),ISNUMBER(SEARCH("OK",UPPER(K49&amp;""))),ISNUMBER(SEARCH("JÁ",UPPER(K49&amp;""))),ISNUMBER(SEARCH("JA ",UPPER(K49&amp;"")))),"OK",IF(K49="","PENDENTE",IF(OR(ISNUMBER(SEARCH("SEM MOV",UPPER(K49&amp;""))),ISNUMBER(SEARCH("SEM I.E",UPPER(K49&amp;""))),ISNUMBER(SEARCH("SEM IE",UPPER(K49&amp;"")))),"DISPENSADO","ALERTA")))</x:f>
        <x:v>PENDENTE</x:v>
      </x:c>
      <x:c r="V49" s="49" t="str">
        <x:f>IF(OR(M49="x",ISNUMBER(M49),ISNUMBER(SEARCH("OK",UPPER(M49&amp;""))),ISNUMBER(SEARCH("JÁ",UPPER(M49&amp;""))),ISNUMBER(SEARCH("JA ",UPPER(M49&amp;"")))),"OK",IF(M49="","PENDENTE",IF(OR(ISNUMBER(SEARCH("SEM MOV",UPPER(M49&amp;""))),ISNUMBER(SEARCH("SEM I.E",UPPER(M49&amp;""))),ISNUMBER(SEARCH("SEM IE",UPPER(M49&amp;"")))),"DISPENSADO","ALERTA")))</x:f>
        <x:v>OK</x:v>
      </x:c>
      <x:c r="W49" s="49" t="str">
        <x:f>IF(OR(O49="x",ISNUMBER(O49),ISNUMBER(SEARCH("OK",UPPER(O49&amp;""))),ISNUMBER(SEARCH("JÁ",UPPER(O49&amp;""))),ISNUMBER(SEARCH("JA ",UPPER(O49&amp;"")))),"OK",IF(O49="","PENDENTE",IF(OR(ISNUMBER(SEARCH("SEM MOV",UPPER(O49&amp;""))),ISNUMBER(SEARCH("SEM I.E",UPPER(O49&amp;""))),ISNUMBER(SEARCH("SEM IE",UPPER(O49&amp;"")))),"DISPENSADO","ALERTA")))</x:f>
        <x:v>ALERTA</x:v>
      </x:c>
      <x:c r="X49" s="49" t="str">
        <x:f>IF(Q49&lt;&gt;"","SIM","NÃO")</x:f>
        <x:v>NÃO</x:v>
      </x:c>
      <x:c r="Y49" s="49" t="str">
        <x:f>IF(R49&lt;&gt;"","SIM","NÃO")</x:f>
        <x:v>NÃO</x:v>
      </x:c>
      <x:c r="Z49" s="49" t="str">
        <x:f>IF(OR(H49="A",V49="ALERTA",W49="ALERTA",T49="ALERTA",U49="ALERTA"),"ALTO",IF(OR(T49="PENDENTE",U49="PENDENTE",V49="PENDENTE",W49="PENDENTE"),"MÉDIO","BAIXO"))</x:f>
        <x:v>ALTO</x:v>
      </x:c>
      <x:c r="AA49" s="49" t="str">
        <x:f>IF(Z49="ALTO","Resolver certificado/permissão/CNPJ/status antes da rotina",IF(Z49="MÉDIO","Completar pasta/status pendente","Rotina regular"))</x:f>
        <x:v>Resolver certificado/permissão/CNPJ/status antes da rotina</x:v>
      </x:c>
    </x:row>
    <x:row r="50">
      <x:c r="A50" s="61" t="str">
        <x:v>CSA - CENTRO DE SOLUÇÕES ANALITICAS - FILIAL I</x:v>
      </x:c>
      <x:c r="B50" s="49" t="str">
        <x:v>CSA</x:v>
      </x:c>
      <x:c r="C50" s="49" t="str">
        <x:v>ANAPOLIS</x:v>
      </x:c>
      <x:c r="D50" s="49" t="str">
        <x:v>28.900.799/0002-72</x:v>
      </x:c>
      <x:c r="E50" s="49"/>
      <x:c r="F50" s="49" t="str">
        <x:v>JEYCE/FÁBIO</x:v>
      </x:c>
      <x:c r="G50" s="49" t="str">
        <x:v>LUCRO REAL</x:v>
      </x:c>
      <x:c r="H50" s="49" t="str">
        <x:v>A</x:v>
      </x:c>
      <x:c r="I50" s="54"/>
      <x:c r="J50" s="49"/>
      <x:c r="K50" s="54"/>
      <x:c r="L50" s="49"/>
      <x:c r="M50" s="54" t="str">
        <x:v>SEM MOVIMENTO</x:v>
      </x:c>
      <x:c r="N50" s="49"/>
      <x:c r="O50" s="54" t="str">
        <x:v>OK 30/04</x:v>
      </x:c>
      <x:c r="P50" s="49"/>
      <x:c r="Q50" s="57"/>
      <x:c r="R50" s="57"/>
      <x:c r="S50" s="57"/>
      <x:c r="T50" s="49" t="str">
        <x:f>IF(OR(I50="x",ISNUMBER(I50),ISNUMBER(SEARCH("OK",UPPER(I50&amp;""))),ISNUMBER(SEARCH("JÁ",UPPER(I50&amp;""))),ISNUMBER(SEARCH("JA ",UPPER(I50&amp;"")))),"OK",IF(I50="","PENDENTE",IF(OR(ISNUMBER(SEARCH("SEM MOV",UPPER(I50&amp;""))),ISNUMBER(SEARCH("SEM I.E",UPPER(I50&amp;""))),ISNUMBER(SEARCH("SEM IE",UPPER(I50&amp;"")))),"DISPENSADO","ALERTA")))</x:f>
        <x:v>PENDENTE</x:v>
      </x:c>
      <x:c r="U50" s="49" t="str">
        <x:f>IF(OR(K50="x",ISNUMBER(K50),ISNUMBER(SEARCH("OK",UPPER(K50&amp;""))),ISNUMBER(SEARCH("JÁ",UPPER(K50&amp;""))),ISNUMBER(SEARCH("JA ",UPPER(K50&amp;"")))),"OK",IF(K50="","PENDENTE",IF(OR(ISNUMBER(SEARCH("SEM MOV",UPPER(K50&amp;""))),ISNUMBER(SEARCH("SEM I.E",UPPER(K50&amp;""))),ISNUMBER(SEARCH("SEM IE",UPPER(K50&amp;"")))),"DISPENSADO","ALERTA")))</x:f>
        <x:v>PENDENTE</x:v>
      </x:c>
      <x:c r="V50" s="49" t="str">
        <x:f>IF(OR(M50="x",ISNUMBER(M50),ISNUMBER(SEARCH("OK",UPPER(M50&amp;""))),ISNUMBER(SEARCH("JÁ",UPPER(M50&amp;""))),ISNUMBER(SEARCH("JA ",UPPER(M50&amp;"")))),"OK",IF(M50="","PENDENTE",IF(OR(ISNUMBER(SEARCH("SEM MOV",UPPER(M50&amp;""))),ISNUMBER(SEARCH("SEM I.E",UPPER(M50&amp;""))),ISNUMBER(SEARCH("SEM IE",UPPER(M50&amp;"")))),"DISPENSADO","ALERTA")))</x:f>
        <x:v>DISPENSADO</x:v>
      </x:c>
      <x:c r="W50" s="49" t="str">
        <x:f>IF(OR(O50="x",ISNUMBER(O50),ISNUMBER(SEARCH("OK",UPPER(O50&amp;""))),ISNUMBER(SEARCH("JÁ",UPPER(O50&amp;""))),ISNUMBER(SEARCH("JA ",UPPER(O50&amp;"")))),"OK",IF(O50="","PENDENTE",IF(OR(ISNUMBER(SEARCH("SEM MOV",UPPER(O50&amp;""))),ISNUMBER(SEARCH("SEM I.E",UPPER(O50&amp;""))),ISNUMBER(SEARCH("SEM IE",UPPER(O50&amp;"")))),"DISPENSADO","ALERTA")))</x:f>
        <x:v>OK</x:v>
      </x:c>
      <x:c r="X50" s="49" t="str">
        <x:f>IF(Q50&lt;&gt;"","SIM","NÃO")</x:f>
        <x:v>NÃO</x:v>
      </x:c>
      <x:c r="Y50" s="49" t="str">
        <x:f>IF(R50&lt;&gt;"","SIM","NÃO")</x:f>
        <x:v>NÃO</x:v>
      </x:c>
      <x:c r="Z50" s="49" t="str">
        <x:f>IF(OR(H50="A",V50="ALERTA",W50="ALERTA",T50="ALERTA",U50="ALERTA"),"ALTO",IF(OR(T50="PENDENTE",U50="PENDENTE",V50="PENDENTE",W50="PENDENTE"),"MÉDIO","BAIXO"))</x:f>
        <x:v>ALTO</x:v>
      </x:c>
      <x:c r="AA50" s="49" t="str">
        <x:f>IF(Z50="ALTO","Resolver certificado/permissão/CNPJ/status antes da rotina",IF(Z50="MÉDIO","Completar pasta/status pendente","Rotina regular"))</x:f>
        <x:v>Resolver certificado/permissão/CNPJ/status antes da rotina</x:v>
      </x:c>
    </x:row>
    <x:row r="51">
      <x:c r="A51" s="61" t="str">
        <x:v>CSA CENTRO DE PESQUISA E DESENVOLVIMENTO &amp; INOVAÇÃO - 73</x:v>
      </x:c>
      <x:c r="B51" s="49" t="str">
        <x:v>CSA</x:v>
      </x:c>
      <x:c r="C51" s="49" t="str">
        <x:v>ANÁPOLIS</x:v>
      </x:c>
      <x:c r="D51" s="49" t="str">
        <x:v>44.742.752/0001-01</x:v>
      </x:c>
      <x:c r="E51" s="49"/>
      <x:c r="F51" s="49" t="str">
        <x:v>JEYCE/FÁBIO</x:v>
      </x:c>
      <x:c r="G51" s="49" t="str">
        <x:v>SIMPLES NACIONAL</x:v>
      </x:c>
      <x:c r="H51" s="49" t="str">
        <x:v>C</x:v>
      </x:c>
      <x:c r="I51" s="54"/>
      <x:c r="J51" s="49"/>
      <x:c r="K51" s="54"/>
      <x:c r="L51" s="49"/>
      <x:c r="M51" s="54" t="str">
        <x:v>SEM MOVIMENTO</x:v>
      </x:c>
      <x:c r="N51" s="49"/>
      <x:c r="O51" s="54" t="str">
        <x:v>SEM RESULTADO</x:v>
      </x:c>
      <x:c r="P51" s="49"/>
      <x:c r="Q51" s="57"/>
      <x:c r="R51" s="57"/>
      <x:c r="S51" s="57"/>
      <x:c r="T51" s="49" t="str">
        <x:f>IF(OR(I51="x",ISNUMBER(I51),ISNUMBER(SEARCH("OK",UPPER(I51&amp;""))),ISNUMBER(SEARCH("JÁ",UPPER(I51&amp;""))),ISNUMBER(SEARCH("JA ",UPPER(I51&amp;"")))),"OK",IF(I51="","PENDENTE",IF(OR(ISNUMBER(SEARCH("SEM MOV",UPPER(I51&amp;""))),ISNUMBER(SEARCH("SEM I.E",UPPER(I51&amp;""))),ISNUMBER(SEARCH("SEM IE",UPPER(I51&amp;"")))),"DISPENSADO","ALERTA")))</x:f>
        <x:v>PENDENTE</x:v>
      </x:c>
      <x:c r="U51" s="49" t="str">
        <x:f>IF(OR(K51="x",ISNUMBER(K51),ISNUMBER(SEARCH("OK",UPPER(K51&amp;""))),ISNUMBER(SEARCH("JÁ",UPPER(K51&amp;""))),ISNUMBER(SEARCH("JA ",UPPER(K51&amp;"")))),"OK",IF(K51="","PENDENTE",IF(OR(ISNUMBER(SEARCH("SEM MOV",UPPER(K51&amp;""))),ISNUMBER(SEARCH("SEM I.E",UPPER(K51&amp;""))),ISNUMBER(SEARCH("SEM IE",UPPER(K51&amp;"")))),"DISPENSADO","ALERTA")))</x:f>
        <x:v>PENDENTE</x:v>
      </x:c>
      <x:c r="V51" s="49" t="str">
        <x:f>IF(OR(M51="x",ISNUMBER(M51),ISNUMBER(SEARCH("OK",UPPER(M51&amp;""))),ISNUMBER(SEARCH("JÁ",UPPER(M51&amp;""))),ISNUMBER(SEARCH("JA ",UPPER(M51&amp;"")))),"OK",IF(M51="","PENDENTE",IF(OR(ISNUMBER(SEARCH("SEM MOV",UPPER(M51&amp;""))),ISNUMBER(SEARCH("SEM I.E",UPPER(M51&amp;""))),ISNUMBER(SEARCH("SEM IE",UPPER(M51&amp;"")))),"DISPENSADO","ALERTA")))</x:f>
        <x:v>DISPENSADO</x:v>
      </x:c>
      <x:c r="W51" s="49" t="str">
        <x:f>IF(OR(O51="x",ISNUMBER(O51),ISNUMBER(SEARCH("OK",UPPER(O51&amp;""))),ISNUMBER(SEARCH("JÁ",UPPER(O51&amp;""))),ISNUMBER(SEARCH("JA ",UPPER(O51&amp;"")))),"OK",IF(O51="","PENDENTE",IF(OR(ISNUMBER(SEARCH("SEM MOV",UPPER(O51&amp;""))),ISNUMBER(SEARCH("SEM I.E",UPPER(O51&amp;""))),ISNUMBER(SEARCH("SEM IE",UPPER(O51&amp;"")))),"DISPENSADO","ALERTA")))</x:f>
        <x:v>ALERTA</x:v>
      </x:c>
      <x:c r="X51" s="49" t="str">
        <x:f>IF(Q51&lt;&gt;"","SIM","NÃO")</x:f>
        <x:v>NÃO</x:v>
      </x:c>
      <x:c r="Y51" s="49" t="str">
        <x:f>IF(R51&lt;&gt;"","SIM","NÃO")</x:f>
        <x:v>NÃO</x:v>
      </x:c>
      <x:c r="Z51" s="49" t="str">
        <x:f>IF(OR(H51="A",V51="ALERTA",W51="ALERTA",T51="ALERTA",U51="ALERTA"),"ALTO",IF(OR(T51="PENDENTE",U51="PENDENTE",V51="PENDENTE",W51="PENDENTE"),"MÉDIO","BAIXO"))</x:f>
        <x:v>ALTO</x:v>
      </x:c>
      <x:c r="AA51" s="49" t="str">
        <x:f>IF(Z51="ALTO","Resolver certificado/permissão/CNPJ/status antes da rotina",IF(Z51="MÉDIO","Completar pasta/status pendente","Rotina regular"))</x:f>
        <x:v>Resolver certificado/permissão/CNPJ/status antes da rotina</x:v>
      </x:c>
    </x:row>
    <x:row r="52">
      <x:c r="A52" s="61" t="str">
        <x:v>CSA CONSULTORIA EDUCACIONAL</x:v>
      </x:c>
      <x:c r="B52" s="49" t="str">
        <x:v>CSA</x:v>
      </x:c>
      <x:c r="C52" s="49" t="str">
        <x:v>ANAPOLIS</x:v>
      </x:c>
      <x:c r="D52" s="49" t="str">
        <x:v>33.265.761/0001-24</x:v>
      </x:c>
      <x:c r="E52" s="49"/>
      <x:c r="F52" s="49" t="str">
        <x:v>GABRIELA/FÁBIO</x:v>
      </x:c>
      <x:c r="G52" s="49" t="str">
        <x:v>LUCRO REAL</x:v>
      </x:c>
      <x:c r="H52" s="49" t="str">
        <x:v>A</x:v>
      </x:c>
      <x:c r="I52" s="54"/>
      <x:c r="J52" s="49"/>
      <x:c r="K52" s="54"/>
      <x:c r="L52" s="49"/>
      <x:c r="M52" s="54" t="str">
        <x:v>SEM I.E.</x:v>
      </x:c>
      <x:c r="N52" s="49"/>
      <x:c r="O52" s="54" t="str">
        <x:v>SEM RESULTADO</x:v>
      </x:c>
      <x:c r="P52" s="49"/>
      <x:c r="Q52" s="57"/>
      <x:c r="R52" s="57"/>
      <x:c r="S52" s="57"/>
      <x:c r="T52" s="49" t="str">
        <x:f>IF(OR(I52="x",ISNUMBER(I52),ISNUMBER(SEARCH("OK",UPPER(I52&amp;""))),ISNUMBER(SEARCH("JÁ",UPPER(I52&amp;""))),ISNUMBER(SEARCH("JA ",UPPER(I52&amp;"")))),"OK",IF(I52="","PENDENTE",IF(OR(ISNUMBER(SEARCH("SEM MOV",UPPER(I52&amp;""))),ISNUMBER(SEARCH("SEM I.E",UPPER(I52&amp;""))),ISNUMBER(SEARCH("SEM IE",UPPER(I52&amp;"")))),"DISPENSADO","ALERTA")))</x:f>
        <x:v>PENDENTE</x:v>
      </x:c>
      <x:c r="U52" s="49" t="str">
        <x:f>IF(OR(K52="x",ISNUMBER(K52),ISNUMBER(SEARCH("OK",UPPER(K52&amp;""))),ISNUMBER(SEARCH("JÁ",UPPER(K52&amp;""))),ISNUMBER(SEARCH("JA ",UPPER(K52&amp;"")))),"OK",IF(K52="","PENDENTE",IF(OR(ISNUMBER(SEARCH("SEM MOV",UPPER(K52&amp;""))),ISNUMBER(SEARCH("SEM I.E",UPPER(K52&amp;""))),ISNUMBER(SEARCH("SEM IE",UPPER(K52&amp;"")))),"DISPENSADO","ALERTA")))</x:f>
        <x:v>PENDENTE</x:v>
      </x:c>
      <x:c r="V52" s="49" t="str">
        <x:f>IF(OR(M52="x",ISNUMBER(M52),ISNUMBER(SEARCH("OK",UPPER(M52&amp;""))),ISNUMBER(SEARCH("JÁ",UPPER(M52&amp;""))),ISNUMBER(SEARCH("JA ",UPPER(M52&amp;"")))),"OK",IF(M52="","PENDENTE",IF(OR(ISNUMBER(SEARCH("SEM MOV",UPPER(M52&amp;""))),ISNUMBER(SEARCH("SEM I.E",UPPER(M52&amp;""))),ISNUMBER(SEARCH("SEM IE",UPPER(M52&amp;"")))),"DISPENSADO","ALERTA")))</x:f>
        <x:v>DISPENSADO</x:v>
      </x:c>
      <x:c r="W52" s="49" t="str">
        <x:f>IF(OR(O52="x",ISNUMBER(O52),ISNUMBER(SEARCH("OK",UPPER(O52&amp;""))),ISNUMBER(SEARCH("JÁ",UPPER(O52&amp;""))),ISNUMBER(SEARCH("JA ",UPPER(O52&amp;"")))),"OK",IF(O52="","PENDENTE",IF(OR(ISNUMBER(SEARCH("SEM MOV",UPPER(O52&amp;""))),ISNUMBER(SEARCH("SEM I.E",UPPER(O52&amp;""))),ISNUMBER(SEARCH("SEM IE",UPPER(O52&amp;"")))),"DISPENSADO","ALERTA")))</x:f>
        <x:v>ALERTA</x:v>
      </x:c>
      <x:c r="X52" s="49" t="str">
        <x:f>IF(Q52&lt;&gt;"","SIM","NÃO")</x:f>
        <x:v>NÃO</x:v>
      </x:c>
      <x:c r="Y52" s="49" t="str">
        <x:f>IF(R52&lt;&gt;"","SIM","NÃO")</x:f>
        <x:v>NÃO</x:v>
      </x:c>
      <x:c r="Z52" s="49" t="str">
        <x:f>IF(OR(H52="A",V52="ALERTA",W52="ALERTA",T52="ALERTA",U52="ALERTA"),"ALTO",IF(OR(T52="PENDENTE",U52="PENDENTE",V52="PENDENTE",W52="PENDENTE"),"MÉDIO","BAIXO"))</x:f>
        <x:v>ALTO</x:v>
      </x:c>
      <x:c r="AA52" s="49" t="str">
        <x:f>IF(Z52="ALTO","Resolver certificado/permissão/CNPJ/status antes da rotina",IF(Z52="MÉDIO","Completar pasta/status pendente","Rotina regular"))</x:f>
        <x:v>Resolver certificado/permissão/CNPJ/status antes da rotina</x:v>
      </x:c>
    </x:row>
    <x:row r="53">
      <x:c r="A53" s="61" t="str">
        <x:v>CSA DIGITAL - 74</x:v>
      </x:c>
      <x:c r="B53" s="49" t="str">
        <x:v>CSA</x:v>
      </x:c>
      <x:c r="C53" s="49" t="str">
        <x:v>ANÁPOLIS</x:v>
      </x:c>
      <x:c r="D53" s="49" t="str">
        <x:v>44.777.527/0001-00</x:v>
      </x:c>
      <x:c r="E53" s="49"/>
      <x:c r="F53" s="49" t="str">
        <x:v>GABRIELA/FÁBIO</x:v>
      </x:c>
      <x:c r="G53" s="49" t="str">
        <x:v>SIMPLES NACIONAL</x:v>
      </x:c>
      <x:c r="H53" s="49" t="str">
        <x:v>C</x:v>
      </x:c>
      <x:c r="I53" s="54"/>
      <x:c r="J53" s="49"/>
      <x:c r="K53" s="54"/>
      <x:c r="L53" s="49"/>
      <x:c r="M53" s="54" t="str">
        <x:v>SEM I.E.</x:v>
      </x:c>
      <x:c r="N53" s="49"/>
      <x:c r="O53" s="54" t="str">
        <x:v>SEM RESULTADO</x:v>
      </x:c>
      <x:c r="P53" s="49"/>
      <x:c r="Q53" s="57"/>
      <x:c r="R53" s="57"/>
      <x:c r="S53" s="57"/>
      <x:c r="T53" s="49" t="str">
        <x:f>IF(OR(I53="x",ISNUMBER(I53),ISNUMBER(SEARCH("OK",UPPER(I53&amp;""))),ISNUMBER(SEARCH("JÁ",UPPER(I53&amp;""))),ISNUMBER(SEARCH("JA ",UPPER(I53&amp;"")))),"OK",IF(I53="","PENDENTE",IF(OR(ISNUMBER(SEARCH("SEM MOV",UPPER(I53&amp;""))),ISNUMBER(SEARCH("SEM I.E",UPPER(I53&amp;""))),ISNUMBER(SEARCH("SEM IE",UPPER(I53&amp;"")))),"DISPENSADO","ALERTA")))</x:f>
        <x:v>PENDENTE</x:v>
      </x:c>
      <x:c r="U53" s="49" t="str">
        <x:f>IF(OR(K53="x",ISNUMBER(K53),ISNUMBER(SEARCH("OK",UPPER(K53&amp;""))),ISNUMBER(SEARCH("JÁ",UPPER(K53&amp;""))),ISNUMBER(SEARCH("JA ",UPPER(K53&amp;"")))),"OK",IF(K53="","PENDENTE",IF(OR(ISNUMBER(SEARCH("SEM MOV",UPPER(K53&amp;""))),ISNUMBER(SEARCH("SEM I.E",UPPER(K53&amp;""))),ISNUMBER(SEARCH("SEM IE",UPPER(K53&amp;"")))),"DISPENSADO","ALERTA")))</x:f>
        <x:v>PENDENTE</x:v>
      </x:c>
      <x:c r="V53" s="49" t="str">
        <x:f>IF(OR(M53="x",ISNUMBER(M53),ISNUMBER(SEARCH("OK",UPPER(M53&amp;""))),ISNUMBER(SEARCH("JÁ",UPPER(M53&amp;""))),ISNUMBER(SEARCH("JA ",UPPER(M53&amp;"")))),"OK",IF(M53="","PENDENTE",IF(OR(ISNUMBER(SEARCH("SEM MOV",UPPER(M53&amp;""))),ISNUMBER(SEARCH("SEM I.E",UPPER(M53&amp;""))),ISNUMBER(SEARCH("SEM IE",UPPER(M53&amp;"")))),"DISPENSADO","ALERTA")))</x:f>
        <x:v>DISPENSADO</x:v>
      </x:c>
      <x:c r="W53" s="49" t="str">
        <x:f>IF(OR(O53="x",ISNUMBER(O53),ISNUMBER(SEARCH("OK",UPPER(O53&amp;""))),ISNUMBER(SEARCH("JÁ",UPPER(O53&amp;""))),ISNUMBER(SEARCH("JA ",UPPER(O53&amp;"")))),"OK",IF(O53="","PENDENTE",IF(OR(ISNUMBER(SEARCH("SEM MOV",UPPER(O53&amp;""))),ISNUMBER(SEARCH("SEM I.E",UPPER(O53&amp;""))),ISNUMBER(SEARCH("SEM IE",UPPER(O53&amp;"")))),"DISPENSADO","ALERTA")))</x:f>
        <x:v>ALERTA</x:v>
      </x:c>
      <x:c r="X53" s="49" t="str">
        <x:f>IF(Q53&lt;&gt;"","SIM","NÃO")</x:f>
        <x:v>NÃO</x:v>
      </x:c>
      <x:c r="Y53" s="49" t="str">
        <x:f>IF(R53&lt;&gt;"","SIM","NÃO")</x:f>
        <x:v>NÃO</x:v>
      </x:c>
      <x:c r="Z53" s="49" t="str">
        <x:f>IF(OR(H53="A",V53="ALERTA",W53="ALERTA",T53="ALERTA",U53="ALERTA"),"ALTO",IF(OR(T53="PENDENTE",U53="PENDENTE",V53="PENDENTE",W53="PENDENTE"),"MÉDIO","BAIXO"))</x:f>
        <x:v>ALTO</x:v>
      </x:c>
      <x:c r="AA53" s="49" t="str">
        <x:f>IF(Z53="ALTO","Resolver certificado/permissão/CNPJ/status antes da rotina",IF(Z53="MÉDIO","Completar pasta/status pendente","Rotina regular"))</x:f>
        <x:v>Resolver certificado/permissão/CNPJ/status antes da rotina</x:v>
      </x:c>
    </x:row>
    <x:row r="54">
      <x:c r="A54" s="61" t="str">
        <x:v>CSA GESTÃO E TREINAMENTOS - 75</x:v>
      </x:c>
      <x:c r="B54" s="49" t="str">
        <x:v>CSA</x:v>
      </x:c>
      <x:c r="C54" s="49" t="str">
        <x:v>ANÁPOLIS</x:v>
      </x:c>
      <x:c r="D54" s="49" t="str">
        <x:v>44.796.284/0001-40</x:v>
      </x:c>
      <x:c r="E54" s="49"/>
      <x:c r="F54" s="49" t="str">
        <x:v>GABRIELA/FÁBIO</x:v>
      </x:c>
      <x:c r="G54" s="49" t="str">
        <x:v>SIMPLES NACIONAL</x:v>
      </x:c>
      <x:c r="H54" s="49" t="str">
        <x:v>C</x:v>
      </x:c>
      <x:c r="I54" s="54"/>
      <x:c r="J54" s="49"/>
      <x:c r="K54" s="54"/>
      <x:c r="L54" s="49"/>
      <x:c r="M54" s="54" t="str">
        <x:v>SEM I.E.</x:v>
      </x:c>
      <x:c r="N54" s="49"/>
      <x:c r="O54" s="54" t="str">
        <x:v>SEM RESULTADO</x:v>
      </x:c>
      <x:c r="P54" s="49"/>
      <x:c r="Q54" s="57"/>
      <x:c r="R54" s="57"/>
      <x:c r="S54" s="57"/>
      <x:c r="T54" s="49" t="str">
        <x:f>IF(OR(I54="x",ISNUMBER(I54),ISNUMBER(SEARCH("OK",UPPER(I54&amp;""))),ISNUMBER(SEARCH("JÁ",UPPER(I54&amp;""))),ISNUMBER(SEARCH("JA ",UPPER(I54&amp;"")))),"OK",IF(I54="","PENDENTE",IF(OR(ISNUMBER(SEARCH("SEM MOV",UPPER(I54&amp;""))),ISNUMBER(SEARCH("SEM I.E",UPPER(I54&amp;""))),ISNUMBER(SEARCH("SEM IE",UPPER(I54&amp;"")))),"DISPENSADO","ALERTA")))</x:f>
        <x:v>PENDENTE</x:v>
      </x:c>
      <x:c r="U54" s="49" t="str">
        <x:f>IF(OR(K54="x",ISNUMBER(K54),ISNUMBER(SEARCH("OK",UPPER(K54&amp;""))),ISNUMBER(SEARCH("JÁ",UPPER(K54&amp;""))),ISNUMBER(SEARCH("JA ",UPPER(K54&amp;"")))),"OK",IF(K54="","PENDENTE",IF(OR(ISNUMBER(SEARCH("SEM MOV",UPPER(K54&amp;""))),ISNUMBER(SEARCH("SEM I.E",UPPER(K54&amp;""))),ISNUMBER(SEARCH("SEM IE",UPPER(K54&amp;"")))),"DISPENSADO","ALERTA")))</x:f>
        <x:v>PENDENTE</x:v>
      </x:c>
      <x:c r="V54" s="49" t="str">
        <x:f>IF(OR(M54="x",ISNUMBER(M54),ISNUMBER(SEARCH("OK",UPPER(M54&amp;""))),ISNUMBER(SEARCH("JÁ",UPPER(M54&amp;""))),ISNUMBER(SEARCH("JA ",UPPER(M54&amp;"")))),"OK",IF(M54="","PENDENTE",IF(OR(ISNUMBER(SEARCH("SEM MOV",UPPER(M54&amp;""))),ISNUMBER(SEARCH("SEM I.E",UPPER(M54&amp;""))),ISNUMBER(SEARCH("SEM IE",UPPER(M54&amp;"")))),"DISPENSADO","ALERTA")))</x:f>
        <x:v>DISPENSADO</x:v>
      </x:c>
      <x:c r="W54" s="49" t="str">
        <x:f>IF(OR(O54="x",ISNUMBER(O54),ISNUMBER(SEARCH("OK",UPPER(O54&amp;""))),ISNUMBER(SEARCH("JÁ",UPPER(O54&amp;""))),ISNUMBER(SEARCH("JA ",UPPER(O54&amp;"")))),"OK",IF(O54="","PENDENTE",IF(OR(ISNUMBER(SEARCH("SEM MOV",UPPER(O54&amp;""))),ISNUMBER(SEARCH("SEM I.E",UPPER(O54&amp;""))),ISNUMBER(SEARCH("SEM IE",UPPER(O54&amp;"")))),"DISPENSADO","ALERTA")))</x:f>
        <x:v>ALERTA</x:v>
      </x:c>
      <x:c r="X54" s="49" t="str">
        <x:f>IF(Q54&lt;&gt;"","SIM","NÃO")</x:f>
        <x:v>NÃO</x:v>
      </x:c>
      <x:c r="Y54" s="49" t="str">
        <x:f>IF(R54&lt;&gt;"","SIM","NÃO")</x:f>
        <x:v>NÃO</x:v>
      </x:c>
      <x:c r="Z54" s="49" t="str">
        <x:f>IF(OR(H54="A",V54="ALERTA",W54="ALERTA",T54="ALERTA",U54="ALERTA"),"ALTO",IF(OR(T54="PENDENTE",U54="PENDENTE",V54="PENDENTE",W54="PENDENTE"),"MÉDIO","BAIXO"))</x:f>
        <x:v>ALTO</x:v>
      </x:c>
      <x:c r="AA54" s="49" t="str">
        <x:f>IF(Z54="ALTO","Resolver certificado/permissão/CNPJ/status antes da rotina",IF(Z54="MÉDIO","Completar pasta/status pendente","Rotina regular"))</x:f>
        <x:v>Resolver certificado/permissão/CNPJ/status antes da rotina</x:v>
      </x:c>
    </x:row>
    <x:row r="55">
      <x:c r="A55" s="61" t="str">
        <x:v>DGA ENERGIA</x:v>
      </x:c>
      <x:c r="B55" s="49" t="str">
        <x:v>DGA</x:v>
      </x:c>
      <x:c r="C55" s="49" t="str">
        <x:v>ITUMBIARA</x:v>
      </x:c>
      <x:c r="D55" s="49" t="str">
        <x:v>25.014.360/0001-73</x:v>
      </x:c>
      <x:c r="E55" s="49"/>
      <x:c r="F55" s="49" t="str">
        <x:v>HELLEN</x:v>
      </x:c>
      <x:c r="G55" s="49" t="str">
        <x:v>LUCRO REAL</x:v>
      </x:c>
      <x:c r="H55" s="49" t="str">
        <x:v>A</x:v>
      </x:c>
      <x:c r="I55" s="54"/>
      <x:c r="J55" s="49"/>
      <x:c r="K55" s="54"/>
      <x:c r="L55" s="49"/>
      <x:c r="M55" s="54" t="str">
        <x:v>I.E INVALIDA</x:v>
      </x:c>
      <x:c r="N55" s="49"/>
      <x:c r="O55" s="54"/>
      <x:c r="P55" s="49"/>
      <x:c r="Q55" s="57"/>
      <x:c r="R55" s="57" t="str">
        <x:v>W:\01-CLIENTES\GRUPO - DGA\226 - DGA ENERGIA E AUTOMAÇÃO\DEPARTAMENTO FISCAL\2026\042026\MUNICIPAL\REST\PDF SERVIÇOS TOMADOS\AINDA NÃO FEITO</x:v>
      </x:c>
      <x:c r="S55" s="57"/>
      <x:c r="T55" s="49" t="str">
        <x:f>IF(OR(I55="x",ISNUMBER(I55),ISNUMBER(SEARCH("OK",UPPER(I55&amp;""))),ISNUMBER(SEARCH("JÁ",UPPER(I55&amp;""))),ISNUMBER(SEARCH("JA ",UPPER(I55&amp;"")))),"OK",IF(I55="","PENDENTE",IF(OR(ISNUMBER(SEARCH("SEM MOV",UPPER(I55&amp;""))),ISNUMBER(SEARCH("SEM I.E",UPPER(I55&amp;""))),ISNUMBER(SEARCH("SEM IE",UPPER(I55&amp;"")))),"DISPENSADO","ALERTA")))</x:f>
        <x:v>PENDENTE</x:v>
      </x:c>
      <x:c r="U55" s="49" t="str">
        <x:f>IF(OR(K55="x",ISNUMBER(K55),ISNUMBER(SEARCH("OK",UPPER(K55&amp;""))),ISNUMBER(SEARCH("JÁ",UPPER(K55&amp;""))),ISNUMBER(SEARCH("JA ",UPPER(K55&amp;"")))),"OK",IF(K55="","PENDENTE",IF(OR(ISNUMBER(SEARCH("SEM MOV",UPPER(K55&amp;""))),ISNUMBER(SEARCH("SEM I.E",UPPER(K55&amp;""))),ISNUMBER(SEARCH("SEM IE",UPPER(K55&amp;"")))),"DISPENSADO","ALERTA")))</x:f>
        <x:v>PENDENTE</x:v>
      </x:c>
      <x:c r="V55" s="49" t="str">
        <x:f>IF(OR(M55="x",ISNUMBER(M55),ISNUMBER(SEARCH("OK",UPPER(M55&amp;""))),ISNUMBER(SEARCH("JÁ",UPPER(M55&amp;""))),ISNUMBER(SEARCH("JA ",UPPER(M55&amp;"")))),"OK",IF(M55="","PENDENTE",IF(OR(ISNUMBER(SEARCH("SEM MOV",UPPER(M55&amp;""))),ISNUMBER(SEARCH("SEM I.E",UPPER(M55&amp;""))),ISNUMBER(SEARCH("SEM IE",UPPER(M55&amp;"")))),"DISPENSADO","ALERTA")))</x:f>
        <x:v>ALERTA</x:v>
      </x:c>
      <x:c r="W55" s="49" t="str">
        <x:f>IF(OR(O55="x",ISNUMBER(O55),ISNUMBER(SEARCH("OK",UPPER(O55&amp;""))),ISNUMBER(SEARCH("JÁ",UPPER(O55&amp;""))),ISNUMBER(SEARCH("JA ",UPPER(O55&amp;"")))),"OK",IF(O55="","PENDENTE",IF(OR(ISNUMBER(SEARCH("SEM MOV",UPPER(O55&amp;""))),ISNUMBER(SEARCH("SEM I.E",UPPER(O55&amp;""))),ISNUMBER(SEARCH("SEM IE",UPPER(O55&amp;"")))),"DISPENSADO","ALERTA")))</x:f>
        <x:v>PENDENTE</x:v>
      </x:c>
      <x:c r="X55" s="49" t="str">
        <x:f>IF(Q55&lt;&gt;"","SIM","NÃO")</x:f>
        <x:v>NÃO</x:v>
      </x:c>
      <x:c r="Y55" s="49" t="str">
        <x:f>IF(R55&lt;&gt;"","SIM","NÃO")</x:f>
        <x:v>SIM</x:v>
      </x:c>
      <x:c r="Z55" s="49" t="str">
        <x:f>IF(OR(H55="A",V55="ALERTA",W55="ALERTA",T55="ALERTA",U55="ALERTA"),"ALTO",IF(OR(T55="PENDENTE",U55="PENDENTE",V55="PENDENTE",W55="PENDENTE"),"MÉDIO","BAIXO"))</x:f>
        <x:v>ALTO</x:v>
      </x:c>
      <x:c r="AA55" s="49" t="str">
        <x:f>IF(Z55="ALTO","Resolver certificado/permissão/CNPJ/status antes da rotina",IF(Z55="MÉDIO","Completar pasta/status pendente","Rotina regular"))</x:f>
        <x:v>Resolver certificado/permissão/CNPJ/status antes da rotina</x:v>
      </x:c>
    </x:row>
    <x:row r="56">
      <x:c r="A56" s="61" t="str">
        <x:v>E USY AUTO PARTS LTDA (FOLHA DA BH) - 33</x:v>
      </x:c>
      <x:c r="B56" s="49" t="str">
        <x:v>BH SELECTION</x:v>
      </x:c>
      <x:c r="C56" s="49" t="str">
        <x:v>GOIÂNIA</x:v>
      </x:c>
      <x:c r="D56" s="49" t="str">
        <x:v>19.318.532/0001-08</x:v>
      </x:c>
      <x:c r="E56" s="49"/>
      <x:c r="F56" s="49" t="str">
        <x:v>SHIELEN/MARTA</x:v>
      </x:c>
      <x:c r="G56" s="49" t="str">
        <x:v>SIMPLES NACIONAL</x:v>
      </x:c>
      <x:c r="H56" s="49" t="str">
        <x:v>C</x:v>
      </x:c>
      <x:c r="I56" s="54"/>
      <x:c r="J56" s="49"/>
      <x:c r="K56" s="54"/>
      <x:c r="L56" s="49"/>
      <x:c r="M56" s="54" t="str">
        <x:v>OK 04/05</x:v>
      </x:c>
      <x:c r="N56" s="49"/>
      <x:c r="O56" s="54" t="str">
        <x:v>OK 30/04</x:v>
      </x:c>
      <x:c r="P56" s="49"/>
      <x:c r="Q56" s="57"/>
      <x:c r="R56" s="57"/>
      <x:c r="S56" s="57"/>
      <x:c r="T56" s="49" t="str">
        <x:f>IF(OR(I56="x",ISNUMBER(I56),ISNUMBER(SEARCH("OK",UPPER(I56&amp;""))),ISNUMBER(SEARCH("JÁ",UPPER(I56&amp;""))),ISNUMBER(SEARCH("JA ",UPPER(I56&amp;"")))),"OK",IF(I56="","PENDENTE",IF(OR(ISNUMBER(SEARCH("SEM MOV",UPPER(I56&amp;""))),ISNUMBER(SEARCH("SEM I.E",UPPER(I56&amp;""))),ISNUMBER(SEARCH("SEM IE",UPPER(I56&amp;"")))),"DISPENSADO","ALERTA")))</x:f>
        <x:v>PENDENTE</x:v>
      </x:c>
      <x:c r="U56" s="49" t="str">
        <x:f>IF(OR(K56="x",ISNUMBER(K56),ISNUMBER(SEARCH("OK",UPPER(K56&amp;""))),ISNUMBER(SEARCH("JÁ",UPPER(K56&amp;""))),ISNUMBER(SEARCH("JA ",UPPER(K56&amp;"")))),"OK",IF(K56="","PENDENTE",IF(OR(ISNUMBER(SEARCH("SEM MOV",UPPER(K56&amp;""))),ISNUMBER(SEARCH("SEM I.E",UPPER(K56&amp;""))),ISNUMBER(SEARCH("SEM IE",UPPER(K56&amp;"")))),"DISPENSADO","ALERTA")))</x:f>
        <x:v>PENDENTE</x:v>
      </x:c>
      <x:c r="V56" s="49" t="str">
        <x:f>IF(OR(M56="x",ISNUMBER(M56),ISNUMBER(SEARCH("OK",UPPER(M56&amp;""))),ISNUMBER(SEARCH("JÁ",UPPER(M56&amp;""))),ISNUMBER(SEARCH("JA ",UPPER(M56&amp;"")))),"OK",IF(M56="","PENDENTE",IF(OR(ISNUMBER(SEARCH("SEM MOV",UPPER(M56&amp;""))),ISNUMBER(SEARCH("SEM I.E",UPPER(M56&amp;""))),ISNUMBER(SEARCH("SEM IE",UPPER(M56&amp;"")))),"DISPENSADO","ALERTA")))</x:f>
        <x:v>OK</x:v>
      </x:c>
      <x:c r="W56" s="49" t="str">
        <x:f>IF(OR(O56="x",ISNUMBER(O56),ISNUMBER(SEARCH("OK",UPPER(O56&amp;""))),ISNUMBER(SEARCH("JÁ",UPPER(O56&amp;""))),ISNUMBER(SEARCH("JA ",UPPER(O56&amp;"")))),"OK",IF(O56="","PENDENTE",IF(OR(ISNUMBER(SEARCH("SEM MOV",UPPER(O56&amp;""))),ISNUMBER(SEARCH("SEM I.E",UPPER(O56&amp;""))),ISNUMBER(SEARCH("SEM IE",UPPER(O56&amp;"")))),"DISPENSADO","ALERTA")))</x:f>
        <x:v>OK</x:v>
      </x:c>
      <x:c r="X56" s="49" t="str">
        <x:f>IF(Q56&lt;&gt;"","SIM","NÃO")</x:f>
        <x:v>NÃO</x:v>
      </x:c>
      <x:c r="Y56" s="49" t="str">
        <x:f>IF(R56&lt;&gt;"","SIM","NÃO")</x:f>
        <x:v>NÃO</x:v>
      </x:c>
      <x:c r="Z56" s="49" t="str">
        <x:f>IF(OR(H56="A",V56="ALERTA",W56="ALERTA",T56="ALERTA",U56="ALERTA"),"ALTO",IF(OR(T56="PENDENTE",U56="PENDENTE",V56="PENDENTE",W56="PENDENTE"),"MÉDIO","BAIXO"))</x:f>
        <x:v>MÉDIO</x:v>
      </x:c>
      <x:c r="AA56" s="49" t="str">
        <x:f>IF(Z56="ALTO","Resolver certificado/permissão/CNPJ/status antes da rotina",IF(Z56="MÉDIO","Completar pasta/status pendente","Rotina regular"))</x:f>
        <x:v>Completar pasta/status pendente</x:v>
      </x:c>
    </x:row>
    <x:row r="57">
      <x:c r="A57" s="61" t="str">
        <x:v>ELDORADO EMPREENDIMENTOS (ENERGIA) - 91</x:v>
      </x:c>
      <x:c r="B57" s="49" t="str">
        <x:v>ELDORADO</x:v>
      </x:c>
      <x:c r="C57" s="49" t="str">
        <x:v>ANAPOLIS</x:v>
      </x:c>
      <x:c r="D57" s="49" t="str">
        <x:v>42.964.659/0001-08</x:v>
      </x:c>
      <x:c r="E57" s="49"/>
      <x:c r="F57" s="49" t="str">
        <x:v>JOÃO/SILVIO</x:v>
      </x:c>
      <x:c r="G57" s="49" t="str">
        <x:v>LUCRO PRESUMIDO</x:v>
      </x:c>
      <x:c r="H57" s="49" t="str">
        <x:v>C</x:v>
      </x:c>
      <x:c r="I57" s="54"/>
      <x:c r="J57" s="49"/>
      <x:c r="K57" s="54"/>
      <x:c r="L57" s="49"/>
      <x:c r="M57" s="54" t="str">
        <x:v>SEM I.E.</x:v>
      </x:c>
      <x:c r="N57" s="49"/>
      <x:c r="O57" s="54" t="str">
        <x:v>SEM RESULTADOS</x:v>
      </x:c>
      <x:c r="P57" s="49"/>
      <x:c r="Q57" s="57"/>
      <x:c r="R57" s="57"/>
      <x:c r="S57" s="57"/>
      <x:c r="T57" s="49" t="str">
        <x:f>IF(OR(I57="x",ISNUMBER(I57),ISNUMBER(SEARCH("OK",UPPER(I57&amp;""))),ISNUMBER(SEARCH("JÁ",UPPER(I57&amp;""))),ISNUMBER(SEARCH("JA ",UPPER(I57&amp;"")))),"OK",IF(I57="","PENDENTE",IF(OR(ISNUMBER(SEARCH("SEM MOV",UPPER(I57&amp;""))),ISNUMBER(SEARCH("SEM I.E",UPPER(I57&amp;""))),ISNUMBER(SEARCH("SEM IE",UPPER(I57&amp;"")))),"DISPENSADO","ALERTA")))</x:f>
        <x:v>PENDENTE</x:v>
      </x:c>
      <x:c r="U57" s="49" t="str">
        <x:f>IF(OR(K57="x",ISNUMBER(K57),ISNUMBER(SEARCH("OK",UPPER(K57&amp;""))),ISNUMBER(SEARCH("JÁ",UPPER(K57&amp;""))),ISNUMBER(SEARCH("JA ",UPPER(K57&amp;"")))),"OK",IF(K57="","PENDENTE",IF(OR(ISNUMBER(SEARCH("SEM MOV",UPPER(K57&amp;""))),ISNUMBER(SEARCH("SEM I.E",UPPER(K57&amp;""))),ISNUMBER(SEARCH("SEM IE",UPPER(K57&amp;"")))),"DISPENSADO","ALERTA")))</x:f>
        <x:v>PENDENTE</x:v>
      </x:c>
      <x:c r="V57" s="49" t="str">
        <x:f>IF(OR(M57="x",ISNUMBER(M57),ISNUMBER(SEARCH("OK",UPPER(M57&amp;""))),ISNUMBER(SEARCH("JÁ",UPPER(M57&amp;""))),ISNUMBER(SEARCH("JA ",UPPER(M57&amp;"")))),"OK",IF(M57="","PENDENTE",IF(OR(ISNUMBER(SEARCH("SEM MOV",UPPER(M57&amp;""))),ISNUMBER(SEARCH("SEM I.E",UPPER(M57&amp;""))),ISNUMBER(SEARCH("SEM IE",UPPER(M57&amp;"")))),"DISPENSADO","ALERTA")))</x:f>
        <x:v>DISPENSADO</x:v>
      </x:c>
      <x:c r="W57" s="49" t="str">
        <x:f>IF(OR(O57="x",ISNUMBER(O57),ISNUMBER(SEARCH("OK",UPPER(O57&amp;""))),ISNUMBER(SEARCH("JÁ",UPPER(O57&amp;""))),ISNUMBER(SEARCH("JA ",UPPER(O57&amp;"")))),"OK",IF(O57="","PENDENTE",IF(OR(ISNUMBER(SEARCH("SEM MOV",UPPER(O57&amp;""))),ISNUMBER(SEARCH("SEM I.E",UPPER(O57&amp;""))),ISNUMBER(SEARCH("SEM IE",UPPER(O57&amp;"")))),"DISPENSADO","ALERTA")))</x:f>
        <x:v>ALERTA</x:v>
      </x:c>
      <x:c r="X57" s="49" t="str">
        <x:f>IF(Q57&lt;&gt;"","SIM","NÃO")</x:f>
        <x:v>NÃO</x:v>
      </x:c>
      <x:c r="Y57" s="49" t="str">
        <x:f>IF(R57&lt;&gt;"","SIM","NÃO")</x:f>
        <x:v>NÃO</x:v>
      </x:c>
      <x:c r="Z57" s="49" t="str">
        <x:f>IF(OR(H57="A",V57="ALERTA",W57="ALERTA",T57="ALERTA",U57="ALERTA"),"ALTO",IF(OR(T57="PENDENTE",U57="PENDENTE",V57="PENDENTE",W57="PENDENTE"),"MÉDIO","BAIXO"))</x:f>
        <x:v>ALTO</x:v>
      </x:c>
      <x:c r="AA57" s="49" t="str">
        <x:f>IF(Z57="ALTO","Resolver certificado/permissão/CNPJ/status antes da rotina",IF(Z57="MÉDIO","Completar pasta/status pendente","Rotina regular"))</x:f>
        <x:v>Resolver certificado/permissão/CNPJ/status antes da rotina</x:v>
      </x:c>
    </x:row>
    <x:row r="58">
      <x:c r="A58" s="61" t="str">
        <x:v>ELDORADO EVENTOS E SERVICOS - EIRELI - 17</x:v>
      </x:c>
      <x:c r="B58" s="49" t="str">
        <x:v>ELDORADO</x:v>
      </x:c>
      <x:c r="C58" s="49" t="str">
        <x:v>ANÁPOLIS</x:v>
      </x:c>
      <x:c r="D58" s="49" t="str">
        <x:v>34.046.667/0001-47</x:v>
      </x:c>
      <x:c r="E58" s="49"/>
      <x:c r="F58" s="49" t="str">
        <x:v>VIVIANE/SILVIO</x:v>
      </x:c>
      <x:c r="G58" s="49" t="str">
        <x:v>SIMPLES NACIONAL</x:v>
      </x:c>
      <x:c r="H58" s="49" t="str">
        <x:v>C</x:v>
      </x:c>
      <x:c r="I58" s="54"/>
      <x:c r="J58" s="49"/>
      <x:c r="K58" s="54"/>
      <x:c r="L58" s="49"/>
      <x:c r="M58" s="54" t="str">
        <x:v>SEM MOVIEMNTO</x:v>
      </x:c>
      <x:c r="N58" s="49"/>
      <x:c r="O58" s="54" t="str">
        <x:v>SEM RESULTADOS</x:v>
      </x:c>
      <x:c r="P58" s="49"/>
      <x:c r="Q58" s="57"/>
      <x:c r="R58" s="57"/>
      <x:c r="S58" s="57"/>
      <x:c r="T58" s="49" t="str">
        <x:f>IF(OR(I58="x",ISNUMBER(I58),ISNUMBER(SEARCH("OK",UPPER(I58&amp;""))),ISNUMBER(SEARCH("JÁ",UPPER(I58&amp;""))),ISNUMBER(SEARCH("JA ",UPPER(I58&amp;"")))),"OK",IF(I58="","PENDENTE",IF(OR(ISNUMBER(SEARCH("SEM MOV",UPPER(I58&amp;""))),ISNUMBER(SEARCH("SEM I.E",UPPER(I58&amp;""))),ISNUMBER(SEARCH("SEM IE",UPPER(I58&amp;"")))),"DISPENSADO","ALERTA")))</x:f>
        <x:v>PENDENTE</x:v>
      </x:c>
      <x:c r="U58" s="49" t="str">
        <x:f>IF(OR(K58="x",ISNUMBER(K58),ISNUMBER(SEARCH("OK",UPPER(K58&amp;""))),ISNUMBER(SEARCH("JÁ",UPPER(K58&amp;""))),ISNUMBER(SEARCH("JA ",UPPER(K58&amp;"")))),"OK",IF(K58="","PENDENTE",IF(OR(ISNUMBER(SEARCH("SEM MOV",UPPER(K58&amp;""))),ISNUMBER(SEARCH("SEM I.E",UPPER(K58&amp;""))),ISNUMBER(SEARCH("SEM IE",UPPER(K58&amp;"")))),"DISPENSADO","ALERTA")))</x:f>
        <x:v>PENDENTE</x:v>
      </x:c>
      <x:c r="V58" s="49" t="str">
        <x:f>IF(OR(M58="x",ISNUMBER(M58),ISNUMBER(SEARCH("OK",UPPER(M58&amp;""))),ISNUMBER(SEARCH("JÁ",UPPER(M58&amp;""))),ISNUMBER(SEARCH("JA ",UPPER(M58&amp;"")))),"OK",IF(M58="","PENDENTE",IF(OR(ISNUMBER(SEARCH("SEM MOV",UPPER(M58&amp;""))),ISNUMBER(SEARCH("SEM I.E",UPPER(M58&amp;""))),ISNUMBER(SEARCH("SEM IE",UPPER(M58&amp;"")))),"DISPENSADO","ALERTA")))</x:f>
        <x:v>DISPENSADO</x:v>
      </x:c>
      <x:c r="W58" s="49" t="str">
        <x:f>IF(OR(O58="x",ISNUMBER(O58),ISNUMBER(SEARCH("OK",UPPER(O58&amp;""))),ISNUMBER(SEARCH("JÁ",UPPER(O58&amp;""))),ISNUMBER(SEARCH("JA ",UPPER(O58&amp;"")))),"OK",IF(O58="","PENDENTE",IF(OR(ISNUMBER(SEARCH("SEM MOV",UPPER(O58&amp;""))),ISNUMBER(SEARCH("SEM I.E",UPPER(O58&amp;""))),ISNUMBER(SEARCH("SEM IE",UPPER(O58&amp;"")))),"DISPENSADO","ALERTA")))</x:f>
        <x:v>ALERTA</x:v>
      </x:c>
      <x:c r="X58" s="49" t="str">
        <x:f>IF(Q58&lt;&gt;"","SIM","NÃO")</x:f>
        <x:v>NÃO</x:v>
      </x:c>
      <x:c r="Y58" s="49" t="str">
        <x:f>IF(R58&lt;&gt;"","SIM","NÃO")</x:f>
        <x:v>NÃO</x:v>
      </x:c>
      <x:c r="Z58" s="49" t="str">
        <x:f>IF(OR(H58="A",V58="ALERTA",W58="ALERTA",T58="ALERTA",U58="ALERTA"),"ALTO",IF(OR(T58="PENDENTE",U58="PENDENTE",V58="PENDENTE",W58="PENDENTE"),"MÉDIO","BAIXO"))</x:f>
        <x:v>ALTO</x:v>
      </x:c>
      <x:c r="AA58" s="49" t="str">
        <x:f>IF(Z58="ALTO","Resolver certificado/permissão/CNPJ/status antes da rotina",IF(Z58="MÉDIO","Completar pasta/status pendente","Rotina regular"))</x:f>
        <x:v>Resolver certificado/permissão/CNPJ/status antes da rotina</x:v>
      </x:c>
    </x:row>
    <x:row r="59">
      <x:c r="A59" s="61" t="str">
        <x:v>ELDORADO SERVIÇOS (SILVIO) - 38</x:v>
      </x:c>
      <x:c r="B59" s="49" t="str">
        <x:v>ELDORADO</x:v>
      </x:c>
      <x:c r="C59" s="49" t="str">
        <x:v>ANÁPOLIS</x:v>
      </x:c>
      <x:c r="D59" s="49" t="str">
        <x:v>40.932.575/0001-67</x:v>
      </x:c>
      <x:c r="E59" s="49"/>
      <x:c r="F59" s="49" t="str">
        <x:v>JOÃO</x:v>
      </x:c>
      <x:c r="G59" s="49" t="str">
        <x:v>SIMPLES NACIONAL</x:v>
      </x:c>
      <x:c r="H59" s="49" t="str">
        <x:v>C</x:v>
      </x:c>
      <x:c r="I59" s="54"/>
      <x:c r="J59" s="49"/>
      <x:c r="K59" s="54"/>
      <x:c r="L59" s="49"/>
      <x:c r="M59" s="54" t="str">
        <x:v>SEM I.E.</x:v>
      </x:c>
      <x:c r="N59" s="49"/>
      <x:c r="O59" s="54" t="str">
        <x:v>SEM RESULTADOS</x:v>
      </x:c>
      <x:c r="P59" s="49"/>
      <x:c r="Q59" s="57"/>
      <x:c r="R59" s="57"/>
      <x:c r="S59" s="57"/>
      <x:c r="T59" s="49" t="str">
        <x:f>IF(OR(I59="x",ISNUMBER(I59),ISNUMBER(SEARCH("OK",UPPER(I59&amp;""))),ISNUMBER(SEARCH("JÁ",UPPER(I59&amp;""))),ISNUMBER(SEARCH("JA ",UPPER(I59&amp;"")))),"OK",IF(I59="","PENDENTE",IF(OR(ISNUMBER(SEARCH("SEM MOV",UPPER(I59&amp;""))),ISNUMBER(SEARCH("SEM I.E",UPPER(I59&amp;""))),ISNUMBER(SEARCH("SEM IE",UPPER(I59&amp;"")))),"DISPENSADO","ALERTA")))</x:f>
        <x:v>PENDENTE</x:v>
      </x:c>
      <x:c r="U59" s="49" t="str">
        <x:f>IF(OR(K59="x",ISNUMBER(K59),ISNUMBER(SEARCH("OK",UPPER(K59&amp;""))),ISNUMBER(SEARCH("JÁ",UPPER(K59&amp;""))),ISNUMBER(SEARCH("JA ",UPPER(K59&amp;"")))),"OK",IF(K59="","PENDENTE",IF(OR(ISNUMBER(SEARCH("SEM MOV",UPPER(K59&amp;""))),ISNUMBER(SEARCH("SEM I.E",UPPER(K59&amp;""))),ISNUMBER(SEARCH("SEM IE",UPPER(K59&amp;"")))),"DISPENSADO","ALERTA")))</x:f>
        <x:v>PENDENTE</x:v>
      </x:c>
      <x:c r="V59" s="49" t="str">
        <x:f>IF(OR(M59="x",ISNUMBER(M59),ISNUMBER(SEARCH("OK",UPPER(M59&amp;""))),ISNUMBER(SEARCH("JÁ",UPPER(M59&amp;""))),ISNUMBER(SEARCH("JA ",UPPER(M59&amp;"")))),"OK",IF(M59="","PENDENTE",IF(OR(ISNUMBER(SEARCH("SEM MOV",UPPER(M59&amp;""))),ISNUMBER(SEARCH("SEM I.E",UPPER(M59&amp;""))),ISNUMBER(SEARCH("SEM IE",UPPER(M59&amp;"")))),"DISPENSADO","ALERTA")))</x:f>
        <x:v>DISPENSADO</x:v>
      </x:c>
      <x:c r="W59" s="49" t="str">
        <x:f>IF(OR(O59="x",ISNUMBER(O59),ISNUMBER(SEARCH("OK",UPPER(O59&amp;""))),ISNUMBER(SEARCH("JÁ",UPPER(O59&amp;""))),ISNUMBER(SEARCH("JA ",UPPER(O59&amp;"")))),"OK",IF(O59="","PENDENTE",IF(OR(ISNUMBER(SEARCH("SEM MOV",UPPER(O59&amp;""))),ISNUMBER(SEARCH("SEM I.E",UPPER(O59&amp;""))),ISNUMBER(SEARCH("SEM IE",UPPER(O59&amp;"")))),"DISPENSADO","ALERTA")))</x:f>
        <x:v>ALERTA</x:v>
      </x:c>
      <x:c r="X59" s="49" t="str">
        <x:f>IF(Q59&lt;&gt;"","SIM","NÃO")</x:f>
        <x:v>NÃO</x:v>
      </x:c>
      <x:c r="Y59" s="49" t="str">
        <x:f>IF(R59&lt;&gt;"","SIM","NÃO")</x:f>
        <x:v>NÃO</x:v>
      </x:c>
      <x:c r="Z59" s="49" t="str">
        <x:f>IF(OR(H59="A",V59="ALERTA",W59="ALERTA",T59="ALERTA",U59="ALERTA"),"ALTO",IF(OR(T59="PENDENTE",U59="PENDENTE",V59="PENDENTE",W59="PENDENTE"),"MÉDIO","BAIXO"))</x:f>
        <x:v>ALTO</x:v>
      </x:c>
      <x:c r="AA59" s="49" t="str">
        <x:f>IF(Z59="ALTO","Resolver certificado/permissão/CNPJ/status antes da rotina",IF(Z59="MÉDIO","Completar pasta/status pendente","Rotina regular"))</x:f>
        <x:v>Resolver certificado/permissão/CNPJ/status antes da rotina</x:v>
      </x:c>
    </x:row>
    <x:row r="60">
      <x:c r="A60" s="61" t="str">
        <x:v>ELETRICA E HIDRAULICA SMART LTDA</x:v>
      </x:c>
      <x:c r="B60" s="49" t="str">
        <x:v>SMART</x:v>
      </x:c>
      <x:c r="C60" s="49" t="str">
        <x:v>GOIÂNIA</x:v>
      </x:c>
      <x:c r="D60" s="49" t="str">
        <x:v>36.878.154/0001-28</x:v>
      </x:c>
      <x:c r="E60" s="49"/>
      <x:c r="F60" s="49" t="str">
        <x:v>TATIANE</x:v>
      </x:c>
      <x:c r="G60" s="49" t="str">
        <x:v>LUCRO REAL</x:v>
      </x:c>
      <x:c r="H60" s="49" t="str">
        <x:v>B</x:v>
      </x:c>
      <x:c r="I60" s="54"/>
      <x:c r="J60" s="49"/>
      <x:c r="K60" s="54"/>
      <x:c r="L60" s="49"/>
      <x:c r="M60" s="54" t="str">
        <x:v>SEM MOVIEMNTO</x:v>
      </x:c>
      <x:c r="N60" s="49"/>
      <x:c r="O60" s="54" t="str">
        <x:v>OK 30/04</x:v>
      </x:c>
      <x:c r="P60" s="49"/>
      <x:c r="Q60" s="57"/>
      <x:c r="R60" s="57"/>
      <x:c r="S60" s="57"/>
      <x:c r="T60" s="49" t="str">
        <x:f>IF(OR(I60="x",ISNUMBER(I60),ISNUMBER(SEARCH("OK",UPPER(I60&amp;""))),ISNUMBER(SEARCH("JÁ",UPPER(I60&amp;""))),ISNUMBER(SEARCH("JA ",UPPER(I60&amp;"")))),"OK",IF(I60="","PENDENTE",IF(OR(ISNUMBER(SEARCH("SEM MOV",UPPER(I60&amp;""))),ISNUMBER(SEARCH("SEM I.E",UPPER(I60&amp;""))),ISNUMBER(SEARCH("SEM IE",UPPER(I60&amp;"")))),"DISPENSADO","ALERTA")))</x:f>
        <x:v>PENDENTE</x:v>
      </x:c>
      <x:c r="U60" s="49" t="str">
        <x:f>IF(OR(K60="x",ISNUMBER(K60),ISNUMBER(SEARCH("OK",UPPER(K60&amp;""))),ISNUMBER(SEARCH("JÁ",UPPER(K60&amp;""))),ISNUMBER(SEARCH("JA ",UPPER(K60&amp;"")))),"OK",IF(K60="","PENDENTE",IF(OR(ISNUMBER(SEARCH("SEM MOV",UPPER(K60&amp;""))),ISNUMBER(SEARCH("SEM I.E",UPPER(K60&amp;""))),ISNUMBER(SEARCH("SEM IE",UPPER(K60&amp;"")))),"DISPENSADO","ALERTA")))</x:f>
        <x:v>PENDENTE</x:v>
      </x:c>
      <x:c r="V60" s="49" t="str">
        <x:f>IF(OR(M60="x",ISNUMBER(M60),ISNUMBER(SEARCH("OK",UPPER(M60&amp;""))),ISNUMBER(SEARCH("JÁ",UPPER(M60&amp;""))),ISNUMBER(SEARCH("JA ",UPPER(M60&amp;"")))),"OK",IF(M60="","PENDENTE",IF(OR(ISNUMBER(SEARCH("SEM MOV",UPPER(M60&amp;""))),ISNUMBER(SEARCH("SEM I.E",UPPER(M60&amp;""))),ISNUMBER(SEARCH("SEM IE",UPPER(M60&amp;"")))),"DISPENSADO","ALERTA")))</x:f>
        <x:v>DISPENSADO</x:v>
      </x:c>
      <x:c r="W60" s="49" t="str">
        <x:f>IF(OR(O60="x",ISNUMBER(O60),ISNUMBER(SEARCH("OK",UPPER(O60&amp;""))),ISNUMBER(SEARCH("JÁ",UPPER(O60&amp;""))),ISNUMBER(SEARCH("JA ",UPPER(O60&amp;"")))),"OK",IF(O60="","PENDENTE",IF(OR(ISNUMBER(SEARCH("SEM MOV",UPPER(O60&amp;""))),ISNUMBER(SEARCH("SEM I.E",UPPER(O60&amp;""))),ISNUMBER(SEARCH("SEM IE",UPPER(O60&amp;"")))),"DISPENSADO","ALERTA")))</x:f>
        <x:v>OK</x:v>
      </x:c>
      <x:c r="X60" s="49" t="str">
        <x:f>IF(Q60&lt;&gt;"","SIM","NÃO")</x:f>
        <x:v>NÃO</x:v>
      </x:c>
      <x:c r="Y60" s="49" t="str">
        <x:f>IF(R60&lt;&gt;"","SIM","NÃO")</x:f>
        <x:v>NÃO</x:v>
      </x:c>
      <x:c r="Z60" s="49" t="str">
        <x:f>IF(OR(H60="A",V60="ALERTA",W60="ALERTA",T60="ALERTA",U60="ALERTA"),"ALTO",IF(OR(T60="PENDENTE",U60="PENDENTE",V60="PENDENTE",W60="PENDENTE"),"MÉDIO","BAIXO"))</x:f>
        <x:v>MÉDIO</x:v>
      </x:c>
      <x:c r="AA60" s="49" t="str">
        <x:f>IF(Z60="ALTO","Resolver certificado/permissão/CNPJ/status antes da rotina",IF(Z60="MÉDIO","Completar pasta/status pendente","Rotina regular"))</x:f>
        <x:v>Completar pasta/status pendente</x:v>
      </x:c>
    </x:row>
    <x:row r="61">
      <x:c r="A61" s="61" t="str">
        <x:v>ELETRICA SMART SERVICE LTDA - 208</x:v>
      </x:c>
      <x:c r="B61" s="49" t="str">
        <x:v>SMART</x:v>
      </x:c>
      <x:c r="C61" s="49" t="str">
        <x:v>GOIÂNIA</x:v>
      </x:c>
      <x:c r="D61" s="49" t="str">
        <x:v>60.906.391/0001-30</x:v>
      </x:c>
      <x:c r="E61" s="49"/>
      <x:c r="F61" s="49" t="str">
        <x:v>TATIANE</x:v>
      </x:c>
      <x:c r="G61" s="49" t="str">
        <x:v>SIMPLES NACIONAL</x:v>
      </x:c>
      <x:c r="H61" s="49" t="str">
        <x:v>B</x:v>
      </x:c>
      <x:c r="I61" s="54"/>
      <x:c r="J61" s="49"/>
      <x:c r="K61" s="54"/>
      <x:c r="L61" s="49"/>
      <x:c r="M61" s="54" t="str">
        <x:v>SEM MOVIEMNTO</x:v>
      </x:c>
      <x:c r="N61" s="49"/>
      <x:c r="O61" s="54" t="str">
        <x:v>SEM RESULTADOS</x:v>
      </x:c>
      <x:c r="P61" s="49"/>
      <x:c r="Q61" s="57"/>
      <x:c r="R61" s="57"/>
      <x:c r="S61" s="57"/>
      <x:c r="T61" s="49" t="str">
        <x:f>IF(OR(I61="x",ISNUMBER(I61),ISNUMBER(SEARCH("OK",UPPER(I61&amp;""))),ISNUMBER(SEARCH("JÁ",UPPER(I61&amp;""))),ISNUMBER(SEARCH("JA ",UPPER(I61&amp;"")))),"OK",IF(I61="","PENDENTE",IF(OR(ISNUMBER(SEARCH("SEM MOV",UPPER(I61&amp;""))),ISNUMBER(SEARCH("SEM I.E",UPPER(I61&amp;""))),ISNUMBER(SEARCH("SEM IE",UPPER(I61&amp;"")))),"DISPENSADO","ALERTA")))</x:f>
        <x:v>PENDENTE</x:v>
      </x:c>
      <x:c r="U61" s="49" t="str">
        <x:f>IF(OR(K61="x",ISNUMBER(K61),ISNUMBER(SEARCH("OK",UPPER(K61&amp;""))),ISNUMBER(SEARCH("JÁ",UPPER(K61&amp;""))),ISNUMBER(SEARCH("JA ",UPPER(K61&amp;"")))),"OK",IF(K61="","PENDENTE",IF(OR(ISNUMBER(SEARCH("SEM MOV",UPPER(K61&amp;""))),ISNUMBER(SEARCH("SEM I.E",UPPER(K61&amp;""))),ISNUMBER(SEARCH("SEM IE",UPPER(K61&amp;"")))),"DISPENSADO","ALERTA")))</x:f>
        <x:v>PENDENTE</x:v>
      </x:c>
      <x:c r="V61" s="49" t="str">
        <x:f>IF(OR(M61="x",ISNUMBER(M61),ISNUMBER(SEARCH("OK",UPPER(M61&amp;""))),ISNUMBER(SEARCH("JÁ",UPPER(M61&amp;""))),ISNUMBER(SEARCH("JA ",UPPER(M61&amp;"")))),"OK",IF(M61="","PENDENTE",IF(OR(ISNUMBER(SEARCH("SEM MOV",UPPER(M61&amp;""))),ISNUMBER(SEARCH("SEM I.E",UPPER(M61&amp;""))),ISNUMBER(SEARCH("SEM IE",UPPER(M61&amp;"")))),"DISPENSADO","ALERTA")))</x:f>
        <x:v>DISPENSADO</x:v>
      </x:c>
      <x:c r="W61" s="49" t="str">
        <x:f>IF(OR(O61="x",ISNUMBER(O61),ISNUMBER(SEARCH("OK",UPPER(O61&amp;""))),ISNUMBER(SEARCH("JÁ",UPPER(O61&amp;""))),ISNUMBER(SEARCH("JA ",UPPER(O61&amp;"")))),"OK",IF(O61="","PENDENTE",IF(OR(ISNUMBER(SEARCH("SEM MOV",UPPER(O61&amp;""))),ISNUMBER(SEARCH("SEM I.E",UPPER(O61&amp;""))),ISNUMBER(SEARCH("SEM IE",UPPER(O61&amp;"")))),"DISPENSADO","ALERTA")))</x:f>
        <x:v>ALERTA</x:v>
      </x:c>
      <x:c r="X61" s="49" t="str">
        <x:f>IF(Q61&lt;&gt;"","SIM","NÃO")</x:f>
        <x:v>NÃO</x:v>
      </x:c>
      <x:c r="Y61" s="49" t="str">
        <x:f>IF(R61&lt;&gt;"","SIM","NÃO")</x:f>
        <x:v>NÃO</x:v>
      </x:c>
      <x:c r="Z61" s="49" t="str">
        <x:f>IF(OR(H61="A",V61="ALERTA",W61="ALERTA",T61="ALERTA",U61="ALERTA"),"ALTO",IF(OR(T61="PENDENTE",U61="PENDENTE",V61="PENDENTE",W61="PENDENTE"),"MÉDIO","BAIXO"))</x:f>
        <x:v>ALTO</x:v>
      </x:c>
      <x:c r="AA61" s="49" t="str">
        <x:f>IF(Z61="ALTO","Resolver certificado/permissão/CNPJ/status antes da rotina",IF(Z61="MÉDIO","Completar pasta/status pendente","Rotina regular"))</x:f>
        <x:v>Resolver certificado/permissão/CNPJ/status antes da rotina</x:v>
      </x:c>
    </x:row>
    <x:row r="62">
      <x:c r="A62" s="61" t="str">
        <x:v>ENIVALDO CAMPOS RODRIGUES MEI - 50</x:v>
      </x:c>
      <x:c r="B62" s="49" t="str">
        <x:v>INDEPENDENTE</x:v>
      </x:c>
      <x:c r="C62" s="49" t="str">
        <x:v>GOIÂNIA</x:v>
      </x:c>
      <x:c r="D62" s="49" t="str">
        <x:v>41.762.299/0001-07</x:v>
      </x:c>
      <x:c r="E62" s="49"/>
      <x:c r="F62" s="49" t="str">
        <x:v>ENIVALDO</x:v>
      </x:c>
      <x:c r="G62" s="49" t="str">
        <x:v>SIMPLES NACIONAL</x:v>
      </x:c>
      <x:c r="H62" s="49" t="str">
        <x:v>C</x:v>
      </x:c>
      <x:c r="I62" s="54"/>
      <x:c r="J62" s="49"/>
      <x:c r="K62" s="54"/>
      <x:c r="L62" s="49"/>
      <x:c r="M62" s="54" t="str">
        <x:v>SEM I.E.</x:v>
      </x:c>
      <x:c r="N62" s="49"/>
      <x:c r="O62" s="54" t="str">
        <x:v>XXXXXXX</x:v>
      </x:c>
      <x:c r="P62" s="49"/>
      <x:c r="Q62" s="57"/>
      <x:c r="R62" s="57"/>
      <x:c r="S62" s="57"/>
      <x:c r="T62" s="49" t="str">
        <x:f>IF(OR(I62="x",ISNUMBER(I62),ISNUMBER(SEARCH("OK",UPPER(I62&amp;""))),ISNUMBER(SEARCH("JÁ",UPPER(I62&amp;""))),ISNUMBER(SEARCH("JA ",UPPER(I62&amp;"")))),"OK",IF(I62="","PENDENTE",IF(OR(ISNUMBER(SEARCH("SEM MOV",UPPER(I62&amp;""))),ISNUMBER(SEARCH("SEM I.E",UPPER(I62&amp;""))),ISNUMBER(SEARCH("SEM IE",UPPER(I62&amp;"")))),"DISPENSADO","ALERTA")))</x:f>
        <x:v>PENDENTE</x:v>
      </x:c>
      <x:c r="U62" s="49" t="str">
        <x:f>IF(OR(K62="x",ISNUMBER(K62),ISNUMBER(SEARCH("OK",UPPER(K62&amp;""))),ISNUMBER(SEARCH("JÁ",UPPER(K62&amp;""))),ISNUMBER(SEARCH("JA ",UPPER(K62&amp;"")))),"OK",IF(K62="","PENDENTE",IF(OR(ISNUMBER(SEARCH("SEM MOV",UPPER(K62&amp;""))),ISNUMBER(SEARCH("SEM I.E",UPPER(K62&amp;""))),ISNUMBER(SEARCH("SEM IE",UPPER(K62&amp;"")))),"DISPENSADO","ALERTA")))</x:f>
        <x:v>PENDENTE</x:v>
      </x:c>
      <x:c r="V62" s="49" t="str">
        <x:f>IF(OR(M62="x",ISNUMBER(M62),ISNUMBER(SEARCH("OK",UPPER(M62&amp;""))),ISNUMBER(SEARCH("JÁ",UPPER(M62&amp;""))),ISNUMBER(SEARCH("JA ",UPPER(M62&amp;"")))),"OK",IF(M62="","PENDENTE",IF(OR(ISNUMBER(SEARCH("SEM MOV",UPPER(M62&amp;""))),ISNUMBER(SEARCH("SEM I.E",UPPER(M62&amp;""))),ISNUMBER(SEARCH("SEM IE",UPPER(M62&amp;"")))),"DISPENSADO","ALERTA")))</x:f>
        <x:v>DISPENSADO</x:v>
      </x:c>
      <x:c r="W62" s="49" t="str">
        <x:f>IF(OR(O62="x",ISNUMBER(O62),ISNUMBER(SEARCH("OK",UPPER(O62&amp;""))),ISNUMBER(SEARCH("JÁ",UPPER(O62&amp;""))),ISNUMBER(SEARCH("JA ",UPPER(O62&amp;"")))),"OK",IF(O62="","PENDENTE",IF(OR(ISNUMBER(SEARCH("SEM MOV",UPPER(O62&amp;""))),ISNUMBER(SEARCH("SEM I.E",UPPER(O62&amp;""))),ISNUMBER(SEARCH("SEM IE",UPPER(O62&amp;"")))),"DISPENSADO","ALERTA")))</x:f>
        <x:v>ALERTA</x:v>
      </x:c>
      <x:c r="X62" s="49" t="str">
        <x:f>IF(Q62&lt;&gt;"","SIM","NÃO")</x:f>
        <x:v>NÃO</x:v>
      </x:c>
      <x:c r="Y62" s="49" t="str">
        <x:f>IF(R62&lt;&gt;"","SIM","NÃO")</x:f>
        <x:v>NÃO</x:v>
      </x:c>
      <x:c r="Z62" s="49" t="str">
        <x:f>IF(OR(H62="A",V62="ALERTA",W62="ALERTA",T62="ALERTA",U62="ALERTA"),"ALTO",IF(OR(T62="PENDENTE",U62="PENDENTE",V62="PENDENTE",W62="PENDENTE"),"MÉDIO","BAIXO"))</x:f>
        <x:v>ALTO</x:v>
      </x:c>
      <x:c r="AA62" s="49" t="str">
        <x:f>IF(Z62="ALTO","Resolver certificado/permissão/CNPJ/status antes da rotina",IF(Z62="MÉDIO","Completar pasta/status pendente","Rotina regular"))</x:f>
        <x:v>Resolver certificado/permissão/CNPJ/status antes da rotina</x:v>
      </x:c>
    </x:row>
    <x:row r="63">
      <x:c r="A63" s="61" t="str">
        <x:v>ERIO APOIO ADM - 137</x:v>
      </x:c>
      <x:c r="B63" s="49" t="str">
        <x:v>ERIO</x:v>
      </x:c>
      <x:c r="C63" s="49" t="str">
        <x:v>JATAÍ</x:v>
      </x:c>
      <x:c r="D63" s="49" t="str">
        <x:v>52.090.662/0001-01</x:v>
      </x:c>
      <x:c r="E63" s="49"/>
      <x:c r="F63" s="49" t="str">
        <x:v>LUCIANA/PATRICIA</x:v>
      </x:c>
      <x:c r="G63" s="49" t="str">
        <x:v>SIMPLES NACIONAL</x:v>
      </x:c>
      <x:c r="H63" s="49" t="str">
        <x:v>C</x:v>
      </x:c>
      <x:c r="I63" s="54"/>
      <x:c r="J63" s="49"/>
      <x:c r="K63" s="54"/>
      <x:c r="L63" s="49"/>
      <x:c r="M63" s="54" t="str">
        <x:v>SEM I.E.</x:v>
      </x:c>
      <x:c r="N63" s="49"/>
      <x:c r="O63" s="54" t="str">
        <x:v>SEM RESULTADOS</x:v>
      </x:c>
      <x:c r="P63" s="49"/>
      <x:c r="Q63" s="57"/>
      <x:c r="R63" s="57"/>
      <x:c r="S63" s="57"/>
      <x:c r="T63" s="49" t="str">
        <x:f>IF(OR(I63="x",ISNUMBER(I63),ISNUMBER(SEARCH("OK",UPPER(I63&amp;""))),ISNUMBER(SEARCH("JÁ",UPPER(I63&amp;""))),ISNUMBER(SEARCH("JA ",UPPER(I63&amp;"")))),"OK",IF(I63="","PENDENTE",IF(OR(ISNUMBER(SEARCH("SEM MOV",UPPER(I63&amp;""))),ISNUMBER(SEARCH("SEM I.E",UPPER(I63&amp;""))),ISNUMBER(SEARCH("SEM IE",UPPER(I63&amp;"")))),"DISPENSADO","ALERTA")))</x:f>
        <x:v>PENDENTE</x:v>
      </x:c>
      <x:c r="U63" s="49" t="str">
        <x:f>IF(OR(K63="x",ISNUMBER(K63),ISNUMBER(SEARCH("OK",UPPER(K63&amp;""))),ISNUMBER(SEARCH("JÁ",UPPER(K63&amp;""))),ISNUMBER(SEARCH("JA ",UPPER(K63&amp;"")))),"OK",IF(K63="","PENDENTE",IF(OR(ISNUMBER(SEARCH("SEM MOV",UPPER(K63&amp;""))),ISNUMBER(SEARCH("SEM I.E",UPPER(K63&amp;""))),ISNUMBER(SEARCH("SEM IE",UPPER(K63&amp;"")))),"DISPENSADO","ALERTA")))</x:f>
        <x:v>PENDENTE</x:v>
      </x:c>
      <x:c r="V63" s="49" t="str">
        <x:f>IF(OR(M63="x",ISNUMBER(M63),ISNUMBER(SEARCH("OK",UPPER(M63&amp;""))),ISNUMBER(SEARCH("JÁ",UPPER(M63&amp;""))),ISNUMBER(SEARCH("JA ",UPPER(M63&amp;"")))),"OK",IF(M63="","PENDENTE",IF(OR(ISNUMBER(SEARCH("SEM MOV",UPPER(M63&amp;""))),ISNUMBER(SEARCH("SEM I.E",UPPER(M63&amp;""))),ISNUMBER(SEARCH("SEM IE",UPPER(M63&amp;"")))),"DISPENSADO","ALERTA")))</x:f>
        <x:v>DISPENSADO</x:v>
      </x:c>
      <x:c r="W63" s="49" t="str">
        <x:f>IF(OR(O63="x",ISNUMBER(O63),ISNUMBER(SEARCH("OK",UPPER(O63&amp;""))),ISNUMBER(SEARCH("JÁ",UPPER(O63&amp;""))),ISNUMBER(SEARCH("JA ",UPPER(O63&amp;"")))),"OK",IF(O63="","PENDENTE",IF(OR(ISNUMBER(SEARCH("SEM MOV",UPPER(O63&amp;""))),ISNUMBER(SEARCH("SEM I.E",UPPER(O63&amp;""))),ISNUMBER(SEARCH("SEM IE",UPPER(O63&amp;"")))),"DISPENSADO","ALERTA")))</x:f>
        <x:v>ALERTA</x:v>
      </x:c>
      <x:c r="X63" s="49" t="str">
        <x:f>IF(Q63&lt;&gt;"","SIM","NÃO")</x:f>
        <x:v>NÃO</x:v>
      </x:c>
      <x:c r="Y63" s="49" t="str">
        <x:f>IF(R63&lt;&gt;"","SIM","NÃO")</x:f>
        <x:v>NÃO</x:v>
      </x:c>
      <x:c r="Z63" s="49" t="str">
        <x:f>IF(OR(H63="A",V63="ALERTA",W63="ALERTA",T63="ALERTA",U63="ALERTA"),"ALTO",IF(OR(T63="PENDENTE",U63="PENDENTE",V63="PENDENTE",W63="PENDENTE"),"MÉDIO","BAIXO"))</x:f>
        <x:v>ALTO</x:v>
      </x:c>
      <x:c r="AA63" s="49" t="str">
        <x:f>IF(Z63="ALTO","Resolver certificado/permissão/CNPJ/status antes da rotina",IF(Z63="MÉDIO","Completar pasta/status pendente","Rotina regular"))</x:f>
        <x:v>Resolver certificado/permissão/CNPJ/status antes da rotina</x:v>
      </x:c>
    </x:row>
    <x:row r="64">
      <x:c r="A64" s="61" t="str">
        <x:v>ERIO AUTO PECAS E MECANICA</x:v>
      </x:c>
      <x:c r="B64" s="49" t="str">
        <x:v>ERIO</x:v>
      </x:c>
      <x:c r="C64" s="49" t="str">
        <x:v>JATAI</x:v>
      </x:c>
      <x:c r="D64" s="49" t="str">
        <x:v>10.329.564/0001-26</x:v>
      </x:c>
      <x:c r="E64" s="49"/>
      <x:c r="F64" s="49" t="str">
        <x:v>LUCIANA/PATRICIA</x:v>
      </x:c>
      <x:c r="G64" s="49" t="str">
        <x:v>LUCRO REAL</x:v>
      </x:c>
      <x:c r="H64" s="49" t="str">
        <x:v>B</x:v>
      </x:c>
      <x:c r="I64" s="54"/>
      <x:c r="J64" s="49"/>
      <x:c r="K64" s="54"/>
      <x:c r="L64" s="49"/>
      <x:c r="M64" s="54" t="str">
        <x:v>OK 04/05</x:v>
      </x:c>
      <x:c r="N64" s="49"/>
      <x:c r="O64" s="54" t="str">
        <x:v>OK 30/04</x:v>
      </x:c>
      <x:c r="P64" s="49"/>
      <x:c r="Q64" s="57"/>
      <x:c r="R64" s="57"/>
      <x:c r="S64" s="57"/>
      <x:c r="T64" s="49" t="str">
        <x:f>IF(OR(I64="x",ISNUMBER(I64),ISNUMBER(SEARCH("OK",UPPER(I64&amp;""))),ISNUMBER(SEARCH("JÁ",UPPER(I64&amp;""))),ISNUMBER(SEARCH("JA ",UPPER(I64&amp;"")))),"OK",IF(I64="","PENDENTE",IF(OR(ISNUMBER(SEARCH("SEM MOV",UPPER(I64&amp;""))),ISNUMBER(SEARCH("SEM I.E",UPPER(I64&amp;""))),ISNUMBER(SEARCH("SEM IE",UPPER(I64&amp;"")))),"DISPENSADO","ALERTA")))</x:f>
        <x:v>PENDENTE</x:v>
      </x:c>
      <x:c r="U64" s="49" t="str">
        <x:f>IF(OR(K64="x",ISNUMBER(K64),ISNUMBER(SEARCH("OK",UPPER(K64&amp;""))),ISNUMBER(SEARCH("JÁ",UPPER(K64&amp;""))),ISNUMBER(SEARCH("JA ",UPPER(K64&amp;"")))),"OK",IF(K64="","PENDENTE",IF(OR(ISNUMBER(SEARCH("SEM MOV",UPPER(K64&amp;""))),ISNUMBER(SEARCH("SEM I.E",UPPER(K64&amp;""))),ISNUMBER(SEARCH("SEM IE",UPPER(K64&amp;"")))),"DISPENSADO","ALERTA")))</x:f>
        <x:v>PENDENTE</x:v>
      </x:c>
      <x:c r="V64" s="49" t="str">
        <x:f>IF(OR(M64="x",ISNUMBER(M64),ISNUMBER(SEARCH("OK",UPPER(M64&amp;""))),ISNUMBER(SEARCH("JÁ",UPPER(M64&amp;""))),ISNUMBER(SEARCH("JA ",UPPER(M64&amp;"")))),"OK",IF(M64="","PENDENTE",IF(OR(ISNUMBER(SEARCH("SEM MOV",UPPER(M64&amp;""))),ISNUMBER(SEARCH("SEM I.E",UPPER(M64&amp;""))),ISNUMBER(SEARCH("SEM IE",UPPER(M64&amp;"")))),"DISPENSADO","ALERTA")))</x:f>
        <x:v>OK</x:v>
      </x:c>
      <x:c r="W64" s="49" t="str">
        <x:f>IF(OR(O64="x",ISNUMBER(O64),ISNUMBER(SEARCH("OK",UPPER(O64&amp;""))),ISNUMBER(SEARCH("JÁ",UPPER(O64&amp;""))),ISNUMBER(SEARCH("JA ",UPPER(O64&amp;"")))),"OK",IF(O64="","PENDENTE",IF(OR(ISNUMBER(SEARCH("SEM MOV",UPPER(O64&amp;""))),ISNUMBER(SEARCH("SEM I.E",UPPER(O64&amp;""))),ISNUMBER(SEARCH("SEM IE",UPPER(O64&amp;"")))),"DISPENSADO","ALERTA")))</x:f>
        <x:v>OK</x:v>
      </x:c>
      <x:c r="X64" s="49" t="str">
        <x:f>IF(Q64&lt;&gt;"","SIM","NÃO")</x:f>
        <x:v>NÃO</x:v>
      </x:c>
      <x:c r="Y64" s="49" t="str">
        <x:f>IF(R64&lt;&gt;"","SIM","NÃO")</x:f>
        <x:v>NÃO</x:v>
      </x:c>
      <x:c r="Z64" s="49" t="str">
        <x:f>IF(OR(H64="A",V64="ALERTA",W64="ALERTA",T64="ALERTA",U64="ALERTA"),"ALTO",IF(OR(T64="PENDENTE",U64="PENDENTE",V64="PENDENTE",W64="PENDENTE"),"MÉDIO","BAIXO"))</x:f>
        <x:v>MÉDIO</x:v>
      </x:c>
      <x:c r="AA64" s="49" t="str">
        <x:f>IF(Z64="ALTO","Resolver certificado/permissão/CNPJ/status antes da rotina",IF(Z64="MÉDIO","Completar pasta/status pendente","Rotina regular"))</x:f>
        <x:v>Completar pasta/status pendente</x:v>
      </x:c>
    </x:row>
    <x:row r="65">
      <x:c r="A65" s="61" t="str">
        <x:v>ERIO AUTO PECAS E MECANICA - FL 01</x:v>
      </x:c>
      <x:c r="B65" s="49" t="str">
        <x:v>ERIO</x:v>
      </x:c>
      <x:c r="C65" s="49" t="str">
        <x:v>JATAI</x:v>
      </x:c>
      <x:c r="D65" s="49" t="str">
        <x:v>10.329.564/0002-07</x:v>
      </x:c>
      <x:c r="E65" s="49"/>
      <x:c r="F65" s="49" t="str">
        <x:v>LUCIANA/PATRICIA</x:v>
      </x:c>
      <x:c r="G65" s="49" t="str">
        <x:v>LUCRO REAL</x:v>
      </x:c>
      <x:c r="H65" s="49" t="str">
        <x:v>B</x:v>
      </x:c>
      <x:c r="I65" s="54"/>
      <x:c r="J65" s="49"/>
      <x:c r="K65" s="54"/>
      <x:c r="L65" s="49"/>
      <x:c r="M65" s="54" t="str">
        <x:v>OK 04/05</x:v>
      </x:c>
      <x:c r="N65" s="49"/>
      <x:c r="O65" s="54" t="str">
        <x:v>OK 30/04</x:v>
      </x:c>
      <x:c r="P65" s="49"/>
      <x:c r="Q65" s="57"/>
      <x:c r="R65" s="57"/>
      <x:c r="S65" s="57"/>
      <x:c r="T65" s="49" t="str">
        <x:f>IF(OR(I65="x",ISNUMBER(I65),ISNUMBER(SEARCH("OK",UPPER(I65&amp;""))),ISNUMBER(SEARCH("JÁ",UPPER(I65&amp;""))),ISNUMBER(SEARCH("JA ",UPPER(I65&amp;"")))),"OK",IF(I65="","PENDENTE",IF(OR(ISNUMBER(SEARCH("SEM MOV",UPPER(I65&amp;""))),ISNUMBER(SEARCH("SEM I.E",UPPER(I65&amp;""))),ISNUMBER(SEARCH("SEM IE",UPPER(I65&amp;"")))),"DISPENSADO","ALERTA")))</x:f>
        <x:v>PENDENTE</x:v>
      </x:c>
      <x:c r="U65" s="49" t="str">
        <x:f>IF(OR(K65="x",ISNUMBER(K65),ISNUMBER(SEARCH("OK",UPPER(K65&amp;""))),ISNUMBER(SEARCH("JÁ",UPPER(K65&amp;""))),ISNUMBER(SEARCH("JA ",UPPER(K65&amp;"")))),"OK",IF(K65="","PENDENTE",IF(OR(ISNUMBER(SEARCH("SEM MOV",UPPER(K65&amp;""))),ISNUMBER(SEARCH("SEM I.E",UPPER(K65&amp;""))),ISNUMBER(SEARCH("SEM IE",UPPER(K65&amp;"")))),"DISPENSADO","ALERTA")))</x:f>
        <x:v>PENDENTE</x:v>
      </x:c>
      <x:c r="V65" s="49" t="str">
        <x:f>IF(OR(M65="x",ISNUMBER(M65),ISNUMBER(SEARCH("OK",UPPER(M65&amp;""))),ISNUMBER(SEARCH("JÁ",UPPER(M65&amp;""))),ISNUMBER(SEARCH("JA ",UPPER(M65&amp;"")))),"OK",IF(M65="","PENDENTE",IF(OR(ISNUMBER(SEARCH("SEM MOV",UPPER(M65&amp;""))),ISNUMBER(SEARCH("SEM I.E",UPPER(M65&amp;""))),ISNUMBER(SEARCH("SEM IE",UPPER(M65&amp;"")))),"DISPENSADO","ALERTA")))</x:f>
        <x:v>OK</x:v>
      </x:c>
      <x:c r="W65" s="49" t="str">
        <x:f>IF(OR(O65="x",ISNUMBER(O65),ISNUMBER(SEARCH("OK",UPPER(O65&amp;""))),ISNUMBER(SEARCH("JÁ",UPPER(O65&amp;""))),ISNUMBER(SEARCH("JA ",UPPER(O65&amp;"")))),"OK",IF(O65="","PENDENTE",IF(OR(ISNUMBER(SEARCH("SEM MOV",UPPER(O65&amp;""))),ISNUMBER(SEARCH("SEM I.E",UPPER(O65&amp;""))),ISNUMBER(SEARCH("SEM IE",UPPER(O65&amp;"")))),"DISPENSADO","ALERTA")))</x:f>
        <x:v>OK</x:v>
      </x:c>
      <x:c r="X65" s="49" t="str">
        <x:f>IF(Q65&lt;&gt;"","SIM","NÃO")</x:f>
        <x:v>NÃO</x:v>
      </x:c>
      <x:c r="Y65" s="49" t="str">
        <x:f>IF(R65&lt;&gt;"","SIM","NÃO")</x:f>
        <x:v>NÃO</x:v>
      </x:c>
      <x:c r="Z65" s="49" t="str">
        <x:f>IF(OR(H65="A",V65="ALERTA",W65="ALERTA",T65="ALERTA",U65="ALERTA"),"ALTO",IF(OR(T65="PENDENTE",U65="PENDENTE",V65="PENDENTE",W65="PENDENTE"),"MÉDIO","BAIXO"))</x:f>
        <x:v>MÉDIO</x:v>
      </x:c>
      <x:c r="AA65" s="49" t="str">
        <x:f>IF(Z65="ALTO","Resolver certificado/permissão/CNPJ/status antes da rotina",IF(Z65="MÉDIO","Completar pasta/status pendente","Rotina regular"))</x:f>
        <x:v>Completar pasta/status pendente</x:v>
      </x:c>
    </x:row>
    <x:row r="66">
      <x:c r="A66" s="61" t="str">
        <x:v>ESCOLA DE EDUCACAO BILINGUE LTDA - 149</x:v>
      </x:c>
      <x:c r="B66" s="49" t="str">
        <x:v>INTERESCHOOL</x:v>
      </x:c>
      <x:c r="C66" s="49" t="str">
        <x:v>GOIÂNIA</x:v>
      </x:c>
      <x:c r="D66" s="49" t="str">
        <x:v>08.587.897/0001-03</x:v>
      </x:c>
      <x:c r="E66" s="49"/>
      <x:c r="F66" s="49" t="str">
        <x:v>ROSICLÉIA</x:v>
      </x:c>
      <x:c r="G66" s="49" t="str">
        <x:v>LUCRO PRESUMIDO</x:v>
      </x:c>
      <x:c r="H66" s="49" t="str">
        <x:v>C</x:v>
      </x:c>
      <x:c r="I66" s="54"/>
      <x:c r="J66" s="49"/>
      <x:c r="K66" s="54"/>
      <x:c r="L66" s="49"/>
      <x:c r="M66" s="54" t="str">
        <x:v>SEM I.E.</x:v>
      </x:c>
      <x:c r="N66" s="49"/>
      <x:c r="O66" s="54" t="str">
        <x:v>SEM RESULTADOS</x:v>
      </x:c>
      <x:c r="P66" s="49"/>
      <x:c r="Q66" s="57"/>
      <x:c r="R66" s="57"/>
      <x:c r="S66" s="57"/>
      <x:c r="T66" s="49" t="str">
        <x:f>IF(OR(I66="x",ISNUMBER(I66),ISNUMBER(SEARCH("OK",UPPER(I66&amp;""))),ISNUMBER(SEARCH("JÁ",UPPER(I66&amp;""))),ISNUMBER(SEARCH("JA ",UPPER(I66&amp;"")))),"OK",IF(I66="","PENDENTE",IF(OR(ISNUMBER(SEARCH("SEM MOV",UPPER(I66&amp;""))),ISNUMBER(SEARCH("SEM I.E",UPPER(I66&amp;""))),ISNUMBER(SEARCH("SEM IE",UPPER(I66&amp;"")))),"DISPENSADO","ALERTA")))</x:f>
        <x:v>PENDENTE</x:v>
      </x:c>
      <x:c r="U66" s="49" t="str">
        <x:f>IF(OR(K66="x",ISNUMBER(K66),ISNUMBER(SEARCH("OK",UPPER(K66&amp;""))),ISNUMBER(SEARCH("JÁ",UPPER(K66&amp;""))),ISNUMBER(SEARCH("JA ",UPPER(K66&amp;"")))),"OK",IF(K66="","PENDENTE",IF(OR(ISNUMBER(SEARCH("SEM MOV",UPPER(K66&amp;""))),ISNUMBER(SEARCH("SEM I.E",UPPER(K66&amp;""))),ISNUMBER(SEARCH("SEM IE",UPPER(K66&amp;"")))),"DISPENSADO","ALERTA")))</x:f>
        <x:v>PENDENTE</x:v>
      </x:c>
      <x:c r="V66" s="49" t="str">
        <x:f>IF(OR(M66="x",ISNUMBER(M66),ISNUMBER(SEARCH("OK",UPPER(M66&amp;""))),ISNUMBER(SEARCH("JÁ",UPPER(M66&amp;""))),ISNUMBER(SEARCH("JA ",UPPER(M66&amp;"")))),"OK",IF(M66="","PENDENTE",IF(OR(ISNUMBER(SEARCH("SEM MOV",UPPER(M66&amp;""))),ISNUMBER(SEARCH("SEM I.E",UPPER(M66&amp;""))),ISNUMBER(SEARCH("SEM IE",UPPER(M66&amp;"")))),"DISPENSADO","ALERTA")))</x:f>
        <x:v>DISPENSADO</x:v>
      </x:c>
      <x:c r="W66" s="49" t="str">
        <x:f>IF(OR(O66="x",ISNUMBER(O66),ISNUMBER(SEARCH("OK",UPPER(O66&amp;""))),ISNUMBER(SEARCH("JÁ",UPPER(O66&amp;""))),ISNUMBER(SEARCH("JA ",UPPER(O66&amp;"")))),"OK",IF(O66="","PENDENTE",IF(OR(ISNUMBER(SEARCH("SEM MOV",UPPER(O66&amp;""))),ISNUMBER(SEARCH("SEM I.E",UPPER(O66&amp;""))),ISNUMBER(SEARCH("SEM IE",UPPER(O66&amp;"")))),"DISPENSADO","ALERTA")))</x:f>
        <x:v>ALERTA</x:v>
      </x:c>
      <x:c r="X66" s="49" t="str">
        <x:f>IF(Q66&lt;&gt;"","SIM","NÃO")</x:f>
        <x:v>NÃO</x:v>
      </x:c>
      <x:c r="Y66" s="49" t="str">
        <x:f>IF(R66&lt;&gt;"","SIM","NÃO")</x:f>
        <x:v>NÃO</x:v>
      </x:c>
      <x:c r="Z66" s="49" t="str">
        <x:f>IF(OR(H66="A",V66="ALERTA",W66="ALERTA",T66="ALERTA",U66="ALERTA"),"ALTO",IF(OR(T66="PENDENTE",U66="PENDENTE",V66="PENDENTE",W66="PENDENTE"),"MÉDIO","BAIXO"))</x:f>
        <x:v>ALTO</x:v>
      </x:c>
      <x:c r="AA66" s="49" t="str">
        <x:f>IF(Z66="ALTO","Resolver certificado/permissão/CNPJ/status antes da rotina",IF(Z66="MÉDIO","Completar pasta/status pendente","Rotina regular"))</x:f>
        <x:v>Resolver certificado/permissão/CNPJ/status antes da rotina</x:v>
      </x:c>
    </x:row>
    <x:row r="67">
      <x:c r="A67" s="61" t="str">
        <x:v>ESCOLA GOIANA BILINGUE LTDA - 147</x:v>
      </x:c>
      <x:c r="B67" s="49" t="str">
        <x:v>INTERESCHOOL</x:v>
      </x:c>
      <x:c r="C67" s="49" t="str">
        <x:v>GOIÂNIA</x:v>
      </x:c>
      <x:c r="D67" s="49" t="str">
        <x:v>17.845.713/0001-59</x:v>
      </x:c>
      <x:c r="E67" s="49"/>
      <x:c r="F67" s="49" t="str">
        <x:v>ROSICLÉIA</x:v>
      </x:c>
      <x:c r="G67" s="49" t="str">
        <x:v>LUCRO PRESUMIDO</x:v>
      </x:c>
      <x:c r="H67" s="49" t="str">
        <x:v>C</x:v>
      </x:c>
      <x:c r="I67" s="54"/>
      <x:c r="J67" s="49"/>
      <x:c r="K67" s="54"/>
      <x:c r="L67" s="49"/>
      <x:c r="M67" s="54" t="str">
        <x:v>SEM I.E.</x:v>
      </x:c>
      <x:c r="N67" s="49"/>
      <x:c r="O67" s="54" t="str">
        <x:v>SEM RESULTADOS</x:v>
      </x:c>
      <x:c r="P67" s="49"/>
      <x:c r="Q67" s="57"/>
      <x:c r="R67" s="57"/>
      <x:c r="S67" s="57"/>
      <x:c r="T67" s="49" t="str">
        <x:f>IF(OR(I67="x",ISNUMBER(I67),ISNUMBER(SEARCH("OK",UPPER(I67&amp;""))),ISNUMBER(SEARCH("JÁ",UPPER(I67&amp;""))),ISNUMBER(SEARCH("JA ",UPPER(I67&amp;"")))),"OK",IF(I67="","PENDENTE",IF(OR(ISNUMBER(SEARCH("SEM MOV",UPPER(I67&amp;""))),ISNUMBER(SEARCH("SEM I.E",UPPER(I67&amp;""))),ISNUMBER(SEARCH("SEM IE",UPPER(I67&amp;"")))),"DISPENSADO","ALERTA")))</x:f>
        <x:v>PENDENTE</x:v>
      </x:c>
      <x:c r="U67" s="49" t="str">
        <x:f>IF(OR(K67="x",ISNUMBER(K67),ISNUMBER(SEARCH("OK",UPPER(K67&amp;""))),ISNUMBER(SEARCH("JÁ",UPPER(K67&amp;""))),ISNUMBER(SEARCH("JA ",UPPER(K67&amp;"")))),"OK",IF(K67="","PENDENTE",IF(OR(ISNUMBER(SEARCH("SEM MOV",UPPER(K67&amp;""))),ISNUMBER(SEARCH("SEM I.E",UPPER(K67&amp;""))),ISNUMBER(SEARCH("SEM IE",UPPER(K67&amp;"")))),"DISPENSADO","ALERTA")))</x:f>
        <x:v>PENDENTE</x:v>
      </x:c>
      <x:c r="V67" s="49" t="str">
        <x:f>IF(OR(M67="x",ISNUMBER(M67),ISNUMBER(SEARCH("OK",UPPER(M67&amp;""))),ISNUMBER(SEARCH("JÁ",UPPER(M67&amp;""))),ISNUMBER(SEARCH("JA ",UPPER(M67&amp;"")))),"OK",IF(M67="","PENDENTE",IF(OR(ISNUMBER(SEARCH("SEM MOV",UPPER(M67&amp;""))),ISNUMBER(SEARCH("SEM I.E",UPPER(M67&amp;""))),ISNUMBER(SEARCH("SEM IE",UPPER(M67&amp;"")))),"DISPENSADO","ALERTA")))</x:f>
        <x:v>DISPENSADO</x:v>
      </x:c>
      <x:c r="W67" s="49" t="str">
        <x:f>IF(OR(O67="x",ISNUMBER(O67),ISNUMBER(SEARCH("OK",UPPER(O67&amp;""))),ISNUMBER(SEARCH("JÁ",UPPER(O67&amp;""))),ISNUMBER(SEARCH("JA ",UPPER(O67&amp;"")))),"OK",IF(O67="","PENDENTE",IF(OR(ISNUMBER(SEARCH("SEM MOV",UPPER(O67&amp;""))),ISNUMBER(SEARCH("SEM I.E",UPPER(O67&amp;""))),ISNUMBER(SEARCH("SEM IE",UPPER(O67&amp;"")))),"DISPENSADO","ALERTA")))</x:f>
        <x:v>ALERTA</x:v>
      </x:c>
      <x:c r="X67" s="49" t="str">
        <x:f>IF(Q67&lt;&gt;"","SIM","NÃO")</x:f>
        <x:v>NÃO</x:v>
      </x:c>
      <x:c r="Y67" s="49" t="str">
        <x:f>IF(R67&lt;&gt;"","SIM","NÃO")</x:f>
        <x:v>NÃO</x:v>
      </x:c>
      <x:c r="Z67" s="49" t="str">
        <x:f>IF(OR(H67="A",V67="ALERTA",W67="ALERTA",T67="ALERTA",U67="ALERTA"),"ALTO",IF(OR(T67="PENDENTE",U67="PENDENTE",V67="PENDENTE",W67="PENDENTE"),"MÉDIO","BAIXO"))</x:f>
        <x:v>ALTO</x:v>
      </x:c>
      <x:c r="AA67" s="49" t="str">
        <x:f>IF(Z67="ALTO","Resolver certificado/permissão/CNPJ/status antes da rotina",IF(Z67="MÉDIO","Completar pasta/status pendente","Rotina regular"))</x:f>
        <x:v>Resolver certificado/permissão/CNPJ/status antes da rotina</x:v>
      </x:c>
    </x:row>
    <x:row r="68">
      <x:c r="A68" s="61" t="str">
        <x:v>ESCOLA INTERNACIONAL DE GOIANIA LTDA - 155</x:v>
      </x:c>
      <x:c r="B68" s="49" t="str">
        <x:v>INTERESCHOOL</x:v>
      </x:c>
      <x:c r="C68" s="49" t="str">
        <x:v>GOIÂNIA</x:v>
      </x:c>
      <x:c r="D68" s="49" t="str">
        <x:v>37.646.098/0001-69</x:v>
      </x:c>
      <x:c r="E68" s="49"/>
      <x:c r="F68" s="49" t="str">
        <x:v>ROSICLÉIA</x:v>
      </x:c>
      <x:c r="G68" s="49" t="str">
        <x:v>LUCRO PRESUMIDO</x:v>
      </x:c>
      <x:c r="H68" s="49" t="str">
        <x:v>C</x:v>
      </x:c>
      <x:c r="I68" s="54"/>
      <x:c r="J68" s="49"/>
      <x:c r="K68" s="54"/>
      <x:c r="L68" s="49"/>
      <x:c r="M68" s="54" t="str">
        <x:v>SEM I.E.</x:v>
      </x:c>
      <x:c r="N68" s="49"/>
      <x:c r="O68" s="54" t="str">
        <x:v>DADOS Ñ ENC CNPJ</x:v>
      </x:c>
      <x:c r="P68" s="49"/>
      <x:c r="Q68" s="57"/>
      <x:c r="R68" s="57"/>
      <x:c r="S68" s="57"/>
      <x:c r="T68" s="49" t="str">
        <x:f>IF(OR(I68="x",ISNUMBER(I68),ISNUMBER(SEARCH("OK",UPPER(I68&amp;""))),ISNUMBER(SEARCH("JÁ",UPPER(I68&amp;""))),ISNUMBER(SEARCH("JA ",UPPER(I68&amp;"")))),"OK",IF(I68="","PENDENTE",IF(OR(ISNUMBER(SEARCH("SEM MOV",UPPER(I68&amp;""))),ISNUMBER(SEARCH("SEM I.E",UPPER(I68&amp;""))),ISNUMBER(SEARCH("SEM IE",UPPER(I68&amp;"")))),"DISPENSADO","ALERTA")))</x:f>
        <x:v>PENDENTE</x:v>
      </x:c>
      <x:c r="U68" s="49" t="str">
        <x:f>IF(OR(K68="x",ISNUMBER(K68),ISNUMBER(SEARCH("OK",UPPER(K68&amp;""))),ISNUMBER(SEARCH("JÁ",UPPER(K68&amp;""))),ISNUMBER(SEARCH("JA ",UPPER(K68&amp;"")))),"OK",IF(K68="","PENDENTE",IF(OR(ISNUMBER(SEARCH("SEM MOV",UPPER(K68&amp;""))),ISNUMBER(SEARCH("SEM I.E",UPPER(K68&amp;""))),ISNUMBER(SEARCH("SEM IE",UPPER(K68&amp;"")))),"DISPENSADO","ALERTA")))</x:f>
        <x:v>PENDENTE</x:v>
      </x:c>
      <x:c r="V68" s="49" t="str">
        <x:f>IF(OR(M68="x",ISNUMBER(M68),ISNUMBER(SEARCH("OK",UPPER(M68&amp;""))),ISNUMBER(SEARCH("JÁ",UPPER(M68&amp;""))),ISNUMBER(SEARCH("JA ",UPPER(M68&amp;"")))),"OK",IF(M68="","PENDENTE",IF(OR(ISNUMBER(SEARCH("SEM MOV",UPPER(M68&amp;""))),ISNUMBER(SEARCH("SEM I.E",UPPER(M68&amp;""))),ISNUMBER(SEARCH("SEM IE",UPPER(M68&amp;"")))),"DISPENSADO","ALERTA")))</x:f>
        <x:v>DISPENSADO</x:v>
      </x:c>
      <x:c r="W68" s="49" t="str">
        <x:f>IF(OR(O68="x",ISNUMBER(O68),ISNUMBER(SEARCH("OK",UPPER(O68&amp;""))),ISNUMBER(SEARCH("JÁ",UPPER(O68&amp;""))),ISNUMBER(SEARCH("JA ",UPPER(O68&amp;"")))),"OK",IF(O68="","PENDENTE",IF(OR(ISNUMBER(SEARCH("SEM MOV",UPPER(O68&amp;""))),ISNUMBER(SEARCH("SEM I.E",UPPER(O68&amp;""))),ISNUMBER(SEARCH("SEM IE",UPPER(O68&amp;"")))),"DISPENSADO","ALERTA")))</x:f>
        <x:v>ALERTA</x:v>
      </x:c>
      <x:c r="X68" s="49" t="str">
        <x:f>IF(Q68&lt;&gt;"","SIM","NÃO")</x:f>
        <x:v>NÃO</x:v>
      </x:c>
      <x:c r="Y68" s="49" t="str">
        <x:f>IF(R68&lt;&gt;"","SIM","NÃO")</x:f>
        <x:v>NÃO</x:v>
      </x:c>
      <x:c r="Z68" s="49" t="str">
        <x:f>IF(OR(H68="A",V68="ALERTA",W68="ALERTA",T68="ALERTA",U68="ALERTA"),"ALTO",IF(OR(T68="PENDENTE",U68="PENDENTE",V68="PENDENTE",W68="PENDENTE"),"MÉDIO","BAIXO"))</x:f>
        <x:v>ALTO</x:v>
      </x:c>
      <x:c r="AA68" s="49" t="str">
        <x:f>IF(Z68="ALTO","Resolver certificado/permissão/CNPJ/status antes da rotina",IF(Z68="MÉDIO","Completar pasta/status pendente","Rotina regular"))</x:f>
        <x:v>Resolver certificado/permissão/CNPJ/status antes da rotina</x:v>
      </x:c>
    </x:row>
    <x:row r="69">
      <x:c r="A69" s="61" t="str">
        <x:v>EXCELENCIA PRESTADORA DE SERVIÇOS - 69</x:v>
      </x:c>
      <x:c r="B69" s="49" t="str">
        <x:v>RETIF EXCELENCIA</x:v>
      </x:c>
      <x:c r="C69" s="49" t="str">
        <x:v>GOIÂNIA</x:v>
      </x:c>
      <x:c r="D69" s="49" t="str">
        <x:v>44.470.328/0001-47</x:v>
      </x:c>
      <x:c r="E69" s="49"/>
      <x:c r="F69" s="49" t="str">
        <x:v>GISELLE/LEIDIANA</x:v>
      </x:c>
      <x:c r="G69" s="49" t="str">
        <x:v>SIMPLES NACIONAL</x:v>
      </x:c>
      <x:c r="H69" s="49" t="str">
        <x:v>C</x:v>
      </x:c>
      <x:c r="I69" s="54"/>
      <x:c r="J69" s="49"/>
      <x:c r="K69" s="54"/>
      <x:c r="L69" s="49"/>
      <x:c r="M69" s="54" t="str">
        <x:v>OK 04/05</x:v>
      </x:c>
      <x:c r="N69" s="49"/>
      <x:c r="O69" s="54" t="str">
        <x:v>OK 30/04</x:v>
      </x:c>
      <x:c r="P69" s="49"/>
      <x:c r="Q69" s="57"/>
      <x:c r="R69" s="57"/>
      <x:c r="S69" s="57"/>
      <x:c r="T69" s="49" t="str">
        <x:f>IF(OR(I69="x",ISNUMBER(I69),ISNUMBER(SEARCH("OK",UPPER(I69&amp;""))),ISNUMBER(SEARCH("JÁ",UPPER(I69&amp;""))),ISNUMBER(SEARCH("JA ",UPPER(I69&amp;"")))),"OK",IF(I69="","PENDENTE",IF(OR(ISNUMBER(SEARCH("SEM MOV",UPPER(I69&amp;""))),ISNUMBER(SEARCH("SEM I.E",UPPER(I69&amp;""))),ISNUMBER(SEARCH("SEM IE",UPPER(I69&amp;"")))),"DISPENSADO","ALERTA")))</x:f>
        <x:v>PENDENTE</x:v>
      </x:c>
      <x:c r="U69" s="49" t="str">
        <x:f>IF(OR(K69="x",ISNUMBER(K69),ISNUMBER(SEARCH("OK",UPPER(K69&amp;""))),ISNUMBER(SEARCH("JÁ",UPPER(K69&amp;""))),ISNUMBER(SEARCH("JA ",UPPER(K69&amp;"")))),"OK",IF(K69="","PENDENTE",IF(OR(ISNUMBER(SEARCH("SEM MOV",UPPER(K69&amp;""))),ISNUMBER(SEARCH("SEM I.E",UPPER(K69&amp;""))),ISNUMBER(SEARCH("SEM IE",UPPER(K69&amp;"")))),"DISPENSADO","ALERTA")))</x:f>
        <x:v>PENDENTE</x:v>
      </x:c>
      <x:c r="V69" s="49" t="str">
        <x:f>IF(OR(M69="x",ISNUMBER(M69),ISNUMBER(SEARCH("OK",UPPER(M69&amp;""))),ISNUMBER(SEARCH("JÁ",UPPER(M69&amp;""))),ISNUMBER(SEARCH("JA ",UPPER(M69&amp;"")))),"OK",IF(M69="","PENDENTE",IF(OR(ISNUMBER(SEARCH("SEM MOV",UPPER(M69&amp;""))),ISNUMBER(SEARCH("SEM I.E",UPPER(M69&amp;""))),ISNUMBER(SEARCH("SEM IE",UPPER(M69&amp;"")))),"DISPENSADO","ALERTA")))</x:f>
        <x:v>OK</x:v>
      </x:c>
      <x:c r="W69" s="49" t="str">
        <x:f>IF(OR(O69="x",ISNUMBER(O69),ISNUMBER(SEARCH("OK",UPPER(O69&amp;""))),ISNUMBER(SEARCH("JÁ",UPPER(O69&amp;""))),ISNUMBER(SEARCH("JA ",UPPER(O69&amp;"")))),"OK",IF(O69="","PENDENTE",IF(OR(ISNUMBER(SEARCH("SEM MOV",UPPER(O69&amp;""))),ISNUMBER(SEARCH("SEM I.E",UPPER(O69&amp;""))),ISNUMBER(SEARCH("SEM IE",UPPER(O69&amp;"")))),"DISPENSADO","ALERTA")))</x:f>
        <x:v>OK</x:v>
      </x:c>
      <x:c r="X69" s="49" t="str">
        <x:f>IF(Q69&lt;&gt;"","SIM","NÃO")</x:f>
        <x:v>NÃO</x:v>
      </x:c>
      <x:c r="Y69" s="49" t="str">
        <x:f>IF(R69&lt;&gt;"","SIM","NÃO")</x:f>
        <x:v>NÃO</x:v>
      </x:c>
      <x:c r="Z69" s="49" t="str">
        <x:f>IF(OR(H69="A",V69="ALERTA",W69="ALERTA",T69="ALERTA",U69="ALERTA"),"ALTO",IF(OR(T69="PENDENTE",U69="PENDENTE",V69="PENDENTE",W69="PENDENTE"),"MÉDIO","BAIXO"))</x:f>
        <x:v>MÉDIO</x:v>
      </x:c>
      <x:c r="AA69" s="49" t="str">
        <x:f>IF(Z69="ALTO","Resolver certificado/permissão/CNPJ/status antes da rotina",IF(Z69="MÉDIO","Completar pasta/status pendente","Rotina regular"))</x:f>
        <x:v>Completar pasta/status pendente</x:v>
      </x:c>
    </x:row>
    <x:row r="70">
      <x:c r="A70" s="61" t="str">
        <x:v>FPM CORPORATE SOLUTIONS</x:v>
      </x:c>
      <x:c r="B70" s="49" t="str">
        <x:v>FPM</x:v>
      </x:c>
      <x:c r="C70" s="49" t="str">
        <x:v>SINOP - MT</x:v>
      </x:c>
      <x:c r="D70" s="49" t="str">
        <x:v>49.672.979/0001-33</x:v>
      </x:c>
      <x:c r="E70" s="49"/>
      <x:c r="F70" s="49"/>
      <x:c r="G70" s="49" t="str">
        <x:v>LUCRO PRESUMIDO</x:v>
      </x:c>
      <x:c r="H70" s="49" t="str">
        <x:v>A</x:v>
      </x:c>
      <x:c r="I70" s="54"/>
      <x:c r="J70" s="49"/>
      <x:c r="K70" s="54"/>
      <x:c r="L70" s="49"/>
      <x:c r="M70" s="54" t="str">
        <x:v>SEM MOVIEMNTO</x:v>
      </x:c>
      <x:c r="N70" s="49" t="str">
        <x:v>MT</x:v>
      </x:c>
      <x:c r="O70" s="54" t="str">
        <x:v>MT</x:v>
      </x:c>
      <x:c r="P70" s="49"/>
      <x:c r="Q70" s="57"/>
      <x:c r="R70" s="57"/>
      <x:c r="S70" s="57"/>
      <x:c r="T70" s="49" t="str">
        <x:f>IF(OR(I70="x",ISNUMBER(I70),ISNUMBER(SEARCH("OK",UPPER(I70&amp;""))),ISNUMBER(SEARCH("JÁ",UPPER(I70&amp;""))),ISNUMBER(SEARCH("JA ",UPPER(I70&amp;"")))),"OK",IF(I70="","PENDENTE",IF(OR(ISNUMBER(SEARCH("SEM MOV",UPPER(I70&amp;""))),ISNUMBER(SEARCH("SEM I.E",UPPER(I70&amp;""))),ISNUMBER(SEARCH("SEM IE",UPPER(I70&amp;"")))),"DISPENSADO","ALERTA")))</x:f>
        <x:v>PENDENTE</x:v>
      </x:c>
      <x:c r="U70" s="49" t="str">
        <x:f>IF(OR(K70="x",ISNUMBER(K70),ISNUMBER(SEARCH("OK",UPPER(K70&amp;""))),ISNUMBER(SEARCH("JÁ",UPPER(K70&amp;""))),ISNUMBER(SEARCH("JA ",UPPER(K70&amp;"")))),"OK",IF(K70="","PENDENTE",IF(OR(ISNUMBER(SEARCH("SEM MOV",UPPER(K70&amp;""))),ISNUMBER(SEARCH("SEM I.E",UPPER(K70&amp;""))),ISNUMBER(SEARCH("SEM IE",UPPER(K70&amp;"")))),"DISPENSADO","ALERTA")))</x:f>
        <x:v>PENDENTE</x:v>
      </x:c>
      <x:c r="V70" s="49" t="str">
        <x:f>IF(OR(M70="x",ISNUMBER(M70),ISNUMBER(SEARCH("OK",UPPER(M70&amp;""))),ISNUMBER(SEARCH("JÁ",UPPER(M70&amp;""))),ISNUMBER(SEARCH("JA ",UPPER(M70&amp;"")))),"OK",IF(M70="","PENDENTE",IF(OR(ISNUMBER(SEARCH("SEM MOV",UPPER(M70&amp;""))),ISNUMBER(SEARCH("SEM I.E",UPPER(M70&amp;""))),ISNUMBER(SEARCH("SEM IE",UPPER(M70&amp;"")))),"DISPENSADO","ALERTA")))</x:f>
        <x:v>DISPENSADO</x:v>
      </x:c>
      <x:c r="W70" s="49" t="str">
        <x:f>IF(OR(O70="x",ISNUMBER(O70),ISNUMBER(SEARCH("OK",UPPER(O70&amp;""))),ISNUMBER(SEARCH("JÁ",UPPER(O70&amp;""))),ISNUMBER(SEARCH("JA ",UPPER(O70&amp;"")))),"OK",IF(O70="","PENDENTE",IF(OR(ISNUMBER(SEARCH("SEM MOV",UPPER(O70&amp;""))),ISNUMBER(SEARCH("SEM I.E",UPPER(O70&amp;""))),ISNUMBER(SEARCH("SEM IE",UPPER(O70&amp;"")))),"DISPENSADO","ALERTA")))</x:f>
        <x:v>ALERTA</x:v>
      </x:c>
      <x:c r="X70" s="49" t="str">
        <x:f>IF(Q70&lt;&gt;"","SIM","NÃO")</x:f>
        <x:v>NÃO</x:v>
      </x:c>
      <x:c r="Y70" s="49" t="str">
        <x:f>IF(R70&lt;&gt;"","SIM","NÃO")</x:f>
        <x:v>NÃO</x:v>
      </x:c>
      <x:c r="Z70" s="49" t="str">
        <x:f>IF(OR(H70="A",V70="ALERTA",W70="ALERTA",T70="ALERTA",U70="ALERTA"),"ALTO",IF(OR(T70="PENDENTE",U70="PENDENTE",V70="PENDENTE",W70="PENDENTE"),"MÉDIO","BAIXO"))</x:f>
        <x:v>ALTO</x:v>
      </x:c>
      <x:c r="AA70" s="49" t="str">
        <x:f>IF(Z70="ALTO","Resolver certificado/permissão/CNPJ/status antes da rotina",IF(Z70="MÉDIO","Completar pasta/status pendente","Rotina regular"))</x:f>
        <x:v>Resolver certificado/permissão/CNPJ/status antes da rotina</x:v>
      </x:c>
    </x:row>
    <x:row r="71">
      <x:c r="A71" s="61" t="str">
        <x:v>FPM GOURMET BRANDS - FILIAL I</x:v>
      </x:c>
      <x:c r="B71" s="49" t="str">
        <x:v>FPM</x:v>
      </x:c>
      <x:c r="C71" s="49" t="str">
        <x:v>SINOP - MT</x:v>
      </x:c>
      <x:c r="D71" s="49" t="str">
        <x:v>39.840.144/0002-72</x:v>
      </x:c>
      <x:c r="E71" s="49"/>
      <x:c r="F71" s="49" t="str">
        <x:v>DANY</x:v>
      </x:c>
      <x:c r="G71" s="49" t="str">
        <x:v>LUCRO REAL</x:v>
      </x:c>
      <x:c r="H71" s="49" t="str">
        <x:v>A</x:v>
      </x:c>
      <x:c r="I71" s="54"/>
      <x:c r="J71" s="49"/>
      <x:c r="K71" s="54"/>
      <x:c r="L71" s="49"/>
      <x:c r="M71" s="54" t="str">
        <x:v>SEM MOVIEMNTO</x:v>
      </x:c>
      <x:c r="N71" s="49" t="str">
        <x:v>MT</x:v>
      </x:c>
      <x:c r="O71" s="54" t="str">
        <x:v>MT</x:v>
      </x:c>
      <x:c r="P71" s="49"/>
      <x:c r="Q71" s="57"/>
      <x:c r="R71" s="57"/>
      <x:c r="S71" s="57"/>
      <x:c r="T71" s="49" t="str">
        <x:f>IF(OR(I71="x",ISNUMBER(I71),ISNUMBER(SEARCH("OK",UPPER(I71&amp;""))),ISNUMBER(SEARCH("JÁ",UPPER(I71&amp;""))),ISNUMBER(SEARCH("JA ",UPPER(I71&amp;"")))),"OK",IF(I71="","PENDENTE",IF(OR(ISNUMBER(SEARCH("SEM MOV",UPPER(I71&amp;""))),ISNUMBER(SEARCH("SEM I.E",UPPER(I71&amp;""))),ISNUMBER(SEARCH("SEM IE",UPPER(I71&amp;"")))),"DISPENSADO","ALERTA")))</x:f>
        <x:v>PENDENTE</x:v>
      </x:c>
      <x:c r="U71" s="49" t="str">
        <x:f>IF(OR(K71="x",ISNUMBER(K71),ISNUMBER(SEARCH("OK",UPPER(K71&amp;""))),ISNUMBER(SEARCH("JÁ",UPPER(K71&amp;""))),ISNUMBER(SEARCH("JA ",UPPER(K71&amp;"")))),"OK",IF(K71="","PENDENTE",IF(OR(ISNUMBER(SEARCH("SEM MOV",UPPER(K71&amp;""))),ISNUMBER(SEARCH("SEM I.E",UPPER(K71&amp;""))),ISNUMBER(SEARCH("SEM IE",UPPER(K71&amp;"")))),"DISPENSADO","ALERTA")))</x:f>
        <x:v>PENDENTE</x:v>
      </x:c>
      <x:c r="V71" s="49" t="str">
        <x:f>IF(OR(M71="x",ISNUMBER(M71),ISNUMBER(SEARCH("OK",UPPER(M71&amp;""))),ISNUMBER(SEARCH("JÁ",UPPER(M71&amp;""))),ISNUMBER(SEARCH("JA ",UPPER(M71&amp;"")))),"OK",IF(M71="","PENDENTE",IF(OR(ISNUMBER(SEARCH("SEM MOV",UPPER(M71&amp;""))),ISNUMBER(SEARCH("SEM I.E",UPPER(M71&amp;""))),ISNUMBER(SEARCH("SEM IE",UPPER(M71&amp;"")))),"DISPENSADO","ALERTA")))</x:f>
        <x:v>DISPENSADO</x:v>
      </x:c>
      <x:c r="W71" s="49" t="str">
        <x:f>IF(OR(O71="x",ISNUMBER(O71),ISNUMBER(SEARCH("OK",UPPER(O71&amp;""))),ISNUMBER(SEARCH("JÁ",UPPER(O71&amp;""))),ISNUMBER(SEARCH("JA ",UPPER(O71&amp;"")))),"OK",IF(O71="","PENDENTE",IF(OR(ISNUMBER(SEARCH("SEM MOV",UPPER(O71&amp;""))),ISNUMBER(SEARCH("SEM I.E",UPPER(O71&amp;""))),ISNUMBER(SEARCH("SEM IE",UPPER(O71&amp;"")))),"DISPENSADO","ALERTA")))</x:f>
        <x:v>ALERTA</x:v>
      </x:c>
      <x:c r="X71" s="49" t="str">
        <x:f>IF(Q71&lt;&gt;"","SIM","NÃO")</x:f>
        <x:v>NÃO</x:v>
      </x:c>
      <x:c r="Y71" s="49" t="str">
        <x:f>IF(R71&lt;&gt;"","SIM","NÃO")</x:f>
        <x:v>NÃO</x:v>
      </x:c>
      <x:c r="Z71" s="49" t="str">
        <x:f>IF(OR(H71="A",V71="ALERTA",W71="ALERTA",T71="ALERTA",U71="ALERTA"),"ALTO",IF(OR(T71="PENDENTE",U71="PENDENTE",V71="PENDENTE",W71="PENDENTE"),"MÉDIO","BAIXO"))</x:f>
        <x:v>ALTO</x:v>
      </x:c>
      <x:c r="AA71" s="49" t="str">
        <x:f>IF(Z71="ALTO","Resolver certificado/permissão/CNPJ/status antes da rotina",IF(Z71="MÉDIO","Completar pasta/status pendente","Rotina regular"))</x:f>
        <x:v>Resolver certificado/permissão/CNPJ/status antes da rotina</x:v>
      </x:c>
    </x:row>
    <x:row r="72">
      <x:c r="A72" s="61" t="str">
        <x:v>FPM GOURMET BRANDS - FILIAL II</x:v>
      </x:c>
      <x:c r="B72" s="49" t="str">
        <x:v>FPM</x:v>
      </x:c>
      <x:c r="C72" s="49" t="str">
        <x:v>SINOP - MT</x:v>
      </x:c>
      <x:c r="D72" s="49" t="str">
        <x:v>39.840.144/0003-53</x:v>
      </x:c>
      <x:c r="E72" s="49"/>
      <x:c r="F72" s="49" t="str">
        <x:v>DANY</x:v>
      </x:c>
      <x:c r="G72" s="49" t="str">
        <x:v>LUCRO REAL</x:v>
      </x:c>
      <x:c r="H72" s="49" t="str">
        <x:v>A</x:v>
      </x:c>
      <x:c r="I72" s="54"/>
      <x:c r="J72" s="49"/>
      <x:c r="K72" s="54"/>
      <x:c r="L72" s="49"/>
      <x:c r="M72" s="54" t="str">
        <x:v>SEM MOVIEMNTO</x:v>
      </x:c>
      <x:c r="N72" s="49" t="str">
        <x:v>MT</x:v>
      </x:c>
      <x:c r="O72" s="54" t="str">
        <x:v>MT</x:v>
      </x:c>
      <x:c r="P72" s="49"/>
      <x:c r="Q72" s="57"/>
      <x:c r="R72" s="57"/>
      <x:c r="S72" s="57"/>
      <x:c r="T72" s="49" t="str">
        <x:f>IF(OR(I72="x",ISNUMBER(I72),ISNUMBER(SEARCH("OK",UPPER(I72&amp;""))),ISNUMBER(SEARCH("JÁ",UPPER(I72&amp;""))),ISNUMBER(SEARCH("JA ",UPPER(I72&amp;"")))),"OK",IF(I72="","PENDENTE",IF(OR(ISNUMBER(SEARCH("SEM MOV",UPPER(I72&amp;""))),ISNUMBER(SEARCH("SEM I.E",UPPER(I72&amp;""))),ISNUMBER(SEARCH("SEM IE",UPPER(I72&amp;"")))),"DISPENSADO","ALERTA")))</x:f>
        <x:v>PENDENTE</x:v>
      </x:c>
      <x:c r="U72" s="49" t="str">
        <x:f>IF(OR(K72="x",ISNUMBER(K72),ISNUMBER(SEARCH("OK",UPPER(K72&amp;""))),ISNUMBER(SEARCH("JÁ",UPPER(K72&amp;""))),ISNUMBER(SEARCH("JA ",UPPER(K72&amp;"")))),"OK",IF(K72="","PENDENTE",IF(OR(ISNUMBER(SEARCH("SEM MOV",UPPER(K72&amp;""))),ISNUMBER(SEARCH("SEM I.E",UPPER(K72&amp;""))),ISNUMBER(SEARCH("SEM IE",UPPER(K72&amp;"")))),"DISPENSADO","ALERTA")))</x:f>
        <x:v>PENDENTE</x:v>
      </x:c>
      <x:c r="V72" s="49" t="str">
        <x:f>IF(OR(M72="x",ISNUMBER(M72),ISNUMBER(SEARCH("OK",UPPER(M72&amp;""))),ISNUMBER(SEARCH("JÁ",UPPER(M72&amp;""))),ISNUMBER(SEARCH("JA ",UPPER(M72&amp;"")))),"OK",IF(M72="","PENDENTE",IF(OR(ISNUMBER(SEARCH("SEM MOV",UPPER(M72&amp;""))),ISNUMBER(SEARCH("SEM I.E",UPPER(M72&amp;""))),ISNUMBER(SEARCH("SEM IE",UPPER(M72&amp;"")))),"DISPENSADO","ALERTA")))</x:f>
        <x:v>DISPENSADO</x:v>
      </x:c>
      <x:c r="W72" s="49" t="str">
        <x:f>IF(OR(O72="x",ISNUMBER(O72),ISNUMBER(SEARCH("OK",UPPER(O72&amp;""))),ISNUMBER(SEARCH("JÁ",UPPER(O72&amp;""))),ISNUMBER(SEARCH("JA ",UPPER(O72&amp;"")))),"OK",IF(O72="","PENDENTE",IF(OR(ISNUMBER(SEARCH("SEM MOV",UPPER(O72&amp;""))),ISNUMBER(SEARCH("SEM I.E",UPPER(O72&amp;""))),ISNUMBER(SEARCH("SEM IE",UPPER(O72&amp;"")))),"DISPENSADO","ALERTA")))</x:f>
        <x:v>ALERTA</x:v>
      </x:c>
      <x:c r="X72" s="49" t="str">
        <x:f>IF(Q72&lt;&gt;"","SIM","NÃO")</x:f>
        <x:v>NÃO</x:v>
      </x:c>
      <x:c r="Y72" s="49" t="str">
        <x:f>IF(R72&lt;&gt;"","SIM","NÃO")</x:f>
        <x:v>NÃO</x:v>
      </x:c>
      <x:c r="Z72" s="49" t="str">
        <x:f>IF(OR(H72="A",V72="ALERTA",W72="ALERTA",T72="ALERTA",U72="ALERTA"),"ALTO",IF(OR(T72="PENDENTE",U72="PENDENTE",V72="PENDENTE",W72="PENDENTE"),"MÉDIO","BAIXO"))</x:f>
        <x:v>ALTO</x:v>
      </x:c>
      <x:c r="AA72" s="49" t="str">
        <x:f>IF(Z72="ALTO","Resolver certificado/permissão/CNPJ/status antes da rotina",IF(Z72="MÉDIO","Completar pasta/status pendente","Rotina regular"))</x:f>
        <x:v>Resolver certificado/permissão/CNPJ/status antes da rotina</x:v>
      </x:c>
    </x:row>
    <x:row r="73">
      <x:c r="A73" s="61" t="str">
        <x:v>FPM GOURMET BRANDS - FILIAL III</x:v>
      </x:c>
      <x:c r="B73" s="49" t="str">
        <x:v>FPM</x:v>
      </x:c>
      <x:c r="C73" s="49" t="str">
        <x:v>SINOP - MT</x:v>
      </x:c>
      <x:c r="D73" s="49" t="str">
        <x:v>39.840.144/0004-34</x:v>
      </x:c>
      <x:c r="E73" s="49"/>
      <x:c r="F73" s="49" t="str">
        <x:v>DANY</x:v>
      </x:c>
      <x:c r="G73" s="49" t="str">
        <x:v>LUCRO REAL</x:v>
      </x:c>
      <x:c r="H73" s="49" t="str">
        <x:v>A</x:v>
      </x:c>
      <x:c r="I73" s="54"/>
      <x:c r="J73" s="49"/>
      <x:c r="K73" s="54"/>
      <x:c r="L73" s="49"/>
      <x:c r="M73" s="54" t="str">
        <x:v>SEM MOVIEMNTO</x:v>
      </x:c>
      <x:c r="N73" s="49" t="str">
        <x:v>MT</x:v>
      </x:c>
      <x:c r="O73" s="54" t="str">
        <x:v>MT</x:v>
      </x:c>
      <x:c r="P73" s="49"/>
      <x:c r="Q73" s="57"/>
      <x:c r="R73" s="57"/>
      <x:c r="S73" s="57"/>
      <x:c r="T73" s="49" t="str">
        <x:f>IF(OR(I73="x",ISNUMBER(I73),ISNUMBER(SEARCH("OK",UPPER(I73&amp;""))),ISNUMBER(SEARCH("JÁ",UPPER(I73&amp;""))),ISNUMBER(SEARCH("JA ",UPPER(I73&amp;"")))),"OK",IF(I73="","PENDENTE",IF(OR(ISNUMBER(SEARCH("SEM MOV",UPPER(I73&amp;""))),ISNUMBER(SEARCH("SEM I.E",UPPER(I73&amp;""))),ISNUMBER(SEARCH("SEM IE",UPPER(I73&amp;"")))),"DISPENSADO","ALERTA")))</x:f>
        <x:v>PENDENTE</x:v>
      </x:c>
      <x:c r="U73" s="49" t="str">
        <x:f>IF(OR(K73="x",ISNUMBER(K73),ISNUMBER(SEARCH("OK",UPPER(K73&amp;""))),ISNUMBER(SEARCH("JÁ",UPPER(K73&amp;""))),ISNUMBER(SEARCH("JA ",UPPER(K73&amp;"")))),"OK",IF(K73="","PENDENTE",IF(OR(ISNUMBER(SEARCH("SEM MOV",UPPER(K73&amp;""))),ISNUMBER(SEARCH("SEM I.E",UPPER(K73&amp;""))),ISNUMBER(SEARCH("SEM IE",UPPER(K73&amp;"")))),"DISPENSADO","ALERTA")))</x:f>
        <x:v>PENDENTE</x:v>
      </x:c>
      <x:c r="V73" s="49" t="str">
        <x:f>IF(OR(M73="x",ISNUMBER(M73),ISNUMBER(SEARCH("OK",UPPER(M73&amp;""))),ISNUMBER(SEARCH("JÁ",UPPER(M73&amp;""))),ISNUMBER(SEARCH("JA ",UPPER(M73&amp;"")))),"OK",IF(M73="","PENDENTE",IF(OR(ISNUMBER(SEARCH("SEM MOV",UPPER(M73&amp;""))),ISNUMBER(SEARCH("SEM I.E",UPPER(M73&amp;""))),ISNUMBER(SEARCH("SEM IE",UPPER(M73&amp;"")))),"DISPENSADO","ALERTA")))</x:f>
        <x:v>DISPENSADO</x:v>
      </x:c>
      <x:c r="W73" s="49" t="str">
        <x:f>IF(OR(O73="x",ISNUMBER(O73),ISNUMBER(SEARCH("OK",UPPER(O73&amp;""))),ISNUMBER(SEARCH("JÁ",UPPER(O73&amp;""))),ISNUMBER(SEARCH("JA ",UPPER(O73&amp;"")))),"OK",IF(O73="","PENDENTE",IF(OR(ISNUMBER(SEARCH("SEM MOV",UPPER(O73&amp;""))),ISNUMBER(SEARCH("SEM I.E",UPPER(O73&amp;""))),ISNUMBER(SEARCH("SEM IE",UPPER(O73&amp;"")))),"DISPENSADO","ALERTA")))</x:f>
        <x:v>ALERTA</x:v>
      </x:c>
      <x:c r="X73" s="49" t="str">
        <x:f>IF(Q73&lt;&gt;"","SIM","NÃO")</x:f>
        <x:v>NÃO</x:v>
      </x:c>
      <x:c r="Y73" s="49" t="str">
        <x:f>IF(R73&lt;&gt;"","SIM","NÃO")</x:f>
        <x:v>NÃO</x:v>
      </x:c>
      <x:c r="Z73" s="49" t="str">
        <x:f>IF(OR(H73="A",V73="ALERTA",W73="ALERTA",T73="ALERTA",U73="ALERTA"),"ALTO",IF(OR(T73="PENDENTE",U73="PENDENTE",V73="PENDENTE",W73="PENDENTE"),"MÉDIO","BAIXO"))</x:f>
        <x:v>ALTO</x:v>
      </x:c>
      <x:c r="AA73" s="49" t="str">
        <x:f>IF(Z73="ALTO","Resolver certificado/permissão/CNPJ/status antes da rotina",IF(Z73="MÉDIO","Completar pasta/status pendente","Rotina regular"))</x:f>
        <x:v>Resolver certificado/permissão/CNPJ/status antes da rotina</x:v>
      </x:c>
    </x:row>
    <x:row r="74">
      <x:c r="A74" s="61" t="str">
        <x:v>FPM GOURMET BRANDS - FILIAL IV</x:v>
      </x:c>
      <x:c r="B74" s="49" t="str">
        <x:v>FPM</x:v>
      </x:c>
      <x:c r="C74" s="49" t="str">
        <x:v>SINOP - MT</x:v>
      </x:c>
      <x:c r="D74" s="49" t="str">
        <x:v>39.840.144/0005-15</x:v>
      </x:c>
      <x:c r="E74" s="49"/>
      <x:c r="F74" s="49" t="str">
        <x:v>DANY</x:v>
      </x:c>
      <x:c r="G74" s="49" t="str">
        <x:v>LUCRO REAL</x:v>
      </x:c>
      <x:c r="H74" s="49" t="str">
        <x:v>A</x:v>
      </x:c>
      <x:c r="I74" s="54"/>
      <x:c r="J74" s="49"/>
      <x:c r="K74" s="54"/>
      <x:c r="L74" s="49"/>
      <x:c r="M74" s="54" t="str">
        <x:v>SEM MOVIEMNTO</x:v>
      </x:c>
      <x:c r="N74" s="49" t="str">
        <x:v>MT</x:v>
      </x:c>
      <x:c r="O74" s="54" t="str">
        <x:v>MT</x:v>
      </x:c>
      <x:c r="P74" s="49"/>
      <x:c r="Q74" s="57"/>
      <x:c r="R74" s="57"/>
      <x:c r="S74" s="57"/>
      <x:c r="T74" s="49" t="str">
        <x:f>IF(OR(I74="x",ISNUMBER(I74),ISNUMBER(SEARCH("OK",UPPER(I74&amp;""))),ISNUMBER(SEARCH("JÁ",UPPER(I74&amp;""))),ISNUMBER(SEARCH("JA ",UPPER(I74&amp;"")))),"OK",IF(I74="","PENDENTE",IF(OR(ISNUMBER(SEARCH("SEM MOV",UPPER(I74&amp;""))),ISNUMBER(SEARCH("SEM I.E",UPPER(I74&amp;""))),ISNUMBER(SEARCH("SEM IE",UPPER(I74&amp;"")))),"DISPENSADO","ALERTA")))</x:f>
        <x:v>PENDENTE</x:v>
      </x:c>
      <x:c r="U74" s="49" t="str">
        <x:f>IF(OR(K74="x",ISNUMBER(K74),ISNUMBER(SEARCH("OK",UPPER(K74&amp;""))),ISNUMBER(SEARCH("JÁ",UPPER(K74&amp;""))),ISNUMBER(SEARCH("JA ",UPPER(K74&amp;"")))),"OK",IF(K74="","PENDENTE",IF(OR(ISNUMBER(SEARCH("SEM MOV",UPPER(K74&amp;""))),ISNUMBER(SEARCH("SEM I.E",UPPER(K74&amp;""))),ISNUMBER(SEARCH("SEM IE",UPPER(K74&amp;"")))),"DISPENSADO","ALERTA")))</x:f>
        <x:v>PENDENTE</x:v>
      </x:c>
      <x:c r="V74" s="49" t="str">
        <x:f>IF(OR(M74="x",ISNUMBER(M74),ISNUMBER(SEARCH("OK",UPPER(M74&amp;""))),ISNUMBER(SEARCH("JÁ",UPPER(M74&amp;""))),ISNUMBER(SEARCH("JA ",UPPER(M74&amp;"")))),"OK",IF(M74="","PENDENTE",IF(OR(ISNUMBER(SEARCH("SEM MOV",UPPER(M74&amp;""))),ISNUMBER(SEARCH("SEM I.E",UPPER(M74&amp;""))),ISNUMBER(SEARCH("SEM IE",UPPER(M74&amp;"")))),"DISPENSADO","ALERTA")))</x:f>
        <x:v>DISPENSADO</x:v>
      </x:c>
      <x:c r="W74" s="49" t="str">
        <x:f>IF(OR(O74="x",ISNUMBER(O74),ISNUMBER(SEARCH("OK",UPPER(O74&amp;""))),ISNUMBER(SEARCH("JÁ",UPPER(O74&amp;""))),ISNUMBER(SEARCH("JA ",UPPER(O74&amp;"")))),"OK",IF(O74="","PENDENTE",IF(OR(ISNUMBER(SEARCH("SEM MOV",UPPER(O74&amp;""))),ISNUMBER(SEARCH("SEM I.E",UPPER(O74&amp;""))),ISNUMBER(SEARCH("SEM IE",UPPER(O74&amp;"")))),"DISPENSADO","ALERTA")))</x:f>
        <x:v>ALERTA</x:v>
      </x:c>
      <x:c r="X74" s="49" t="str">
        <x:f>IF(Q74&lt;&gt;"","SIM","NÃO")</x:f>
        <x:v>NÃO</x:v>
      </x:c>
      <x:c r="Y74" s="49" t="str">
        <x:f>IF(R74&lt;&gt;"","SIM","NÃO")</x:f>
        <x:v>NÃO</x:v>
      </x:c>
      <x:c r="Z74" s="49" t="str">
        <x:f>IF(OR(H74="A",V74="ALERTA",W74="ALERTA",T74="ALERTA",U74="ALERTA"),"ALTO",IF(OR(T74="PENDENTE",U74="PENDENTE",V74="PENDENTE",W74="PENDENTE"),"MÉDIO","BAIXO"))</x:f>
        <x:v>ALTO</x:v>
      </x:c>
      <x:c r="AA74" s="49" t="str">
        <x:f>IF(Z74="ALTO","Resolver certificado/permissão/CNPJ/status antes da rotina",IF(Z74="MÉDIO","Completar pasta/status pendente","Rotina regular"))</x:f>
        <x:v>Resolver certificado/permissão/CNPJ/status antes da rotina</x:v>
      </x:c>
    </x:row>
    <x:row r="75">
      <x:c r="A75" s="61" t="str">
        <x:v>FPM GOURMET BRANDS MTZ</x:v>
      </x:c>
      <x:c r="B75" s="49" t="str">
        <x:v>FPM</x:v>
      </x:c>
      <x:c r="C75" s="49" t="str">
        <x:v>SINOP - MT</x:v>
      </x:c>
      <x:c r="D75" s="49" t="str">
        <x:v>39.840.144/0001-91</x:v>
      </x:c>
      <x:c r="E75" s="49"/>
      <x:c r="F75" s="49" t="str">
        <x:v>DANY</x:v>
      </x:c>
      <x:c r="G75" s="49" t="str">
        <x:v>LUCRO REAL</x:v>
      </x:c>
      <x:c r="H75" s="49" t="str">
        <x:v>A</x:v>
      </x:c>
      <x:c r="I75" s="54"/>
      <x:c r="J75" s="49"/>
      <x:c r="K75" s="54"/>
      <x:c r="L75" s="49"/>
      <x:c r="M75" s="54" t="str">
        <x:v>SEM MOVIEMNTO</x:v>
      </x:c>
      <x:c r="N75" s="49" t="str">
        <x:v>MT</x:v>
      </x:c>
      <x:c r="O75" s="54" t="str">
        <x:v>MT</x:v>
      </x:c>
      <x:c r="P75" s="49"/>
      <x:c r="Q75" s="57"/>
      <x:c r="R75" s="57"/>
      <x:c r="S75" s="57"/>
      <x:c r="T75" s="49" t="str">
        <x:f>IF(OR(I75="x",ISNUMBER(I75),ISNUMBER(SEARCH("OK",UPPER(I75&amp;""))),ISNUMBER(SEARCH("JÁ",UPPER(I75&amp;""))),ISNUMBER(SEARCH("JA ",UPPER(I75&amp;"")))),"OK",IF(I75="","PENDENTE",IF(OR(ISNUMBER(SEARCH("SEM MOV",UPPER(I75&amp;""))),ISNUMBER(SEARCH("SEM I.E",UPPER(I75&amp;""))),ISNUMBER(SEARCH("SEM IE",UPPER(I75&amp;"")))),"DISPENSADO","ALERTA")))</x:f>
        <x:v>PENDENTE</x:v>
      </x:c>
      <x:c r="U75" s="49" t="str">
        <x:f>IF(OR(K75="x",ISNUMBER(K75),ISNUMBER(SEARCH("OK",UPPER(K75&amp;""))),ISNUMBER(SEARCH("JÁ",UPPER(K75&amp;""))),ISNUMBER(SEARCH("JA ",UPPER(K75&amp;"")))),"OK",IF(K75="","PENDENTE",IF(OR(ISNUMBER(SEARCH("SEM MOV",UPPER(K75&amp;""))),ISNUMBER(SEARCH("SEM I.E",UPPER(K75&amp;""))),ISNUMBER(SEARCH("SEM IE",UPPER(K75&amp;"")))),"DISPENSADO","ALERTA")))</x:f>
        <x:v>PENDENTE</x:v>
      </x:c>
      <x:c r="V75" s="49" t="str">
        <x:f>IF(OR(M75="x",ISNUMBER(M75),ISNUMBER(SEARCH("OK",UPPER(M75&amp;""))),ISNUMBER(SEARCH("JÁ",UPPER(M75&amp;""))),ISNUMBER(SEARCH("JA ",UPPER(M75&amp;"")))),"OK",IF(M75="","PENDENTE",IF(OR(ISNUMBER(SEARCH("SEM MOV",UPPER(M75&amp;""))),ISNUMBER(SEARCH("SEM I.E",UPPER(M75&amp;""))),ISNUMBER(SEARCH("SEM IE",UPPER(M75&amp;"")))),"DISPENSADO","ALERTA")))</x:f>
        <x:v>DISPENSADO</x:v>
      </x:c>
      <x:c r="W75" s="49" t="str">
        <x:f>IF(OR(O75="x",ISNUMBER(O75),ISNUMBER(SEARCH("OK",UPPER(O75&amp;""))),ISNUMBER(SEARCH("JÁ",UPPER(O75&amp;""))),ISNUMBER(SEARCH("JA ",UPPER(O75&amp;"")))),"OK",IF(O75="","PENDENTE",IF(OR(ISNUMBER(SEARCH("SEM MOV",UPPER(O75&amp;""))),ISNUMBER(SEARCH("SEM I.E",UPPER(O75&amp;""))),ISNUMBER(SEARCH("SEM IE",UPPER(O75&amp;"")))),"DISPENSADO","ALERTA")))</x:f>
        <x:v>ALERTA</x:v>
      </x:c>
      <x:c r="X75" s="49" t="str">
        <x:f>IF(Q75&lt;&gt;"","SIM","NÃO")</x:f>
        <x:v>NÃO</x:v>
      </x:c>
      <x:c r="Y75" s="49" t="str">
        <x:f>IF(R75&lt;&gt;"","SIM","NÃO")</x:f>
        <x:v>NÃO</x:v>
      </x:c>
      <x:c r="Z75" s="49" t="str">
        <x:f>IF(OR(H75="A",V75="ALERTA",W75="ALERTA",T75="ALERTA",U75="ALERTA"),"ALTO",IF(OR(T75="PENDENTE",U75="PENDENTE",V75="PENDENTE",W75="PENDENTE"),"MÉDIO","BAIXO"))</x:f>
        <x:v>ALTO</x:v>
      </x:c>
      <x:c r="AA75" s="49" t="str">
        <x:f>IF(Z75="ALTO","Resolver certificado/permissão/CNPJ/status antes da rotina",IF(Z75="MÉDIO","Completar pasta/status pendente","Rotina regular"))</x:f>
        <x:v>Resolver certificado/permissão/CNPJ/status antes da rotina</x:v>
      </x:c>
    </x:row>
    <x:row r="76">
      <x:c r="A76" s="61" t="str">
        <x:v>FPM PEOPLE SOLUTIONS LTDA - FL I</x:v>
      </x:c>
      <x:c r="B76" s="49" t="str">
        <x:v>FPM</x:v>
      </x:c>
      <x:c r="C76" s="49" t="str">
        <x:v>SINOP - MT</x:v>
      </x:c>
      <x:c r="D76" s="49" t="str">
        <x:v>24.457.433/0002-10</x:v>
      </x:c>
      <x:c r="E76" s="49"/>
      <x:c r="F76" s="49"/>
      <x:c r="G76" s="49" t="str">
        <x:v>SIMPLES NACIONAL</x:v>
      </x:c>
      <x:c r="H76" s="49" t="str">
        <x:v>A</x:v>
      </x:c>
      <x:c r="I76" s="54"/>
      <x:c r="J76" s="49"/>
      <x:c r="K76" s="54"/>
      <x:c r="L76" s="49"/>
      <x:c r="M76" s="54" t="str">
        <x:v>SEM MOVIEMNTO</x:v>
      </x:c>
      <x:c r="N76" s="49" t="str">
        <x:v>MT</x:v>
      </x:c>
      <x:c r="O76" s="54" t="str">
        <x:v>CERT. VENCIDO</x:v>
      </x:c>
      <x:c r="P76" s="49"/>
      <x:c r="Q76" s="57"/>
      <x:c r="R76" s="57"/>
      <x:c r="S76" s="57"/>
      <x:c r="T76" s="49" t="str">
        <x:f>IF(OR(I76="x",ISNUMBER(I76),ISNUMBER(SEARCH("OK",UPPER(I76&amp;""))),ISNUMBER(SEARCH("JÁ",UPPER(I76&amp;""))),ISNUMBER(SEARCH("JA ",UPPER(I76&amp;"")))),"OK",IF(I76="","PENDENTE",IF(OR(ISNUMBER(SEARCH("SEM MOV",UPPER(I76&amp;""))),ISNUMBER(SEARCH("SEM I.E",UPPER(I76&amp;""))),ISNUMBER(SEARCH("SEM IE",UPPER(I76&amp;"")))),"DISPENSADO","ALERTA")))</x:f>
        <x:v>PENDENTE</x:v>
      </x:c>
      <x:c r="U76" s="49" t="str">
        <x:f>IF(OR(K76="x",ISNUMBER(K76),ISNUMBER(SEARCH("OK",UPPER(K76&amp;""))),ISNUMBER(SEARCH("JÁ",UPPER(K76&amp;""))),ISNUMBER(SEARCH("JA ",UPPER(K76&amp;"")))),"OK",IF(K76="","PENDENTE",IF(OR(ISNUMBER(SEARCH("SEM MOV",UPPER(K76&amp;""))),ISNUMBER(SEARCH("SEM I.E",UPPER(K76&amp;""))),ISNUMBER(SEARCH("SEM IE",UPPER(K76&amp;"")))),"DISPENSADO","ALERTA")))</x:f>
        <x:v>PENDENTE</x:v>
      </x:c>
      <x:c r="V76" s="49" t="str">
        <x:f>IF(OR(M76="x",ISNUMBER(M76),ISNUMBER(SEARCH("OK",UPPER(M76&amp;""))),ISNUMBER(SEARCH("JÁ",UPPER(M76&amp;""))),ISNUMBER(SEARCH("JA ",UPPER(M76&amp;"")))),"OK",IF(M76="","PENDENTE",IF(OR(ISNUMBER(SEARCH("SEM MOV",UPPER(M76&amp;""))),ISNUMBER(SEARCH("SEM I.E",UPPER(M76&amp;""))),ISNUMBER(SEARCH("SEM IE",UPPER(M76&amp;"")))),"DISPENSADO","ALERTA")))</x:f>
        <x:v>DISPENSADO</x:v>
      </x:c>
      <x:c r="W76" s="49" t="str">
        <x:f>IF(OR(O76="x",ISNUMBER(O76),ISNUMBER(SEARCH("OK",UPPER(O76&amp;""))),ISNUMBER(SEARCH("JÁ",UPPER(O76&amp;""))),ISNUMBER(SEARCH("JA ",UPPER(O76&amp;"")))),"OK",IF(O76="","PENDENTE",IF(OR(ISNUMBER(SEARCH("SEM MOV",UPPER(O76&amp;""))),ISNUMBER(SEARCH("SEM I.E",UPPER(O76&amp;""))),ISNUMBER(SEARCH("SEM IE",UPPER(O76&amp;"")))),"DISPENSADO","ALERTA")))</x:f>
        <x:v>ALERTA</x:v>
      </x:c>
      <x:c r="X76" s="49" t="str">
        <x:f>IF(Q76&lt;&gt;"","SIM","NÃO")</x:f>
        <x:v>NÃO</x:v>
      </x:c>
      <x:c r="Y76" s="49" t="str">
        <x:f>IF(R76&lt;&gt;"","SIM","NÃO")</x:f>
        <x:v>NÃO</x:v>
      </x:c>
      <x:c r="Z76" s="49" t="str">
        <x:f>IF(OR(H76="A",V76="ALERTA",W76="ALERTA",T76="ALERTA",U76="ALERTA"),"ALTO",IF(OR(T76="PENDENTE",U76="PENDENTE",V76="PENDENTE",W76="PENDENTE"),"MÉDIO","BAIXO"))</x:f>
        <x:v>ALTO</x:v>
      </x:c>
      <x:c r="AA76" s="49" t="str">
        <x:f>IF(Z76="ALTO","Resolver certificado/permissão/CNPJ/status antes da rotina",IF(Z76="MÉDIO","Completar pasta/status pendente","Rotina regular"))</x:f>
        <x:v>Resolver certificado/permissão/CNPJ/status antes da rotina</x:v>
      </x:c>
    </x:row>
    <x:row r="77">
      <x:c r="A77" s="61" t="str">
        <x:v>FPM PEOPLE SOLUTIONS LTDA MTZ</x:v>
      </x:c>
      <x:c r="B77" s="49" t="str">
        <x:v>FPM</x:v>
      </x:c>
      <x:c r="C77" s="49" t="str">
        <x:v>SINOP - MT</x:v>
      </x:c>
      <x:c r="D77" s="49" t="str">
        <x:v>24.457.433/0001-39</x:v>
      </x:c>
      <x:c r="E77" s="49"/>
      <x:c r="F77" s="49"/>
      <x:c r="G77" s="49" t="str">
        <x:v>SIMPLES NACIONAL</x:v>
      </x:c>
      <x:c r="H77" s="49" t="str">
        <x:v>A</x:v>
      </x:c>
      <x:c r="I77" s="54"/>
      <x:c r="J77" s="49"/>
      <x:c r="K77" s="54"/>
      <x:c r="L77" s="49"/>
      <x:c r="M77" s="54" t="str">
        <x:v>SEM MOVIEMNTO</x:v>
      </x:c>
      <x:c r="N77" s="49" t="str">
        <x:v>MT</x:v>
      </x:c>
      <x:c r="O77" s="54" t="str">
        <x:v>CERT. VENCIDO</x:v>
      </x:c>
      <x:c r="P77" s="49"/>
      <x:c r="Q77" s="57"/>
      <x:c r="R77" s="57"/>
      <x:c r="S77" s="57"/>
      <x:c r="T77" s="49" t="str">
        <x:f>IF(OR(I77="x",ISNUMBER(I77),ISNUMBER(SEARCH("OK",UPPER(I77&amp;""))),ISNUMBER(SEARCH("JÁ",UPPER(I77&amp;""))),ISNUMBER(SEARCH("JA ",UPPER(I77&amp;"")))),"OK",IF(I77="","PENDENTE",IF(OR(ISNUMBER(SEARCH("SEM MOV",UPPER(I77&amp;""))),ISNUMBER(SEARCH("SEM I.E",UPPER(I77&amp;""))),ISNUMBER(SEARCH("SEM IE",UPPER(I77&amp;"")))),"DISPENSADO","ALERTA")))</x:f>
        <x:v>PENDENTE</x:v>
      </x:c>
      <x:c r="U77" s="49" t="str">
        <x:f>IF(OR(K77="x",ISNUMBER(K77),ISNUMBER(SEARCH("OK",UPPER(K77&amp;""))),ISNUMBER(SEARCH("JÁ",UPPER(K77&amp;""))),ISNUMBER(SEARCH("JA ",UPPER(K77&amp;"")))),"OK",IF(K77="","PENDENTE",IF(OR(ISNUMBER(SEARCH("SEM MOV",UPPER(K77&amp;""))),ISNUMBER(SEARCH("SEM I.E",UPPER(K77&amp;""))),ISNUMBER(SEARCH("SEM IE",UPPER(K77&amp;"")))),"DISPENSADO","ALERTA")))</x:f>
        <x:v>PENDENTE</x:v>
      </x:c>
      <x:c r="V77" s="49" t="str">
        <x:f>IF(OR(M77="x",ISNUMBER(M77),ISNUMBER(SEARCH("OK",UPPER(M77&amp;""))),ISNUMBER(SEARCH("JÁ",UPPER(M77&amp;""))),ISNUMBER(SEARCH("JA ",UPPER(M77&amp;"")))),"OK",IF(M77="","PENDENTE",IF(OR(ISNUMBER(SEARCH("SEM MOV",UPPER(M77&amp;""))),ISNUMBER(SEARCH("SEM I.E",UPPER(M77&amp;""))),ISNUMBER(SEARCH("SEM IE",UPPER(M77&amp;"")))),"DISPENSADO","ALERTA")))</x:f>
        <x:v>DISPENSADO</x:v>
      </x:c>
      <x:c r="W77" s="49" t="str">
        <x:f>IF(OR(O77="x",ISNUMBER(O77),ISNUMBER(SEARCH("OK",UPPER(O77&amp;""))),ISNUMBER(SEARCH("JÁ",UPPER(O77&amp;""))),ISNUMBER(SEARCH("JA ",UPPER(O77&amp;"")))),"OK",IF(O77="","PENDENTE",IF(OR(ISNUMBER(SEARCH("SEM MOV",UPPER(O77&amp;""))),ISNUMBER(SEARCH("SEM I.E",UPPER(O77&amp;""))),ISNUMBER(SEARCH("SEM IE",UPPER(O77&amp;"")))),"DISPENSADO","ALERTA")))</x:f>
        <x:v>ALERTA</x:v>
      </x:c>
      <x:c r="X77" s="49" t="str">
        <x:f>IF(Q77&lt;&gt;"","SIM","NÃO")</x:f>
        <x:v>NÃO</x:v>
      </x:c>
      <x:c r="Y77" s="49" t="str">
        <x:f>IF(R77&lt;&gt;"","SIM","NÃO")</x:f>
        <x:v>NÃO</x:v>
      </x:c>
      <x:c r="Z77" s="49" t="str">
        <x:f>IF(OR(H77="A",V77="ALERTA",W77="ALERTA",T77="ALERTA",U77="ALERTA"),"ALTO",IF(OR(T77="PENDENTE",U77="PENDENTE",V77="PENDENTE",W77="PENDENTE"),"MÉDIO","BAIXO"))</x:f>
        <x:v>ALTO</x:v>
      </x:c>
      <x:c r="AA77" s="49" t="str">
        <x:f>IF(Z77="ALTO","Resolver certificado/permissão/CNPJ/status antes da rotina",IF(Z77="MÉDIO","Completar pasta/status pendente","Rotina regular"))</x:f>
        <x:v>Resolver certificado/permissão/CNPJ/status antes da rotina</x:v>
      </x:c>
    </x:row>
    <x:row r="78">
      <x:c r="A78" s="61" t="str">
        <x:v>GLOBO SERVIÇOS - 129</x:v>
      </x:c>
      <x:c r="B78" s="49" t="str">
        <x:v>AGROBOM</x:v>
      </x:c>
      <x:c r="C78" s="49" t="str">
        <x:v>BOM JESUS</x:v>
      </x:c>
      <x:c r="D78" s="49" t="str">
        <x:v>10.977.876/0001-46</x:v>
      </x:c>
      <x:c r="E78" s="49"/>
      <x:c r="F78" s="49" t="str">
        <x:v>DANIEL</x:v>
      </x:c>
      <x:c r="G78" s="49" t="str">
        <x:v>SIMPLES NACIONAL</x:v>
      </x:c>
      <x:c r="H78" s="49" t="str">
        <x:v>C</x:v>
      </x:c>
      <x:c r="I78" s="54"/>
      <x:c r="J78" s="49"/>
      <x:c r="K78" s="54"/>
      <x:c r="L78" s="49"/>
      <x:c r="M78" s="54" t="str">
        <x:v>SEM MOVIEMNTO</x:v>
      </x:c>
      <x:c r="N78" s="49"/>
      <x:c r="O78" s="54" t="str">
        <x:v>SEM RESULTADOS</x:v>
      </x:c>
      <x:c r="P78" s="49"/>
      <x:c r="Q78" s="57"/>
      <x:c r="R78" s="57"/>
      <x:c r="S78" s="57"/>
      <x:c r="T78" s="49" t="str">
        <x:f>IF(OR(I78="x",ISNUMBER(I78),ISNUMBER(SEARCH("OK",UPPER(I78&amp;""))),ISNUMBER(SEARCH("JÁ",UPPER(I78&amp;""))),ISNUMBER(SEARCH("JA ",UPPER(I78&amp;"")))),"OK",IF(I78="","PENDENTE",IF(OR(ISNUMBER(SEARCH("SEM MOV",UPPER(I78&amp;""))),ISNUMBER(SEARCH("SEM I.E",UPPER(I78&amp;""))),ISNUMBER(SEARCH("SEM IE",UPPER(I78&amp;"")))),"DISPENSADO","ALERTA")))</x:f>
        <x:v>PENDENTE</x:v>
      </x:c>
      <x:c r="U78" s="49" t="str">
        <x:f>IF(OR(K78="x",ISNUMBER(K78),ISNUMBER(SEARCH("OK",UPPER(K78&amp;""))),ISNUMBER(SEARCH("JÁ",UPPER(K78&amp;""))),ISNUMBER(SEARCH("JA ",UPPER(K78&amp;"")))),"OK",IF(K78="","PENDENTE",IF(OR(ISNUMBER(SEARCH("SEM MOV",UPPER(K78&amp;""))),ISNUMBER(SEARCH("SEM I.E",UPPER(K78&amp;""))),ISNUMBER(SEARCH("SEM IE",UPPER(K78&amp;"")))),"DISPENSADO","ALERTA")))</x:f>
        <x:v>PENDENTE</x:v>
      </x:c>
      <x:c r="V78" s="49" t="str">
        <x:f>IF(OR(M78="x",ISNUMBER(M78),ISNUMBER(SEARCH("OK",UPPER(M78&amp;""))),ISNUMBER(SEARCH("JÁ",UPPER(M78&amp;""))),ISNUMBER(SEARCH("JA ",UPPER(M78&amp;"")))),"OK",IF(M78="","PENDENTE",IF(OR(ISNUMBER(SEARCH("SEM MOV",UPPER(M78&amp;""))),ISNUMBER(SEARCH("SEM I.E",UPPER(M78&amp;""))),ISNUMBER(SEARCH("SEM IE",UPPER(M78&amp;"")))),"DISPENSADO","ALERTA")))</x:f>
        <x:v>DISPENSADO</x:v>
      </x:c>
      <x:c r="W78" s="49" t="str">
        <x:f>IF(OR(O78="x",ISNUMBER(O78),ISNUMBER(SEARCH("OK",UPPER(O78&amp;""))),ISNUMBER(SEARCH("JÁ",UPPER(O78&amp;""))),ISNUMBER(SEARCH("JA ",UPPER(O78&amp;"")))),"OK",IF(O78="","PENDENTE",IF(OR(ISNUMBER(SEARCH("SEM MOV",UPPER(O78&amp;""))),ISNUMBER(SEARCH("SEM I.E",UPPER(O78&amp;""))),ISNUMBER(SEARCH("SEM IE",UPPER(O78&amp;"")))),"DISPENSADO","ALERTA")))</x:f>
        <x:v>ALERTA</x:v>
      </x:c>
      <x:c r="X78" s="49" t="str">
        <x:f>IF(Q78&lt;&gt;"","SIM","NÃO")</x:f>
        <x:v>NÃO</x:v>
      </x:c>
      <x:c r="Y78" s="49" t="str">
        <x:f>IF(R78&lt;&gt;"","SIM","NÃO")</x:f>
        <x:v>NÃO</x:v>
      </x:c>
      <x:c r="Z78" s="49" t="str">
        <x:f>IF(OR(H78="A",V78="ALERTA",W78="ALERTA",T78="ALERTA",U78="ALERTA"),"ALTO",IF(OR(T78="PENDENTE",U78="PENDENTE",V78="PENDENTE",W78="PENDENTE"),"MÉDIO","BAIXO"))</x:f>
        <x:v>ALTO</x:v>
      </x:c>
      <x:c r="AA78" s="49" t="str">
        <x:f>IF(Z78="ALTO","Resolver certificado/permissão/CNPJ/status antes da rotina",IF(Z78="MÉDIO","Completar pasta/status pendente","Rotina regular"))</x:f>
        <x:v>Resolver certificado/permissão/CNPJ/status antes da rotina</x:v>
      </x:c>
    </x:row>
    <x:row r="79">
      <x:c r="A79" s="61" t="str">
        <x:v>GSV AGROPECUARIA LTDA - 154</x:v>
      </x:c>
      <x:c r="B79" s="49" t="str">
        <x:v>GSV</x:v>
      </x:c>
      <x:c r="C79" s="49" t="str">
        <x:v>GOIANESIA</x:v>
      </x:c>
      <x:c r="D79" s="49" t="str">
        <x:v>53.667.342/0001-26</x:v>
      </x:c>
      <x:c r="E79" s="49"/>
      <x:c r="F79" s="49" t="str">
        <x:v>NATÁLIA</x:v>
      </x:c>
      <x:c r="G79" s="49" t="str">
        <x:v>LUCRO REAL</x:v>
      </x:c>
      <x:c r="H79" s="49" t="str">
        <x:v>C</x:v>
      </x:c>
      <x:c r="I79" s="54"/>
      <x:c r="J79" s="49"/>
      <x:c r="K79" s="54"/>
      <x:c r="L79" s="49"/>
      <x:c r="M79" s="54" t="str">
        <x:v>ok</x:v>
      </x:c>
      <x:c r="N79" s="49"/>
      <x:c r="O79" s="54" t="str">
        <x:v>SEM RESULTADOS</x:v>
      </x:c>
      <x:c r="P79" s="49"/>
      <x:c r="Q79" s="57"/>
      <x:c r="R79" s="57"/>
      <x:c r="S79" s="57"/>
      <x:c r="T79" s="49" t="str">
        <x:f>IF(OR(I79="x",ISNUMBER(I79),ISNUMBER(SEARCH("OK",UPPER(I79&amp;""))),ISNUMBER(SEARCH("JÁ",UPPER(I79&amp;""))),ISNUMBER(SEARCH("JA ",UPPER(I79&amp;"")))),"OK",IF(I79="","PENDENTE",IF(OR(ISNUMBER(SEARCH("SEM MOV",UPPER(I79&amp;""))),ISNUMBER(SEARCH("SEM I.E",UPPER(I79&amp;""))),ISNUMBER(SEARCH("SEM IE",UPPER(I79&amp;"")))),"DISPENSADO","ALERTA")))</x:f>
        <x:v>PENDENTE</x:v>
      </x:c>
      <x:c r="U79" s="49" t="str">
        <x:f>IF(OR(K79="x",ISNUMBER(K79),ISNUMBER(SEARCH("OK",UPPER(K79&amp;""))),ISNUMBER(SEARCH("JÁ",UPPER(K79&amp;""))),ISNUMBER(SEARCH("JA ",UPPER(K79&amp;"")))),"OK",IF(K79="","PENDENTE",IF(OR(ISNUMBER(SEARCH("SEM MOV",UPPER(K79&amp;""))),ISNUMBER(SEARCH("SEM I.E",UPPER(K79&amp;""))),ISNUMBER(SEARCH("SEM IE",UPPER(K79&amp;"")))),"DISPENSADO","ALERTA")))</x:f>
        <x:v>PENDENTE</x:v>
      </x:c>
      <x:c r="V79" s="49" t="str">
        <x:f>IF(OR(M79="x",ISNUMBER(M79),ISNUMBER(SEARCH("OK",UPPER(M79&amp;""))),ISNUMBER(SEARCH("JÁ",UPPER(M79&amp;""))),ISNUMBER(SEARCH("JA ",UPPER(M79&amp;"")))),"OK",IF(M79="","PENDENTE",IF(OR(ISNUMBER(SEARCH("SEM MOV",UPPER(M79&amp;""))),ISNUMBER(SEARCH("SEM I.E",UPPER(M79&amp;""))),ISNUMBER(SEARCH("SEM IE",UPPER(M79&amp;"")))),"DISPENSADO","ALERTA")))</x:f>
        <x:v>OK</x:v>
      </x:c>
      <x:c r="W79" s="49" t="str">
        <x:f>IF(OR(O79="x",ISNUMBER(O79),ISNUMBER(SEARCH("OK",UPPER(O79&amp;""))),ISNUMBER(SEARCH("JÁ",UPPER(O79&amp;""))),ISNUMBER(SEARCH("JA ",UPPER(O79&amp;"")))),"OK",IF(O79="","PENDENTE",IF(OR(ISNUMBER(SEARCH("SEM MOV",UPPER(O79&amp;""))),ISNUMBER(SEARCH("SEM I.E",UPPER(O79&amp;""))),ISNUMBER(SEARCH("SEM IE",UPPER(O79&amp;"")))),"DISPENSADO","ALERTA")))</x:f>
        <x:v>ALERTA</x:v>
      </x:c>
      <x:c r="X79" s="49" t="str">
        <x:f>IF(Q79&lt;&gt;"","SIM","NÃO")</x:f>
        <x:v>NÃO</x:v>
      </x:c>
      <x:c r="Y79" s="49" t="str">
        <x:f>IF(R79&lt;&gt;"","SIM","NÃO")</x:f>
        <x:v>NÃO</x:v>
      </x:c>
      <x:c r="Z79" s="49" t="str">
        <x:f>IF(OR(H79="A",V79="ALERTA",W79="ALERTA",T79="ALERTA",U79="ALERTA"),"ALTO",IF(OR(T79="PENDENTE",U79="PENDENTE",V79="PENDENTE",W79="PENDENTE"),"MÉDIO","BAIXO"))</x:f>
        <x:v>ALTO</x:v>
      </x:c>
      <x:c r="AA79" s="49" t="str">
        <x:f>IF(Z79="ALTO","Resolver certificado/permissão/CNPJ/status antes da rotina",IF(Z79="MÉDIO","Completar pasta/status pendente","Rotina regular"))</x:f>
        <x:v>Resolver certificado/permissão/CNPJ/status antes da rotina</x:v>
      </x:c>
    </x:row>
    <x:row r="80">
      <x:c r="A80" s="61" t="str">
        <x:v>GSV MONTAGENS INDUSTRIAIS - LTDA</x:v>
      </x:c>
      <x:c r="B80" s="49" t="str">
        <x:v>GSV</x:v>
      </x:c>
      <x:c r="C80" s="49" t="str">
        <x:v>GOIANESIA</x:v>
      </x:c>
      <x:c r="D80" s="49" t="str">
        <x:v>11.225.183/0001-60</x:v>
      </x:c>
      <x:c r="E80" s="49"/>
      <x:c r="F80" s="49" t="str">
        <x:v>NATÁLIA</x:v>
      </x:c>
      <x:c r="G80" s="49" t="str">
        <x:v>LUCRO REAL</x:v>
      </x:c>
      <x:c r="H80" s="49" t="str">
        <x:v>A</x:v>
      </x:c>
      <x:c r="I80" s="54"/>
      <x:c r="J80" s="49"/>
      <x:c r="K80" s="54"/>
      <x:c r="L80" s="49"/>
      <x:c r="M80" s="54" t="str">
        <x:v>JÁ OK</x:v>
      </x:c>
      <x:c r="N80" s="49"/>
      <x:c r="O80" s="54" t="str">
        <x:v>JÁ ESTAVA</x:v>
      </x:c>
      <x:c r="P80" s="49"/>
      <x:c r="Q80" s="57"/>
      <x:c r="R80" s="57" t="str">
        <x:v>W:\01-CLIENTES\GRUPO - GSV\1 - GSV MONTAGENS INDUSTRIAIS\FISCAL\2026\042026\MUNICIPAL\REST\PDF SERVIÇOS TOMADOS</x:v>
      </x:c>
      <x:c r="S80" s="57"/>
      <x:c r="T80" s="49" t="str">
        <x:f>IF(OR(I80="x",ISNUMBER(I80),ISNUMBER(SEARCH("OK",UPPER(I80&amp;""))),ISNUMBER(SEARCH("JÁ",UPPER(I80&amp;""))),ISNUMBER(SEARCH("JA ",UPPER(I80&amp;"")))),"OK",IF(I80="","PENDENTE",IF(OR(ISNUMBER(SEARCH("SEM MOV",UPPER(I80&amp;""))),ISNUMBER(SEARCH("SEM I.E",UPPER(I80&amp;""))),ISNUMBER(SEARCH("SEM IE",UPPER(I80&amp;"")))),"DISPENSADO","ALERTA")))</x:f>
        <x:v>PENDENTE</x:v>
      </x:c>
      <x:c r="U80" s="49" t="str">
        <x:f>IF(OR(K80="x",ISNUMBER(K80),ISNUMBER(SEARCH("OK",UPPER(K80&amp;""))),ISNUMBER(SEARCH("JÁ",UPPER(K80&amp;""))),ISNUMBER(SEARCH("JA ",UPPER(K80&amp;"")))),"OK",IF(K80="","PENDENTE",IF(OR(ISNUMBER(SEARCH("SEM MOV",UPPER(K80&amp;""))),ISNUMBER(SEARCH("SEM I.E",UPPER(K80&amp;""))),ISNUMBER(SEARCH("SEM IE",UPPER(K80&amp;"")))),"DISPENSADO","ALERTA")))</x:f>
        <x:v>PENDENTE</x:v>
      </x:c>
      <x:c r="V80" s="49" t="str">
        <x:f>IF(OR(M80="x",ISNUMBER(M80),ISNUMBER(SEARCH("OK",UPPER(M80&amp;""))),ISNUMBER(SEARCH("JÁ",UPPER(M80&amp;""))),ISNUMBER(SEARCH("JA ",UPPER(M80&amp;"")))),"OK",IF(M80="","PENDENTE",IF(OR(ISNUMBER(SEARCH("SEM MOV",UPPER(M80&amp;""))),ISNUMBER(SEARCH("SEM I.E",UPPER(M80&amp;""))),ISNUMBER(SEARCH("SEM IE",UPPER(M80&amp;"")))),"DISPENSADO","ALERTA")))</x:f>
        <x:v>OK</x:v>
      </x:c>
      <x:c r="W80" s="49" t="str">
        <x:f>IF(OR(O80="x",ISNUMBER(O80),ISNUMBER(SEARCH("OK",UPPER(O80&amp;""))),ISNUMBER(SEARCH("JÁ",UPPER(O80&amp;""))),ISNUMBER(SEARCH("JA ",UPPER(O80&amp;"")))),"OK",IF(O80="","PENDENTE",IF(OR(ISNUMBER(SEARCH("SEM MOV",UPPER(O80&amp;""))),ISNUMBER(SEARCH("SEM I.E",UPPER(O80&amp;""))),ISNUMBER(SEARCH("SEM IE",UPPER(O80&amp;"")))),"DISPENSADO","ALERTA")))</x:f>
        <x:v>OK</x:v>
      </x:c>
      <x:c r="X80" s="49" t="str">
        <x:f>IF(Q80&lt;&gt;"","SIM","NÃO")</x:f>
        <x:v>NÃO</x:v>
      </x:c>
      <x:c r="Y80" s="49" t="str">
        <x:f>IF(R80&lt;&gt;"","SIM","NÃO")</x:f>
        <x:v>SIM</x:v>
      </x:c>
      <x:c r="Z80" s="49" t="str">
        <x:f>IF(OR(H80="A",V80="ALERTA",W80="ALERTA",T80="ALERTA",U80="ALERTA"),"ALTO",IF(OR(T80="PENDENTE",U80="PENDENTE",V80="PENDENTE",W80="PENDENTE"),"MÉDIO","BAIXO"))</x:f>
        <x:v>ALTO</x:v>
      </x:c>
      <x:c r="AA80" s="49" t="str">
        <x:f>IF(Z80="ALTO","Resolver certificado/permissão/CNPJ/status antes da rotina",IF(Z80="MÉDIO","Completar pasta/status pendente","Rotina regular"))</x:f>
        <x:v>Resolver certificado/permissão/CNPJ/status antes da rotina</x:v>
      </x:c>
    </x:row>
    <x:row r="81">
      <x:c r="A81" s="61" t="str">
        <x:v>HANAMEC FERRAMENTAS - 34</x:v>
      </x:c>
      <x:c r="B81" s="49" t="str">
        <x:v>HANAMEC</x:v>
      </x:c>
      <x:c r="C81" s="49" t="str">
        <x:v>GOIÂNIA</x:v>
      </x:c>
      <x:c r="D81" s="49" t="str">
        <x:v>40.920.539/0001-83</x:v>
      </x:c>
      <x:c r="E81" s="49"/>
      <x:c r="F81" s="49" t="str">
        <x:v>DANIELA</x:v>
      </x:c>
      <x:c r="G81" s="49" t="str">
        <x:v>SIMPLES NACIONAL</x:v>
      </x:c>
      <x:c r="H81" s="49" t="str">
        <x:v>C</x:v>
      </x:c>
      <x:c r="I81" s="54"/>
      <x:c r="J81" s="49"/>
      <x:c r="K81" s="54"/>
      <x:c r="L81" s="49"/>
      <x:c r="M81" s="54" t="str">
        <x:v>SEM MOVIEMNTO</x:v>
      </x:c>
      <x:c r="N81" s="49"/>
      <x:c r="O81" s="54"/>
      <x:c r="P81" s="49"/>
      <x:c r="Q81" s="57"/>
      <x:c r="R81" s="57"/>
      <x:c r="S81" s="57"/>
      <x:c r="T81" s="49" t="str">
        <x:f>IF(OR(I81="x",ISNUMBER(I81),ISNUMBER(SEARCH("OK",UPPER(I81&amp;""))),ISNUMBER(SEARCH("JÁ",UPPER(I81&amp;""))),ISNUMBER(SEARCH("JA ",UPPER(I81&amp;"")))),"OK",IF(I81="","PENDENTE",IF(OR(ISNUMBER(SEARCH("SEM MOV",UPPER(I81&amp;""))),ISNUMBER(SEARCH("SEM I.E",UPPER(I81&amp;""))),ISNUMBER(SEARCH("SEM IE",UPPER(I81&amp;"")))),"DISPENSADO","ALERTA")))</x:f>
        <x:v>PENDENTE</x:v>
      </x:c>
      <x:c r="U81" s="49" t="str">
        <x:f>IF(OR(K81="x",ISNUMBER(K81),ISNUMBER(SEARCH("OK",UPPER(K81&amp;""))),ISNUMBER(SEARCH("JÁ",UPPER(K81&amp;""))),ISNUMBER(SEARCH("JA ",UPPER(K81&amp;"")))),"OK",IF(K81="","PENDENTE",IF(OR(ISNUMBER(SEARCH("SEM MOV",UPPER(K81&amp;""))),ISNUMBER(SEARCH("SEM I.E",UPPER(K81&amp;""))),ISNUMBER(SEARCH("SEM IE",UPPER(K81&amp;"")))),"DISPENSADO","ALERTA")))</x:f>
        <x:v>PENDENTE</x:v>
      </x:c>
      <x:c r="V81" s="49" t="str">
        <x:f>IF(OR(M81="x",ISNUMBER(M81),ISNUMBER(SEARCH("OK",UPPER(M81&amp;""))),ISNUMBER(SEARCH("JÁ",UPPER(M81&amp;""))),ISNUMBER(SEARCH("JA ",UPPER(M81&amp;"")))),"OK",IF(M81="","PENDENTE",IF(OR(ISNUMBER(SEARCH("SEM MOV",UPPER(M81&amp;""))),ISNUMBER(SEARCH("SEM I.E",UPPER(M81&amp;""))),ISNUMBER(SEARCH("SEM IE",UPPER(M81&amp;"")))),"DISPENSADO","ALERTA")))</x:f>
        <x:v>DISPENSADO</x:v>
      </x:c>
      <x:c r="W81" s="49" t="str">
        <x:f>IF(OR(O81="x",ISNUMBER(O81),ISNUMBER(SEARCH("OK",UPPER(O81&amp;""))),ISNUMBER(SEARCH("JÁ",UPPER(O81&amp;""))),ISNUMBER(SEARCH("JA ",UPPER(O81&amp;"")))),"OK",IF(O81="","PENDENTE",IF(OR(ISNUMBER(SEARCH("SEM MOV",UPPER(O81&amp;""))),ISNUMBER(SEARCH("SEM I.E",UPPER(O81&amp;""))),ISNUMBER(SEARCH("SEM IE",UPPER(O81&amp;"")))),"DISPENSADO","ALERTA")))</x:f>
        <x:v>PENDENTE</x:v>
      </x:c>
      <x:c r="X81" s="49" t="str">
        <x:f>IF(Q81&lt;&gt;"","SIM","NÃO")</x:f>
        <x:v>NÃO</x:v>
      </x:c>
      <x:c r="Y81" s="49" t="str">
        <x:f>IF(R81&lt;&gt;"","SIM","NÃO")</x:f>
        <x:v>NÃO</x:v>
      </x:c>
      <x:c r="Z81" s="49" t="str">
        <x:f>IF(OR(H81="A",V81="ALERTA",W81="ALERTA",T81="ALERTA",U81="ALERTA"),"ALTO",IF(OR(T81="PENDENTE",U81="PENDENTE",V81="PENDENTE",W81="PENDENTE"),"MÉDIO","BAIXO"))</x:f>
        <x:v>MÉDIO</x:v>
      </x:c>
      <x:c r="AA81" s="49" t="str">
        <x:f>IF(Z81="ALTO","Resolver certificado/permissão/CNPJ/status antes da rotina",IF(Z81="MÉDIO","Completar pasta/status pendente","Rotina regular"))</x:f>
        <x:v>Completar pasta/status pendente</x:v>
      </x:c>
    </x:row>
    <x:row r="82">
      <x:c r="A82" s="61" t="str">
        <x:v>HANAMEC LOCAÇÕES - 49</x:v>
      </x:c>
      <x:c r="B82" s="49" t="str">
        <x:v>HANAMEC</x:v>
      </x:c>
      <x:c r="C82" s="49" t="str">
        <x:v>GOIANIA</x:v>
      </x:c>
      <x:c r="D82" s="49" t="str">
        <x:v>42.686.883/0001-85</x:v>
      </x:c>
      <x:c r="E82" s="49"/>
      <x:c r="F82" s="49" t="str">
        <x:v>DANIELA</x:v>
      </x:c>
      <x:c r="G82" s="49" t="str">
        <x:v>LUCRO PRESUMIDO</x:v>
      </x:c>
      <x:c r="H82" s="49" t="str">
        <x:v>C</x:v>
      </x:c>
      <x:c r="I82" s="54"/>
      <x:c r="J82" s="49"/>
      <x:c r="K82" s="54"/>
      <x:c r="L82" s="49"/>
      <x:c r="M82" s="54" t="str">
        <x:v>SEM I.E.</x:v>
      </x:c>
      <x:c r="N82" s="49"/>
      <x:c r="O82" s="54" t="str">
        <x:v>CERT. VENCIDO</x:v>
      </x:c>
      <x:c r="P82" s="49"/>
      <x:c r="Q82" s="57"/>
      <x:c r="R82" s="57"/>
      <x:c r="S82" s="57"/>
      <x:c r="T82" s="49" t="str">
        <x:f>IF(OR(I82="x",ISNUMBER(I82),ISNUMBER(SEARCH("OK",UPPER(I82&amp;""))),ISNUMBER(SEARCH("JÁ",UPPER(I82&amp;""))),ISNUMBER(SEARCH("JA ",UPPER(I82&amp;"")))),"OK",IF(I82="","PENDENTE",IF(OR(ISNUMBER(SEARCH("SEM MOV",UPPER(I82&amp;""))),ISNUMBER(SEARCH("SEM I.E",UPPER(I82&amp;""))),ISNUMBER(SEARCH("SEM IE",UPPER(I82&amp;"")))),"DISPENSADO","ALERTA")))</x:f>
        <x:v>PENDENTE</x:v>
      </x:c>
      <x:c r="U82" s="49" t="str">
        <x:f>IF(OR(K82="x",ISNUMBER(K82),ISNUMBER(SEARCH("OK",UPPER(K82&amp;""))),ISNUMBER(SEARCH("JÁ",UPPER(K82&amp;""))),ISNUMBER(SEARCH("JA ",UPPER(K82&amp;"")))),"OK",IF(K82="","PENDENTE",IF(OR(ISNUMBER(SEARCH("SEM MOV",UPPER(K82&amp;""))),ISNUMBER(SEARCH("SEM I.E",UPPER(K82&amp;""))),ISNUMBER(SEARCH("SEM IE",UPPER(K82&amp;"")))),"DISPENSADO","ALERTA")))</x:f>
        <x:v>PENDENTE</x:v>
      </x:c>
      <x:c r="V82" s="49" t="str">
        <x:f>IF(OR(M82="x",ISNUMBER(M82),ISNUMBER(SEARCH("OK",UPPER(M82&amp;""))),ISNUMBER(SEARCH("JÁ",UPPER(M82&amp;""))),ISNUMBER(SEARCH("JA ",UPPER(M82&amp;"")))),"OK",IF(M82="","PENDENTE",IF(OR(ISNUMBER(SEARCH("SEM MOV",UPPER(M82&amp;""))),ISNUMBER(SEARCH("SEM I.E",UPPER(M82&amp;""))),ISNUMBER(SEARCH("SEM IE",UPPER(M82&amp;"")))),"DISPENSADO","ALERTA")))</x:f>
        <x:v>DISPENSADO</x:v>
      </x:c>
      <x:c r="W82" s="49" t="str">
        <x:f>IF(OR(O82="x",ISNUMBER(O82),ISNUMBER(SEARCH("OK",UPPER(O82&amp;""))),ISNUMBER(SEARCH("JÁ",UPPER(O82&amp;""))),ISNUMBER(SEARCH("JA ",UPPER(O82&amp;"")))),"OK",IF(O82="","PENDENTE",IF(OR(ISNUMBER(SEARCH("SEM MOV",UPPER(O82&amp;""))),ISNUMBER(SEARCH("SEM I.E",UPPER(O82&amp;""))),ISNUMBER(SEARCH("SEM IE",UPPER(O82&amp;"")))),"DISPENSADO","ALERTA")))</x:f>
        <x:v>ALERTA</x:v>
      </x:c>
      <x:c r="X82" s="49" t="str">
        <x:f>IF(Q82&lt;&gt;"","SIM","NÃO")</x:f>
        <x:v>NÃO</x:v>
      </x:c>
      <x:c r="Y82" s="49" t="str">
        <x:f>IF(R82&lt;&gt;"","SIM","NÃO")</x:f>
        <x:v>NÃO</x:v>
      </x:c>
      <x:c r="Z82" s="49" t="str">
        <x:f>IF(OR(H82="A",V82="ALERTA",W82="ALERTA",T82="ALERTA",U82="ALERTA"),"ALTO",IF(OR(T82="PENDENTE",U82="PENDENTE",V82="PENDENTE",W82="PENDENTE"),"MÉDIO","BAIXO"))</x:f>
        <x:v>ALTO</x:v>
      </x:c>
      <x:c r="AA82" s="49" t="str">
        <x:f>IF(Z82="ALTO","Resolver certificado/permissão/CNPJ/status antes da rotina",IF(Z82="MÉDIO","Completar pasta/status pendente","Rotina regular"))</x:f>
        <x:v>Resolver certificado/permissão/CNPJ/status antes da rotina</x:v>
      </x:c>
    </x:row>
    <x:row r="83">
      <x:c r="A83" s="61" t="str">
        <x:v>HANAMEC SERVICOS ELETRICOS E FERRAMENTAS LTDA</x:v>
      </x:c>
      <x:c r="B83" s="49" t="str">
        <x:v>HANAMEC</x:v>
      </x:c>
      <x:c r="C83" s="49" t="str">
        <x:v>GOIANIA</x:v>
      </x:c>
      <x:c r="D83" s="49" t="str">
        <x:v>12.614.431/0001-27</x:v>
      </x:c>
      <x:c r="E83" s="49"/>
      <x:c r="F83" s="49" t="str">
        <x:v>DANIELA</x:v>
      </x:c>
      <x:c r="G83" s="49" t="str">
        <x:v>LUCRO REAL</x:v>
      </x:c>
      <x:c r="H83" s="49" t="str">
        <x:v>A</x:v>
      </x:c>
      <x:c r="I83" s="54"/>
      <x:c r="J83" s="49"/>
      <x:c r="K83" s="54"/>
      <x:c r="L83" s="49"/>
      <x:c r="M83" s="54" t="str">
        <x:v>JÁ TINHA SALVO</x:v>
      </x:c>
      <x:c r="N83" s="49"/>
      <x:c r="O83" s="54" t="str">
        <x:v>OK 30/04</x:v>
      </x:c>
      <x:c r="P83" s="49"/>
      <x:c r="Q83" s="57"/>
      <x:c r="R83" s="57"/>
      <x:c r="S83" s="57"/>
      <x:c r="T83" s="49" t="str">
        <x:f>IF(OR(I83="x",ISNUMBER(I83),ISNUMBER(SEARCH("OK",UPPER(I83&amp;""))),ISNUMBER(SEARCH("JÁ",UPPER(I83&amp;""))),ISNUMBER(SEARCH("JA ",UPPER(I83&amp;"")))),"OK",IF(I83="","PENDENTE",IF(OR(ISNUMBER(SEARCH("SEM MOV",UPPER(I83&amp;""))),ISNUMBER(SEARCH("SEM I.E",UPPER(I83&amp;""))),ISNUMBER(SEARCH("SEM IE",UPPER(I83&amp;"")))),"DISPENSADO","ALERTA")))</x:f>
        <x:v>PENDENTE</x:v>
      </x:c>
      <x:c r="U83" s="49" t="str">
        <x:f>IF(OR(K83="x",ISNUMBER(K83),ISNUMBER(SEARCH("OK",UPPER(K83&amp;""))),ISNUMBER(SEARCH("JÁ",UPPER(K83&amp;""))),ISNUMBER(SEARCH("JA ",UPPER(K83&amp;"")))),"OK",IF(K83="","PENDENTE",IF(OR(ISNUMBER(SEARCH("SEM MOV",UPPER(K83&amp;""))),ISNUMBER(SEARCH("SEM I.E",UPPER(K83&amp;""))),ISNUMBER(SEARCH("SEM IE",UPPER(K83&amp;"")))),"DISPENSADO","ALERTA")))</x:f>
        <x:v>PENDENTE</x:v>
      </x:c>
      <x:c r="V83" s="49" t="str">
        <x:f>IF(OR(M83="x",ISNUMBER(M83),ISNUMBER(SEARCH("OK",UPPER(M83&amp;""))),ISNUMBER(SEARCH("JÁ",UPPER(M83&amp;""))),ISNUMBER(SEARCH("JA ",UPPER(M83&amp;"")))),"OK",IF(M83="","PENDENTE",IF(OR(ISNUMBER(SEARCH("SEM MOV",UPPER(M83&amp;""))),ISNUMBER(SEARCH("SEM I.E",UPPER(M83&amp;""))),ISNUMBER(SEARCH("SEM IE",UPPER(M83&amp;"")))),"DISPENSADO","ALERTA")))</x:f>
        <x:v>OK</x:v>
      </x:c>
      <x:c r="W83" s="49" t="str">
        <x:f>IF(OR(O83="x",ISNUMBER(O83),ISNUMBER(SEARCH("OK",UPPER(O83&amp;""))),ISNUMBER(SEARCH("JÁ",UPPER(O83&amp;""))),ISNUMBER(SEARCH("JA ",UPPER(O83&amp;"")))),"OK",IF(O83="","PENDENTE",IF(OR(ISNUMBER(SEARCH("SEM MOV",UPPER(O83&amp;""))),ISNUMBER(SEARCH("SEM I.E",UPPER(O83&amp;""))),ISNUMBER(SEARCH("SEM IE",UPPER(O83&amp;"")))),"DISPENSADO","ALERTA")))</x:f>
        <x:v>OK</x:v>
      </x:c>
      <x:c r="X83" s="49" t="str">
        <x:f>IF(Q83&lt;&gt;"","SIM","NÃO")</x:f>
        <x:v>NÃO</x:v>
      </x:c>
      <x:c r="Y83" s="49" t="str">
        <x:f>IF(R83&lt;&gt;"","SIM","NÃO")</x:f>
        <x:v>NÃO</x:v>
      </x:c>
      <x:c r="Z83" s="49" t="str">
        <x:f>IF(OR(H83="A",V83="ALERTA",W83="ALERTA",T83="ALERTA",U83="ALERTA"),"ALTO",IF(OR(T83="PENDENTE",U83="PENDENTE",V83="PENDENTE",W83="PENDENTE"),"MÉDIO","BAIXO"))</x:f>
        <x:v>ALTO</x:v>
      </x:c>
      <x:c r="AA83" s="49" t="str">
        <x:f>IF(Z83="ALTO","Resolver certificado/permissão/CNPJ/status antes da rotina",IF(Z83="MÉDIO","Completar pasta/status pendente","Rotina regular"))</x:f>
        <x:v>Resolver certificado/permissão/CNPJ/status antes da rotina</x:v>
      </x:c>
    </x:row>
    <x:row r="84">
      <x:c r="A84" s="61" t="str">
        <x:v>HC COMERCIO DE CHOCOLATES LTDA - 210</x:v>
      </x:c>
      <x:c r="B84" s="49" t="str">
        <x:v>HH</x:v>
      </x:c>
      <x:c r="C84" s="49" t="str">
        <x:v>PIRACICABA</x:v>
      </x:c>
      <x:c r="D84" s="49" t="str">
        <x:v>21.017.530/0001-12</x:v>
      </x:c>
      <x:c r="E84" s="49"/>
      <x:c r="F84" s="49" t="str">
        <x:v>DANIELLE</x:v>
      </x:c>
      <x:c r="G84" s="49" t="str">
        <x:v>LUCRO REAL</x:v>
      </x:c>
      <x:c r="H84" s="49" t="str">
        <x:v>B</x:v>
      </x:c>
      <x:c r="I84" s="54"/>
      <x:c r="J84" s="49"/>
      <x:c r="K84" s="54"/>
      <x:c r="L84" s="49"/>
      <x:c r="M84" s="54" t="str">
        <x:v>SEM MOVIMENTO</x:v>
      </x:c>
      <x:c r="N84" s="49" t="str">
        <x:v>SP</x:v>
      </x:c>
      <x:c r="O84" s="54" t="str">
        <x:v>SEM RESULTADOS</x:v>
      </x:c>
      <x:c r="P84" s="49"/>
      <x:c r="Q84" s="57"/>
      <x:c r="R84" s="57"/>
      <x:c r="S84" s="57"/>
      <x:c r="T84" s="49" t="str">
        <x:f>IF(OR(I84="x",ISNUMBER(I84),ISNUMBER(SEARCH("OK",UPPER(I84&amp;""))),ISNUMBER(SEARCH("JÁ",UPPER(I84&amp;""))),ISNUMBER(SEARCH("JA ",UPPER(I84&amp;"")))),"OK",IF(I84="","PENDENTE",IF(OR(ISNUMBER(SEARCH("SEM MOV",UPPER(I84&amp;""))),ISNUMBER(SEARCH("SEM I.E",UPPER(I84&amp;""))),ISNUMBER(SEARCH("SEM IE",UPPER(I84&amp;"")))),"DISPENSADO","ALERTA")))</x:f>
        <x:v>PENDENTE</x:v>
      </x:c>
      <x:c r="U84" s="49" t="str">
        <x:f>IF(OR(K84="x",ISNUMBER(K84),ISNUMBER(SEARCH("OK",UPPER(K84&amp;""))),ISNUMBER(SEARCH("JÁ",UPPER(K84&amp;""))),ISNUMBER(SEARCH("JA ",UPPER(K84&amp;"")))),"OK",IF(K84="","PENDENTE",IF(OR(ISNUMBER(SEARCH("SEM MOV",UPPER(K84&amp;""))),ISNUMBER(SEARCH("SEM I.E",UPPER(K84&amp;""))),ISNUMBER(SEARCH("SEM IE",UPPER(K84&amp;"")))),"DISPENSADO","ALERTA")))</x:f>
        <x:v>PENDENTE</x:v>
      </x:c>
      <x:c r="V84" s="49" t="str">
        <x:f>IF(OR(M84="x",ISNUMBER(M84),ISNUMBER(SEARCH("OK",UPPER(M84&amp;""))),ISNUMBER(SEARCH("JÁ",UPPER(M84&amp;""))),ISNUMBER(SEARCH("JA ",UPPER(M84&amp;"")))),"OK",IF(M84="","PENDENTE",IF(OR(ISNUMBER(SEARCH("SEM MOV",UPPER(M84&amp;""))),ISNUMBER(SEARCH("SEM I.E",UPPER(M84&amp;""))),ISNUMBER(SEARCH("SEM IE",UPPER(M84&amp;"")))),"DISPENSADO","ALERTA")))</x:f>
        <x:v>DISPENSADO</x:v>
      </x:c>
      <x:c r="W84" s="49" t="str">
        <x:f>IF(OR(O84="x",ISNUMBER(O84),ISNUMBER(SEARCH("OK",UPPER(O84&amp;""))),ISNUMBER(SEARCH("JÁ",UPPER(O84&amp;""))),ISNUMBER(SEARCH("JA ",UPPER(O84&amp;"")))),"OK",IF(O84="","PENDENTE",IF(OR(ISNUMBER(SEARCH("SEM MOV",UPPER(O84&amp;""))),ISNUMBER(SEARCH("SEM I.E",UPPER(O84&amp;""))),ISNUMBER(SEARCH("SEM IE",UPPER(O84&amp;"")))),"DISPENSADO","ALERTA")))</x:f>
        <x:v>ALERTA</x:v>
      </x:c>
      <x:c r="X84" s="49" t="str">
        <x:f>IF(Q84&lt;&gt;"","SIM","NÃO")</x:f>
        <x:v>NÃO</x:v>
      </x:c>
      <x:c r="Y84" s="49" t="str">
        <x:f>IF(R84&lt;&gt;"","SIM","NÃO")</x:f>
        <x:v>NÃO</x:v>
      </x:c>
      <x:c r="Z84" s="49" t="str">
        <x:f>IF(OR(H84="A",V84="ALERTA",W84="ALERTA",T84="ALERTA",U84="ALERTA"),"ALTO",IF(OR(T84="PENDENTE",U84="PENDENTE",V84="PENDENTE",W84="PENDENTE"),"MÉDIO","BAIXO"))</x:f>
        <x:v>ALTO</x:v>
      </x:c>
      <x:c r="AA84" s="49" t="str">
        <x:f>IF(Z84="ALTO","Resolver certificado/permissão/CNPJ/status antes da rotina",IF(Z84="MÉDIO","Completar pasta/status pendente","Rotina regular"))</x:f>
        <x:v>Resolver certificado/permissão/CNPJ/status antes da rotina</x:v>
      </x:c>
    </x:row>
    <x:row r="85">
      <x:c r="A85" s="61" t="str">
        <x:v>HH COMERCIO DE CHOCOLATES - 211</x:v>
      </x:c>
      <x:c r="B85" s="49" t="str">
        <x:v>HH</x:v>
      </x:c>
      <x:c r="C85" s="49" t="str">
        <x:v>PIRACICABA</x:v>
      </x:c>
      <x:c r="D85" s="49" t="str">
        <x:v>55.718.705/0001-30</x:v>
      </x:c>
      <x:c r="E85" s="49"/>
      <x:c r="F85" s="49" t="str">
        <x:v>DANIELLE</x:v>
      </x:c>
      <x:c r="G85" s="49" t="str">
        <x:v>SIMPLES NACIONAL</x:v>
      </x:c>
      <x:c r="H85" s="49" t="str">
        <x:v>B</x:v>
      </x:c>
      <x:c r="I85" s="54"/>
      <x:c r="J85" s="49"/>
      <x:c r="K85" s="54"/>
      <x:c r="L85" s="49"/>
      <x:c r="M85" s="54" t="str">
        <x:v>SEM MOVIMENTO</x:v>
      </x:c>
      <x:c r="N85" s="49" t="str">
        <x:v>SP</x:v>
      </x:c>
      <x:c r="O85" s="54" t="str">
        <x:v>SEM RESULTADOS</x:v>
      </x:c>
      <x:c r="P85" s="49"/>
      <x:c r="Q85" s="57"/>
      <x:c r="R85" s="57"/>
      <x:c r="S85" s="57"/>
      <x:c r="T85" s="49" t="str">
        <x:f>IF(OR(I85="x",ISNUMBER(I85),ISNUMBER(SEARCH("OK",UPPER(I85&amp;""))),ISNUMBER(SEARCH("JÁ",UPPER(I85&amp;""))),ISNUMBER(SEARCH("JA ",UPPER(I85&amp;"")))),"OK",IF(I85="","PENDENTE",IF(OR(ISNUMBER(SEARCH("SEM MOV",UPPER(I85&amp;""))),ISNUMBER(SEARCH("SEM I.E",UPPER(I85&amp;""))),ISNUMBER(SEARCH("SEM IE",UPPER(I85&amp;"")))),"DISPENSADO","ALERTA")))</x:f>
        <x:v>PENDENTE</x:v>
      </x:c>
      <x:c r="U85" s="49" t="str">
        <x:f>IF(OR(K85="x",ISNUMBER(K85),ISNUMBER(SEARCH("OK",UPPER(K85&amp;""))),ISNUMBER(SEARCH("JÁ",UPPER(K85&amp;""))),ISNUMBER(SEARCH("JA ",UPPER(K85&amp;"")))),"OK",IF(K85="","PENDENTE",IF(OR(ISNUMBER(SEARCH("SEM MOV",UPPER(K85&amp;""))),ISNUMBER(SEARCH("SEM I.E",UPPER(K85&amp;""))),ISNUMBER(SEARCH("SEM IE",UPPER(K85&amp;"")))),"DISPENSADO","ALERTA")))</x:f>
        <x:v>PENDENTE</x:v>
      </x:c>
      <x:c r="V85" s="49" t="str">
        <x:f>IF(OR(M85="x",ISNUMBER(M85),ISNUMBER(SEARCH("OK",UPPER(M85&amp;""))),ISNUMBER(SEARCH("JÁ",UPPER(M85&amp;""))),ISNUMBER(SEARCH("JA ",UPPER(M85&amp;"")))),"OK",IF(M85="","PENDENTE",IF(OR(ISNUMBER(SEARCH("SEM MOV",UPPER(M85&amp;""))),ISNUMBER(SEARCH("SEM I.E",UPPER(M85&amp;""))),ISNUMBER(SEARCH("SEM IE",UPPER(M85&amp;"")))),"DISPENSADO","ALERTA")))</x:f>
        <x:v>DISPENSADO</x:v>
      </x:c>
      <x:c r="W85" s="49" t="str">
        <x:f>IF(OR(O85="x",ISNUMBER(O85),ISNUMBER(SEARCH("OK",UPPER(O85&amp;""))),ISNUMBER(SEARCH("JÁ",UPPER(O85&amp;""))),ISNUMBER(SEARCH("JA ",UPPER(O85&amp;"")))),"OK",IF(O85="","PENDENTE",IF(OR(ISNUMBER(SEARCH("SEM MOV",UPPER(O85&amp;""))),ISNUMBER(SEARCH("SEM I.E",UPPER(O85&amp;""))),ISNUMBER(SEARCH("SEM IE",UPPER(O85&amp;"")))),"DISPENSADO","ALERTA")))</x:f>
        <x:v>ALERTA</x:v>
      </x:c>
      <x:c r="X85" s="49" t="str">
        <x:f>IF(Q85&lt;&gt;"","SIM","NÃO")</x:f>
        <x:v>NÃO</x:v>
      </x:c>
      <x:c r="Y85" s="49" t="str">
        <x:f>IF(R85&lt;&gt;"","SIM","NÃO")</x:f>
        <x:v>NÃO</x:v>
      </x:c>
      <x:c r="Z85" s="49" t="str">
        <x:f>IF(OR(H85="A",V85="ALERTA",W85="ALERTA",T85="ALERTA",U85="ALERTA"),"ALTO",IF(OR(T85="PENDENTE",U85="PENDENTE",V85="PENDENTE",W85="PENDENTE"),"MÉDIO","BAIXO"))</x:f>
        <x:v>ALTO</x:v>
      </x:c>
      <x:c r="AA85" s="49" t="str">
        <x:f>IF(Z85="ALTO","Resolver certificado/permissão/CNPJ/status antes da rotina",IF(Z85="MÉDIO","Completar pasta/status pendente","Rotina regular"))</x:f>
        <x:v>Resolver certificado/permissão/CNPJ/status antes da rotina</x:v>
      </x:c>
    </x:row>
    <x:row r="86">
      <x:c r="A86" s="61" t="str">
        <x:v>HH COMERCIO DE CHOCOLATES - 212</x:v>
      </x:c>
      <x:c r="B86" s="49" t="str">
        <x:v>HH</x:v>
      </x:c>
      <x:c r="C86" s="49" t="str">
        <x:v>PIRACICABA</x:v>
      </x:c>
      <x:c r="D86" s="49" t="str">
        <x:v>55.718.705/0002-11</x:v>
      </x:c>
      <x:c r="E86" s="49"/>
      <x:c r="F86" s="49" t="str">
        <x:v>DANIELLE</x:v>
      </x:c>
      <x:c r="G86" s="49" t="str">
        <x:v>SIMPLES NACIONAL</x:v>
      </x:c>
      <x:c r="H86" s="49" t="str">
        <x:v>B</x:v>
      </x:c>
      <x:c r="I86" s="54"/>
      <x:c r="J86" s="49"/>
      <x:c r="K86" s="54"/>
      <x:c r="L86" s="49"/>
      <x:c r="M86" s="54" t="str">
        <x:v>SEM MOVIMENTO</x:v>
      </x:c>
      <x:c r="N86" s="49" t="str">
        <x:v>SP</x:v>
      </x:c>
      <x:c r="O86" s="54" t="str">
        <x:v>SEM RESULTADOS</x:v>
      </x:c>
      <x:c r="P86" s="49"/>
      <x:c r="Q86" s="57"/>
      <x:c r="R86" s="57"/>
      <x:c r="S86" s="57"/>
      <x:c r="T86" s="49" t="str">
        <x:f>IF(OR(I86="x",ISNUMBER(I86),ISNUMBER(SEARCH("OK",UPPER(I86&amp;""))),ISNUMBER(SEARCH("JÁ",UPPER(I86&amp;""))),ISNUMBER(SEARCH("JA ",UPPER(I86&amp;"")))),"OK",IF(I86="","PENDENTE",IF(OR(ISNUMBER(SEARCH("SEM MOV",UPPER(I86&amp;""))),ISNUMBER(SEARCH("SEM I.E",UPPER(I86&amp;""))),ISNUMBER(SEARCH("SEM IE",UPPER(I86&amp;"")))),"DISPENSADO","ALERTA")))</x:f>
        <x:v>PENDENTE</x:v>
      </x:c>
      <x:c r="U86" s="49" t="str">
        <x:f>IF(OR(K86="x",ISNUMBER(K86),ISNUMBER(SEARCH("OK",UPPER(K86&amp;""))),ISNUMBER(SEARCH("JÁ",UPPER(K86&amp;""))),ISNUMBER(SEARCH("JA ",UPPER(K86&amp;"")))),"OK",IF(K86="","PENDENTE",IF(OR(ISNUMBER(SEARCH("SEM MOV",UPPER(K86&amp;""))),ISNUMBER(SEARCH("SEM I.E",UPPER(K86&amp;""))),ISNUMBER(SEARCH("SEM IE",UPPER(K86&amp;"")))),"DISPENSADO","ALERTA")))</x:f>
        <x:v>PENDENTE</x:v>
      </x:c>
      <x:c r="V86" s="49" t="str">
        <x:f>IF(OR(M86="x",ISNUMBER(M86),ISNUMBER(SEARCH("OK",UPPER(M86&amp;""))),ISNUMBER(SEARCH("JÁ",UPPER(M86&amp;""))),ISNUMBER(SEARCH("JA ",UPPER(M86&amp;"")))),"OK",IF(M86="","PENDENTE",IF(OR(ISNUMBER(SEARCH("SEM MOV",UPPER(M86&amp;""))),ISNUMBER(SEARCH("SEM I.E",UPPER(M86&amp;""))),ISNUMBER(SEARCH("SEM IE",UPPER(M86&amp;"")))),"DISPENSADO","ALERTA")))</x:f>
        <x:v>DISPENSADO</x:v>
      </x:c>
      <x:c r="W86" s="49" t="str">
        <x:f>IF(OR(O86="x",ISNUMBER(O86),ISNUMBER(SEARCH("OK",UPPER(O86&amp;""))),ISNUMBER(SEARCH("JÁ",UPPER(O86&amp;""))),ISNUMBER(SEARCH("JA ",UPPER(O86&amp;"")))),"OK",IF(O86="","PENDENTE",IF(OR(ISNUMBER(SEARCH("SEM MOV",UPPER(O86&amp;""))),ISNUMBER(SEARCH("SEM I.E",UPPER(O86&amp;""))),ISNUMBER(SEARCH("SEM IE",UPPER(O86&amp;"")))),"DISPENSADO","ALERTA")))</x:f>
        <x:v>ALERTA</x:v>
      </x:c>
      <x:c r="X86" s="49" t="str">
        <x:f>IF(Q86&lt;&gt;"","SIM","NÃO")</x:f>
        <x:v>NÃO</x:v>
      </x:c>
      <x:c r="Y86" s="49" t="str">
        <x:f>IF(R86&lt;&gt;"","SIM","NÃO")</x:f>
        <x:v>NÃO</x:v>
      </x:c>
      <x:c r="Z86" s="49" t="str">
        <x:f>IF(OR(H86="A",V86="ALERTA",W86="ALERTA",T86="ALERTA",U86="ALERTA"),"ALTO",IF(OR(T86="PENDENTE",U86="PENDENTE",V86="PENDENTE",W86="PENDENTE"),"MÉDIO","BAIXO"))</x:f>
        <x:v>ALTO</x:v>
      </x:c>
      <x:c r="AA86" s="49" t="str">
        <x:f>IF(Z86="ALTO","Resolver certificado/permissão/CNPJ/status antes da rotina",IF(Z86="MÉDIO","Completar pasta/status pendente","Rotina regular"))</x:f>
        <x:v>Resolver certificado/permissão/CNPJ/status antes da rotina</x:v>
      </x:c>
    </x:row>
    <x:row r="87">
      <x:c r="A87" s="61" t="str">
        <x:v>INSTITUTO DE MEDICINA OFTALMOLOGICA VASCULAR - 183</x:v>
      </x:c>
      <x:c r="B87" s="49" t="str">
        <x:v>INMOVI</x:v>
      </x:c>
      <x:c r="C87" s="49" t="str">
        <x:v>ITABERAI</x:v>
      </x:c>
      <x:c r="D87" s="49" t="str">
        <x:v>48.579.725/0001-02</x:v>
      </x:c>
      <x:c r="E87" s="49"/>
      <x:c r="F87" s="49" t="str">
        <x:v>DAYANNE</x:v>
      </x:c>
      <x:c r="G87" s="49" t="str">
        <x:v>LUCRO REAL</x:v>
      </x:c>
      <x:c r="H87" s="49" t="str">
        <x:v>C</x:v>
      </x:c>
      <x:c r="I87" s="54"/>
      <x:c r="J87" s="49"/>
      <x:c r="K87" s="54"/>
      <x:c r="L87" s="49"/>
      <x:c r="M87" s="54" t="str">
        <x:v>SEM I.E.</x:v>
      </x:c>
      <x:c r="N87" s="49"/>
      <x:c r="O87" s="54" t="str">
        <x:v>Ñ ENCONTY CNPJ</x:v>
      </x:c>
      <x:c r="P87" s="49"/>
      <x:c r="Q87" s="57"/>
      <x:c r="R87" s="57"/>
      <x:c r="S87" s="57"/>
      <x:c r="T87" s="49" t="str">
        <x:f>IF(OR(I87="x",ISNUMBER(I87),ISNUMBER(SEARCH("OK",UPPER(I87&amp;""))),ISNUMBER(SEARCH("JÁ",UPPER(I87&amp;""))),ISNUMBER(SEARCH("JA ",UPPER(I87&amp;"")))),"OK",IF(I87="","PENDENTE",IF(OR(ISNUMBER(SEARCH("SEM MOV",UPPER(I87&amp;""))),ISNUMBER(SEARCH("SEM I.E",UPPER(I87&amp;""))),ISNUMBER(SEARCH("SEM IE",UPPER(I87&amp;"")))),"DISPENSADO","ALERTA")))</x:f>
        <x:v>PENDENTE</x:v>
      </x:c>
      <x:c r="U87" s="49" t="str">
        <x:f>IF(OR(K87="x",ISNUMBER(K87),ISNUMBER(SEARCH("OK",UPPER(K87&amp;""))),ISNUMBER(SEARCH("JÁ",UPPER(K87&amp;""))),ISNUMBER(SEARCH("JA ",UPPER(K87&amp;"")))),"OK",IF(K87="","PENDENTE",IF(OR(ISNUMBER(SEARCH("SEM MOV",UPPER(K87&amp;""))),ISNUMBER(SEARCH("SEM I.E",UPPER(K87&amp;""))),ISNUMBER(SEARCH("SEM IE",UPPER(K87&amp;"")))),"DISPENSADO","ALERTA")))</x:f>
        <x:v>PENDENTE</x:v>
      </x:c>
      <x:c r="V87" s="49" t="str">
        <x:f>IF(OR(M87="x",ISNUMBER(M87),ISNUMBER(SEARCH("OK",UPPER(M87&amp;""))),ISNUMBER(SEARCH("JÁ",UPPER(M87&amp;""))),ISNUMBER(SEARCH("JA ",UPPER(M87&amp;"")))),"OK",IF(M87="","PENDENTE",IF(OR(ISNUMBER(SEARCH("SEM MOV",UPPER(M87&amp;""))),ISNUMBER(SEARCH("SEM I.E",UPPER(M87&amp;""))),ISNUMBER(SEARCH("SEM IE",UPPER(M87&amp;"")))),"DISPENSADO","ALERTA")))</x:f>
        <x:v>DISPENSADO</x:v>
      </x:c>
      <x:c r="W87" s="49" t="str">
        <x:f>IF(OR(O87="x",ISNUMBER(O87),ISNUMBER(SEARCH("OK",UPPER(O87&amp;""))),ISNUMBER(SEARCH("JÁ",UPPER(O87&amp;""))),ISNUMBER(SEARCH("JA ",UPPER(O87&amp;"")))),"OK",IF(O87="","PENDENTE",IF(OR(ISNUMBER(SEARCH("SEM MOV",UPPER(O87&amp;""))),ISNUMBER(SEARCH("SEM I.E",UPPER(O87&amp;""))),ISNUMBER(SEARCH("SEM IE",UPPER(O87&amp;"")))),"DISPENSADO","ALERTA")))</x:f>
        <x:v>ALERTA</x:v>
      </x:c>
      <x:c r="X87" s="49" t="str">
        <x:f>IF(Q87&lt;&gt;"","SIM","NÃO")</x:f>
        <x:v>NÃO</x:v>
      </x:c>
      <x:c r="Y87" s="49" t="str">
        <x:f>IF(R87&lt;&gt;"","SIM","NÃO")</x:f>
        <x:v>NÃO</x:v>
      </x:c>
      <x:c r="Z87" s="49" t="str">
        <x:f>IF(OR(H87="A",V87="ALERTA",W87="ALERTA",T87="ALERTA",U87="ALERTA"),"ALTO",IF(OR(T87="PENDENTE",U87="PENDENTE",V87="PENDENTE",W87="PENDENTE"),"MÉDIO","BAIXO"))</x:f>
        <x:v>ALTO</x:v>
      </x:c>
      <x:c r="AA87" s="49" t="str">
        <x:f>IF(Z87="ALTO","Resolver certificado/permissão/CNPJ/status antes da rotina",IF(Z87="MÉDIO","Completar pasta/status pendente","Rotina regular"))</x:f>
        <x:v>Resolver certificado/permissão/CNPJ/status antes da rotina</x:v>
      </x:c>
    </x:row>
    <x:row r="88">
      <x:c r="A88" s="61" t="str">
        <x:v>INSTITUTO DE VASCULAR E LASER - IVL - 99</x:v>
      </x:c>
      <x:c r="B88" s="49" t="str">
        <x:v>IVL</x:v>
      </x:c>
      <x:c r="C88" s="49" t="str">
        <x:v>GOIÂNIA</x:v>
      </x:c>
      <x:c r="D88" s="49" t="str">
        <x:v>21.879.417/0001-46</x:v>
      </x:c>
      <x:c r="E88" s="49"/>
      <x:c r="F88" s="49" t="str">
        <x:v>HELCI</x:v>
      </x:c>
      <x:c r="G88" s="49" t="str">
        <x:v>LUCRO PRESUMIDO</x:v>
      </x:c>
      <x:c r="H88" s="49" t="str">
        <x:v>C</x:v>
      </x:c>
      <x:c r="I88" s="54"/>
      <x:c r="J88" s="49"/>
      <x:c r="K88" s="54"/>
      <x:c r="L88" s="49"/>
      <x:c r="M88" s="54" t="str">
        <x:v>SEM I.E.</x:v>
      </x:c>
      <x:c r="N88" s="49"/>
      <x:c r="O88" s="54" t="str">
        <x:v>SEM RESULTADO</x:v>
      </x:c>
      <x:c r="P88" s="49"/>
      <x:c r="Q88" s="57"/>
      <x:c r="R88" s="57"/>
      <x:c r="S88" s="57"/>
      <x:c r="T88" s="49" t="str">
        <x:f>IF(OR(I88="x",ISNUMBER(I88),ISNUMBER(SEARCH("OK",UPPER(I88&amp;""))),ISNUMBER(SEARCH("JÁ",UPPER(I88&amp;""))),ISNUMBER(SEARCH("JA ",UPPER(I88&amp;"")))),"OK",IF(I88="","PENDENTE",IF(OR(ISNUMBER(SEARCH("SEM MOV",UPPER(I88&amp;""))),ISNUMBER(SEARCH("SEM I.E",UPPER(I88&amp;""))),ISNUMBER(SEARCH("SEM IE",UPPER(I88&amp;"")))),"DISPENSADO","ALERTA")))</x:f>
        <x:v>PENDENTE</x:v>
      </x:c>
      <x:c r="U88" s="49" t="str">
        <x:f>IF(OR(K88="x",ISNUMBER(K88),ISNUMBER(SEARCH("OK",UPPER(K88&amp;""))),ISNUMBER(SEARCH("JÁ",UPPER(K88&amp;""))),ISNUMBER(SEARCH("JA ",UPPER(K88&amp;"")))),"OK",IF(K88="","PENDENTE",IF(OR(ISNUMBER(SEARCH("SEM MOV",UPPER(K88&amp;""))),ISNUMBER(SEARCH("SEM I.E",UPPER(K88&amp;""))),ISNUMBER(SEARCH("SEM IE",UPPER(K88&amp;"")))),"DISPENSADO","ALERTA")))</x:f>
        <x:v>PENDENTE</x:v>
      </x:c>
      <x:c r="V88" s="49" t="str">
        <x:f>IF(OR(M88="x",ISNUMBER(M88),ISNUMBER(SEARCH("OK",UPPER(M88&amp;""))),ISNUMBER(SEARCH("JÁ",UPPER(M88&amp;""))),ISNUMBER(SEARCH("JA ",UPPER(M88&amp;"")))),"OK",IF(M88="","PENDENTE",IF(OR(ISNUMBER(SEARCH("SEM MOV",UPPER(M88&amp;""))),ISNUMBER(SEARCH("SEM I.E",UPPER(M88&amp;""))),ISNUMBER(SEARCH("SEM IE",UPPER(M88&amp;"")))),"DISPENSADO","ALERTA")))</x:f>
        <x:v>DISPENSADO</x:v>
      </x:c>
      <x:c r="W88" s="49" t="str">
        <x:f>IF(OR(O88="x",ISNUMBER(O88),ISNUMBER(SEARCH("OK",UPPER(O88&amp;""))),ISNUMBER(SEARCH("JÁ",UPPER(O88&amp;""))),ISNUMBER(SEARCH("JA ",UPPER(O88&amp;"")))),"OK",IF(O88="","PENDENTE",IF(OR(ISNUMBER(SEARCH("SEM MOV",UPPER(O88&amp;""))),ISNUMBER(SEARCH("SEM I.E",UPPER(O88&amp;""))),ISNUMBER(SEARCH("SEM IE",UPPER(O88&amp;"")))),"DISPENSADO","ALERTA")))</x:f>
        <x:v>ALERTA</x:v>
      </x:c>
      <x:c r="X88" s="49" t="str">
        <x:f>IF(Q88&lt;&gt;"","SIM","NÃO")</x:f>
        <x:v>NÃO</x:v>
      </x:c>
      <x:c r="Y88" s="49" t="str">
        <x:f>IF(R88&lt;&gt;"","SIM","NÃO")</x:f>
        <x:v>NÃO</x:v>
      </x:c>
      <x:c r="Z88" s="49" t="str">
        <x:f>IF(OR(H88="A",V88="ALERTA",W88="ALERTA",T88="ALERTA",U88="ALERTA"),"ALTO",IF(OR(T88="PENDENTE",U88="PENDENTE",V88="PENDENTE",W88="PENDENTE"),"MÉDIO","BAIXO"))</x:f>
        <x:v>ALTO</x:v>
      </x:c>
      <x:c r="AA88" s="49" t="str">
        <x:f>IF(Z88="ALTO","Resolver certificado/permissão/CNPJ/status antes da rotina",IF(Z88="MÉDIO","Completar pasta/status pendente","Rotina regular"))</x:f>
        <x:v>Resolver certificado/permissão/CNPJ/status antes da rotina</x:v>
      </x:c>
    </x:row>
    <x:row r="89">
      <x:c r="A89" s="61" t="str">
        <x:v>IVL SERVIÇOS ADMINISTRATIVOS - 107</x:v>
      </x:c>
      <x:c r="B89" s="49" t="str">
        <x:v>IVL</x:v>
      </x:c>
      <x:c r="C89" s="49" t="str">
        <x:v>GOIÂNIA</x:v>
      </x:c>
      <x:c r="D89" s="49" t="str">
        <x:v>48.956.624/0001-03</x:v>
      </x:c>
      <x:c r="E89" s="49"/>
      <x:c r="F89" s="49" t="str">
        <x:v>HELCI</x:v>
      </x:c>
      <x:c r="G89" s="49" t="str">
        <x:v>SIMPLES NACIONAL</x:v>
      </x:c>
      <x:c r="H89" s="49" t="str">
        <x:v>C</x:v>
      </x:c>
      <x:c r="I89" s="54"/>
      <x:c r="J89" s="49"/>
      <x:c r="K89" s="54"/>
      <x:c r="L89" s="49"/>
      <x:c r="M89" s="54" t="str">
        <x:v>SEM I.E.</x:v>
      </x:c>
      <x:c r="N89" s="49"/>
      <x:c r="O89" s="54" t="str">
        <x:v>SEM RESULTADO</x:v>
      </x:c>
      <x:c r="P89" s="49"/>
      <x:c r="Q89" s="57"/>
      <x:c r="R89" s="57"/>
      <x:c r="S89" s="57"/>
      <x:c r="T89" s="49" t="str">
        <x:f>IF(OR(I89="x",ISNUMBER(I89),ISNUMBER(SEARCH("OK",UPPER(I89&amp;""))),ISNUMBER(SEARCH("JÁ",UPPER(I89&amp;""))),ISNUMBER(SEARCH("JA ",UPPER(I89&amp;"")))),"OK",IF(I89="","PENDENTE",IF(OR(ISNUMBER(SEARCH("SEM MOV",UPPER(I89&amp;""))),ISNUMBER(SEARCH("SEM I.E",UPPER(I89&amp;""))),ISNUMBER(SEARCH("SEM IE",UPPER(I89&amp;"")))),"DISPENSADO","ALERTA")))</x:f>
        <x:v>PENDENTE</x:v>
      </x:c>
      <x:c r="U89" s="49" t="str">
        <x:f>IF(OR(K89="x",ISNUMBER(K89),ISNUMBER(SEARCH("OK",UPPER(K89&amp;""))),ISNUMBER(SEARCH("JÁ",UPPER(K89&amp;""))),ISNUMBER(SEARCH("JA ",UPPER(K89&amp;"")))),"OK",IF(K89="","PENDENTE",IF(OR(ISNUMBER(SEARCH("SEM MOV",UPPER(K89&amp;""))),ISNUMBER(SEARCH("SEM I.E",UPPER(K89&amp;""))),ISNUMBER(SEARCH("SEM IE",UPPER(K89&amp;"")))),"DISPENSADO","ALERTA")))</x:f>
        <x:v>PENDENTE</x:v>
      </x:c>
      <x:c r="V89" s="49" t="str">
        <x:f>IF(OR(M89="x",ISNUMBER(M89),ISNUMBER(SEARCH("OK",UPPER(M89&amp;""))),ISNUMBER(SEARCH("JÁ",UPPER(M89&amp;""))),ISNUMBER(SEARCH("JA ",UPPER(M89&amp;"")))),"OK",IF(M89="","PENDENTE",IF(OR(ISNUMBER(SEARCH("SEM MOV",UPPER(M89&amp;""))),ISNUMBER(SEARCH("SEM I.E",UPPER(M89&amp;""))),ISNUMBER(SEARCH("SEM IE",UPPER(M89&amp;"")))),"DISPENSADO","ALERTA")))</x:f>
        <x:v>DISPENSADO</x:v>
      </x:c>
      <x:c r="W89" s="49" t="str">
        <x:f>IF(OR(O89="x",ISNUMBER(O89),ISNUMBER(SEARCH("OK",UPPER(O89&amp;""))),ISNUMBER(SEARCH("JÁ",UPPER(O89&amp;""))),ISNUMBER(SEARCH("JA ",UPPER(O89&amp;"")))),"OK",IF(O89="","PENDENTE",IF(OR(ISNUMBER(SEARCH("SEM MOV",UPPER(O89&amp;""))),ISNUMBER(SEARCH("SEM I.E",UPPER(O89&amp;""))),ISNUMBER(SEARCH("SEM IE",UPPER(O89&amp;"")))),"DISPENSADO","ALERTA")))</x:f>
        <x:v>ALERTA</x:v>
      </x:c>
      <x:c r="X89" s="49" t="str">
        <x:f>IF(Q89&lt;&gt;"","SIM","NÃO")</x:f>
        <x:v>NÃO</x:v>
      </x:c>
      <x:c r="Y89" s="49" t="str">
        <x:f>IF(R89&lt;&gt;"","SIM","NÃO")</x:f>
        <x:v>NÃO</x:v>
      </x:c>
      <x:c r="Z89" s="49" t="str">
        <x:f>IF(OR(H89="A",V89="ALERTA",W89="ALERTA",T89="ALERTA",U89="ALERTA"),"ALTO",IF(OR(T89="PENDENTE",U89="PENDENTE",V89="PENDENTE",W89="PENDENTE"),"MÉDIO","BAIXO"))</x:f>
        <x:v>ALTO</x:v>
      </x:c>
      <x:c r="AA89" s="49" t="str">
        <x:f>IF(Z89="ALTO","Resolver certificado/permissão/CNPJ/status antes da rotina",IF(Z89="MÉDIO","Completar pasta/status pendente","Rotina regular"))</x:f>
        <x:v>Resolver certificado/permissão/CNPJ/status antes da rotina</x:v>
      </x:c>
    </x:row>
    <x:row r="90">
      <x:c r="A90" s="61" t="str">
        <x:v>K&amp;M EMPREENDIMENTOS</x:v>
      </x:c>
      <x:c r="B90" s="49" t="str">
        <x:v>SILIGYN</x:v>
      </x:c>
      <x:c r="C90" s="49" t="str">
        <x:v>GOIANIA</x:v>
      </x:c>
      <x:c r="D90" s="49" t="str">
        <x:v>24.584.530/0001-92</x:v>
      </x:c>
      <x:c r="E90" s="49"/>
      <x:c r="F90" s="49"/>
      <x:c r="G90" s="49" t="str">
        <x:v>SIMPLES NACIONAL</x:v>
      </x:c>
      <x:c r="H90" s="49" t="str">
        <x:v>B</x:v>
      </x:c>
      <x:c r="I90" s="54"/>
      <x:c r="J90" s="49"/>
      <x:c r="K90" s="54"/>
      <x:c r="L90" s="49"/>
      <x:c r="M90" s="54" t="str">
        <x:v>SEM I.E.</x:v>
      </x:c>
      <x:c r="N90" s="49"/>
      <x:c r="O90" s="54" t="str">
        <x:v>SEM RESULTADO</x:v>
      </x:c>
      <x:c r="P90" s="49"/>
      <x:c r="Q90" s="57"/>
      <x:c r="R90" s="57"/>
      <x:c r="S90" s="57"/>
      <x:c r="T90" s="49" t="str">
        <x:f>IF(OR(I90="x",ISNUMBER(I90),ISNUMBER(SEARCH("OK",UPPER(I90&amp;""))),ISNUMBER(SEARCH("JÁ",UPPER(I90&amp;""))),ISNUMBER(SEARCH("JA ",UPPER(I90&amp;"")))),"OK",IF(I90="","PENDENTE",IF(OR(ISNUMBER(SEARCH("SEM MOV",UPPER(I90&amp;""))),ISNUMBER(SEARCH("SEM I.E",UPPER(I90&amp;""))),ISNUMBER(SEARCH("SEM IE",UPPER(I90&amp;"")))),"DISPENSADO","ALERTA")))</x:f>
        <x:v>PENDENTE</x:v>
      </x:c>
      <x:c r="U90" s="49" t="str">
        <x:f>IF(OR(K90="x",ISNUMBER(K90),ISNUMBER(SEARCH("OK",UPPER(K90&amp;""))),ISNUMBER(SEARCH("JÁ",UPPER(K90&amp;""))),ISNUMBER(SEARCH("JA ",UPPER(K90&amp;"")))),"OK",IF(K90="","PENDENTE",IF(OR(ISNUMBER(SEARCH("SEM MOV",UPPER(K90&amp;""))),ISNUMBER(SEARCH("SEM I.E",UPPER(K90&amp;""))),ISNUMBER(SEARCH("SEM IE",UPPER(K90&amp;"")))),"DISPENSADO","ALERTA")))</x:f>
        <x:v>PENDENTE</x:v>
      </x:c>
      <x:c r="V90" s="49" t="str">
        <x:f>IF(OR(M90="x",ISNUMBER(M90),ISNUMBER(SEARCH("OK",UPPER(M90&amp;""))),ISNUMBER(SEARCH("JÁ",UPPER(M90&amp;""))),ISNUMBER(SEARCH("JA ",UPPER(M90&amp;"")))),"OK",IF(M90="","PENDENTE",IF(OR(ISNUMBER(SEARCH("SEM MOV",UPPER(M90&amp;""))),ISNUMBER(SEARCH("SEM I.E",UPPER(M90&amp;""))),ISNUMBER(SEARCH("SEM IE",UPPER(M90&amp;"")))),"DISPENSADO","ALERTA")))</x:f>
        <x:v>DISPENSADO</x:v>
      </x:c>
      <x:c r="W90" s="49" t="str">
        <x:f>IF(OR(O90="x",ISNUMBER(O90),ISNUMBER(SEARCH("OK",UPPER(O90&amp;""))),ISNUMBER(SEARCH("JÁ",UPPER(O90&amp;""))),ISNUMBER(SEARCH("JA ",UPPER(O90&amp;"")))),"OK",IF(O90="","PENDENTE",IF(OR(ISNUMBER(SEARCH("SEM MOV",UPPER(O90&amp;""))),ISNUMBER(SEARCH("SEM I.E",UPPER(O90&amp;""))),ISNUMBER(SEARCH("SEM IE",UPPER(O90&amp;"")))),"DISPENSADO","ALERTA")))</x:f>
        <x:v>ALERTA</x:v>
      </x:c>
      <x:c r="X90" s="49" t="str">
        <x:f>IF(Q90&lt;&gt;"","SIM","NÃO")</x:f>
        <x:v>NÃO</x:v>
      </x:c>
      <x:c r="Y90" s="49" t="str">
        <x:f>IF(R90&lt;&gt;"","SIM","NÃO")</x:f>
        <x:v>NÃO</x:v>
      </x:c>
      <x:c r="Z90" s="49" t="str">
        <x:f>IF(OR(H90="A",V90="ALERTA",W90="ALERTA",T90="ALERTA",U90="ALERTA"),"ALTO",IF(OR(T90="PENDENTE",U90="PENDENTE",V90="PENDENTE",W90="PENDENTE"),"MÉDIO","BAIXO"))</x:f>
        <x:v>ALTO</x:v>
      </x:c>
      <x:c r="AA90" s="49" t="str">
        <x:f>IF(Z90="ALTO","Resolver certificado/permissão/CNPJ/status antes da rotina",IF(Z90="MÉDIO","Completar pasta/status pendente","Rotina regular"))</x:f>
        <x:v>Resolver certificado/permissão/CNPJ/status antes da rotina</x:v>
      </x:c>
    </x:row>
    <x:row r="91">
      <x:c r="A91" s="61" t="str">
        <x:v>LIAN PADOVEZ PEDIATRIA</x:v>
      </x:c>
      <x:c r="B91" s="49" t="str">
        <x:v>SILIGYN</x:v>
      </x:c>
      <x:c r="C91" s="49" t="str">
        <x:v>GOIANIA</x:v>
      </x:c>
      <x:c r="D91" s="49"/>
      <x:c r="E91" s="49"/>
      <x:c r="F91" s="49"/>
      <x:c r="G91" s="49" t="str">
        <x:v>SIMPLES NACIONAL</x:v>
      </x:c>
      <x:c r="H91" s="49" t="str">
        <x:v>B</x:v>
      </x:c>
      <x:c r="I91" s="54"/>
      <x:c r="J91" s="49"/>
      <x:c r="K91" s="54"/>
      <x:c r="L91" s="49"/>
      <x:c r="M91" s="54" t="str">
        <x:v>SEM I.E.</x:v>
      </x:c>
      <x:c r="N91" s="49"/>
      <x:c r="O91" s="54" t="str">
        <x:v>SEM RESULTADO</x:v>
      </x:c>
      <x:c r="P91" s="49"/>
      <x:c r="Q91" s="57"/>
      <x:c r="R91" s="57"/>
      <x:c r="S91" s="57"/>
      <x:c r="T91" s="49" t="str">
        <x:f>IF(OR(I91="x",ISNUMBER(I91),ISNUMBER(SEARCH("OK",UPPER(I91&amp;""))),ISNUMBER(SEARCH("JÁ",UPPER(I91&amp;""))),ISNUMBER(SEARCH("JA ",UPPER(I91&amp;"")))),"OK",IF(I91="","PENDENTE",IF(OR(ISNUMBER(SEARCH("SEM MOV",UPPER(I91&amp;""))),ISNUMBER(SEARCH("SEM I.E",UPPER(I91&amp;""))),ISNUMBER(SEARCH("SEM IE",UPPER(I91&amp;"")))),"DISPENSADO","ALERTA")))</x:f>
        <x:v>PENDENTE</x:v>
      </x:c>
      <x:c r="U91" s="49" t="str">
        <x:f>IF(OR(K91="x",ISNUMBER(K91),ISNUMBER(SEARCH("OK",UPPER(K91&amp;""))),ISNUMBER(SEARCH("JÁ",UPPER(K91&amp;""))),ISNUMBER(SEARCH("JA ",UPPER(K91&amp;"")))),"OK",IF(K91="","PENDENTE",IF(OR(ISNUMBER(SEARCH("SEM MOV",UPPER(K91&amp;""))),ISNUMBER(SEARCH("SEM I.E",UPPER(K91&amp;""))),ISNUMBER(SEARCH("SEM IE",UPPER(K91&amp;"")))),"DISPENSADO","ALERTA")))</x:f>
        <x:v>PENDENTE</x:v>
      </x:c>
      <x:c r="V91" s="49" t="str">
        <x:f>IF(OR(M91="x",ISNUMBER(M91),ISNUMBER(SEARCH("OK",UPPER(M91&amp;""))),ISNUMBER(SEARCH("JÁ",UPPER(M91&amp;""))),ISNUMBER(SEARCH("JA ",UPPER(M91&amp;"")))),"OK",IF(M91="","PENDENTE",IF(OR(ISNUMBER(SEARCH("SEM MOV",UPPER(M91&amp;""))),ISNUMBER(SEARCH("SEM I.E",UPPER(M91&amp;""))),ISNUMBER(SEARCH("SEM IE",UPPER(M91&amp;"")))),"DISPENSADO","ALERTA")))</x:f>
        <x:v>DISPENSADO</x:v>
      </x:c>
      <x:c r="W91" s="49" t="str">
        <x:f>IF(OR(O91="x",ISNUMBER(O91),ISNUMBER(SEARCH("OK",UPPER(O91&amp;""))),ISNUMBER(SEARCH("JÁ",UPPER(O91&amp;""))),ISNUMBER(SEARCH("JA ",UPPER(O91&amp;"")))),"OK",IF(O91="","PENDENTE",IF(OR(ISNUMBER(SEARCH("SEM MOV",UPPER(O91&amp;""))),ISNUMBER(SEARCH("SEM I.E",UPPER(O91&amp;""))),ISNUMBER(SEARCH("SEM IE",UPPER(O91&amp;"")))),"DISPENSADO","ALERTA")))</x:f>
        <x:v>ALERTA</x:v>
      </x:c>
      <x:c r="X91" s="49" t="str">
        <x:f>IF(Q91&lt;&gt;"","SIM","NÃO")</x:f>
        <x:v>NÃO</x:v>
      </x:c>
      <x:c r="Y91" s="49" t="str">
        <x:f>IF(R91&lt;&gt;"","SIM","NÃO")</x:f>
        <x:v>NÃO</x:v>
      </x:c>
      <x:c r="Z91" s="49" t="str">
        <x:f>IF(OR(H91="A",V91="ALERTA",W91="ALERTA",T91="ALERTA",U91="ALERTA"),"ALTO",IF(OR(T91="PENDENTE",U91="PENDENTE",V91="PENDENTE",W91="PENDENTE"),"MÉDIO","BAIXO"))</x:f>
        <x:v>ALTO</x:v>
      </x:c>
      <x:c r="AA91" s="49" t="str">
        <x:f>IF(Z91="ALTO","Resolver certificado/permissão/CNPJ/status antes da rotina",IF(Z91="MÉDIO","Completar pasta/status pendente","Rotina regular"))</x:f>
        <x:v>Resolver certificado/permissão/CNPJ/status antes da rotina</x:v>
      </x:c>
    </x:row>
    <x:row r="92">
      <x:c r="A92" s="61" t="str">
        <x:v>MBA - ESCOLA DO MECANICO - 76</x:v>
      </x:c>
      <x:c r="B92" s="49" t="str">
        <x:v>PRIME</x:v>
      </x:c>
      <x:c r="C92" s="49" t="str">
        <x:v>GOIÂNIA</x:v>
      </x:c>
      <x:c r="D92" s="49" t="str">
        <x:v>44.868.733/0001-18</x:v>
      </x:c>
      <x:c r="E92" s="49"/>
      <x:c r="F92" s="49" t="str">
        <x:v>MAYSA</x:v>
      </x:c>
      <x:c r="G92" s="49" t="str">
        <x:v>SIMPLES NACIONAL</x:v>
      </x:c>
      <x:c r="H92" s="49" t="str">
        <x:v>C</x:v>
      </x:c>
      <x:c r="I92" s="54"/>
      <x:c r="J92" s="49"/>
      <x:c r="K92" s="54"/>
      <x:c r="L92" s="49"/>
      <x:c r="M92" s="54" t="str">
        <x:v>SEM I.E.</x:v>
      </x:c>
      <x:c r="N92" s="49"/>
      <x:c r="O92" s="54" t="str">
        <x:v>CERT. VENCIDO</x:v>
      </x:c>
      <x:c r="P92" s="49"/>
      <x:c r="Q92" s="57"/>
      <x:c r="R92" s="57"/>
      <x:c r="S92" s="57"/>
      <x:c r="T92" s="49" t="str">
        <x:f>IF(OR(I92="x",ISNUMBER(I92),ISNUMBER(SEARCH("OK",UPPER(I92&amp;""))),ISNUMBER(SEARCH("JÁ",UPPER(I92&amp;""))),ISNUMBER(SEARCH("JA ",UPPER(I92&amp;"")))),"OK",IF(I92="","PENDENTE",IF(OR(ISNUMBER(SEARCH("SEM MOV",UPPER(I92&amp;""))),ISNUMBER(SEARCH("SEM I.E",UPPER(I92&amp;""))),ISNUMBER(SEARCH("SEM IE",UPPER(I92&amp;"")))),"DISPENSADO","ALERTA")))</x:f>
        <x:v>PENDENTE</x:v>
      </x:c>
      <x:c r="U92" s="49" t="str">
        <x:f>IF(OR(K92="x",ISNUMBER(K92),ISNUMBER(SEARCH("OK",UPPER(K92&amp;""))),ISNUMBER(SEARCH("JÁ",UPPER(K92&amp;""))),ISNUMBER(SEARCH("JA ",UPPER(K92&amp;"")))),"OK",IF(K92="","PENDENTE",IF(OR(ISNUMBER(SEARCH("SEM MOV",UPPER(K92&amp;""))),ISNUMBER(SEARCH("SEM I.E",UPPER(K92&amp;""))),ISNUMBER(SEARCH("SEM IE",UPPER(K92&amp;"")))),"DISPENSADO","ALERTA")))</x:f>
        <x:v>PENDENTE</x:v>
      </x:c>
      <x:c r="V92" s="49" t="str">
        <x:f>IF(OR(M92="x",ISNUMBER(M92),ISNUMBER(SEARCH("OK",UPPER(M92&amp;""))),ISNUMBER(SEARCH("JÁ",UPPER(M92&amp;""))),ISNUMBER(SEARCH("JA ",UPPER(M92&amp;"")))),"OK",IF(M92="","PENDENTE",IF(OR(ISNUMBER(SEARCH("SEM MOV",UPPER(M92&amp;""))),ISNUMBER(SEARCH("SEM I.E",UPPER(M92&amp;""))),ISNUMBER(SEARCH("SEM IE",UPPER(M92&amp;"")))),"DISPENSADO","ALERTA")))</x:f>
        <x:v>DISPENSADO</x:v>
      </x:c>
      <x:c r="W92" s="49" t="str">
        <x:f>IF(OR(O92="x",ISNUMBER(O92),ISNUMBER(SEARCH("OK",UPPER(O92&amp;""))),ISNUMBER(SEARCH("JÁ",UPPER(O92&amp;""))),ISNUMBER(SEARCH("JA ",UPPER(O92&amp;"")))),"OK",IF(O92="","PENDENTE",IF(OR(ISNUMBER(SEARCH("SEM MOV",UPPER(O92&amp;""))),ISNUMBER(SEARCH("SEM I.E",UPPER(O92&amp;""))),ISNUMBER(SEARCH("SEM IE",UPPER(O92&amp;"")))),"DISPENSADO","ALERTA")))</x:f>
        <x:v>ALERTA</x:v>
      </x:c>
      <x:c r="X92" s="49" t="str">
        <x:f>IF(Q92&lt;&gt;"","SIM","NÃO")</x:f>
        <x:v>NÃO</x:v>
      </x:c>
      <x:c r="Y92" s="49" t="str">
        <x:f>IF(R92&lt;&gt;"","SIM","NÃO")</x:f>
        <x:v>NÃO</x:v>
      </x:c>
      <x:c r="Z92" s="49" t="str">
        <x:f>IF(OR(H92="A",V92="ALERTA",W92="ALERTA",T92="ALERTA",U92="ALERTA"),"ALTO",IF(OR(T92="PENDENTE",U92="PENDENTE",V92="PENDENTE",W92="PENDENTE"),"MÉDIO","BAIXO"))</x:f>
        <x:v>ALTO</x:v>
      </x:c>
      <x:c r="AA92" s="49" t="str">
        <x:f>IF(Z92="ALTO","Resolver certificado/permissão/CNPJ/status antes da rotina",IF(Z92="MÉDIO","Completar pasta/status pendente","Rotina regular"))</x:f>
        <x:v>Resolver certificado/permissão/CNPJ/status antes da rotina</x:v>
      </x:c>
    </x:row>
    <x:row r="93">
      <x:c r="A93" s="61" t="str">
        <x:v>MEGAMOBI MOBILIDADES URBANAS</x:v>
      </x:c>
      <x:c r="B93" s="49" t="str">
        <x:v>AGROBOM</x:v>
      </x:c>
      <x:c r="C93" s="49" t="str">
        <x:v>GOIANIA</x:v>
      </x:c>
      <x:c r="D93" s="49" t="str">
        <x:v>61.483.503/0001-50</x:v>
      </x:c>
      <x:c r="E93" s="49"/>
      <x:c r="F93" s="49" t="str">
        <x:v>DANIEL</x:v>
      </x:c>
      <x:c r="G93" s="49" t="str">
        <x:v>LUCRO REAL</x:v>
      </x:c>
      <x:c r="H93" s="49" t="str">
        <x:v>B</x:v>
      </x:c>
      <x:c r="I93" s="54"/>
      <x:c r="J93" s="49"/>
      <x:c r="K93" s="54"/>
      <x:c r="L93" s="49"/>
      <x:c r="M93" s="54" t="str">
        <x:v>SEM I.E.</x:v>
      </x:c>
      <x:c r="N93" s="49"/>
      <x:c r="O93" s="54" t="str">
        <x:v>SEM RESULTADO</x:v>
      </x:c>
      <x:c r="P93" s="49"/>
      <x:c r="Q93" s="57"/>
      <x:c r="R93" s="57"/>
      <x:c r="S93" s="57"/>
      <x:c r="T93" s="49" t="str">
        <x:f>IF(OR(I93="x",ISNUMBER(I93),ISNUMBER(SEARCH("OK",UPPER(I93&amp;""))),ISNUMBER(SEARCH("JÁ",UPPER(I93&amp;""))),ISNUMBER(SEARCH("JA ",UPPER(I93&amp;"")))),"OK",IF(I93="","PENDENTE",IF(OR(ISNUMBER(SEARCH("SEM MOV",UPPER(I93&amp;""))),ISNUMBER(SEARCH("SEM I.E",UPPER(I93&amp;""))),ISNUMBER(SEARCH("SEM IE",UPPER(I93&amp;"")))),"DISPENSADO","ALERTA")))</x:f>
        <x:v>PENDENTE</x:v>
      </x:c>
      <x:c r="U93" s="49" t="str">
        <x:f>IF(OR(K93="x",ISNUMBER(K93),ISNUMBER(SEARCH("OK",UPPER(K93&amp;""))),ISNUMBER(SEARCH("JÁ",UPPER(K93&amp;""))),ISNUMBER(SEARCH("JA ",UPPER(K93&amp;"")))),"OK",IF(K93="","PENDENTE",IF(OR(ISNUMBER(SEARCH("SEM MOV",UPPER(K93&amp;""))),ISNUMBER(SEARCH("SEM I.E",UPPER(K93&amp;""))),ISNUMBER(SEARCH("SEM IE",UPPER(K93&amp;"")))),"DISPENSADO","ALERTA")))</x:f>
        <x:v>PENDENTE</x:v>
      </x:c>
      <x:c r="V93" s="49" t="str">
        <x:f>IF(OR(M93="x",ISNUMBER(M93),ISNUMBER(SEARCH("OK",UPPER(M93&amp;""))),ISNUMBER(SEARCH("JÁ",UPPER(M93&amp;""))),ISNUMBER(SEARCH("JA ",UPPER(M93&amp;"")))),"OK",IF(M93="","PENDENTE",IF(OR(ISNUMBER(SEARCH("SEM MOV",UPPER(M93&amp;""))),ISNUMBER(SEARCH("SEM I.E",UPPER(M93&amp;""))),ISNUMBER(SEARCH("SEM IE",UPPER(M93&amp;"")))),"DISPENSADO","ALERTA")))</x:f>
        <x:v>DISPENSADO</x:v>
      </x:c>
      <x:c r="W93" s="49" t="str">
        <x:f>IF(OR(O93="x",ISNUMBER(O93),ISNUMBER(SEARCH("OK",UPPER(O93&amp;""))),ISNUMBER(SEARCH("JÁ",UPPER(O93&amp;""))),ISNUMBER(SEARCH("JA ",UPPER(O93&amp;"")))),"OK",IF(O93="","PENDENTE",IF(OR(ISNUMBER(SEARCH("SEM MOV",UPPER(O93&amp;""))),ISNUMBER(SEARCH("SEM I.E",UPPER(O93&amp;""))),ISNUMBER(SEARCH("SEM IE",UPPER(O93&amp;"")))),"DISPENSADO","ALERTA")))</x:f>
        <x:v>ALERTA</x:v>
      </x:c>
      <x:c r="X93" s="49" t="str">
        <x:f>IF(Q93&lt;&gt;"","SIM","NÃO")</x:f>
        <x:v>NÃO</x:v>
      </x:c>
      <x:c r="Y93" s="49" t="str">
        <x:f>IF(R93&lt;&gt;"","SIM","NÃO")</x:f>
        <x:v>NÃO</x:v>
      </x:c>
      <x:c r="Z93" s="49" t="str">
        <x:f>IF(OR(H93="A",V93="ALERTA",W93="ALERTA",T93="ALERTA",U93="ALERTA"),"ALTO",IF(OR(T93="PENDENTE",U93="PENDENTE",V93="PENDENTE",W93="PENDENTE"),"MÉDIO","BAIXO"))</x:f>
        <x:v>ALTO</x:v>
      </x:c>
      <x:c r="AA93" s="49" t="str">
        <x:f>IF(Z93="ALTO","Resolver certificado/permissão/CNPJ/status antes da rotina",IF(Z93="MÉDIO","Completar pasta/status pendente","Rotina regular"))</x:f>
        <x:v>Resolver certificado/permissão/CNPJ/status antes da rotina</x:v>
      </x:c>
    </x:row>
    <x:row r="94">
      <x:c r="A94" s="61" t="str">
        <x:v>MENDONCA NOGUEIRA LTDA - 133</x:v>
      </x:c>
      <x:c r="B94" s="49" t="str">
        <x:v>MENNO CAR</x:v>
      </x:c>
      <x:c r="C94" s="49" t="str">
        <x:v>GOIÂNIA</x:v>
      </x:c>
      <x:c r="D94" s="49" t="str">
        <x:v>51.987.426/0001-11</x:v>
      </x:c>
      <x:c r="E94" s="49"/>
      <x:c r="F94" s="49" t="str">
        <x:v>ALESSANDRA- ALYSSON</x:v>
      </x:c>
      <x:c r="G94" s="49" t="str">
        <x:v>SIMPLES NACIONAL</x:v>
      </x:c>
      <x:c r="H94" s="49" t="str">
        <x:v>C</x:v>
      </x:c>
      <x:c r="I94" s="54"/>
      <x:c r="J94" s="49"/>
      <x:c r="K94" s="54"/>
      <x:c r="L94" s="49"/>
      <x:c r="M94" s="54" t="str">
        <x:v>OK 05/05</x:v>
      </x:c>
      <x:c r="N94" s="49"/>
      <x:c r="O94" s="54" t="str">
        <x:v>CERT. VENCIDO</x:v>
      </x:c>
      <x:c r="P94" s="49"/>
      <x:c r="Q94" s="57"/>
      <x:c r="R94" s="57"/>
      <x:c r="S94" s="57"/>
      <x:c r="T94" s="49" t="str">
        <x:f>IF(OR(I94="x",ISNUMBER(I94),ISNUMBER(SEARCH("OK",UPPER(I94&amp;""))),ISNUMBER(SEARCH("JÁ",UPPER(I94&amp;""))),ISNUMBER(SEARCH("JA ",UPPER(I94&amp;"")))),"OK",IF(I94="","PENDENTE",IF(OR(ISNUMBER(SEARCH("SEM MOV",UPPER(I94&amp;""))),ISNUMBER(SEARCH("SEM I.E",UPPER(I94&amp;""))),ISNUMBER(SEARCH("SEM IE",UPPER(I94&amp;"")))),"DISPENSADO","ALERTA")))</x:f>
        <x:v>PENDENTE</x:v>
      </x:c>
      <x:c r="U94" s="49" t="str">
        <x:f>IF(OR(K94="x",ISNUMBER(K94),ISNUMBER(SEARCH("OK",UPPER(K94&amp;""))),ISNUMBER(SEARCH("JÁ",UPPER(K94&amp;""))),ISNUMBER(SEARCH("JA ",UPPER(K94&amp;"")))),"OK",IF(K94="","PENDENTE",IF(OR(ISNUMBER(SEARCH("SEM MOV",UPPER(K94&amp;""))),ISNUMBER(SEARCH("SEM I.E",UPPER(K94&amp;""))),ISNUMBER(SEARCH("SEM IE",UPPER(K94&amp;"")))),"DISPENSADO","ALERTA")))</x:f>
        <x:v>PENDENTE</x:v>
      </x:c>
      <x:c r="V94" s="49" t="str">
        <x:f>IF(OR(M94="x",ISNUMBER(M94),ISNUMBER(SEARCH("OK",UPPER(M94&amp;""))),ISNUMBER(SEARCH("JÁ",UPPER(M94&amp;""))),ISNUMBER(SEARCH("JA ",UPPER(M94&amp;"")))),"OK",IF(M94="","PENDENTE",IF(OR(ISNUMBER(SEARCH("SEM MOV",UPPER(M94&amp;""))),ISNUMBER(SEARCH("SEM I.E",UPPER(M94&amp;""))),ISNUMBER(SEARCH("SEM IE",UPPER(M94&amp;"")))),"DISPENSADO","ALERTA")))</x:f>
        <x:v>OK</x:v>
      </x:c>
      <x:c r="W94" s="49" t="str">
        <x:f>IF(OR(O94="x",ISNUMBER(O94),ISNUMBER(SEARCH("OK",UPPER(O94&amp;""))),ISNUMBER(SEARCH("JÁ",UPPER(O94&amp;""))),ISNUMBER(SEARCH("JA ",UPPER(O94&amp;"")))),"OK",IF(O94="","PENDENTE",IF(OR(ISNUMBER(SEARCH("SEM MOV",UPPER(O94&amp;""))),ISNUMBER(SEARCH("SEM I.E",UPPER(O94&amp;""))),ISNUMBER(SEARCH("SEM IE",UPPER(O94&amp;"")))),"DISPENSADO","ALERTA")))</x:f>
        <x:v>ALERTA</x:v>
      </x:c>
      <x:c r="X94" s="49" t="str">
        <x:f>IF(Q94&lt;&gt;"","SIM","NÃO")</x:f>
        <x:v>NÃO</x:v>
      </x:c>
      <x:c r="Y94" s="49" t="str">
        <x:f>IF(R94&lt;&gt;"","SIM","NÃO")</x:f>
        <x:v>NÃO</x:v>
      </x:c>
      <x:c r="Z94" s="49" t="str">
        <x:f>IF(OR(H94="A",V94="ALERTA",W94="ALERTA",T94="ALERTA",U94="ALERTA"),"ALTO",IF(OR(T94="PENDENTE",U94="PENDENTE",V94="PENDENTE",W94="PENDENTE"),"MÉDIO","BAIXO"))</x:f>
        <x:v>ALTO</x:v>
      </x:c>
      <x:c r="AA94" s="49" t="str">
        <x:f>IF(Z94="ALTO","Resolver certificado/permissão/CNPJ/status antes da rotina",IF(Z94="MÉDIO","Completar pasta/status pendente","Rotina regular"))</x:f>
        <x:v>Resolver certificado/permissão/CNPJ/status antes da rotina</x:v>
      </x:c>
    </x:row>
    <x:row r="95">
      <x:c r="A95" s="61" t="str">
        <x:v>MENNO ADMINISTRATIVO - 134</x:v>
      </x:c>
      <x:c r="B95" s="49" t="str">
        <x:v>MENNO</x:v>
      </x:c>
      <x:c r="C95" s="49" t="str">
        <x:v>GOIÂNIA</x:v>
      </x:c>
      <x:c r="D95" s="49" t="str">
        <x:v>01.003.321/0001-02</x:v>
      </x:c>
      <x:c r="E95" s="49"/>
      <x:c r="F95" s="49" t="str">
        <x:v>ALESSANDRA/ ALYSSON</x:v>
      </x:c>
      <x:c r="G95" s="49" t="str">
        <x:v>LUCRO REAL</x:v>
      </x:c>
      <x:c r="H95" s="49" t="str">
        <x:v>B</x:v>
      </x:c>
      <x:c r="I95" s="54"/>
      <x:c r="J95" s="49"/>
      <x:c r="K95" s="54"/>
      <x:c r="L95" s="49"/>
      <x:c r="M95" s="54" t="str">
        <x:v>OK 05/05</x:v>
      </x:c>
      <x:c r="N95" s="49"/>
      <x:c r="O95" s="54" t="str">
        <x:v>CERT. VENCIDO</x:v>
      </x:c>
      <x:c r="P95" s="49"/>
      <x:c r="Q95" s="57"/>
      <x:c r="R95" s="57"/>
      <x:c r="S95" s="57"/>
      <x:c r="T95" s="49" t="str">
        <x:f>IF(OR(I95="x",ISNUMBER(I95),ISNUMBER(SEARCH("OK",UPPER(I95&amp;""))),ISNUMBER(SEARCH("JÁ",UPPER(I95&amp;""))),ISNUMBER(SEARCH("JA ",UPPER(I95&amp;"")))),"OK",IF(I95="","PENDENTE",IF(OR(ISNUMBER(SEARCH("SEM MOV",UPPER(I95&amp;""))),ISNUMBER(SEARCH("SEM I.E",UPPER(I95&amp;""))),ISNUMBER(SEARCH("SEM IE",UPPER(I95&amp;"")))),"DISPENSADO","ALERTA")))</x:f>
        <x:v>PENDENTE</x:v>
      </x:c>
      <x:c r="U95" s="49" t="str">
        <x:f>IF(OR(K95="x",ISNUMBER(K95),ISNUMBER(SEARCH("OK",UPPER(K95&amp;""))),ISNUMBER(SEARCH("JÁ",UPPER(K95&amp;""))),ISNUMBER(SEARCH("JA ",UPPER(K95&amp;"")))),"OK",IF(K95="","PENDENTE",IF(OR(ISNUMBER(SEARCH("SEM MOV",UPPER(K95&amp;""))),ISNUMBER(SEARCH("SEM I.E",UPPER(K95&amp;""))),ISNUMBER(SEARCH("SEM IE",UPPER(K95&amp;"")))),"DISPENSADO","ALERTA")))</x:f>
        <x:v>PENDENTE</x:v>
      </x:c>
      <x:c r="V95" s="49" t="str">
        <x:f>IF(OR(M95="x",ISNUMBER(M95),ISNUMBER(SEARCH("OK",UPPER(M95&amp;""))),ISNUMBER(SEARCH("JÁ",UPPER(M95&amp;""))),ISNUMBER(SEARCH("JA ",UPPER(M95&amp;"")))),"OK",IF(M95="","PENDENTE",IF(OR(ISNUMBER(SEARCH("SEM MOV",UPPER(M95&amp;""))),ISNUMBER(SEARCH("SEM I.E",UPPER(M95&amp;""))),ISNUMBER(SEARCH("SEM IE",UPPER(M95&amp;"")))),"DISPENSADO","ALERTA")))</x:f>
        <x:v>OK</x:v>
      </x:c>
      <x:c r="W95" s="49" t="str">
        <x:f>IF(OR(O95="x",ISNUMBER(O95),ISNUMBER(SEARCH("OK",UPPER(O95&amp;""))),ISNUMBER(SEARCH("JÁ",UPPER(O95&amp;""))),ISNUMBER(SEARCH("JA ",UPPER(O95&amp;"")))),"OK",IF(O95="","PENDENTE",IF(OR(ISNUMBER(SEARCH("SEM MOV",UPPER(O95&amp;""))),ISNUMBER(SEARCH("SEM I.E",UPPER(O95&amp;""))),ISNUMBER(SEARCH("SEM IE",UPPER(O95&amp;"")))),"DISPENSADO","ALERTA")))</x:f>
        <x:v>ALERTA</x:v>
      </x:c>
      <x:c r="X95" s="49" t="str">
        <x:f>IF(Q95&lt;&gt;"","SIM","NÃO")</x:f>
        <x:v>NÃO</x:v>
      </x:c>
      <x:c r="Y95" s="49" t="str">
        <x:f>IF(R95&lt;&gt;"","SIM","NÃO")</x:f>
        <x:v>NÃO</x:v>
      </x:c>
      <x:c r="Z95" s="49" t="str">
        <x:f>IF(OR(H95="A",V95="ALERTA",W95="ALERTA",T95="ALERTA",U95="ALERTA"),"ALTO",IF(OR(T95="PENDENTE",U95="PENDENTE",V95="PENDENTE",W95="PENDENTE"),"MÉDIO","BAIXO"))</x:f>
        <x:v>ALTO</x:v>
      </x:c>
      <x:c r="AA95" s="49" t="str">
        <x:f>IF(Z95="ALTO","Resolver certificado/permissão/CNPJ/status antes da rotina",IF(Z95="MÉDIO","Completar pasta/status pendente","Rotina regular"))</x:f>
        <x:v>Resolver certificado/permissão/CNPJ/status antes da rotina</x:v>
      </x:c>
    </x:row>
    <x:row r="96">
      <x:c r="A96" s="61" t="str">
        <x:v>MONTAGENS GSV - LTDA - 27</x:v>
      </x:c>
      <x:c r="B96" s="49" t="str">
        <x:v>GSV</x:v>
      </x:c>
      <x:c r="C96" s="49" t="str">
        <x:v>GOIANÉSIA</x:v>
      </x:c>
      <x:c r="D96" s="49" t="str">
        <x:v>21.371.431/0001-34</x:v>
      </x:c>
      <x:c r="E96" s="49"/>
      <x:c r="F96" s="49" t="str">
        <x:v>LILIANE</x:v>
      </x:c>
      <x:c r="G96" s="49" t="str">
        <x:v>SIMPLES NACIONAL</x:v>
      </x:c>
      <x:c r="H96" s="49" t="str">
        <x:v>C</x:v>
      </x:c>
      <x:c r="I96" s="54"/>
      <x:c r="J96" s="49"/>
      <x:c r="K96" s="54"/>
      <x:c r="L96" s="49"/>
      <x:c r="M96" s="54" t="str">
        <x:v>ok</x:v>
      </x:c>
      <x:c r="N96" s="49"/>
      <x:c r="O96" s="54" t="str">
        <x:v>SEM CERT.</x:v>
      </x:c>
      <x:c r="P96" s="49"/>
      <x:c r="Q96" s="57"/>
      <x:c r="R96" s="57"/>
      <x:c r="S96" s="57"/>
      <x:c r="T96" s="49" t="str">
        <x:f>IF(OR(I96="x",ISNUMBER(I96),ISNUMBER(SEARCH("OK",UPPER(I96&amp;""))),ISNUMBER(SEARCH("JÁ",UPPER(I96&amp;""))),ISNUMBER(SEARCH("JA ",UPPER(I96&amp;"")))),"OK",IF(I96="","PENDENTE",IF(OR(ISNUMBER(SEARCH("SEM MOV",UPPER(I96&amp;""))),ISNUMBER(SEARCH("SEM I.E",UPPER(I96&amp;""))),ISNUMBER(SEARCH("SEM IE",UPPER(I96&amp;"")))),"DISPENSADO","ALERTA")))</x:f>
        <x:v>PENDENTE</x:v>
      </x:c>
      <x:c r="U96" s="49" t="str">
        <x:f>IF(OR(K96="x",ISNUMBER(K96),ISNUMBER(SEARCH("OK",UPPER(K96&amp;""))),ISNUMBER(SEARCH("JÁ",UPPER(K96&amp;""))),ISNUMBER(SEARCH("JA ",UPPER(K96&amp;"")))),"OK",IF(K96="","PENDENTE",IF(OR(ISNUMBER(SEARCH("SEM MOV",UPPER(K96&amp;""))),ISNUMBER(SEARCH("SEM I.E",UPPER(K96&amp;""))),ISNUMBER(SEARCH("SEM IE",UPPER(K96&amp;"")))),"DISPENSADO","ALERTA")))</x:f>
        <x:v>PENDENTE</x:v>
      </x:c>
      <x:c r="V96" s="49" t="str">
        <x:f>IF(OR(M96="x",ISNUMBER(M96),ISNUMBER(SEARCH("OK",UPPER(M96&amp;""))),ISNUMBER(SEARCH("JÁ",UPPER(M96&amp;""))),ISNUMBER(SEARCH("JA ",UPPER(M96&amp;"")))),"OK",IF(M96="","PENDENTE",IF(OR(ISNUMBER(SEARCH("SEM MOV",UPPER(M96&amp;""))),ISNUMBER(SEARCH("SEM I.E",UPPER(M96&amp;""))),ISNUMBER(SEARCH("SEM IE",UPPER(M96&amp;"")))),"DISPENSADO","ALERTA")))</x:f>
        <x:v>OK</x:v>
      </x:c>
      <x:c r="W96" s="49" t="str">
        <x:f>IF(OR(O96="x",ISNUMBER(O96),ISNUMBER(SEARCH("OK",UPPER(O96&amp;""))),ISNUMBER(SEARCH("JÁ",UPPER(O96&amp;""))),ISNUMBER(SEARCH("JA ",UPPER(O96&amp;"")))),"OK",IF(O96="","PENDENTE",IF(OR(ISNUMBER(SEARCH("SEM MOV",UPPER(O96&amp;""))),ISNUMBER(SEARCH("SEM I.E",UPPER(O96&amp;""))),ISNUMBER(SEARCH("SEM IE",UPPER(O96&amp;"")))),"DISPENSADO","ALERTA")))</x:f>
        <x:v>ALERTA</x:v>
      </x:c>
      <x:c r="X96" s="49" t="str">
        <x:f>IF(Q96&lt;&gt;"","SIM","NÃO")</x:f>
        <x:v>NÃO</x:v>
      </x:c>
      <x:c r="Y96" s="49" t="str">
        <x:f>IF(R96&lt;&gt;"","SIM","NÃO")</x:f>
        <x:v>NÃO</x:v>
      </x:c>
      <x:c r="Z96" s="49" t="str">
        <x:f>IF(OR(H96="A",V96="ALERTA",W96="ALERTA",T96="ALERTA",U96="ALERTA"),"ALTO",IF(OR(T96="PENDENTE",U96="PENDENTE",V96="PENDENTE",W96="PENDENTE"),"MÉDIO","BAIXO"))</x:f>
        <x:v>ALTO</x:v>
      </x:c>
      <x:c r="AA96" s="49" t="str">
        <x:f>IF(Z96="ALTO","Resolver certificado/permissão/CNPJ/status antes da rotina",IF(Z96="MÉDIO","Completar pasta/status pendente","Rotina regular"))</x:f>
        <x:v>Resolver certificado/permissão/CNPJ/status antes da rotina</x:v>
      </x:c>
    </x:row>
    <x:row r="97">
      <x:c r="A97" s="61" t="str">
        <x:v>NEXO QUALIFICAÇÃO (ANTES TEKNOPAR) - 56</x:v>
      </x:c>
      <x:c r="B97" s="49" t="str">
        <x:v>TEKNOPAR</x:v>
      </x:c>
      <x:c r="C97" s="49" t="str">
        <x:v>ANÁPOLIS</x:v>
      </x:c>
      <x:c r="D97" s="49" t="str">
        <x:v>09.421.791/0001-06</x:v>
      </x:c>
      <x:c r="E97" s="49"/>
      <x:c r="F97" s="49" t="str">
        <x:v>JULIMAR</x:v>
      </x:c>
      <x:c r="G97" s="49" t="str">
        <x:v>SIMPLES NACIONAL</x:v>
      </x:c>
      <x:c r="H97" s="49" t="str">
        <x:v>C</x:v>
      </x:c>
      <x:c r="I97" s="54"/>
      <x:c r="J97" s="49"/>
      <x:c r="K97" s="54"/>
      <x:c r="L97" s="49"/>
      <x:c r="M97" s="54" t="str">
        <x:v>SEM I.E.</x:v>
      </x:c>
      <x:c r="N97" s="49"/>
      <x:c r="O97" s="54" t="str">
        <x:v>SEM RESULTADO</x:v>
      </x:c>
      <x:c r="P97" s="49"/>
      <x:c r="Q97" s="57"/>
      <x:c r="R97" s="57"/>
      <x:c r="S97" s="57"/>
      <x:c r="T97" s="49" t="str">
        <x:f>IF(OR(I97="x",ISNUMBER(I97),ISNUMBER(SEARCH("OK",UPPER(I97&amp;""))),ISNUMBER(SEARCH("JÁ",UPPER(I97&amp;""))),ISNUMBER(SEARCH("JA ",UPPER(I97&amp;"")))),"OK",IF(I97="","PENDENTE",IF(OR(ISNUMBER(SEARCH("SEM MOV",UPPER(I97&amp;""))),ISNUMBER(SEARCH("SEM I.E",UPPER(I97&amp;""))),ISNUMBER(SEARCH("SEM IE",UPPER(I97&amp;"")))),"DISPENSADO","ALERTA")))</x:f>
        <x:v>PENDENTE</x:v>
      </x:c>
      <x:c r="U97" s="49" t="str">
        <x:f>IF(OR(K97="x",ISNUMBER(K97),ISNUMBER(SEARCH("OK",UPPER(K97&amp;""))),ISNUMBER(SEARCH("JÁ",UPPER(K97&amp;""))),ISNUMBER(SEARCH("JA ",UPPER(K97&amp;"")))),"OK",IF(K97="","PENDENTE",IF(OR(ISNUMBER(SEARCH("SEM MOV",UPPER(K97&amp;""))),ISNUMBER(SEARCH("SEM I.E",UPPER(K97&amp;""))),ISNUMBER(SEARCH("SEM IE",UPPER(K97&amp;"")))),"DISPENSADO","ALERTA")))</x:f>
        <x:v>PENDENTE</x:v>
      </x:c>
      <x:c r="V97" s="49" t="str">
        <x:f>IF(OR(M97="x",ISNUMBER(M97),ISNUMBER(SEARCH("OK",UPPER(M97&amp;""))),ISNUMBER(SEARCH("JÁ",UPPER(M97&amp;""))),ISNUMBER(SEARCH("JA ",UPPER(M97&amp;"")))),"OK",IF(M97="","PENDENTE",IF(OR(ISNUMBER(SEARCH("SEM MOV",UPPER(M97&amp;""))),ISNUMBER(SEARCH("SEM I.E",UPPER(M97&amp;""))),ISNUMBER(SEARCH("SEM IE",UPPER(M97&amp;"")))),"DISPENSADO","ALERTA")))</x:f>
        <x:v>DISPENSADO</x:v>
      </x:c>
      <x:c r="W97" s="49" t="str">
        <x:f>IF(OR(O97="x",ISNUMBER(O97),ISNUMBER(SEARCH("OK",UPPER(O97&amp;""))),ISNUMBER(SEARCH("JÁ",UPPER(O97&amp;""))),ISNUMBER(SEARCH("JA ",UPPER(O97&amp;"")))),"OK",IF(O97="","PENDENTE",IF(OR(ISNUMBER(SEARCH("SEM MOV",UPPER(O97&amp;""))),ISNUMBER(SEARCH("SEM I.E",UPPER(O97&amp;""))),ISNUMBER(SEARCH("SEM IE",UPPER(O97&amp;"")))),"DISPENSADO","ALERTA")))</x:f>
        <x:v>ALERTA</x:v>
      </x:c>
      <x:c r="X97" s="49" t="str">
        <x:f>IF(Q97&lt;&gt;"","SIM","NÃO")</x:f>
        <x:v>NÃO</x:v>
      </x:c>
      <x:c r="Y97" s="49" t="str">
        <x:f>IF(R97&lt;&gt;"","SIM","NÃO")</x:f>
        <x:v>NÃO</x:v>
      </x:c>
      <x:c r="Z97" s="49" t="str">
        <x:f>IF(OR(H97="A",V97="ALERTA",W97="ALERTA",T97="ALERTA",U97="ALERTA"),"ALTO",IF(OR(T97="PENDENTE",U97="PENDENTE",V97="PENDENTE",W97="PENDENTE"),"MÉDIO","BAIXO"))</x:f>
        <x:v>ALTO</x:v>
      </x:c>
      <x:c r="AA97" s="49" t="str">
        <x:f>IF(Z97="ALTO","Resolver certificado/permissão/CNPJ/status antes da rotina",IF(Z97="MÉDIO","Completar pasta/status pendente","Rotina regular"))</x:f>
        <x:v>Resolver certificado/permissão/CNPJ/status antes da rotina</x:v>
      </x:c>
    </x:row>
    <x:row r="98">
      <x:c r="A98" s="61" t="str">
        <x:v>NSZ CHOCOLATES LTDA - 177</x:v>
      </x:c>
      <x:c r="B98" s="49" t="str">
        <x:v>COPEMBOM</x:v>
      </x:c>
      <x:c r="C98" s="49" t="str">
        <x:v>VARZEA GRANDE</x:v>
      </x:c>
      <x:c r="D98" s="49" t="str">
        <x:v>46.970.032/0001-10</x:v>
      </x:c>
      <x:c r="E98" s="49"/>
      <x:c r="F98" s="49" t="str">
        <x:v>SANDRA</x:v>
      </x:c>
      <x:c r="G98" s="49" t="str">
        <x:v>SIMPLES NACIONAL</x:v>
      </x:c>
      <x:c r="H98" s="49" t="str">
        <x:v>A</x:v>
      </x:c>
      <x:c r="I98" s="54"/>
      <x:c r="J98" s="49"/>
      <x:c r="K98" s="54"/>
      <x:c r="L98" s="49"/>
      <x:c r="M98" s="54" t="str">
        <x:v>SEM MOVIMENTO</x:v>
      </x:c>
      <x:c r="N98" s="49"/>
      <x:c r="O98" s="54" t="str">
        <x:v>SEM RESULTADO</x:v>
      </x:c>
      <x:c r="P98" s="49"/>
      <x:c r="Q98" s="57"/>
      <x:c r="R98" s="57"/>
      <x:c r="S98" s="57"/>
      <x:c r="T98" s="49" t="str">
        <x:f>IF(OR(I98="x",ISNUMBER(I98),ISNUMBER(SEARCH("OK",UPPER(I98&amp;""))),ISNUMBER(SEARCH("JÁ",UPPER(I98&amp;""))),ISNUMBER(SEARCH("JA ",UPPER(I98&amp;"")))),"OK",IF(I98="","PENDENTE",IF(OR(ISNUMBER(SEARCH("SEM MOV",UPPER(I98&amp;""))),ISNUMBER(SEARCH("SEM I.E",UPPER(I98&amp;""))),ISNUMBER(SEARCH("SEM IE",UPPER(I98&amp;"")))),"DISPENSADO","ALERTA")))</x:f>
        <x:v>PENDENTE</x:v>
      </x:c>
      <x:c r="U98" s="49" t="str">
        <x:f>IF(OR(K98="x",ISNUMBER(K98),ISNUMBER(SEARCH("OK",UPPER(K98&amp;""))),ISNUMBER(SEARCH("JÁ",UPPER(K98&amp;""))),ISNUMBER(SEARCH("JA ",UPPER(K98&amp;"")))),"OK",IF(K98="","PENDENTE",IF(OR(ISNUMBER(SEARCH("SEM MOV",UPPER(K98&amp;""))),ISNUMBER(SEARCH("SEM I.E",UPPER(K98&amp;""))),ISNUMBER(SEARCH("SEM IE",UPPER(K98&amp;"")))),"DISPENSADO","ALERTA")))</x:f>
        <x:v>PENDENTE</x:v>
      </x:c>
      <x:c r="V98" s="49" t="str">
        <x:f>IF(OR(M98="x",ISNUMBER(M98),ISNUMBER(SEARCH("OK",UPPER(M98&amp;""))),ISNUMBER(SEARCH("JÁ",UPPER(M98&amp;""))),ISNUMBER(SEARCH("JA ",UPPER(M98&amp;"")))),"OK",IF(M98="","PENDENTE",IF(OR(ISNUMBER(SEARCH("SEM MOV",UPPER(M98&amp;""))),ISNUMBER(SEARCH("SEM I.E",UPPER(M98&amp;""))),ISNUMBER(SEARCH("SEM IE",UPPER(M98&amp;"")))),"DISPENSADO","ALERTA")))</x:f>
        <x:v>DISPENSADO</x:v>
      </x:c>
      <x:c r="W98" s="49" t="str">
        <x:f>IF(OR(O98="x",ISNUMBER(O98),ISNUMBER(SEARCH("OK",UPPER(O98&amp;""))),ISNUMBER(SEARCH("JÁ",UPPER(O98&amp;""))),ISNUMBER(SEARCH("JA ",UPPER(O98&amp;"")))),"OK",IF(O98="","PENDENTE",IF(OR(ISNUMBER(SEARCH("SEM MOV",UPPER(O98&amp;""))),ISNUMBER(SEARCH("SEM I.E",UPPER(O98&amp;""))),ISNUMBER(SEARCH("SEM IE",UPPER(O98&amp;"")))),"DISPENSADO","ALERTA")))</x:f>
        <x:v>ALERTA</x:v>
      </x:c>
      <x:c r="X98" s="49" t="str">
        <x:f>IF(Q98&lt;&gt;"","SIM","NÃO")</x:f>
        <x:v>NÃO</x:v>
      </x:c>
      <x:c r="Y98" s="49" t="str">
        <x:f>IF(R98&lt;&gt;"","SIM","NÃO")</x:f>
        <x:v>NÃO</x:v>
      </x:c>
      <x:c r="Z98" s="49" t="str">
        <x:f>IF(OR(H98="A",V98="ALERTA",W98="ALERTA",T98="ALERTA",U98="ALERTA"),"ALTO",IF(OR(T98="PENDENTE",U98="PENDENTE",V98="PENDENTE",W98="PENDENTE"),"MÉDIO","BAIXO"))</x:f>
        <x:v>ALTO</x:v>
      </x:c>
      <x:c r="AA98" s="49" t="str">
        <x:f>IF(Z98="ALTO","Resolver certificado/permissão/CNPJ/status antes da rotina",IF(Z98="MÉDIO","Completar pasta/status pendente","Rotina regular"))</x:f>
        <x:v>Resolver certificado/permissão/CNPJ/status antes da rotina</x:v>
      </x:c>
    </x:row>
    <x:row r="99">
      <x:c r="A99" s="61" t="str">
        <x:v>PADOVEZ CUALHETA</x:v>
      </x:c>
      <x:c r="B99" s="49" t="str">
        <x:v>SILIGYN</x:v>
      </x:c>
      <x:c r="C99" s="49" t="str">
        <x:v>GOIANIA</x:v>
      </x:c>
      <x:c r="D99" s="49" t="str">
        <x:v>64.807.774/0001-01</x:v>
      </x:c>
      <x:c r="E99" s="49"/>
      <x:c r="F99" s="49"/>
      <x:c r="G99" s="49" t="str">
        <x:v>SIMPLES NACIONAL</x:v>
      </x:c>
      <x:c r="H99" s="49" t="str">
        <x:v>B</x:v>
      </x:c>
      <x:c r="I99" s="54"/>
      <x:c r="J99" s="49"/>
      <x:c r="K99" s="54"/>
      <x:c r="L99" s="49"/>
      <x:c r="M99" s="54" t="str">
        <x:v>SEM I.E.</x:v>
      </x:c>
      <x:c r="N99" s="49"/>
      <x:c r="O99" s="54" t="str">
        <x:v>SEM RESULTADO</x:v>
      </x:c>
      <x:c r="P99" s="49"/>
      <x:c r="Q99" s="57"/>
      <x:c r="R99" s="57"/>
      <x:c r="S99" s="57"/>
      <x:c r="T99" s="49" t="str">
        <x:f>IF(OR(I99="x",ISNUMBER(I99),ISNUMBER(SEARCH("OK",UPPER(I99&amp;""))),ISNUMBER(SEARCH("JÁ",UPPER(I99&amp;""))),ISNUMBER(SEARCH("JA ",UPPER(I99&amp;"")))),"OK",IF(I99="","PENDENTE",IF(OR(ISNUMBER(SEARCH("SEM MOV",UPPER(I99&amp;""))),ISNUMBER(SEARCH("SEM I.E",UPPER(I99&amp;""))),ISNUMBER(SEARCH("SEM IE",UPPER(I99&amp;"")))),"DISPENSADO","ALERTA")))</x:f>
        <x:v>PENDENTE</x:v>
      </x:c>
      <x:c r="U99" s="49" t="str">
        <x:f>IF(OR(K99="x",ISNUMBER(K99),ISNUMBER(SEARCH("OK",UPPER(K99&amp;""))),ISNUMBER(SEARCH("JÁ",UPPER(K99&amp;""))),ISNUMBER(SEARCH("JA ",UPPER(K99&amp;"")))),"OK",IF(K99="","PENDENTE",IF(OR(ISNUMBER(SEARCH("SEM MOV",UPPER(K99&amp;""))),ISNUMBER(SEARCH("SEM I.E",UPPER(K99&amp;""))),ISNUMBER(SEARCH("SEM IE",UPPER(K99&amp;"")))),"DISPENSADO","ALERTA")))</x:f>
        <x:v>PENDENTE</x:v>
      </x:c>
      <x:c r="V99" s="49" t="str">
        <x:f>IF(OR(M99="x",ISNUMBER(M99),ISNUMBER(SEARCH("OK",UPPER(M99&amp;""))),ISNUMBER(SEARCH("JÁ",UPPER(M99&amp;""))),ISNUMBER(SEARCH("JA ",UPPER(M99&amp;"")))),"OK",IF(M99="","PENDENTE",IF(OR(ISNUMBER(SEARCH("SEM MOV",UPPER(M99&amp;""))),ISNUMBER(SEARCH("SEM I.E",UPPER(M99&amp;""))),ISNUMBER(SEARCH("SEM IE",UPPER(M99&amp;"")))),"DISPENSADO","ALERTA")))</x:f>
        <x:v>DISPENSADO</x:v>
      </x:c>
      <x:c r="W99" s="49" t="str">
        <x:f>IF(OR(O99="x",ISNUMBER(O99),ISNUMBER(SEARCH("OK",UPPER(O99&amp;""))),ISNUMBER(SEARCH("JÁ",UPPER(O99&amp;""))),ISNUMBER(SEARCH("JA ",UPPER(O99&amp;"")))),"OK",IF(O99="","PENDENTE",IF(OR(ISNUMBER(SEARCH("SEM MOV",UPPER(O99&amp;""))),ISNUMBER(SEARCH("SEM I.E",UPPER(O99&amp;""))),ISNUMBER(SEARCH("SEM IE",UPPER(O99&amp;"")))),"DISPENSADO","ALERTA")))</x:f>
        <x:v>ALERTA</x:v>
      </x:c>
      <x:c r="X99" s="49" t="str">
        <x:f>IF(Q99&lt;&gt;"","SIM","NÃO")</x:f>
        <x:v>NÃO</x:v>
      </x:c>
      <x:c r="Y99" s="49" t="str">
        <x:f>IF(R99&lt;&gt;"","SIM","NÃO")</x:f>
        <x:v>NÃO</x:v>
      </x:c>
      <x:c r="Z99" s="49" t="str">
        <x:f>IF(OR(H99="A",V99="ALERTA",W99="ALERTA",T99="ALERTA",U99="ALERTA"),"ALTO",IF(OR(T99="PENDENTE",U99="PENDENTE",V99="PENDENTE",W99="PENDENTE"),"MÉDIO","BAIXO"))</x:f>
        <x:v>ALTO</x:v>
      </x:c>
      <x:c r="AA99" s="49" t="str">
        <x:f>IF(Z99="ALTO","Resolver certificado/permissão/CNPJ/status antes da rotina",IF(Z99="MÉDIO","Completar pasta/status pendente","Rotina regular"))</x:f>
        <x:v>Resolver certificado/permissão/CNPJ/status antes da rotina</x:v>
      </x:c>
    </x:row>
    <x:row r="100">
      <x:c r="A100" s="61" t="str">
        <x:v>PANIFICADORA ELDORADO</x:v>
      </x:c>
      <x:c r="B100" s="49" t="str">
        <x:v>ELDORADO</x:v>
      </x:c>
      <x:c r="C100" s="49" t="str">
        <x:v>ANAPOLIS</x:v>
      </x:c>
      <x:c r="D100" s="49" t="str">
        <x:v>03.111.816/0001-80</x:v>
      </x:c>
      <x:c r="E100" s="49"/>
      <x:c r="F100" s="49" t="str">
        <x:v>VIVIANE/SILVIO</x:v>
      </x:c>
      <x:c r="G100" s="49" t="str">
        <x:v>LUCRO REAL</x:v>
      </x:c>
      <x:c r="H100" s="49" t="str">
        <x:v>A</x:v>
      </x:c>
      <x:c r="I100" s="54"/>
      <x:c r="J100" s="49"/>
      <x:c r="K100" s="54"/>
      <x:c r="L100" s="49"/>
      <x:c r="M100" s="54" t="str">
        <x:v>já na pasta</x:v>
      </x:c>
      <x:c r="N100" s="49"/>
      <x:c r="O100" s="54" t="str">
        <x:v>Já na pasta</x:v>
      </x:c>
      <x:c r="P100" s="49"/>
      <x:c r="Q100" s="57"/>
      <x:c r="R100" s="57"/>
      <x:c r="S100" s="57"/>
      <x:c r="T100" s="49" t="str">
        <x:f>IF(OR(I100="x",ISNUMBER(I100),ISNUMBER(SEARCH("OK",UPPER(I100&amp;""))),ISNUMBER(SEARCH("JÁ",UPPER(I100&amp;""))),ISNUMBER(SEARCH("JA ",UPPER(I100&amp;"")))),"OK",IF(I100="","PENDENTE",IF(OR(ISNUMBER(SEARCH("SEM MOV",UPPER(I100&amp;""))),ISNUMBER(SEARCH("SEM I.E",UPPER(I100&amp;""))),ISNUMBER(SEARCH("SEM IE",UPPER(I100&amp;"")))),"DISPENSADO","ALERTA")))</x:f>
        <x:v>PENDENTE</x:v>
      </x:c>
      <x:c r="U100" s="49" t="str">
        <x:f>IF(OR(K100="x",ISNUMBER(K100),ISNUMBER(SEARCH("OK",UPPER(K100&amp;""))),ISNUMBER(SEARCH("JÁ",UPPER(K100&amp;""))),ISNUMBER(SEARCH("JA ",UPPER(K100&amp;"")))),"OK",IF(K100="","PENDENTE",IF(OR(ISNUMBER(SEARCH("SEM MOV",UPPER(K100&amp;""))),ISNUMBER(SEARCH("SEM I.E",UPPER(K100&amp;""))),ISNUMBER(SEARCH("SEM IE",UPPER(K100&amp;"")))),"DISPENSADO","ALERTA")))</x:f>
        <x:v>PENDENTE</x:v>
      </x:c>
      <x:c r="V100" s="49" t="str">
        <x:f>IF(OR(M100="x",ISNUMBER(M100),ISNUMBER(SEARCH("OK",UPPER(M100&amp;""))),ISNUMBER(SEARCH("JÁ",UPPER(M100&amp;""))),ISNUMBER(SEARCH("JA ",UPPER(M100&amp;"")))),"OK",IF(M100="","PENDENTE",IF(OR(ISNUMBER(SEARCH("SEM MOV",UPPER(M100&amp;""))),ISNUMBER(SEARCH("SEM I.E",UPPER(M100&amp;""))),ISNUMBER(SEARCH("SEM IE",UPPER(M100&amp;"")))),"DISPENSADO","ALERTA")))</x:f>
        <x:v>OK</x:v>
      </x:c>
      <x:c r="W100" s="49" t="str">
        <x:f>IF(OR(O100="x",ISNUMBER(O100),ISNUMBER(SEARCH("OK",UPPER(O100&amp;""))),ISNUMBER(SEARCH("JÁ",UPPER(O100&amp;""))),ISNUMBER(SEARCH("JA ",UPPER(O100&amp;"")))),"OK",IF(O100="","PENDENTE",IF(OR(ISNUMBER(SEARCH("SEM MOV",UPPER(O100&amp;""))),ISNUMBER(SEARCH("SEM I.E",UPPER(O100&amp;""))),ISNUMBER(SEARCH("SEM IE",UPPER(O100&amp;"")))),"DISPENSADO","ALERTA")))</x:f>
        <x:v>OK</x:v>
      </x:c>
      <x:c r="X100" s="49" t="str">
        <x:f>IF(Q100&lt;&gt;"","SIM","NÃO")</x:f>
        <x:v>NÃO</x:v>
      </x:c>
      <x:c r="Y100" s="49" t="str">
        <x:f>IF(R100&lt;&gt;"","SIM","NÃO")</x:f>
        <x:v>NÃO</x:v>
      </x:c>
      <x:c r="Z100" s="49" t="str">
        <x:f>IF(OR(H100="A",V100="ALERTA",W100="ALERTA",T100="ALERTA",U100="ALERTA"),"ALTO",IF(OR(T100="PENDENTE",U100="PENDENTE",V100="PENDENTE",W100="PENDENTE"),"MÉDIO","BAIXO"))</x:f>
        <x:v>ALTO</x:v>
      </x:c>
      <x:c r="AA100" s="49" t="str">
        <x:f>IF(Z100="ALTO","Resolver certificado/permissão/CNPJ/status antes da rotina",IF(Z100="MÉDIO","Completar pasta/status pendente","Rotina regular"))</x:f>
        <x:v>Resolver certificado/permissão/CNPJ/status antes da rotina</x:v>
      </x:c>
    </x:row>
    <x:row r="101">
      <x:c r="A101" s="61" t="str">
        <x:v>PANIFICADORA ELDORADO - FL 01</x:v>
      </x:c>
      <x:c r="B101" s="49" t="str">
        <x:v>ELDORADO</x:v>
      </x:c>
      <x:c r="C101" s="49" t="str">
        <x:v>ANAPOLIS</x:v>
      </x:c>
      <x:c r="D101" s="49" t="str">
        <x:v>03.111.816/0002-61</x:v>
      </x:c>
      <x:c r="E101" s="49"/>
      <x:c r="F101" s="49" t="str">
        <x:v>VIVIANE/SILVIO</x:v>
      </x:c>
      <x:c r="G101" s="49" t="str">
        <x:v>LUCRO REAL</x:v>
      </x:c>
      <x:c r="H101" s="49" t="str">
        <x:v>A</x:v>
      </x:c>
      <x:c r="I101" s="54"/>
      <x:c r="J101" s="49"/>
      <x:c r="K101" s="54"/>
      <x:c r="L101" s="49"/>
      <x:c r="M101" s="54" t="str">
        <x:v>já na pasta</x:v>
      </x:c>
      <x:c r="N101" s="49"/>
      <x:c r="O101" s="54" t="str">
        <x:v>Já na pasta</x:v>
      </x:c>
      <x:c r="P101" s="49"/>
      <x:c r="Q101" s="57"/>
      <x:c r="R101" s="57"/>
      <x:c r="S101" s="57"/>
      <x:c r="T101" s="49" t="str">
        <x:f>IF(OR(I101="x",ISNUMBER(I101),ISNUMBER(SEARCH("OK",UPPER(I101&amp;""))),ISNUMBER(SEARCH("JÁ",UPPER(I101&amp;""))),ISNUMBER(SEARCH("JA ",UPPER(I101&amp;"")))),"OK",IF(I101="","PENDENTE",IF(OR(ISNUMBER(SEARCH("SEM MOV",UPPER(I101&amp;""))),ISNUMBER(SEARCH("SEM I.E",UPPER(I101&amp;""))),ISNUMBER(SEARCH("SEM IE",UPPER(I101&amp;"")))),"DISPENSADO","ALERTA")))</x:f>
        <x:v>PENDENTE</x:v>
      </x:c>
      <x:c r="U101" s="49" t="str">
        <x:f>IF(OR(K101="x",ISNUMBER(K101),ISNUMBER(SEARCH("OK",UPPER(K101&amp;""))),ISNUMBER(SEARCH("JÁ",UPPER(K101&amp;""))),ISNUMBER(SEARCH("JA ",UPPER(K101&amp;"")))),"OK",IF(K101="","PENDENTE",IF(OR(ISNUMBER(SEARCH("SEM MOV",UPPER(K101&amp;""))),ISNUMBER(SEARCH("SEM I.E",UPPER(K101&amp;""))),ISNUMBER(SEARCH("SEM IE",UPPER(K101&amp;"")))),"DISPENSADO","ALERTA")))</x:f>
        <x:v>PENDENTE</x:v>
      </x:c>
      <x:c r="V101" s="49" t="str">
        <x:f>IF(OR(M101="x",ISNUMBER(M101),ISNUMBER(SEARCH("OK",UPPER(M101&amp;""))),ISNUMBER(SEARCH("JÁ",UPPER(M101&amp;""))),ISNUMBER(SEARCH("JA ",UPPER(M101&amp;"")))),"OK",IF(M101="","PENDENTE",IF(OR(ISNUMBER(SEARCH("SEM MOV",UPPER(M101&amp;""))),ISNUMBER(SEARCH("SEM I.E",UPPER(M101&amp;""))),ISNUMBER(SEARCH("SEM IE",UPPER(M101&amp;"")))),"DISPENSADO","ALERTA")))</x:f>
        <x:v>OK</x:v>
      </x:c>
      <x:c r="W101" s="49" t="str">
        <x:f>IF(OR(O101="x",ISNUMBER(O101),ISNUMBER(SEARCH("OK",UPPER(O101&amp;""))),ISNUMBER(SEARCH("JÁ",UPPER(O101&amp;""))),ISNUMBER(SEARCH("JA ",UPPER(O101&amp;"")))),"OK",IF(O101="","PENDENTE",IF(OR(ISNUMBER(SEARCH("SEM MOV",UPPER(O101&amp;""))),ISNUMBER(SEARCH("SEM I.E",UPPER(O101&amp;""))),ISNUMBER(SEARCH("SEM IE",UPPER(O101&amp;"")))),"DISPENSADO","ALERTA")))</x:f>
        <x:v>OK</x:v>
      </x:c>
      <x:c r="X101" s="49" t="str">
        <x:f>IF(Q101&lt;&gt;"","SIM","NÃO")</x:f>
        <x:v>NÃO</x:v>
      </x:c>
      <x:c r="Y101" s="49" t="str">
        <x:f>IF(R101&lt;&gt;"","SIM","NÃO")</x:f>
        <x:v>NÃO</x:v>
      </x:c>
      <x:c r="Z101" s="49" t="str">
        <x:f>IF(OR(H101="A",V101="ALERTA",W101="ALERTA",T101="ALERTA",U101="ALERTA"),"ALTO",IF(OR(T101="PENDENTE",U101="PENDENTE",V101="PENDENTE",W101="PENDENTE"),"MÉDIO","BAIXO"))</x:f>
        <x:v>ALTO</x:v>
      </x:c>
      <x:c r="AA101" s="49" t="str">
        <x:f>IF(Z101="ALTO","Resolver certificado/permissão/CNPJ/status antes da rotina",IF(Z101="MÉDIO","Completar pasta/status pendente","Rotina regular"))</x:f>
        <x:v>Resolver certificado/permissão/CNPJ/status antes da rotina</x:v>
      </x:c>
    </x:row>
    <x:row r="102">
      <x:c r="A102" s="61" t="str">
        <x:v>PANIFICADORA ELDORADO - FL 02</x:v>
      </x:c>
      <x:c r="B102" s="49" t="str">
        <x:v>ELDORADO</x:v>
      </x:c>
      <x:c r="C102" s="49" t="str">
        <x:v>ANAPOLIS</x:v>
      </x:c>
      <x:c r="D102" s="49" t="str">
        <x:v>03.111.816/0003-42</x:v>
      </x:c>
      <x:c r="E102" s="49"/>
      <x:c r="F102" s="49" t="str">
        <x:v>VIVIANE/SILVIO</x:v>
      </x:c>
      <x:c r="G102" s="49" t="str">
        <x:v>LUCRO REAL</x:v>
      </x:c>
      <x:c r="H102" s="49" t="str">
        <x:v>A</x:v>
      </x:c>
      <x:c r="I102" s="54"/>
      <x:c r="J102" s="49"/>
      <x:c r="K102" s="54"/>
      <x:c r="L102" s="49"/>
      <x:c r="M102" s="54" t="str">
        <x:v>já na pasta</x:v>
      </x:c>
      <x:c r="N102" s="49"/>
      <x:c r="O102" s="54" t="str">
        <x:v>Já na pasta</x:v>
      </x:c>
      <x:c r="P102" s="49"/>
      <x:c r="Q102" s="57"/>
      <x:c r="R102" s="57"/>
      <x:c r="S102" s="57"/>
      <x:c r="T102" s="49" t="str">
        <x:f>IF(OR(I102="x",ISNUMBER(I102),ISNUMBER(SEARCH("OK",UPPER(I102&amp;""))),ISNUMBER(SEARCH("JÁ",UPPER(I102&amp;""))),ISNUMBER(SEARCH("JA ",UPPER(I102&amp;"")))),"OK",IF(I102="","PENDENTE",IF(OR(ISNUMBER(SEARCH("SEM MOV",UPPER(I102&amp;""))),ISNUMBER(SEARCH("SEM I.E",UPPER(I102&amp;""))),ISNUMBER(SEARCH("SEM IE",UPPER(I102&amp;"")))),"DISPENSADO","ALERTA")))</x:f>
        <x:v>PENDENTE</x:v>
      </x:c>
      <x:c r="U102" s="49" t="str">
        <x:f>IF(OR(K102="x",ISNUMBER(K102),ISNUMBER(SEARCH("OK",UPPER(K102&amp;""))),ISNUMBER(SEARCH("JÁ",UPPER(K102&amp;""))),ISNUMBER(SEARCH("JA ",UPPER(K102&amp;"")))),"OK",IF(K102="","PENDENTE",IF(OR(ISNUMBER(SEARCH("SEM MOV",UPPER(K102&amp;""))),ISNUMBER(SEARCH("SEM I.E",UPPER(K102&amp;""))),ISNUMBER(SEARCH("SEM IE",UPPER(K102&amp;"")))),"DISPENSADO","ALERTA")))</x:f>
        <x:v>PENDENTE</x:v>
      </x:c>
      <x:c r="V102" s="49" t="str">
        <x:f>IF(OR(M102="x",ISNUMBER(M102),ISNUMBER(SEARCH("OK",UPPER(M102&amp;""))),ISNUMBER(SEARCH("JÁ",UPPER(M102&amp;""))),ISNUMBER(SEARCH("JA ",UPPER(M102&amp;"")))),"OK",IF(M102="","PENDENTE",IF(OR(ISNUMBER(SEARCH("SEM MOV",UPPER(M102&amp;""))),ISNUMBER(SEARCH("SEM I.E",UPPER(M102&amp;""))),ISNUMBER(SEARCH("SEM IE",UPPER(M102&amp;"")))),"DISPENSADO","ALERTA")))</x:f>
        <x:v>OK</x:v>
      </x:c>
      <x:c r="W102" s="49" t="str">
        <x:f>IF(OR(O102="x",ISNUMBER(O102),ISNUMBER(SEARCH("OK",UPPER(O102&amp;""))),ISNUMBER(SEARCH("JÁ",UPPER(O102&amp;""))),ISNUMBER(SEARCH("JA ",UPPER(O102&amp;"")))),"OK",IF(O102="","PENDENTE",IF(OR(ISNUMBER(SEARCH("SEM MOV",UPPER(O102&amp;""))),ISNUMBER(SEARCH("SEM I.E",UPPER(O102&amp;""))),ISNUMBER(SEARCH("SEM IE",UPPER(O102&amp;"")))),"DISPENSADO","ALERTA")))</x:f>
        <x:v>OK</x:v>
      </x:c>
      <x:c r="X102" s="49" t="str">
        <x:f>IF(Q102&lt;&gt;"","SIM","NÃO")</x:f>
        <x:v>NÃO</x:v>
      </x:c>
      <x:c r="Y102" s="49" t="str">
        <x:f>IF(R102&lt;&gt;"","SIM","NÃO")</x:f>
        <x:v>NÃO</x:v>
      </x:c>
      <x:c r="Z102" s="49" t="str">
        <x:f>IF(OR(H102="A",V102="ALERTA",W102="ALERTA",T102="ALERTA",U102="ALERTA"),"ALTO",IF(OR(T102="PENDENTE",U102="PENDENTE",V102="PENDENTE",W102="PENDENTE"),"MÉDIO","BAIXO"))</x:f>
        <x:v>ALTO</x:v>
      </x:c>
      <x:c r="AA102" s="49" t="str">
        <x:f>IF(Z102="ALTO","Resolver certificado/permissão/CNPJ/status antes da rotina",IF(Z102="MÉDIO","Completar pasta/status pendente","Rotina regular"))</x:f>
        <x:v>Resolver certificado/permissão/CNPJ/status antes da rotina</x:v>
      </x:c>
    </x:row>
    <x:row r="103">
      <x:c r="A103" s="61" t="str">
        <x:v>POWER SOURCE -  0002</x:v>
      </x:c>
      <x:c r="B103" s="49" t="str">
        <x:v>POWER SOURCE</x:v>
      </x:c>
      <x:c r="C103" s="49" t="str">
        <x:v>SÃO PAULO</x:v>
      </x:c>
      <x:c r="D103" s="49" t="str">
        <x:v>26.474.286/0002-11</x:v>
      </x:c>
      <x:c r="E103" s="49"/>
      <x:c r="F103" s="49" t="str">
        <x:v>BRUNA</x:v>
      </x:c>
      <x:c r="G103" s="49" t="str">
        <x:v>LUCRO REAL</x:v>
      </x:c>
      <x:c r="H103" s="49" t="str">
        <x:v>C</x:v>
      </x:c>
      <x:c r="I103" s="54"/>
      <x:c r="J103" s="49"/>
      <x:c r="K103" s="54"/>
      <x:c r="L103" s="49"/>
      <x:c r="M103" s="54" t="str">
        <x:v>SEM MOVIMENTO</x:v>
      </x:c>
      <x:c r="N103" s="49" t="str">
        <x:v>SP</x:v>
      </x:c>
      <x:c r="O103" s="54" t="str">
        <x:v>SEM RESULTADO</x:v>
      </x:c>
      <x:c r="P103" s="49"/>
      <x:c r="Q103" s="57"/>
      <x:c r="R103" s="57"/>
      <x:c r="S103" s="57"/>
      <x:c r="T103" s="49" t="str">
        <x:f>IF(OR(I103="x",ISNUMBER(I103),ISNUMBER(SEARCH("OK",UPPER(I103&amp;""))),ISNUMBER(SEARCH("JÁ",UPPER(I103&amp;""))),ISNUMBER(SEARCH("JA ",UPPER(I103&amp;"")))),"OK",IF(I103="","PENDENTE",IF(OR(ISNUMBER(SEARCH("SEM MOV",UPPER(I103&amp;""))),ISNUMBER(SEARCH("SEM I.E",UPPER(I103&amp;""))),ISNUMBER(SEARCH("SEM IE",UPPER(I103&amp;"")))),"DISPENSADO","ALERTA")))</x:f>
        <x:v>PENDENTE</x:v>
      </x:c>
      <x:c r="U103" s="49" t="str">
        <x:f>IF(OR(K103="x",ISNUMBER(K103),ISNUMBER(SEARCH("OK",UPPER(K103&amp;""))),ISNUMBER(SEARCH("JÁ",UPPER(K103&amp;""))),ISNUMBER(SEARCH("JA ",UPPER(K103&amp;"")))),"OK",IF(K103="","PENDENTE",IF(OR(ISNUMBER(SEARCH("SEM MOV",UPPER(K103&amp;""))),ISNUMBER(SEARCH("SEM I.E",UPPER(K103&amp;""))),ISNUMBER(SEARCH("SEM IE",UPPER(K103&amp;"")))),"DISPENSADO","ALERTA")))</x:f>
        <x:v>PENDENTE</x:v>
      </x:c>
      <x:c r="V103" s="49" t="str">
        <x:f>IF(OR(M103="x",ISNUMBER(M103),ISNUMBER(SEARCH("OK",UPPER(M103&amp;""))),ISNUMBER(SEARCH("JÁ",UPPER(M103&amp;""))),ISNUMBER(SEARCH("JA ",UPPER(M103&amp;"")))),"OK",IF(M103="","PENDENTE",IF(OR(ISNUMBER(SEARCH("SEM MOV",UPPER(M103&amp;""))),ISNUMBER(SEARCH("SEM I.E",UPPER(M103&amp;""))),ISNUMBER(SEARCH("SEM IE",UPPER(M103&amp;"")))),"DISPENSADO","ALERTA")))</x:f>
        <x:v>DISPENSADO</x:v>
      </x:c>
      <x:c r="W103" s="49" t="str">
        <x:f>IF(OR(O103="x",ISNUMBER(O103),ISNUMBER(SEARCH("OK",UPPER(O103&amp;""))),ISNUMBER(SEARCH("JÁ",UPPER(O103&amp;""))),ISNUMBER(SEARCH("JA ",UPPER(O103&amp;"")))),"OK",IF(O103="","PENDENTE",IF(OR(ISNUMBER(SEARCH("SEM MOV",UPPER(O103&amp;""))),ISNUMBER(SEARCH("SEM I.E",UPPER(O103&amp;""))),ISNUMBER(SEARCH("SEM IE",UPPER(O103&amp;"")))),"DISPENSADO","ALERTA")))</x:f>
        <x:v>ALERTA</x:v>
      </x:c>
      <x:c r="X103" s="49" t="str">
        <x:f>IF(Q103&lt;&gt;"","SIM","NÃO")</x:f>
        <x:v>NÃO</x:v>
      </x:c>
      <x:c r="Y103" s="49" t="str">
        <x:f>IF(R103&lt;&gt;"","SIM","NÃO")</x:f>
        <x:v>NÃO</x:v>
      </x:c>
      <x:c r="Z103" s="49" t="str">
        <x:f>IF(OR(H103="A",V103="ALERTA",W103="ALERTA",T103="ALERTA",U103="ALERTA"),"ALTO",IF(OR(T103="PENDENTE",U103="PENDENTE",V103="PENDENTE",W103="PENDENTE"),"MÉDIO","BAIXO"))</x:f>
        <x:v>ALTO</x:v>
      </x:c>
      <x:c r="AA103" s="49" t="str">
        <x:f>IF(Z103="ALTO","Resolver certificado/permissão/CNPJ/status antes da rotina",IF(Z103="MÉDIO","Completar pasta/status pendente","Rotina regular"))</x:f>
        <x:v>Resolver certificado/permissão/CNPJ/status antes da rotina</x:v>
      </x:c>
    </x:row>
    <x:row r="104">
      <x:c r="A104" s="61" t="str">
        <x:v>POWER SOURCE - 0003</x:v>
      </x:c>
      <x:c r="B104" s="49" t="str">
        <x:v>POWER SOURCE</x:v>
      </x:c>
      <x:c r="C104" s="49" t="str">
        <x:v>RECIFE</x:v>
      </x:c>
      <x:c r="D104" s="49" t="str">
        <x:v>26.474.286/0003-00</x:v>
      </x:c>
      <x:c r="E104" s="49"/>
      <x:c r="F104" s="49" t="str">
        <x:v>BRUNA</x:v>
      </x:c>
      <x:c r="G104" s="49" t="str">
        <x:v>LUCRO REAL</x:v>
      </x:c>
      <x:c r="H104" s="49" t="str">
        <x:v>C</x:v>
      </x:c>
      <x:c r="I104" s="54"/>
      <x:c r="J104" s="49"/>
      <x:c r="K104" s="54"/>
      <x:c r="L104" s="49"/>
      <x:c r="M104" s="54" t="str">
        <x:v>SEM MOVIMENTO</x:v>
      </x:c>
      <x:c r="N104" s="49" t="str">
        <x:v>PE</x:v>
      </x:c>
      <x:c r="O104" s="54" t="str">
        <x:v>SEM RESULTADO</x:v>
      </x:c>
      <x:c r="P104" s="49"/>
      <x:c r="Q104" s="57"/>
      <x:c r="R104" s="57"/>
      <x:c r="S104" s="57"/>
      <x:c r="T104" s="49" t="str">
        <x:f>IF(OR(I104="x",ISNUMBER(I104),ISNUMBER(SEARCH("OK",UPPER(I104&amp;""))),ISNUMBER(SEARCH("JÁ",UPPER(I104&amp;""))),ISNUMBER(SEARCH("JA ",UPPER(I104&amp;"")))),"OK",IF(I104="","PENDENTE",IF(OR(ISNUMBER(SEARCH("SEM MOV",UPPER(I104&amp;""))),ISNUMBER(SEARCH("SEM I.E",UPPER(I104&amp;""))),ISNUMBER(SEARCH("SEM IE",UPPER(I104&amp;"")))),"DISPENSADO","ALERTA")))</x:f>
        <x:v>PENDENTE</x:v>
      </x:c>
      <x:c r="U104" s="49" t="str">
        <x:f>IF(OR(K104="x",ISNUMBER(K104),ISNUMBER(SEARCH("OK",UPPER(K104&amp;""))),ISNUMBER(SEARCH("JÁ",UPPER(K104&amp;""))),ISNUMBER(SEARCH("JA ",UPPER(K104&amp;"")))),"OK",IF(K104="","PENDENTE",IF(OR(ISNUMBER(SEARCH("SEM MOV",UPPER(K104&amp;""))),ISNUMBER(SEARCH("SEM I.E",UPPER(K104&amp;""))),ISNUMBER(SEARCH("SEM IE",UPPER(K104&amp;"")))),"DISPENSADO","ALERTA")))</x:f>
        <x:v>PENDENTE</x:v>
      </x:c>
      <x:c r="V104" s="49" t="str">
        <x:f>IF(OR(M104="x",ISNUMBER(M104),ISNUMBER(SEARCH("OK",UPPER(M104&amp;""))),ISNUMBER(SEARCH("JÁ",UPPER(M104&amp;""))),ISNUMBER(SEARCH("JA ",UPPER(M104&amp;"")))),"OK",IF(M104="","PENDENTE",IF(OR(ISNUMBER(SEARCH("SEM MOV",UPPER(M104&amp;""))),ISNUMBER(SEARCH("SEM I.E",UPPER(M104&amp;""))),ISNUMBER(SEARCH("SEM IE",UPPER(M104&amp;"")))),"DISPENSADO","ALERTA")))</x:f>
        <x:v>DISPENSADO</x:v>
      </x:c>
      <x:c r="W104" s="49" t="str">
        <x:f>IF(OR(O104="x",ISNUMBER(O104),ISNUMBER(SEARCH("OK",UPPER(O104&amp;""))),ISNUMBER(SEARCH("JÁ",UPPER(O104&amp;""))),ISNUMBER(SEARCH("JA ",UPPER(O104&amp;"")))),"OK",IF(O104="","PENDENTE",IF(OR(ISNUMBER(SEARCH("SEM MOV",UPPER(O104&amp;""))),ISNUMBER(SEARCH("SEM I.E",UPPER(O104&amp;""))),ISNUMBER(SEARCH("SEM IE",UPPER(O104&amp;"")))),"DISPENSADO","ALERTA")))</x:f>
        <x:v>ALERTA</x:v>
      </x:c>
      <x:c r="X104" s="49" t="str">
        <x:f>IF(Q104&lt;&gt;"","SIM","NÃO")</x:f>
        <x:v>NÃO</x:v>
      </x:c>
      <x:c r="Y104" s="49" t="str">
        <x:f>IF(R104&lt;&gt;"","SIM","NÃO")</x:f>
        <x:v>NÃO</x:v>
      </x:c>
      <x:c r="Z104" s="49" t="str">
        <x:f>IF(OR(H104="A",V104="ALERTA",W104="ALERTA",T104="ALERTA",U104="ALERTA"),"ALTO",IF(OR(T104="PENDENTE",U104="PENDENTE",V104="PENDENTE",W104="PENDENTE"),"MÉDIO","BAIXO"))</x:f>
        <x:v>ALTO</x:v>
      </x:c>
      <x:c r="AA104" s="49" t="str">
        <x:f>IF(Z104="ALTO","Resolver certificado/permissão/CNPJ/status antes da rotina",IF(Z104="MÉDIO","Completar pasta/status pendente","Rotina regular"))</x:f>
        <x:v>Resolver certificado/permissão/CNPJ/status antes da rotina</x:v>
      </x:c>
    </x:row>
    <x:row r="105">
      <x:c r="A105" s="61" t="str">
        <x:v>POWER SOURCE - 0004</x:v>
      </x:c>
      <x:c r="B105" s="49" t="str">
        <x:v>POWER SOURCE</x:v>
      </x:c>
      <x:c r="C105" s="49" t="str">
        <x:v>GUARULHOS</x:v>
      </x:c>
      <x:c r="D105" s="49" t="str">
        <x:v>26.474.286/0004-83</x:v>
      </x:c>
      <x:c r="E105" s="49"/>
      <x:c r="F105" s="49" t="str">
        <x:v>BRUNA</x:v>
      </x:c>
      <x:c r="G105" s="49" t="str">
        <x:v>LUCRO REAL</x:v>
      </x:c>
      <x:c r="H105" s="49" t="str">
        <x:v>C</x:v>
      </x:c>
      <x:c r="I105" s="54"/>
      <x:c r="J105" s="49"/>
      <x:c r="K105" s="54"/>
      <x:c r="L105" s="49"/>
      <x:c r="M105" s="54" t="str">
        <x:v>SEM MOVIMENTO</x:v>
      </x:c>
      <x:c r="N105" s="49" t="str">
        <x:v>SP</x:v>
      </x:c>
      <x:c r="O105" s="54" t="str">
        <x:v>SEM RESULTADO</x:v>
      </x:c>
      <x:c r="P105" s="49"/>
      <x:c r="Q105" s="57"/>
      <x:c r="R105" s="57"/>
      <x:c r="S105" s="57"/>
      <x:c r="T105" s="49" t="str">
        <x:f>IF(OR(I105="x",ISNUMBER(I105),ISNUMBER(SEARCH("OK",UPPER(I105&amp;""))),ISNUMBER(SEARCH("JÁ",UPPER(I105&amp;""))),ISNUMBER(SEARCH("JA ",UPPER(I105&amp;"")))),"OK",IF(I105="","PENDENTE",IF(OR(ISNUMBER(SEARCH("SEM MOV",UPPER(I105&amp;""))),ISNUMBER(SEARCH("SEM I.E",UPPER(I105&amp;""))),ISNUMBER(SEARCH("SEM IE",UPPER(I105&amp;"")))),"DISPENSADO","ALERTA")))</x:f>
        <x:v>PENDENTE</x:v>
      </x:c>
      <x:c r="U105" s="49" t="str">
        <x:f>IF(OR(K105="x",ISNUMBER(K105),ISNUMBER(SEARCH("OK",UPPER(K105&amp;""))),ISNUMBER(SEARCH("JÁ",UPPER(K105&amp;""))),ISNUMBER(SEARCH("JA ",UPPER(K105&amp;"")))),"OK",IF(K105="","PENDENTE",IF(OR(ISNUMBER(SEARCH("SEM MOV",UPPER(K105&amp;""))),ISNUMBER(SEARCH("SEM I.E",UPPER(K105&amp;""))),ISNUMBER(SEARCH("SEM IE",UPPER(K105&amp;"")))),"DISPENSADO","ALERTA")))</x:f>
        <x:v>PENDENTE</x:v>
      </x:c>
      <x:c r="V105" s="49" t="str">
        <x:f>IF(OR(M105="x",ISNUMBER(M105),ISNUMBER(SEARCH("OK",UPPER(M105&amp;""))),ISNUMBER(SEARCH("JÁ",UPPER(M105&amp;""))),ISNUMBER(SEARCH("JA ",UPPER(M105&amp;"")))),"OK",IF(M105="","PENDENTE",IF(OR(ISNUMBER(SEARCH("SEM MOV",UPPER(M105&amp;""))),ISNUMBER(SEARCH("SEM I.E",UPPER(M105&amp;""))),ISNUMBER(SEARCH("SEM IE",UPPER(M105&amp;"")))),"DISPENSADO","ALERTA")))</x:f>
        <x:v>DISPENSADO</x:v>
      </x:c>
      <x:c r="W105" s="49" t="str">
        <x:f>IF(OR(O105="x",ISNUMBER(O105),ISNUMBER(SEARCH("OK",UPPER(O105&amp;""))),ISNUMBER(SEARCH("JÁ",UPPER(O105&amp;""))),ISNUMBER(SEARCH("JA ",UPPER(O105&amp;"")))),"OK",IF(O105="","PENDENTE",IF(OR(ISNUMBER(SEARCH("SEM MOV",UPPER(O105&amp;""))),ISNUMBER(SEARCH("SEM I.E",UPPER(O105&amp;""))),ISNUMBER(SEARCH("SEM IE",UPPER(O105&amp;"")))),"DISPENSADO","ALERTA")))</x:f>
        <x:v>ALERTA</x:v>
      </x:c>
      <x:c r="X105" s="49" t="str">
        <x:f>IF(Q105&lt;&gt;"","SIM","NÃO")</x:f>
        <x:v>NÃO</x:v>
      </x:c>
      <x:c r="Y105" s="49" t="str">
        <x:f>IF(R105&lt;&gt;"","SIM","NÃO")</x:f>
        <x:v>NÃO</x:v>
      </x:c>
      <x:c r="Z105" s="49" t="str">
        <x:f>IF(OR(H105="A",V105="ALERTA",W105="ALERTA",T105="ALERTA",U105="ALERTA"),"ALTO",IF(OR(T105="PENDENTE",U105="PENDENTE",V105="PENDENTE",W105="PENDENTE"),"MÉDIO","BAIXO"))</x:f>
        <x:v>ALTO</x:v>
      </x:c>
      <x:c r="AA105" s="49" t="str">
        <x:f>IF(Z105="ALTO","Resolver certificado/permissão/CNPJ/status antes da rotina",IF(Z105="MÉDIO","Completar pasta/status pendente","Rotina regular"))</x:f>
        <x:v>Resolver certificado/permissão/CNPJ/status antes da rotina</x:v>
      </x:c>
    </x:row>
    <x:row r="106">
      <x:c r="A106" s="61" t="str">
        <x:v>POWER SOURCE COMERCIO E MANUTENÇÃO DE EQUIPAMENTOS</x:v>
      </x:c>
      <x:c r="B106" s="49" t="str">
        <x:v>POWER SOURCE</x:v>
      </x:c>
      <x:c r="C106" s="49" t="str">
        <x:v>CAIEIRAS</x:v>
      </x:c>
      <x:c r="D106" s="49" t="str">
        <x:v>26.474.286/0001-30</x:v>
      </x:c>
      <x:c r="E106" s="49"/>
      <x:c r="F106" s="49" t="str">
        <x:v>BRUNA</x:v>
      </x:c>
      <x:c r="G106" s="49" t="str">
        <x:v>LUCRO REAL</x:v>
      </x:c>
      <x:c r="H106" s="49" t="str">
        <x:v>B</x:v>
      </x:c>
      <x:c r="I106" s="54"/>
      <x:c r="J106" s="49"/>
      <x:c r="K106" s="54"/>
      <x:c r="L106" s="49"/>
      <x:c r="M106" s="54" t="str">
        <x:v>SEM MOVIMENTO</x:v>
      </x:c>
      <x:c r="N106" s="49" t="str">
        <x:v>BA</x:v>
      </x:c>
      <x:c r="O106" s="54" t="str">
        <x:v>SEM RESULTADO</x:v>
      </x:c>
      <x:c r="P106" s="49"/>
      <x:c r="Q106" s="57"/>
      <x:c r="R106" s="57" t="str">
        <x:v>W:\01-CLIENTES\GRUPO - POWER SOURCE\26.474.2860001-30 - POWER SOURCE COMERCIO E MANUTENCAO DE EQUIPAMENTOS LTDA\FISCAL\2026\042026\MUNICIPAL\REST\PDF SERVIÇOS TOMADOS</x:v>
      </x:c>
      <x:c r="S106" s="57"/>
      <x:c r="T106" s="49" t="str">
        <x:f>IF(OR(I106="x",ISNUMBER(I106),ISNUMBER(SEARCH("OK",UPPER(I106&amp;""))),ISNUMBER(SEARCH("JÁ",UPPER(I106&amp;""))),ISNUMBER(SEARCH("JA ",UPPER(I106&amp;"")))),"OK",IF(I106="","PENDENTE",IF(OR(ISNUMBER(SEARCH("SEM MOV",UPPER(I106&amp;""))),ISNUMBER(SEARCH("SEM I.E",UPPER(I106&amp;""))),ISNUMBER(SEARCH("SEM IE",UPPER(I106&amp;"")))),"DISPENSADO","ALERTA")))</x:f>
        <x:v>PENDENTE</x:v>
      </x:c>
      <x:c r="U106" s="49" t="str">
        <x:f>IF(OR(K106="x",ISNUMBER(K106),ISNUMBER(SEARCH("OK",UPPER(K106&amp;""))),ISNUMBER(SEARCH("JÁ",UPPER(K106&amp;""))),ISNUMBER(SEARCH("JA ",UPPER(K106&amp;"")))),"OK",IF(K106="","PENDENTE",IF(OR(ISNUMBER(SEARCH("SEM MOV",UPPER(K106&amp;""))),ISNUMBER(SEARCH("SEM I.E",UPPER(K106&amp;""))),ISNUMBER(SEARCH("SEM IE",UPPER(K106&amp;"")))),"DISPENSADO","ALERTA")))</x:f>
        <x:v>PENDENTE</x:v>
      </x:c>
      <x:c r="V106" s="49" t="str">
        <x:f>IF(OR(M106="x",ISNUMBER(M106),ISNUMBER(SEARCH("OK",UPPER(M106&amp;""))),ISNUMBER(SEARCH("JÁ",UPPER(M106&amp;""))),ISNUMBER(SEARCH("JA ",UPPER(M106&amp;"")))),"OK",IF(M106="","PENDENTE",IF(OR(ISNUMBER(SEARCH("SEM MOV",UPPER(M106&amp;""))),ISNUMBER(SEARCH("SEM I.E",UPPER(M106&amp;""))),ISNUMBER(SEARCH("SEM IE",UPPER(M106&amp;"")))),"DISPENSADO","ALERTA")))</x:f>
        <x:v>DISPENSADO</x:v>
      </x:c>
      <x:c r="W106" s="49" t="str">
        <x:f>IF(OR(O106="x",ISNUMBER(O106),ISNUMBER(SEARCH("OK",UPPER(O106&amp;""))),ISNUMBER(SEARCH("JÁ",UPPER(O106&amp;""))),ISNUMBER(SEARCH("JA ",UPPER(O106&amp;"")))),"OK",IF(O106="","PENDENTE",IF(OR(ISNUMBER(SEARCH("SEM MOV",UPPER(O106&amp;""))),ISNUMBER(SEARCH("SEM I.E",UPPER(O106&amp;""))),ISNUMBER(SEARCH("SEM IE",UPPER(O106&amp;"")))),"DISPENSADO","ALERTA")))</x:f>
        <x:v>ALERTA</x:v>
      </x:c>
      <x:c r="X106" s="49" t="str">
        <x:f>IF(Q106&lt;&gt;"","SIM","NÃO")</x:f>
        <x:v>NÃO</x:v>
      </x:c>
      <x:c r="Y106" s="49" t="str">
        <x:f>IF(R106&lt;&gt;"","SIM","NÃO")</x:f>
        <x:v>SIM</x:v>
      </x:c>
      <x:c r="Z106" s="49" t="str">
        <x:f>IF(OR(H106="A",V106="ALERTA",W106="ALERTA",T106="ALERTA",U106="ALERTA"),"ALTO",IF(OR(T106="PENDENTE",U106="PENDENTE",V106="PENDENTE",W106="PENDENTE"),"MÉDIO","BAIXO"))</x:f>
        <x:v>ALTO</x:v>
      </x:c>
      <x:c r="AA106" s="49" t="str">
        <x:f>IF(Z106="ALTO","Resolver certificado/permissão/CNPJ/status antes da rotina",IF(Z106="MÉDIO","Completar pasta/status pendente","Rotina regular"))</x:f>
        <x:v>Resolver certificado/permissão/CNPJ/status antes da rotina</x:v>
      </x:c>
    </x:row>
    <x:row r="107">
      <x:c r="A107" s="61" t="str">
        <x:v>PRILAFER CHOCOLATES LIMEIRA - 225</x:v>
      </x:c>
      <x:c r="B107" s="49" t="str">
        <x:v>HH</x:v>
      </x:c>
      <x:c r="C107" s="49" t="str">
        <x:v>LIMEIRA</x:v>
      </x:c>
      <x:c r="D107" s="49" t="str">
        <x:v>03.012.235/0001-91</x:v>
      </x:c>
      <x:c r="E107" s="49"/>
      <x:c r="F107" s="49" t="str">
        <x:v>DIANNY</x:v>
      </x:c>
      <x:c r="G107" s="49" t="str">
        <x:v>SIMPLES NACIONAL</x:v>
      </x:c>
      <x:c r="H107" s="49" t="str">
        <x:v>B</x:v>
      </x:c>
      <x:c r="I107" s="54"/>
      <x:c r="J107" s="49"/>
      <x:c r="K107" s="54"/>
      <x:c r="L107" s="49"/>
      <x:c r="M107" s="54" t="str">
        <x:v>Ñ FIZ</x:v>
      </x:c>
      <x:c r="N107" s="49" t="str">
        <x:v>SP</x:v>
      </x:c>
      <x:c r="O107" s="54" t="str">
        <x:v>SEM RESULTADO</x:v>
      </x:c>
      <x:c r="P107" s="49"/>
      <x:c r="Q107" s="57"/>
      <x:c r="R107" s="57"/>
      <x:c r="S107" s="57"/>
      <x:c r="T107" s="49" t="str">
        <x:f>IF(OR(I107="x",ISNUMBER(I107),ISNUMBER(SEARCH("OK",UPPER(I107&amp;""))),ISNUMBER(SEARCH("JÁ",UPPER(I107&amp;""))),ISNUMBER(SEARCH("JA ",UPPER(I107&amp;"")))),"OK",IF(I107="","PENDENTE",IF(OR(ISNUMBER(SEARCH("SEM MOV",UPPER(I107&amp;""))),ISNUMBER(SEARCH("SEM I.E",UPPER(I107&amp;""))),ISNUMBER(SEARCH("SEM IE",UPPER(I107&amp;"")))),"DISPENSADO","ALERTA")))</x:f>
        <x:v>PENDENTE</x:v>
      </x:c>
      <x:c r="U107" s="49" t="str">
        <x:f>IF(OR(K107="x",ISNUMBER(K107),ISNUMBER(SEARCH("OK",UPPER(K107&amp;""))),ISNUMBER(SEARCH("JÁ",UPPER(K107&amp;""))),ISNUMBER(SEARCH("JA ",UPPER(K107&amp;"")))),"OK",IF(K107="","PENDENTE",IF(OR(ISNUMBER(SEARCH("SEM MOV",UPPER(K107&amp;""))),ISNUMBER(SEARCH("SEM I.E",UPPER(K107&amp;""))),ISNUMBER(SEARCH("SEM IE",UPPER(K107&amp;"")))),"DISPENSADO","ALERTA")))</x:f>
        <x:v>PENDENTE</x:v>
      </x:c>
      <x:c r="V107" s="49" t="str">
        <x:f>IF(OR(M107="x",ISNUMBER(M107),ISNUMBER(SEARCH("OK",UPPER(M107&amp;""))),ISNUMBER(SEARCH("JÁ",UPPER(M107&amp;""))),ISNUMBER(SEARCH("JA ",UPPER(M107&amp;"")))),"OK",IF(M107="","PENDENTE",IF(OR(ISNUMBER(SEARCH("SEM MOV",UPPER(M107&amp;""))),ISNUMBER(SEARCH("SEM I.E",UPPER(M107&amp;""))),ISNUMBER(SEARCH("SEM IE",UPPER(M107&amp;"")))),"DISPENSADO","ALERTA")))</x:f>
        <x:v>ALERTA</x:v>
      </x:c>
      <x:c r="W107" s="49" t="str">
        <x:f>IF(OR(O107="x",ISNUMBER(O107),ISNUMBER(SEARCH("OK",UPPER(O107&amp;""))),ISNUMBER(SEARCH("JÁ",UPPER(O107&amp;""))),ISNUMBER(SEARCH("JA ",UPPER(O107&amp;"")))),"OK",IF(O107="","PENDENTE",IF(OR(ISNUMBER(SEARCH("SEM MOV",UPPER(O107&amp;""))),ISNUMBER(SEARCH("SEM I.E",UPPER(O107&amp;""))),ISNUMBER(SEARCH("SEM IE",UPPER(O107&amp;"")))),"DISPENSADO","ALERTA")))</x:f>
        <x:v>ALERTA</x:v>
      </x:c>
      <x:c r="X107" s="49" t="str">
        <x:f>IF(Q107&lt;&gt;"","SIM","NÃO")</x:f>
        <x:v>NÃO</x:v>
      </x:c>
      <x:c r="Y107" s="49" t="str">
        <x:f>IF(R107&lt;&gt;"","SIM","NÃO")</x:f>
        <x:v>NÃO</x:v>
      </x:c>
      <x:c r="Z107" s="49" t="str">
        <x:f>IF(OR(H107="A",V107="ALERTA",W107="ALERTA",T107="ALERTA",U107="ALERTA"),"ALTO",IF(OR(T107="PENDENTE",U107="PENDENTE",V107="PENDENTE",W107="PENDENTE"),"MÉDIO","BAIXO"))</x:f>
        <x:v>ALTO</x:v>
      </x:c>
      <x:c r="AA107" s="49" t="str">
        <x:f>IF(Z107="ALTO","Resolver certificado/permissão/CNPJ/status antes da rotina",IF(Z107="MÉDIO","Completar pasta/status pendente","Rotina regular"))</x:f>
        <x:v>Resolver certificado/permissão/CNPJ/status antes da rotina</x:v>
      </x:c>
    </x:row>
    <x:row r="108">
      <x:c r="A108" s="61" t="str">
        <x:v>PRIME MTZ - 42</x:v>
      </x:c>
      <x:c r="B108" s="49" t="str">
        <x:v>PRIME</x:v>
      </x:c>
      <x:c r="C108" s="49" t="str">
        <x:v>GOIÂNIA</x:v>
      </x:c>
      <x:c r="D108" s="49" t="str">
        <x:v>029.902.823/0001-94</x:v>
      </x:c>
      <x:c r="E108" s="49"/>
      <x:c r="F108" s="49" t="str">
        <x:v>MURILO</x:v>
      </x:c>
      <x:c r="G108" s="49" t="str">
        <x:v>LUCRO REAL</x:v>
      </x:c>
      <x:c r="H108" s="49" t="str">
        <x:v>C</x:v>
      </x:c>
      <x:c r="I108" s="54"/>
      <x:c r="J108" s="49"/>
      <x:c r="K108" s="54"/>
      <x:c r="L108" s="49"/>
      <x:c r="M108" s="54" t="str">
        <x:v>SEM MOVIMENTO</x:v>
      </x:c>
      <x:c r="N108" s="49"/>
      <x:c r="O108" s="54" t="str">
        <x:v>SEM RESULTADO</x:v>
      </x:c>
      <x:c r="P108" s="49"/>
      <x:c r="Q108" s="57"/>
      <x:c r="R108" s="57"/>
      <x:c r="S108" s="57"/>
      <x:c r="T108" s="49" t="str">
        <x:f>IF(OR(I108="x",ISNUMBER(I108),ISNUMBER(SEARCH("OK",UPPER(I108&amp;""))),ISNUMBER(SEARCH("JÁ",UPPER(I108&amp;""))),ISNUMBER(SEARCH("JA ",UPPER(I108&amp;"")))),"OK",IF(I108="","PENDENTE",IF(OR(ISNUMBER(SEARCH("SEM MOV",UPPER(I108&amp;""))),ISNUMBER(SEARCH("SEM I.E",UPPER(I108&amp;""))),ISNUMBER(SEARCH("SEM IE",UPPER(I108&amp;"")))),"DISPENSADO","ALERTA")))</x:f>
        <x:v>PENDENTE</x:v>
      </x:c>
      <x:c r="U108" s="49" t="str">
        <x:f>IF(OR(K108="x",ISNUMBER(K108),ISNUMBER(SEARCH("OK",UPPER(K108&amp;""))),ISNUMBER(SEARCH("JÁ",UPPER(K108&amp;""))),ISNUMBER(SEARCH("JA ",UPPER(K108&amp;"")))),"OK",IF(K108="","PENDENTE",IF(OR(ISNUMBER(SEARCH("SEM MOV",UPPER(K108&amp;""))),ISNUMBER(SEARCH("SEM I.E",UPPER(K108&amp;""))),ISNUMBER(SEARCH("SEM IE",UPPER(K108&amp;"")))),"DISPENSADO","ALERTA")))</x:f>
        <x:v>PENDENTE</x:v>
      </x:c>
      <x:c r="V108" s="49" t="str">
        <x:f>IF(OR(M108="x",ISNUMBER(M108),ISNUMBER(SEARCH("OK",UPPER(M108&amp;""))),ISNUMBER(SEARCH("JÁ",UPPER(M108&amp;""))),ISNUMBER(SEARCH("JA ",UPPER(M108&amp;"")))),"OK",IF(M108="","PENDENTE",IF(OR(ISNUMBER(SEARCH("SEM MOV",UPPER(M108&amp;""))),ISNUMBER(SEARCH("SEM I.E",UPPER(M108&amp;""))),ISNUMBER(SEARCH("SEM IE",UPPER(M108&amp;"")))),"DISPENSADO","ALERTA")))</x:f>
        <x:v>DISPENSADO</x:v>
      </x:c>
      <x:c r="W108" s="49" t="str">
        <x:f>IF(OR(O108="x",ISNUMBER(O108),ISNUMBER(SEARCH("OK",UPPER(O108&amp;""))),ISNUMBER(SEARCH("JÁ",UPPER(O108&amp;""))),ISNUMBER(SEARCH("JA ",UPPER(O108&amp;"")))),"OK",IF(O108="","PENDENTE",IF(OR(ISNUMBER(SEARCH("SEM MOV",UPPER(O108&amp;""))),ISNUMBER(SEARCH("SEM I.E",UPPER(O108&amp;""))),ISNUMBER(SEARCH("SEM IE",UPPER(O108&amp;"")))),"DISPENSADO","ALERTA")))</x:f>
        <x:v>ALERTA</x:v>
      </x:c>
      <x:c r="X108" s="49" t="str">
        <x:f>IF(Q108&lt;&gt;"","SIM","NÃO")</x:f>
        <x:v>NÃO</x:v>
      </x:c>
      <x:c r="Y108" s="49" t="str">
        <x:f>IF(R108&lt;&gt;"","SIM","NÃO")</x:f>
        <x:v>NÃO</x:v>
      </x:c>
      <x:c r="Z108" s="49" t="str">
        <x:f>IF(OR(H108="A",V108="ALERTA",W108="ALERTA",T108="ALERTA",U108="ALERTA"),"ALTO",IF(OR(T108="PENDENTE",U108="PENDENTE",V108="PENDENTE",W108="PENDENTE"),"MÉDIO","BAIXO"))</x:f>
        <x:v>ALTO</x:v>
      </x:c>
      <x:c r="AA108" s="49" t="str">
        <x:f>IF(Z108="ALTO","Resolver certificado/permissão/CNPJ/status antes da rotina",IF(Z108="MÉDIO","Completar pasta/status pendente","Rotina regular"))</x:f>
        <x:v>Resolver certificado/permissão/CNPJ/status antes da rotina</x:v>
      </x:c>
    </x:row>
    <x:row r="109">
      <x:c r="A109" s="61" t="str">
        <x:v>PRIME VII - 43</x:v>
      </x:c>
      <x:c r="B109" s="49" t="str">
        <x:v>PRIME</x:v>
      </x:c>
      <x:c r="C109" s="49" t="str">
        <x:v>GOIÂNIA</x:v>
      </x:c>
      <x:c r="D109" s="49" t="str">
        <x:v>23.713.421/0001-65</x:v>
      </x:c>
      <x:c r="E109" s="49"/>
      <x:c r="F109" s="49" t="str">
        <x:v>MURILO</x:v>
      </x:c>
      <x:c r="G109" s="49" t="str">
        <x:v>LUCRO REAL</x:v>
      </x:c>
      <x:c r="H109" s="49" t="str">
        <x:v>B</x:v>
      </x:c>
      <x:c r="I109" s="54"/>
      <x:c r="J109" s="49"/>
      <x:c r="K109" s="54"/>
      <x:c r="L109" s="49"/>
      <x:c r="M109" s="54" t="str">
        <x:v>OK 05/05</x:v>
      </x:c>
      <x:c r="N109" s="49"/>
      <x:c r="O109" s="54" t="str">
        <x:v>SEM RESULTADO</x:v>
      </x:c>
      <x:c r="P109" s="49"/>
      <x:c r="Q109" s="57"/>
      <x:c r="R109" s="57"/>
      <x:c r="S109" s="57"/>
      <x:c r="T109" s="49" t="str">
        <x:f>IF(OR(I109="x",ISNUMBER(I109),ISNUMBER(SEARCH("OK",UPPER(I109&amp;""))),ISNUMBER(SEARCH("JÁ",UPPER(I109&amp;""))),ISNUMBER(SEARCH("JA ",UPPER(I109&amp;"")))),"OK",IF(I109="","PENDENTE",IF(OR(ISNUMBER(SEARCH("SEM MOV",UPPER(I109&amp;""))),ISNUMBER(SEARCH("SEM I.E",UPPER(I109&amp;""))),ISNUMBER(SEARCH("SEM IE",UPPER(I109&amp;"")))),"DISPENSADO","ALERTA")))</x:f>
        <x:v>PENDENTE</x:v>
      </x:c>
      <x:c r="U109" s="49" t="str">
        <x:f>IF(OR(K109="x",ISNUMBER(K109),ISNUMBER(SEARCH("OK",UPPER(K109&amp;""))),ISNUMBER(SEARCH("JÁ",UPPER(K109&amp;""))),ISNUMBER(SEARCH("JA ",UPPER(K109&amp;"")))),"OK",IF(K109="","PENDENTE",IF(OR(ISNUMBER(SEARCH("SEM MOV",UPPER(K109&amp;""))),ISNUMBER(SEARCH("SEM I.E",UPPER(K109&amp;""))),ISNUMBER(SEARCH("SEM IE",UPPER(K109&amp;"")))),"DISPENSADO","ALERTA")))</x:f>
        <x:v>PENDENTE</x:v>
      </x:c>
      <x:c r="V109" s="49" t="str">
        <x:f>IF(OR(M109="x",ISNUMBER(M109),ISNUMBER(SEARCH("OK",UPPER(M109&amp;""))),ISNUMBER(SEARCH("JÁ",UPPER(M109&amp;""))),ISNUMBER(SEARCH("JA ",UPPER(M109&amp;"")))),"OK",IF(M109="","PENDENTE",IF(OR(ISNUMBER(SEARCH("SEM MOV",UPPER(M109&amp;""))),ISNUMBER(SEARCH("SEM I.E",UPPER(M109&amp;""))),ISNUMBER(SEARCH("SEM IE",UPPER(M109&amp;"")))),"DISPENSADO","ALERTA")))</x:f>
        <x:v>OK</x:v>
      </x:c>
      <x:c r="W109" s="49" t="str">
        <x:f>IF(OR(O109="x",ISNUMBER(O109),ISNUMBER(SEARCH("OK",UPPER(O109&amp;""))),ISNUMBER(SEARCH("JÁ",UPPER(O109&amp;""))),ISNUMBER(SEARCH("JA ",UPPER(O109&amp;"")))),"OK",IF(O109="","PENDENTE",IF(OR(ISNUMBER(SEARCH("SEM MOV",UPPER(O109&amp;""))),ISNUMBER(SEARCH("SEM I.E",UPPER(O109&amp;""))),ISNUMBER(SEARCH("SEM IE",UPPER(O109&amp;"")))),"DISPENSADO","ALERTA")))</x:f>
        <x:v>ALERTA</x:v>
      </x:c>
      <x:c r="X109" s="49" t="str">
        <x:f>IF(Q109&lt;&gt;"","SIM","NÃO")</x:f>
        <x:v>NÃO</x:v>
      </x:c>
      <x:c r="Y109" s="49" t="str">
        <x:f>IF(R109&lt;&gt;"","SIM","NÃO")</x:f>
        <x:v>NÃO</x:v>
      </x:c>
      <x:c r="Z109" s="49" t="str">
        <x:f>IF(OR(H109="A",V109="ALERTA",W109="ALERTA",T109="ALERTA",U109="ALERTA"),"ALTO",IF(OR(T109="PENDENTE",U109="PENDENTE",V109="PENDENTE",W109="PENDENTE"),"MÉDIO","BAIXO"))</x:f>
        <x:v>ALTO</x:v>
      </x:c>
      <x:c r="AA109" s="49" t="str">
        <x:f>IF(Z109="ALTO","Resolver certificado/permissão/CNPJ/status antes da rotina",IF(Z109="MÉDIO","Completar pasta/status pendente","Rotina regular"))</x:f>
        <x:v>Resolver certificado/permissão/CNPJ/status antes da rotina</x:v>
      </x:c>
    </x:row>
    <x:row r="110">
      <x:c r="A110" s="61" t="str">
        <x:v>PRIME WORK - 46</x:v>
      </x:c>
      <x:c r="B110" s="49" t="str">
        <x:v>PRIME</x:v>
      </x:c>
      <x:c r="C110" s="49" t="str">
        <x:v>GOIÂNIA</x:v>
      </x:c>
      <x:c r="D110" s="49" t="str">
        <x:v>42.352.280/0001-47</x:v>
      </x:c>
      <x:c r="E110" s="49"/>
      <x:c r="F110" s="49" t="str">
        <x:v>BARBARA/MURILO</x:v>
      </x:c>
      <x:c r="G110" s="49" t="str">
        <x:v>SIMPLES NACIONAL</x:v>
      </x:c>
      <x:c r="H110" s="49" t="str">
        <x:v>C</x:v>
      </x:c>
      <x:c r="I110" s="54"/>
      <x:c r="J110" s="49"/>
      <x:c r="K110" s="54"/>
      <x:c r="L110" s="49"/>
      <x:c r="M110" s="54" t="str">
        <x:v>SEM I.E.</x:v>
      </x:c>
      <x:c r="N110" s="49"/>
      <x:c r="O110" s="54" t="str">
        <x:v>SEM RESULTADO</x:v>
      </x:c>
      <x:c r="P110" s="49"/>
      <x:c r="Q110" s="57"/>
      <x:c r="R110" s="57"/>
      <x:c r="S110" s="57"/>
      <x:c r="T110" s="49" t="str">
        <x:f>IF(OR(I110="x",ISNUMBER(I110),ISNUMBER(SEARCH("OK",UPPER(I110&amp;""))),ISNUMBER(SEARCH("JÁ",UPPER(I110&amp;""))),ISNUMBER(SEARCH("JA ",UPPER(I110&amp;"")))),"OK",IF(I110="","PENDENTE",IF(OR(ISNUMBER(SEARCH("SEM MOV",UPPER(I110&amp;""))),ISNUMBER(SEARCH("SEM I.E",UPPER(I110&amp;""))),ISNUMBER(SEARCH("SEM IE",UPPER(I110&amp;"")))),"DISPENSADO","ALERTA")))</x:f>
        <x:v>PENDENTE</x:v>
      </x:c>
      <x:c r="U110" s="49" t="str">
        <x:f>IF(OR(K110="x",ISNUMBER(K110),ISNUMBER(SEARCH("OK",UPPER(K110&amp;""))),ISNUMBER(SEARCH("JÁ",UPPER(K110&amp;""))),ISNUMBER(SEARCH("JA ",UPPER(K110&amp;"")))),"OK",IF(K110="","PENDENTE",IF(OR(ISNUMBER(SEARCH("SEM MOV",UPPER(K110&amp;""))),ISNUMBER(SEARCH("SEM I.E",UPPER(K110&amp;""))),ISNUMBER(SEARCH("SEM IE",UPPER(K110&amp;"")))),"DISPENSADO","ALERTA")))</x:f>
        <x:v>PENDENTE</x:v>
      </x:c>
      <x:c r="V110" s="49" t="str">
        <x:f>IF(OR(M110="x",ISNUMBER(M110),ISNUMBER(SEARCH("OK",UPPER(M110&amp;""))),ISNUMBER(SEARCH("JÁ",UPPER(M110&amp;""))),ISNUMBER(SEARCH("JA ",UPPER(M110&amp;"")))),"OK",IF(M110="","PENDENTE",IF(OR(ISNUMBER(SEARCH("SEM MOV",UPPER(M110&amp;""))),ISNUMBER(SEARCH("SEM I.E",UPPER(M110&amp;""))),ISNUMBER(SEARCH("SEM IE",UPPER(M110&amp;"")))),"DISPENSADO","ALERTA")))</x:f>
        <x:v>DISPENSADO</x:v>
      </x:c>
      <x:c r="W110" s="49" t="str">
        <x:f>IF(OR(O110="x",ISNUMBER(O110),ISNUMBER(SEARCH("OK",UPPER(O110&amp;""))),ISNUMBER(SEARCH("JÁ",UPPER(O110&amp;""))),ISNUMBER(SEARCH("JA ",UPPER(O110&amp;"")))),"OK",IF(O110="","PENDENTE",IF(OR(ISNUMBER(SEARCH("SEM MOV",UPPER(O110&amp;""))),ISNUMBER(SEARCH("SEM I.E",UPPER(O110&amp;""))),ISNUMBER(SEARCH("SEM IE",UPPER(O110&amp;"")))),"DISPENSADO","ALERTA")))</x:f>
        <x:v>ALERTA</x:v>
      </x:c>
      <x:c r="X110" s="49" t="str">
        <x:f>IF(Q110&lt;&gt;"","SIM","NÃO")</x:f>
        <x:v>NÃO</x:v>
      </x:c>
      <x:c r="Y110" s="49" t="str">
        <x:f>IF(R110&lt;&gt;"","SIM","NÃO")</x:f>
        <x:v>NÃO</x:v>
      </x:c>
      <x:c r="Z110" s="49" t="str">
        <x:f>IF(OR(H110="A",V110="ALERTA",W110="ALERTA",T110="ALERTA",U110="ALERTA"),"ALTO",IF(OR(T110="PENDENTE",U110="PENDENTE",V110="PENDENTE",W110="PENDENTE"),"MÉDIO","BAIXO"))</x:f>
        <x:v>ALTO</x:v>
      </x:c>
      <x:c r="AA110" s="49" t="str">
        <x:f>IF(Z110="ALTO","Resolver certificado/permissão/CNPJ/status antes da rotina",IF(Z110="MÉDIO","Completar pasta/status pendente","Rotina regular"))</x:f>
        <x:v>Resolver certificado/permissão/CNPJ/status antes da rotina</x:v>
      </x:c>
    </x:row>
    <x:row r="111">
      <x:c r="A111" s="61" t="str">
        <x:v>PROTONS BUSINESS</x:v>
      </x:c>
      <x:c r="B111" s="49" t="str">
        <x:v>PROTONS</x:v>
      </x:c>
      <x:c r="C111" s="49" t="str">
        <x:v>GOIANIA</x:v>
      </x:c>
      <x:c r="D111" s="49" t="str">
        <x:v>46.828.797/0001-10</x:v>
      </x:c>
      <x:c r="E111" s="49"/>
      <x:c r="F111" s="49" t="str">
        <x:v>FERNANDO</x:v>
      </x:c>
      <x:c r="G111" s="49" t="str">
        <x:v>SIMPLES NACIONAL</x:v>
      </x:c>
      <x:c r="H111" s="49" t="str">
        <x:v>C</x:v>
      </x:c>
      <x:c r="I111" s="54"/>
      <x:c r="J111" s="49"/>
      <x:c r="K111" s="54"/>
      <x:c r="L111" s="49"/>
      <x:c r="M111" s="54" t="str">
        <x:v>Ñ FIZ</x:v>
      </x:c>
      <x:c r="N111" s="49"/>
      <x:c r="O111" s="54"/>
      <x:c r="P111" s="49"/>
      <x:c r="Q111" s="57"/>
      <x:c r="R111" s="57"/>
      <x:c r="S111" s="57"/>
      <x:c r="T111" s="49" t="str">
        <x:f>IF(OR(I111="x",ISNUMBER(I111),ISNUMBER(SEARCH("OK",UPPER(I111&amp;""))),ISNUMBER(SEARCH("JÁ",UPPER(I111&amp;""))),ISNUMBER(SEARCH("JA ",UPPER(I111&amp;"")))),"OK",IF(I111="","PENDENTE",IF(OR(ISNUMBER(SEARCH("SEM MOV",UPPER(I111&amp;""))),ISNUMBER(SEARCH("SEM I.E",UPPER(I111&amp;""))),ISNUMBER(SEARCH("SEM IE",UPPER(I111&amp;"")))),"DISPENSADO","ALERTA")))</x:f>
        <x:v>PENDENTE</x:v>
      </x:c>
      <x:c r="U111" s="49" t="str">
        <x:f>IF(OR(K111="x",ISNUMBER(K111),ISNUMBER(SEARCH("OK",UPPER(K111&amp;""))),ISNUMBER(SEARCH("JÁ",UPPER(K111&amp;""))),ISNUMBER(SEARCH("JA ",UPPER(K111&amp;"")))),"OK",IF(K111="","PENDENTE",IF(OR(ISNUMBER(SEARCH("SEM MOV",UPPER(K111&amp;""))),ISNUMBER(SEARCH("SEM I.E",UPPER(K111&amp;""))),ISNUMBER(SEARCH("SEM IE",UPPER(K111&amp;"")))),"DISPENSADO","ALERTA")))</x:f>
        <x:v>PENDENTE</x:v>
      </x:c>
      <x:c r="V111" s="49" t="str">
        <x:f>IF(OR(M111="x",ISNUMBER(M111),ISNUMBER(SEARCH("OK",UPPER(M111&amp;""))),ISNUMBER(SEARCH("JÁ",UPPER(M111&amp;""))),ISNUMBER(SEARCH("JA ",UPPER(M111&amp;"")))),"OK",IF(M111="","PENDENTE",IF(OR(ISNUMBER(SEARCH("SEM MOV",UPPER(M111&amp;""))),ISNUMBER(SEARCH("SEM I.E",UPPER(M111&amp;""))),ISNUMBER(SEARCH("SEM IE",UPPER(M111&amp;"")))),"DISPENSADO","ALERTA")))</x:f>
        <x:v>ALERTA</x:v>
      </x:c>
      <x:c r="W111" s="49" t="str">
        <x:f>IF(OR(O111="x",ISNUMBER(O111),ISNUMBER(SEARCH("OK",UPPER(O111&amp;""))),ISNUMBER(SEARCH("JÁ",UPPER(O111&amp;""))),ISNUMBER(SEARCH("JA ",UPPER(O111&amp;"")))),"OK",IF(O111="","PENDENTE",IF(OR(ISNUMBER(SEARCH("SEM MOV",UPPER(O111&amp;""))),ISNUMBER(SEARCH("SEM I.E",UPPER(O111&amp;""))),ISNUMBER(SEARCH("SEM IE",UPPER(O111&amp;"")))),"DISPENSADO","ALERTA")))</x:f>
        <x:v>PENDENTE</x:v>
      </x:c>
      <x:c r="X111" s="49" t="str">
        <x:f>IF(Q111&lt;&gt;"","SIM","NÃO")</x:f>
        <x:v>NÃO</x:v>
      </x:c>
      <x:c r="Y111" s="49" t="str">
        <x:f>IF(R111&lt;&gt;"","SIM","NÃO")</x:f>
        <x:v>NÃO</x:v>
      </x:c>
      <x:c r="Z111" s="49" t="str">
        <x:f>IF(OR(H111="A",V111="ALERTA",W111="ALERTA",T111="ALERTA",U111="ALERTA"),"ALTO",IF(OR(T111="PENDENTE",U111="PENDENTE",V111="PENDENTE",W111="PENDENTE"),"MÉDIO","BAIXO"))</x:f>
        <x:v>ALTO</x:v>
      </x:c>
      <x:c r="AA111" s="49" t="str">
        <x:f>IF(Z111="ALTO","Resolver certificado/permissão/CNPJ/status antes da rotina",IF(Z111="MÉDIO","Completar pasta/status pendente","Rotina regular"))</x:f>
        <x:v>Resolver certificado/permissão/CNPJ/status antes da rotina</x:v>
      </x:c>
    </x:row>
    <x:row r="112">
      <x:c r="A112" s="61" t="str">
        <x:v>PROTONS CONSULTORIA</x:v>
      </x:c>
      <x:c r="B112" s="49" t="str">
        <x:v>PROTONS</x:v>
      </x:c>
      <x:c r="C112" s="49" t="str">
        <x:v>GOIANIA</x:v>
      </x:c>
      <x:c r="D112" s="49" t="str">
        <x:v>11.857.077/0001-07</x:v>
      </x:c>
      <x:c r="E112" s="49"/>
      <x:c r="F112" s="49" t="str">
        <x:v>FERNANDO</x:v>
      </x:c>
      <x:c r="G112" s="49" t="str">
        <x:v>LUCRO REAL</x:v>
      </x:c>
      <x:c r="H112" s="49" t="str">
        <x:v>C</x:v>
      </x:c>
      <x:c r="I112" s="54"/>
      <x:c r="J112" s="49"/>
      <x:c r="K112" s="54"/>
      <x:c r="L112" s="49"/>
      <x:c r="M112" s="54" t="str">
        <x:v>Ñ FIZ</x:v>
      </x:c>
      <x:c r="N112" s="49"/>
      <x:c r="O112" s="54"/>
      <x:c r="P112" s="49"/>
      <x:c r="Q112" s="57"/>
      <x:c r="R112" s="57"/>
      <x:c r="S112" s="57"/>
      <x:c r="T112" s="49" t="str">
        <x:f>IF(OR(I112="x",ISNUMBER(I112),ISNUMBER(SEARCH("OK",UPPER(I112&amp;""))),ISNUMBER(SEARCH("JÁ",UPPER(I112&amp;""))),ISNUMBER(SEARCH("JA ",UPPER(I112&amp;"")))),"OK",IF(I112="","PENDENTE",IF(OR(ISNUMBER(SEARCH("SEM MOV",UPPER(I112&amp;""))),ISNUMBER(SEARCH("SEM I.E",UPPER(I112&amp;""))),ISNUMBER(SEARCH("SEM IE",UPPER(I112&amp;"")))),"DISPENSADO","ALERTA")))</x:f>
        <x:v>PENDENTE</x:v>
      </x:c>
      <x:c r="U112" s="49" t="str">
        <x:f>IF(OR(K112="x",ISNUMBER(K112),ISNUMBER(SEARCH("OK",UPPER(K112&amp;""))),ISNUMBER(SEARCH("JÁ",UPPER(K112&amp;""))),ISNUMBER(SEARCH("JA ",UPPER(K112&amp;"")))),"OK",IF(K112="","PENDENTE",IF(OR(ISNUMBER(SEARCH("SEM MOV",UPPER(K112&amp;""))),ISNUMBER(SEARCH("SEM I.E",UPPER(K112&amp;""))),ISNUMBER(SEARCH("SEM IE",UPPER(K112&amp;"")))),"DISPENSADO","ALERTA")))</x:f>
        <x:v>PENDENTE</x:v>
      </x:c>
      <x:c r="V112" s="49" t="str">
        <x:f>IF(OR(M112="x",ISNUMBER(M112),ISNUMBER(SEARCH("OK",UPPER(M112&amp;""))),ISNUMBER(SEARCH("JÁ",UPPER(M112&amp;""))),ISNUMBER(SEARCH("JA ",UPPER(M112&amp;"")))),"OK",IF(M112="","PENDENTE",IF(OR(ISNUMBER(SEARCH("SEM MOV",UPPER(M112&amp;""))),ISNUMBER(SEARCH("SEM I.E",UPPER(M112&amp;""))),ISNUMBER(SEARCH("SEM IE",UPPER(M112&amp;"")))),"DISPENSADO","ALERTA")))</x:f>
        <x:v>ALERTA</x:v>
      </x:c>
      <x:c r="W112" s="49" t="str">
        <x:f>IF(OR(O112="x",ISNUMBER(O112),ISNUMBER(SEARCH("OK",UPPER(O112&amp;""))),ISNUMBER(SEARCH("JÁ",UPPER(O112&amp;""))),ISNUMBER(SEARCH("JA ",UPPER(O112&amp;"")))),"OK",IF(O112="","PENDENTE",IF(OR(ISNUMBER(SEARCH("SEM MOV",UPPER(O112&amp;""))),ISNUMBER(SEARCH("SEM I.E",UPPER(O112&amp;""))),ISNUMBER(SEARCH("SEM IE",UPPER(O112&amp;"")))),"DISPENSADO","ALERTA")))</x:f>
        <x:v>PENDENTE</x:v>
      </x:c>
      <x:c r="X112" s="49" t="str">
        <x:f>IF(Q112&lt;&gt;"","SIM","NÃO")</x:f>
        <x:v>NÃO</x:v>
      </x:c>
      <x:c r="Y112" s="49" t="str">
        <x:f>IF(R112&lt;&gt;"","SIM","NÃO")</x:f>
        <x:v>NÃO</x:v>
      </x:c>
      <x:c r="Z112" s="49" t="str">
        <x:f>IF(OR(H112="A",V112="ALERTA",W112="ALERTA",T112="ALERTA",U112="ALERTA"),"ALTO",IF(OR(T112="PENDENTE",U112="PENDENTE",V112="PENDENTE",W112="PENDENTE"),"MÉDIO","BAIXO"))</x:f>
        <x:v>ALTO</x:v>
      </x:c>
      <x:c r="AA112" s="49" t="str">
        <x:f>IF(Z112="ALTO","Resolver certificado/permissão/CNPJ/status antes da rotina",IF(Z112="MÉDIO","Completar pasta/status pendente","Rotina regular"))</x:f>
        <x:v>Resolver certificado/permissão/CNPJ/status antes da rotina</x:v>
      </x:c>
    </x:row>
    <x:row r="113">
      <x:c r="A113" s="61" t="str">
        <x:v>RETIFICA EXCELENCIA</x:v>
      </x:c>
      <x:c r="B113" s="49" t="str">
        <x:v>RETIF EXCELENCIA</x:v>
      </x:c>
      <x:c r="C113" s="49" t="str">
        <x:v>GOIANIA</x:v>
      </x:c>
      <x:c r="D113" s="49" t="str">
        <x:v>12.387.052/0001-41</x:v>
      </x:c>
      <x:c r="E113" s="49"/>
      <x:c r="F113" s="49" t="str">
        <x:v>GISELLE</x:v>
      </x:c>
      <x:c r="G113" s="49" t="str">
        <x:v>LUCRO REAL</x:v>
      </x:c>
      <x:c r="H113" s="49" t="str">
        <x:v>C</x:v>
      </x:c>
      <x:c r="I113" s="54"/>
      <x:c r="J113" s="49"/>
      <x:c r="K113" s="54"/>
      <x:c r="L113" s="49"/>
      <x:c r="M113" s="54" t="str">
        <x:v>OK 05/05</x:v>
      </x:c>
      <x:c r="N113" s="49"/>
      <x:c r="O113" s="54" t="str">
        <x:v>OK 04/04</x:v>
      </x:c>
      <x:c r="P113" s="49"/>
      <x:c r="Q113" s="57"/>
      <x:c r="R113" s="57"/>
      <x:c r="S113" s="57"/>
      <x:c r="T113" s="49" t="str">
        <x:f>IF(OR(I113="x",ISNUMBER(I113),ISNUMBER(SEARCH("OK",UPPER(I113&amp;""))),ISNUMBER(SEARCH("JÁ",UPPER(I113&amp;""))),ISNUMBER(SEARCH("JA ",UPPER(I113&amp;"")))),"OK",IF(I113="","PENDENTE",IF(OR(ISNUMBER(SEARCH("SEM MOV",UPPER(I113&amp;""))),ISNUMBER(SEARCH("SEM I.E",UPPER(I113&amp;""))),ISNUMBER(SEARCH("SEM IE",UPPER(I113&amp;"")))),"DISPENSADO","ALERTA")))</x:f>
        <x:v>PENDENTE</x:v>
      </x:c>
      <x:c r="U113" s="49" t="str">
        <x:f>IF(OR(K113="x",ISNUMBER(K113),ISNUMBER(SEARCH("OK",UPPER(K113&amp;""))),ISNUMBER(SEARCH("JÁ",UPPER(K113&amp;""))),ISNUMBER(SEARCH("JA ",UPPER(K113&amp;"")))),"OK",IF(K113="","PENDENTE",IF(OR(ISNUMBER(SEARCH("SEM MOV",UPPER(K113&amp;""))),ISNUMBER(SEARCH("SEM I.E",UPPER(K113&amp;""))),ISNUMBER(SEARCH("SEM IE",UPPER(K113&amp;"")))),"DISPENSADO","ALERTA")))</x:f>
        <x:v>PENDENTE</x:v>
      </x:c>
      <x:c r="V113" s="49" t="str">
        <x:f>IF(OR(M113="x",ISNUMBER(M113),ISNUMBER(SEARCH("OK",UPPER(M113&amp;""))),ISNUMBER(SEARCH("JÁ",UPPER(M113&amp;""))),ISNUMBER(SEARCH("JA ",UPPER(M113&amp;"")))),"OK",IF(M113="","PENDENTE",IF(OR(ISNUMBER(SEARCH("SEM MOV",UPPER(M113&amp;""))),ISNUMBER(SEARCH("SEM I.E",UPPER(M113&amp;""))),ISNUMBER(SEARCH("SEM IE",UPPER(M113&amp;"")))),"DISPENSADO","ALERTA")))</x:f>
        <x:v>OK</x:v>
      </x:c>
      <x:c r="W113" s="49" t="str">
        <x:f>IF(OR(O113="x",ISNUMBER(O113),ISNUMBER(SEARCH("OK",UPPER(O113&amp;""))),ISNUMBER(SEARCH("JÁ",UPPER(O113&amp;""))),ISNUMBER(SEARCH("JA ",UPPER(O113&amp;"")))),"OK",IF(O113="","PENDENTE",IF(OR(ISNUMBER(SEARCH("SEM MOV",UPPER(O113&amp;""))),ISNUMBER(SEARCH("SEM I.E",UPPER(O113&amp;""))),ISNUMBER(SEARCH("SEM IE",UPPER(O113&amp;"")))),"DISPENSADO","ALERTA")))</x:f>
        <x:v>OK</x:v>
      </x:c>
      <x:c r="X113" s="49" t="str">
        <x:f>IF(Q113&lt;&gt;"","SIM","NÃO")</x:f>
        <x:v>NÃO</x:v>
      </x:c>
      <x:c r="Y113" s="49" t="str">
        <x:f>IF(R113&lt;&gt;"","SIM","NÃO")</x:f>
        <x:v>NÃO</x:v>
      </x:c>
      <x:c r="Z113" s="49" t="str">
        <x:f>IF(OR(H113="A",V113="ALERTA",W113="ALERTA",T113="ALERTA",U113="ALERTA"),"ALTO",IF(OR(T113="PENDENTE",U113="PENDENTE",V113="PENDENTE",W113="PENDENTE"),"MÉDIO","BAIXO"))</x:f>
        <x:v>MÉDIO</x:v>
      </x:c>
      <x:c r="AA113" s="49" t="str">
        <x:f>IF(Z113="ALTO","Resolver certificado/permissão/CNPJ/status antes da rotina",IF(Z113="MÉDIO","Completar pasta/status pendente","Rotina regular"))</x:f>
        <x:v>Completar pasta/status pendente</x:v>
      </x:c>
    </x:row>
    <x:row r="114">
      <x:c r="A114" s="61" t="str">
        <x:v>RETIFICA EXCELENCIA - FL 01</x:v>
      </x:c>
      <x:c r="B114" s="49" t="str">
        <x:v>RETIF EXCELENCIA</x:v>
      </x:c>
      <x:c r="C114" s="49" t="str">
        <x:v>AGUA BOA - MT</x:v>
      </x:c>
      <x:c r="D114" s="49" t="str">
        <x:v>12.387.052/0002-22</x:v>
      </x:c>
      <x:c r="E114" s="49"/>
      <x:c r="F114" s="49" t="str">
        <x:v>GISELLE</x:v>
      </x:c>
      <x:c r="G114" s="49" t="str">
        <x:v>LUCRO REAL</x:v>
      </x:c>
      <x:c r="H114" s="49" t="str">
        <x:v>A</x:v>
      </x:c>
      <x:c r="I114" s="54"/>
      <x:c r="J114" s="49"/>
      <x:c r="K114" s="54"/>
      <x:c r="L114" s="49"/>
      <x:c r="M114" s="54" t="str">
        <x:v>SEM MOVIMENTO</x:v>
      </x:c>
      <x:c r="N114" s="49"/>
      <x:c r="O114" s="54" t="str">
        <x:v>SEM RESULTADO</x:v>
      </x:c>
      <x:c r="P114" s="49"/>
      <x:c r="Q114" s="57"/>
      <x:c r="R114" s="57"/>
      <x:c r="S114" s="57"/>
      <x:c r="T114" s="49" t="str">
        <x:f>IF(OR(I114="x",ISNUMBER(I114),ISNUMBER(SEARCH("OK",UPPER(I114&amp;""))),ISNUMBER(SEARCH("JÁ",UPPER(I114&amp;""))),ISNUMBER(SEARCH("JA ",UPPER(I114&amp;"")))),"OK",IF(I114="","PENDENTE",IF(OR(ISNUMBER(SEARCH("SEM MOV",UPPER(I114&amp;""))),ISNUMBER(SEARCH("SEM I.E",UPPER(I114&amp;""))),ISNUMBER(SEARCH("SEM IE",UPPER(I114&amp;"")))),"DISPENSADO","ALERTA")))</x:f>
        <x:v>PENDENTE</x:v>
      </x:c>
      <x:c r="U114" s="49" t="str">
        <x:f>IF(OR(K114="x",ISNUMBER(K114),ISNUMBER(SEARCH("OK",UPPER(K114&amp;""))),ISNUMBER(SEARCH("JÁ",UPPER(K114&amp;""))),ISNUMBER(SEARCH("JA ",UPPER(K114&amp;"")))),"OK",IF(K114="","PENDENTE",IF(OR(ISNUMBER(SEARCH("SEM MOV",UPPER(K114&amp;""))),ISNUMBER(SEARCH("SEM I.E",UPPER(K114&amp;""))),ISNUMBER(SEARCH("SEM IE",UPPER(K114&amp;"")))),"DISPENSADO","ALERTA")))</x:f>
        <x:v>PENDENTE</x:v>
      </x:c>
      <x:c r="V114" s="49" t="str">
        <x:f>IF(OR(M114="x",ISNUMBER(M114),ISNUMBER(SEARCH("OK",UPPER(M114&amp;""))),ISNUMBER(SEARCH("JÁ",UPPER(M114&amp;""))),ISNUMBER(SEARCH("JA ",UPPER(M114&amp;"")))),"OK",IF(M114="","PENDENTE",IF(OR(ISNUMBER(SEARCH("SEM MOV",UPPER(M114&amp;""))),ISNUMBER(SEARCH("SEM I.E",UPPER(M114&amp;""))),ISNUMBER(SEARCH("SEM IE",UPPER(M114&amp;"")))),"DISPENSADO","ALERTA")))</x:f>
        <x:v>DISPENSADO</x:v>
      </x:c>
      <x:c r="W114" s="49" t="str">
        <x:f>IF(OR(O114="x",ISNUMBER(O114),ISNUMBER(SEARCH("OK",UPPER(O114&amp;""))),ISNUMBER(SEARCH("JÁ",UPPER(O114&amp;""))),ISNUMBER(SEARCH("JA ",UPPER(O114&amp;"")))),"OK",IF(O114="","PENDENTE",IF(OR(ISNUMBER(SEARCH("SEM MOV",UPPER(O114&amp;""))),ISNUMBER(SEARCH("SEM I.E",UPPER(O114&amp;""))),ISNUMBER(SEARCH("SEM IE",UPPER(O114&amp;"")))),"DISPENSADO","ALERTA")))</x:f>
        <x:v>ALERTA</x:v>
      </x:c>
      <x:c r="X114" s="49" t="str">
        <x:f>IF(Q114&lt;&gt;"","SIM","NÃO")</x:f>
        <x:v>NÃO</x:v>
      </x:c>
      <x:c r="Y114" s="49" t="str">
        <x:f>IF(R114&lt;&gt;"","SIM","NÃO")</x:f>
        <x:v>NÃO</x:v>
      </x:c>
      <x:c r="Z114" s="49" t="str">
        <x:f>IF(OR(H114="A",V114="ALERTA",W114="ALERTA",T114="ALERTA",U114="ALERTA"),"ALTO",IF(OR(T114="PENDENTE",U114="PENDENTE",V114="PENDENTE",W114="PENDENTE"),"MÉDIO","BAIXO"))</x:f>
        <x:v>ALTO</x:v>
      </x:c>
      <x:c r="AA114" s="49" t="str">
        <x:f>IF(Z114="ALTO","Resolver certificado/permissão/CNPJ/status antes da rotina",IF(Z114="MÉDIO","Completar pasta/status pendente","Rotina regular"))</x:f>
        <x:v>Resolver certificado/permissão/CNPJ/status antes da rotina</x:v>
      </x:c>
    </x:row>
    <x:row r="115">
      <x:c r="A115" s="61" t="str">
        <x:v>RIBEIRO E GARCIA ANESTESIOLOGIA</x:v>
      </x:c>
      <x:c r="B115" s="49" t="str">
        <x:v>RIBEIRO</x:v>
      </x:c>
      <x:c r="C115" s="49"/>
      <x:c r="D115" s="49" t="str">
        <x:v>24.337.076/0001-75</x:v>
      </x:c>
      <x:c r="E115" s="49"/>
      <x:c r="F115" s="49" t="str">
        <x:v>LUCIANO</x:v>
      </x:c>
      <x:c r="G115" s="49" t="str">
        <x:v>LUCRO PRESUMIDO</x:v>
      </x:c>
      <x:c r="H115" s="49" t="str">
        <x:v>B</x:v>
      </x:c>
      <x:c r="I115" s="54"/>
      <x:c r="J115" s="49"/>
      <x:c r="K115" s="54"/>
      <x:c r="L115" s="49"/>
      <x:c r="M115" s="54" t="str">
        <x:v>SEM I.E.</x:v>
      </x:c>
      <x:c r="N115" s="49"/>
      <x:c r="O115" s="54" t="str">
        <x:v>SEM DADOS CNPJ</x:v>
      </x:c>
      <x:c r="P115" s="49"/>
      <x:c r="Q115" s="57"/>
      <x:c r="R115" s="57"/>
      <x:c r="S115" s="57"/>
      <x:c r="T115" s="49" t="str">
        <x:f>IF(OR(I115="x",ISNUMBER(I115),ISNUMBER(SEARCH("OK",UPPER(I115&amp;""))),ISNUMBER(SEARCH("JÁ",UPPER(I115&amp;""))),ISNUMBER(SEARCH("JA ",UPPER(I115&amp;"")))),"OK",IF(I115="","PENDENTE",IF(OR(ISNUMBER(SEARCH("SEM MOV",UPPER(I115&amp;""))),ISNUMBER(SEARCH("SEM I.E",UPPER(I115&amp;""))),ISNUMBER(SEARCH("SEM IE",UPPER(I115&amp;"")))),"DISPENSADO","ALERTA")))</x:f>
        <x:v>PENDENTE</x:v>
      </x:c>
      <x:c r="U115" s="49" t="str">
        <x:f>IF(OR(K115="x",ISNUMBER(K115),ISNUMBER(SEARCH("OK",UPPER(K115&amp;""))),ISNUMBER(SEARCH("JÁ",UPPER(K115&amp;""))),ISNUMBER(SEARCH("JA ",UPPER(K115&amp;"")))),"OK",IF(K115="","PENDENTE",IF(OR(ISNUMBER(SEARCH("SEM MOV",UPPER(K115&amp;""))),ISNUMBER(SEARCH("SEM I.E",UPPER(K115&amp;""))),ISNUMBER(SEARCH("SEM IE",UPPER(K115&amp;"")))),"DISPENSADO","ALERTA")))</x:f>
        <x:v>PENDENTE</x:v>
      </x:c>
      <x:c r="V115" s="49" t="str">
        <x:f>IF(OR(M115="x",ISNUMBER(M115),ISNUMBER(SEARCH("OK",UPPER(M115&amp;""))),ISNUMBER(SEARCH("JÁ",UPPER(M115&amp;""))),ISNUMBER(SEARCH("JA ",UPPER(M115&amp;"")))),"OK",IF(M115="","PENDENTE",IF(OR(ISNUMBER(SEARCH("SEM MOV",UPPER(M115&amp;""))),ISNUMBER(SEARCH("SEM I.E",UPPER(M115&amp;""))),ISNUMBER(SEARCH("SEM IE",UPPER(M115&amp;"")))),"DISPENSADO","ALERTA")))</x:f>
        <x:v>DISPENSADO</x:v>
      </x:c>
      <x:c r="W115" s="49" t="str">
        <x:f>IF(OR(O115="x",ISNUMBER(O115),ISNUMBER(SEARCH("OK",UPPER(O115&amp;""))),ISNUMBER(SEARCH("JÁ",UPPER(O115&amp;""))),ISNUMBER(SEARCH("JA ",UPPER(O115&amp;"")))),"OK",IF(O115="","PENDENTE",IF(OR(ISNUMBER(SEARCH("SEM MOV",UPPER(O115&amp;""))),ISNUMBER(SEARCH("SEM I.E",UPPER(O115&amp;""))),ISNUMBER(SEARCH("SEM IE",UPPER(O115&amp;"")))),"DISPENSADO","ALERTA")))</x:f>
        <x:v>ALERTA</x:v>
      </x:c>
      <x:c r="X115" s="49" t="str">
        <x:f>IF(Q115&lt;&gt;"","SIM","NÃO")</x:f>
        <x:v>NÃO</x:v>
      </x:c>
      <x:c r="Y115" s="49" t="str">
        <x:f>IF(R115&lt;&gt;"","SIM","NÃO")</x:f>
        <x:v>NÃO</x:v>
      </x:c>
      <x:c r="Z115" s="49" t="str">
        <x:f>IF(OR(H115="A",V115="ALERTA",W115="ALERTA",T115="ALERTA",U115="ALERTA"),"ALTO",IF(OR(T115="PENDENTE",U115="PENDENTE",V115="PENDENTE",W115="PENDENTE"),"MÉDIO","BAIXO"))</x:f>
        <x:v>ALTO</x:v>
      </x:c>
      <x:c r="AA115" s="49" t="str">
        <x:f>IF(Z115="ALTO","Resolver certificado/permissão/CNPJ/status antes da rotina",IF(Z115="MÉDIO","Completar pasta/status pendente","Rotina regular"))</x:f>
        <x:v>Resolver certificado/permissão/CNPJ/status antes da rotina</x:v>
      </x:c>
    </x:row>
    <x:row r="116">
      <x:c r="A116" s="61" t="str">
        <x:v>SERVIÇOS ELDORADO (JOÃO) - 37</x:v>
      </x:c>
      <x:c r="B116" s="49" t="str">
        <x:v>ELDORADO</x:v>
      </x:c>
      <x:c r="C116" s="49" t="str">
        <x:v>ANÁPOLIS</x:v>
      </x:c>
      <x:c r="D116" s="49" t="str">
        <x:v>40.865.363/0001-04</x:v>
      </x:c>
      <x:c r="E116" s="49"/>
      <x:c r="F116" s="49" t="str">
        <x:v>BRUNO</x:v>
      </x:c>
      <x:c r="G116" s="49" t="str">
        <x:v>SIMPLES NACIONAL</x:v>
      </x:c>
      <x:c r="H116" s="49" t="str">
        <x:v>C</x:v>
      </x:c>
      <x:c r="I116" s="54"/>
      <x:c r="J116" s="49"/>
      <x:c r="K116" s="54"/>
      <x:c r="L116" s="49"/>
      <x:c r="M116" s="54" t="str">
        <x:v>SEM I.E.</x:v>
      </x:c>
      <x:c r="N116" s="49"/>
      <x:c r="O116" s="54" t="str">
        <x:v>SEM RESULTADOS</x:v>
      </x:c>
      <x:c r="P116" s="49"/>
      <x:c r="Q116" s="57"/>
      <x:c r="R116" s="57"/>
      <x:c r="S116" s="57"/>
      <x:c r="T116" s="49" t="str">
        <x:f>IF(OR(I116="x",ISNUMBER(I116),ISNUMBER(SEARCH("OK",UPPER(I116&amp;""))),ISNUMBER(SEARCH("JÁ",UPPER(I116&amp;""))),ISNUMBER(SEARCH("JA ",UPPER(I116&amp;"")))),"OK",IF(I116="","PENDENTE",IF(OR(ISNUMBER(SEARCH("SEM MOV",UPPER(I116&amp;""))),ISNUMBER(SEARCH("SEM I.E",UPPER(I116&amp;""))),ISNUMBER(SEARCH("SEM IE",UPPER(I116&amp;"")))),"DISPENSADO","ALERTA")))</x:f>
        <x:v>PENDENTE</x:v>
      </x:c>
      <x:c r="U116" s="49" t="str">
        <x:f>IF(OR(K116="x",ISNUMBER(K116),ISNUMBER(SEARCH("OK",UPPER(K116&amp;""))),ISNUMBER(SEARCH("JÁ",UPPER(K116&amp;""))),ISNUMBER(SEARCH("JA ",UPPER(K116&amp;"")))),"OK",IF(K116="","PENDENTE",IF(OR(ISNUMBER(SEARCH("SEM MOV",UPPER(K116&amp;""))),ISNUMBER(SEARCH("SEM I.E",UPPER(K116&amp;""))),ISNUMBER(SEARCH("SEM IE",UPPER(K116&amp;"")))),"DISPENSADO","ALERTA")))</x:f>
        <x:v>PENDENTE</x:v>
      </x:c>
      <x:c r="V116" s="49" t="str">
        <x:f>IF(OR(M116="x",ISNUMBER(M116),ISNUMBER(SEARCH("OK",UPPER(M116&amp;""))),ISNUMBER(SEARCH("JÁ",UPPER(M116&amp;""))),ISNUMBER(SEARCH("JA ",UPPER(M116&amp;"")))),"OK",IF(M116="","PENDENTE",IF(OR(ISNUMBER(SEARCH("SEM MOV",UPPER(M116&amp;""))),ISNUMBER(SEARCH("SEM I.E",UPPER(M116&amp;""))),ISNUMBER(SEARCH("SEM IE",UPPER(M116&amp;"")))),"DISPENSADO","ALERTA")))</x:f>
        <x:v>DISPENSADO</x:v>
      </x:c>
      <x:c r="W116" s="49" t="str">
        <x:f>IF(OR(O116="x",ISNUMBER(O116),ISNUMBER(SEARCH("OK",UPPER(O116&amp;""))),ISNUMBER(SEARCH("JÁ",UPPER(O116&amp;""))),ISNUMBER(SEARCH("JA ",UPPER(O116&amp;"")))),"OK",IF(O116="","PENDENTE",IF(OR(ISNUMBER(SEARCH("SEM MOV",UPPER(O116&amp;""))),ISNUMBER(SEARCH("SEM I.E",UPPER(O116&amp;""))),ISNUMBER(SEARCH("SEM IE",UPPER(O116&amp;"")))),"DISPENSADO","ALERTA")))</x:f>
        <x:v>ALERTA</x:v>
      </x:c>
      <x:c r="X116" s="49" t="str">
        <x:f>IF(Q116&lt;&gt;"","SIM","NÃO")</x:f>
        <x:v>NÃO</x:v>
      </x:c>
      <x:c r="Y116" s="49" t="str">
        <x:f>IF(R116&lt;&gt;"","SIM","NÃO")</x:f>
        <x:v>NÃO</x:v>
      </x:c>
      <x:c r="Z116" s="49" t="str">
        <x:f>IF(OR(H116="A",V116="ALERTA",W116="ALERTA",T116="ALERTA",U116="ALERTA"),"ALTO",IF(OR(T116="PENDENTE",U116="PENDENTE",V116="PENDENTE",W116="PENDENTE"),"MÉDIO","BAIXO"))</x:f>
        <x:v>ALTO</x:v>
      </x:c>
      <x:c r="AA116" s="49" t="str">
        <x:f>IF(Z116="ALTO","Resolver certificado/permissão/CNPJ/status antes da rotina",IF(Z116="MÉDIO","Completar pasta/status pendente","Rotina regular"))</x:f>
        <x:v>Resolver certificado/permissão/CNPJ/status antes da rotina</x:v>
      </x:c>
    </x:row>
    <x:row r="117">
      <x:c r="A117" s="61" t="str">
        <x:v>SERVMONTE MONTAGENS E SERVICOS INDUSTRIAIS - EIRELI - 2</x:v>
      </x:c>
      <x:c r="B117" s="49" t="str">
        <x:v>GSV</x:v>
      </x:c>
      <x:c r="C117" s="49" t="str">
        <x:v>GOIANÉSIA</x:v>
      </x:c>
      <x:c r="D117" s="49" t="str">
        <x:v>30.378.870/0001-60</x:v>
      </x:c>
      <x:c r="E117" s="49"/>
      <x:c r="F117" s="49" t="str">
        <x:v>LILIANE</x:v>
      </x:c>
      <x:c r="G117" s="49" t="str">
        <x:v>SIMPLES NACIONAL</x:v>
      </x:c>
      <x:c r="H117" s="49" t="str">
        <x:v>C</x:v>
      </x:c>
      <x:c r="I117" s="54"/>
      <x:c r="J117" s="49"/>
      <x:c r="K117" s="54"/>
      <x:c r="L117" s="49"/>
      <x:c r="M117" s="54" t="str">
        <x:v>SEM MOVIMENTO</x:v>
      </x:c>
      <x:c r="N117" s="49"/>
      <x:c r="O117" s="54" t="str">
        <x:v>SEM RESULTADOS</x:v>
      </x:c>
      <x:c r="P117" s="49"/>
      <x:c r="Q117" s="57"/>
      <x:c r="R117" s="57"/>
      <x:c r="S117" s="57"/>
      <x:c r="T117" s="49" t="str">
        <x:f>IF(OR(I117="x",ISNUMBER(I117),ISNUMBER(SEARCH("OK",UPPER(I117&amp;""))),ISNUMBER(SEARCH("JÁ",UPPER(I117&amp;""))),ISNUMBER(SEARCH("JA ",UPPER(I117&amp;"")))),"OK",IF(I117="","PENDENTE",IF(OR(ISNUMBER(SEARCH("SEM MOV",UPPER(I117&amp;""))),ISNUMBER(SEARCH("SEM I.E",UPPER(I117&amp;""))),ISNUMBER(SEARCH("SEM IE",UPPER(I117&amp;"")))),"DISPENSADO","ALERTA")))</x:f>
        <x:v>PENDENTE</x:v>
      </x:c>
      <x:c r="U117" s="49" t="str">
        <x:f>IF(OR(K117="x",ISNUMBER(K117),ISNUMBER(SEARCH("OK",UPPER(K117&amp;""))),ISNUMBER(SEARCH("JÁ",UPPER(K117&amp;""))),ISNUMBER(SEARCH("JA ",UPPER(K117&amp;"")))),"OK",IF(K117="","PENDENTE",IF(OR(ISNUMBER(SEARCH("SEM MOV",UPPER(K117&amp;""))),ISNUMBER(SEARCH("SEM I.E",UPPER(K117&amp;""))),ISNUMBER(SEARCH("SEM IE",UPPER(K117&amp;"")))),"DISPENSADO","ALERTA")))</x:f>
        <x:v>PENDENTE</x:v>
      </x:c>
      <x:c r="V117" s="49" t="str">
        <x:f>IF(OR(M117="x",ISNUMBER(M117),ISNUMBER(SEARCH("OK",UPPER(M117&amp;""))),ISNUMBER(SEARCH("JÁ",UPPER(M117&amp;""))),ISNUMBER(SEARCH("JA ",UPPER(M117&amp;"")))),"OK",IF(M117="","PENDENTE",IF(OR(ISNUMBER(SEARCH("SEM MOV",UPPER(M117&amp;""))),ISNUMBER(SEARCH("SEM I.E",UPPER(M117&amp;""))),ISNUMBER(SEARCH("SEM IE",UPPER(M117&amp;"")))),"DISPENSADO","ALERTA")))</x:f>
        <x:v>DISPENSADO</x:v>
      </x:c>
      <x:c r="W117" s="49" t="str">
        <x:f>IF(OR(O117="x",ISNUMBER(O117),ISNUMBER(SEARCH("OK",UPPER(O117&amp;""))),ISNUMBER(SEARCH("JÁ",UPPER(O117&amp;""))),ISNUMBER(SEARCH("JA ",UPPER(O117&amp;"")))),"OK",IF(O117="","PENDENTE",IF(OR(ISNUMBER(SEARCH("SEM MOV",UPPER(O117&amp;""))),ISNUMBER(SEARCH("SEM I.E",UPPER(O117&amp;""))),ISNUMBER(SEARCH("SEM IE",UPPER(O117&amp;"")))),"DISPENSADO","ALERTA")))</x:f>
        <x:v>ALERTA</x:v>
      </x:c>
      <x:c r="X117" s="49" t="str">
        <x:f>IF(Q117&lt;&gt;"","SIM","NÃO")</x:f>
        <x:v>NÃO</x:v>
      </x:c>
      <x:c r="Y117" s="49" t="str">
        <x:f>IF(R117&lt;&gt;"","SIM","NÃO")</x:f>
        <x:v>NÃO</x:v>
      </x:c>
      <x:c r="Z117" s="49" t="str">
        <x:f>IF(OR(H117="A",V117="ALERTA",W117="ALERTA",T117="ALERTA",U117="ALERTA"),"ALTO",IF(OR(T117="PENDENTE",U117="PENDENTE",V117="PENDENTE",W117="PENDENTE"),"MÉDIO","BAIXO"))</x:f>
        <x:v>ALTO</x:v>
      </x:c>
      <x:c r="AA117" s="49" t="str">
        <x:f>IF(Z117="ALTO","Resolver certificado/permissão/CNPJ/status antes da rotina",IF(Z117="MÉDIO","Completar pasta/status pendente","Rotina regular"))</x:f>
        <x:v>Resolver certificado/permissão/CNPJ/status antes da rotina</x:v>
      </x:c>
    </x:row>
    <x:row r="118">
      <x:c r="A118" s="61" t="str">
        <x:v>SILIGYN COMÉRCIO</x:v>
      </x:c>
      <x:c r="B118" s="49" t="str">
        <x:v>SILIGYN</x:v>
      </x:c>
      <x:c r="C118" s="49" t="str">
        <x:v>GOIANIA</x:v>
      </x:c>
      <x:c r="D118" s="49" t="str">
        <x:v>25.000.738/0001-80</x:v>
      </x:c>
      <x:c r="E118" s="49"/>
      <x:c r="F118" s="49" t="str">
        <x:v>LIAN</x:v>
      </x:c>
      <x:c r="G118" s="49" t="str">
        <x:v>LUCRO REAL</x:v>
      </x:c>
      <x:c r="H118" s="49" t="str">
        <x:v>B</x:v>
      </x:c>
      <x:c r="I118" s="54" t="n">
        <x:v>46147</x:v>
      </x:c>
      <x:c r="J118" s="49"/>
      <x:c r="K118" s="54"/>
      <x:c r="L118" s="49"/>
      <x:c r="M118" s="54" t="str">
        <x:v>JÁ TEM 24/04</x:v>
      </x:c>
      <x:c r="N118" s="49"/>
      <x:c r="O118" s="54" t="str">
        <x:v>OK 04/04</x:v>
      </x:c>
      <x:c r="P118" s="49"/>
      <x:c r="Q118" s="57"/>
      <x:c r="R118" s="57"/>
      <x:c r="S118" s="57"/>
      <x:c r="T118" s="49" t="str">
        <x:f>IF(OR(I118="x",ISNUMBER(I118),ISNUMBER(SEARCH("OK",UPPER(I118&amp;""))),ISNUMBER(SEARCH("JÁ",UPPER(I118&amp;""))),ISNUMBER(SEARCH("JA ",UPPER(I118&amp;"")))),"OK",IF(I118="","PENDENTE",IF(OR(ISNUMBER(SEARCH("SEM MOV",UPPER(I118&amp;""))),ISNUMBER(SEARCH("SEM I.E",UPPER(I118&amp;""))),ISNUMBER(SEARCH("SEM IE",UPPER(I118&amp;"")))),"DISPENSADO","ALERTA")))</x:f>
        <x:v>OK</x:v>
      </x:c>
      <x:c r="U118" s="49" t="str">
        <x:f>IF(OR(K118="x",ISNUMBER(K118),ISNUMBER(SEARCH("OK",UPPER(K118&amp;""))),ISNUMBER(SEARCH("JÁ",UPPER(K118&amp;""))),ISNUMBER(SEARCH("JA ",UPPER(K118&amp;"")))),"OK",IF(K118="","PENDENTE",IF(OR(ISNUMBER(SEARCH("SEM MOV",UPPER(K118&amp;""))),ISNUMBER(SEARCH("SEM I.E",UPPER(K118&amp;""))),ISNUMBER(SEARCH("SEM IE",UPPER(K118&amp;"")))),"DISPENSADO","ALERTA")))</x:f>
        <x:v>PENDENTE</x:v>
      </x:c>
      <x:c r="V118" s="49" t="str">
        <x:f>IF(OR(M118="x",ISNUMBER(M118),ISNUMBER(SEARCH("OK",UPPER(M118&amp;""))),ISNUMBER(SEARCH("JÁ",UPPER(M118&amp;""))),ISNUMBER(SEARCH("JA ",UPPER(M118&amp;"")))),"OK",IF(M118="","PENDENTE",IF(OR(ISNUMBER(SEARCH("SEM MOV",UPPER(M118&amp;""))),ISNUMBER(SEARCH("SEM I.E",UPPER(M118&amp;""))),ISNUMBER(SEARCH("SEM IE",UPPER(M118&amp;"")))),"DISPENSADO","ALERTA")))</x:f>
        <x:v>OK</x:v>
      </x:c>
      <x:c r="W118" s="49" t="str">
        <x:f>IF(OR(O118="x",ISNUMBER(O118),ISNUMBER(SEARCH("OK",UPPER(O118&amp;""))),ISNUMBER(SEARCH("JÁ",UPPER(O118&amp;""))),ISNUMBER(SEARCH("JA ",UPPER(O118&amp;"")))),"OK",IF(O118="","PENDENTE",IF(OR(ISNUMBER(SEARCH("SEM MOV",UPPER(O118&amp;""))),ISNUMBER(SEARCH("SEM I.E",UPPER(O118&amp;""))),ISNUMBER(SEARCH("SEM IE",UPPER(O118&amp;"")))),"DISPENSADO","ALERTA")))</x:f>
        <x:v>OK</x:v>
      </x:c>
      <x:c r="X118" s="49" t="str">
        <x:f>IF(Q118&lt;&gt;"","SIM","NÃO")</x:f>
        <x:v>NÃO</x:v>
      </x:c>
      <x:c r="Y118" s="49" t="str">
        <x:f>IF(R118&lt;&gt;"","SIM","NÃO")</x:f>
        <x:v>NÃO</x:v>
      </x:c>
      <x:c r="Z118" s="49" t="str">
        <x:f>IF(OR(H118="A",V118="ALERTA",W118="ALERTA",T118="ALERTA",U118="ALERTA"),"ALTO",IF(OR(T118="PENDENTE",U118="PENDENTE",V118="PENDENTE",W118="PENDENTE"),"MÉDIO","BAIXO"))</x:f>
        <x:v>MÉDIO</x:v>
      </x:c>
      <x:c r="AA118" s="49" t="str">
        <x:f>IF(Z118="ALTO","Resolver certificado/permissão/CNPJ/status antes da rotina",IF(Z118="MÉDIO","Completar pasta/status pendente","Rotina regular"))</x:f>
        <x:v>Completar pasta/status pendente</x:v>
      </x:c>
    </x:row>
    <x:row r="119">
      <x:c r="A119" s="61" t="str">
        <x:v>SINOP TÊNIS</x:v>
      </x:c>
      <x:c r="B119" s="49" t="str">
        <x:v>FPM</x:v>
      </x:c>
      <x:c r="C119" s="49" t="str">
        <x:v>MATO GROSSO</x:v>
      </x:c>
      <x:c r="D119" s="49" t="str">
        <x:v>03.830.164/0001-34</x:v>
      </x:c>
      <x:c r="E119" s="49"/>
      <x:c r="F119" s="49"/>
      <x:c r="G119" s="49" t="str">
        <x:v>SIMPLES NACIONAL</x:v>
      </x:c>
      <x:c r="H119" s="49" t="str">
        <x:v>B</x:v>
      </x:c>
      <x:c r="I119" s="54"/>
      <x:c r="J119" s="49"/>
      <x:c r="K119" s="54"/>
      <x:c r="L119" s="49"/>
      <x:c r="M119" s="54" t="str">
        <x:v>SEM MOVIMENTO</x:v>
      </x:c>
      <x:c r="N119" s="49" t="str">
        <x:v>MT</x:v>
      </x:c>
      <x:c r="O119" s="54" t="str">
        <x:v>SEM RESULTADOS</x:v>
      </x:c>
      <x:c r="P119" s="49"/>
      <x:c r="Q119" s="57"/>
      <x:c r="R119" s="57"/>
      <x:c r="S119" s="57"/>
      <x:c r="T119" s="49" t="str">
        <x:f>IF(OR(I119="x",ISNUMBER(I119),ISNUMBER(SEARCH("OK",UPPER(I119&amp;""))),ISNUMBER(SEARCH("JÁ",UPPER(I119&amp;""))),ISNUMBER(SEARCH("JA ",UPPER(I119&amp;"")))),"OK",IF(I119="","PENDENTE",IF(OR(ISNUMBER(SEARCH("SEM MOV",UPPER(I119&amp;""))),ISNUMBER(SEARCH("SEM I.E",UPPER(I119&amp;""))),ISNUMBER(SEARCH("SEM IE",UPPER(I119&amp;"")))),"DISPENSADO","ALERTA")))</x:f>
        <x:v>PENDENTE</x:v>
      </x:c>
      <x:c r="U119" s="49" t="str">
        <x:f>IF(OR(K119="x",ISNUMBER(K119),ISNUMBER(SEARCH("OK",UPPER(K119&amp;""))),ISNUMBER(SEARCH("JÁ",UPPER(K119&amp;""))),ISNUMBER(SEARCH("JA ",UPPER(K119&amp;"")))),"OK",IF(K119="","PENDENTE",IF(OR(ISNUMBER(SEARCH("SEM MOV",UPPER(K119&amp;""))),ISNUMBER(SEARCH("SEM I.E",UPPER(K119&amp;""))),ISNUMBER(SEARCH("SEM IE",UPPER(K119&amp;"")))),"DISPENSADO","ALERTA")))</x:f>
        <x:v>PENDENTE</x:v>
      </x:c>
      <x:c r="V119" s="49" t="str">
        <x:f>IF(OR(M119="x",ISNUMBER(M119),ISNUMBER(SEARCH("OK",UPPER(M119&amp;""))),ISNUMBER(SEARCH("JÁ",UPPER(M119&amp;""))),ISNUMBER(SEARCH("JA ",UPPER(M119&amp;"")))),"OK",IF(M119="","PENDENTE",IF(OR(ISNUMBER(SEARCH("SEM MOV",UPPER(M119&amp;""))),ISNUMBER(SEARCH("SEM I.E",UPPER(M119&amp;""))),ISNUMBER(SEARCH("SEM IE",UPPER(M119&amp;"")))),"DISPENSADO","ALERTA")))</x:f>
        <x:v>DISPENSADO</x:v>
      </x:c>
      <x:c r="W119" s="49" t="str">
        <x:f>IF(OR(O119="x",ISNUMBER(O119),ISNUMBER(SEARCH("OK",UPPER(O119&amp;""))),ISNUMBER(SEARCH("JÁ",UPPER(O119&amp;""))),ISNUMBER(SEARCH("JA ",UPPER(O119&amp;"")))),"OK",IF(O119="","PENDENTE",IF(OR(ISNUMBER(SEARCH("SEM MOV",UPPER(O119&amp;""))),ISNUMBER(SEARCH("SEM I.E",UPPER(O119&amp;""))),ISNUMBER(SEARCH("SEM IE",UPPER(O119&amp;"")))),"DISPENSADO","ALERTA")))</x:f>
        <x:v>ALERTA</x:v>
      </x:c>
      <x:c r="X119" s="49" t="str">
        <x:f>IF(Q119&lt;&gt;"","SIM","NÃO")</x:f>
        <x:v>NÃO</x:v>
      </x:c>
      <x:c r="Y119" s="49" t="str">
        <x:f>IF(R119&lt;&gt;"","SIM","NÃO")</x:f>
        <x:v>NÃO</x:v>
      </x:c>
      <x:c r="Z119" s="49" t="str">
        <x:f>IF(OR(H119="A",V119="ALERTA",W119="ALERTA",T119="ALERTA",U119="ALERTA"),"ALTO",IF(OR(T119="PENDENTE",U119="PENDENTE",V119="PENDENTE",W119="PENDENTE"),"MÉDIO","BAIXO"))</x:f>
        <x:v>ALTO</x:v>
      </x:c>
      <x:c r="AA119" s="49" t="str">
        <x:f>IF(Z119="ALTO","Resolver certificado/permissão/CNPJ/status antes da rotina",IF(Z119="MÉDIO","Completar pasta/status pendente","Rotina regular"))</x:f>
        <x:v>Resolver certificado/permissão/CNPJ/status antes da rotina</x:v>
      </x:c>
    </x:row>
    <x:row r="120">
      <x:c r="A120" s="61" t="str">
        <x:v>STUDIO LAYFER A PARTIR DE NOV - 59</x:v>
      </x:c>
      <x:c r="B120" s="49" t="str">
        <x:v>INDEPENDENTE</x:v>
      </x:c>
      <x:c r="C120" s="49" t="str">
        <x:v>GOIÂNIA</x:v>
      </x:c>
      <x:c r="D120" s="49" t="str">
        <x:v>27.313.967/0001-80</x:v>
      </x:c>
      <x:c r="E120" s="49"/>
      <x:c r="F120" s="49" t="str">
        <x:v>CELIO ROBERTO</x:v>
      </x:c>
      <x:c r="G120" s="49" t="str">
        <x:v>SIMPLES NACIONAL</x:v>
      </x:c>
      <x:c r="H120" s="49" t="str">
        <x:v>A</x:v>
      </x:c>
      <x:c r="I120" s="54"/>
      <x:c r="J120" s="49"/>
      <x:c r="K120" s="54"/>
      <x:c r="L120" s="49"/>
      <x:c r="M120" s="54" t="str">
        <x:v>OK 05/05</x:v>
      </x:c>
      <x:c r="N120" s="49"/>
      <x:c r="O120" s="54" t="str">
        <x:v>SEM RESULTADOS</x:v>
      </x:c>
      <x:c r="P120" s="49"/>
      <x:c r="Q120" s="57"/>
      <x:c r="R120" s="57" t="str">
        <x:v>W:\TESTE RENOMEADOR\TESTE - STUDIO LYFER\2026\ABRIL\FISCAL\MUNICIPAL\REST</x:v>
      </x:c>
      <x:c r="S120" s="57"/>
      <x:c r="T120" s="49" t="str">
        <x:f>IF(OR(I120="x",ISNUMBER(I120),ISNUMBER(SEARCH("OK",UPPER(I120&amp;""))),ISNUMBER(SEARCH("JÁ",UPPER(I120&amp;""))),ISNUMBER(SEARCH("JA ",UPPER(I120&amp;"")))),"OK",IF(I120="","PENDENTE",IF(OR(ISNUMBER(SEARCH("SEM MOV",UPPER(I120&amp;""))),ISNUMBER(SEARCH("SEM I.E",UPPER(I120&amp;""))),ISNUMBER(SEARCH("SEM IE",UPPER(I120&amp;"")))),"DISPENSADO","ALERTA")))</x:f>
        <x:v>PENDENTE</x:v>
      </x:c>
      <x:c r="U120" s="49" t="str">
        <x:f>IF(OR(K120="x",ISNUMBER(K120),ISNUMBER(SEARCH("OK",UPPER(K120&amp;""))),ISNUMBER(SEARCH("JÁ",UPPER(K120&amp;""))),ISNUMBER(SEARCH("JA ",UPPER(K120&amp;"")))),"OK",IF(K120="","PENDENTE",IF(OR(ISNUMBER(SEARCH("SEM MOV",UPPER(K120&amp;""))),ISNUMBER(SEARCH("SEM I.E",UPPER(K120&amp;""))),ISNUMBER(SEARCH("SEM IE",UPPER(K120&amp;"")))),"DISPENSADO","ALERTA")))</x:f>
        <x:v>PENDENTE</x:v>
      </x:c>
      <x:c r="V120" s="49" t="str">
        <x:f>IF(OR(M120="x",ISNUMBER(M120),ISNUMBER(SEARCH("OK",UPPER(M120&amp;""))),ISNUMBER(SEARCH("JÁ",UPPER(M120&amp;""))),ISNUMBER(SEARCH("JA ",UPPER(M120&amp;"")))),"OK",IF(M120="","PENDENTE",IF(OR(ISNUMBER(SEARCH("SEM MOV",UPPER(M120&amp;""))),ISNUMBER(SEARCH("SEM I.E",UPPER(M120&amp;""))),ISNUMBER(SEARCH("SEM IE",UPPER(M120&amp;"")))),"DISPENSADO","ALERTA")))</x:f>
        <x:v>OK</x:v>
      </x:c>
      <x:c r="W120" s="49" t="str">
        <x:f>IF(OR(O120="x",ISNUMBER(O120),ISNUMBER(SEARCH("OK",UPPER(O120&amp;""))),ISNUMBER(SEARCH("JÁ",UPPER(O120&amp;""))),ISNUMBER(SEARCH("JA ",UPPER(O120&amp;"")))),"OK",IF(O120="","PENDENTE",IF(OR(ISNUMBER(SEARCH("SEM MOV",UPPER(O120&amp;""))),ISNUMBER(SEARCH("SEM I.E",UPPER(O120&amp;""))),ISNUMBER(SEARCH("SEM IE",UPPER(O120&amp;"")))),"DISPENSADO","ALERTA")))</x:f>
        <x:v>ALERTA</x:v>
      </x:c>
      <x:c r="X120" s="49" t="str">
        <x:f>IF(Q120&lt;&gt;"","SIM","NÃO")</x:f>
        <x:v>NÃO</x:v>
      </x:c>
      <x:c r="Y120" s="49" t="str">
        <x:f>IF(R120&lt;&gt;"","SIM","NÃO")</x:f>
        <x:v>SIM</x:v>
      </x:c>
      <x:c r="Z120" s="49" t="str">
        <x:f>IF(OR(H120="A",V120="ALERTA",W120="ALERTA",T120="ALERTA",U120="ALERTA"),"ALTO",IF(OR(T120="PENDENTE",U120="PENDENTE",V120="PENDENTE",W120="PENDENTE"),"MÉDIO","BAIXO"))</x:f>
        <x:v>ALTO</x:v>
      </x:c>
      <x:c r="AA120" s="49" t="str">
        <x:f>IF(Z120="ALTO","Resolver certificado/permissão/CNPJ/status antes da rotina",IF(Z120="MÉDIO","Completar pasta/status pendente","Rotina regular"))</x:f>
        <x:v>Resolver certificado/permissão/CNPJ/status antes da rotina</x:v>
      </x:c>
    </x:row>
    <x:row r="121">
      <x:c r="A121" s="61" t="str">
        <x:v>TORRENT - 246</x:v>
      </x:c>
      <x:c r="B121" s="49" t="str">
        <x:v>TORRENT</x:v>
      </x:c>
      <x:c r="C121" s="49"/>
      <x:c r="D121" s="49" t="str">
        <x:v>59.712.721/0001-77</x:v>
      </x:c>
      <x:c r="E121" s="49"/>
      <x:c r="F121" s="49" t="str">
        <x:v>JOÃO CARLOS</x:v>
      </x:c>
      <x:c r="G121" s="49" t="str">
        <x:v>SIMPLES NACIONAL</x:v>
      </x:c>
      <x:c r="H121" s="49" t="str">
        <x:v>B</x:v>
      </x:c>
      <x:c r="I121" s="54"/>
      <x:c r="J121" s="49"/>
      <x:c r="K121" s="54"/>
      <x:c r="L121" s="49"/>
      <x:c r="M121" s="54" t="str">
        <x:v>SEM I.E.</x:v>
      </x:c>
      <x:c r="N121" s="49"/>
      <x:c r="O121" s="54" t="str">
        <x:v>SEM RESULTADOS</x:v>
      </x:c>
      <x:c r="P121" s="49"/>
      <x:c r="Q121" s="57"/>
      <x:c r="R121" s="57"/>
      <x:c r="S121" s="57"/>
      <x:c r="T121" s="49" t="str">
        <x:f>IF(OR(I121="x",ISNUMBER(I121),ISNUMBER(SEARCH("OK",UPPER(I121&amp;""))),ISNUMBER(SEARCH("JÁ",UPPER(I121&amp;""))),ISNUMBER(SEARCH("JA ",UPPER(I121&amp;"")))),"OK",IF(I121="","PENDENTE",IF(OR(ISNUMBER(SEARCH("SEM MOV",UPPER(I121&amp;""))),ISNUMBER(SEARCH("SEM I.E",UPPER(I121&amp;""))),ISNUMBER(SEARCH("SEM IE",UPPER(I121&amp;"")))),"DISPENSADO","ALERTA")))</x:f>
        <x:v>PENDENTE</x:v>
      </x:c>
      <x:c r="U121" s="49" t="str">
        <x:f>IF(OR(K121="x",ISNUMBER(K121),ISNUMBER(SEARCH("OK",UPPER(K121&amp;""))),ISNUMBER(SEARCH("JÁ",UPPER(K121&amp;""))),ISNUMBER(SEARCH("JA ",UPPER(K121&amp;"")))),"OK",IF(K121="","PENDENTE",IF(OR(ISNUMBER(SEARCH("SEM MOV",UPPER(K121&amp;""))),ISNUMBER(SEARCH("SEM I.E",UPPER(K121&amp;""))),ISNUMBER(SEARCH("SEM IE",UPPER(K121&amp;"")))),"DISPENSADO","ALERTA")))</x:f>
        <x:v>PENDENTE</x:v>
      </x:c>
      <x:c r="V121" s="49" t="str">
        <x:f>IF(OR(M121="x",ISNUMBER(M121),ISNUMBER(SEARCH("OK",UPPER(M121&amp;""))),ISNUMBER(SEARCH("JÁ",UPPER(M121&amp;""))),ISNUMBER(SEARCH("JA ",UPPER(M121&amp;"")))),"OK",IF(M121="","PENDENTE",IF(OR(ISNUMBER(SEARCH("SEM MOV",UPPER(M121&amp;""))),ISNUMBER(SEARCH("SEM I.E",UPPER(M121&amp;""))),ISNUMBER(SEARCH("SEM IE",UPPER(M121&amp;"")))),"DISPENSADO","ALERTA")))</x:f>
        <x:v>DISPENSADO</x:v>
      </x:c>
      <x:c r="W121" s="49" t="str">
        <x:f>IF(OR(O121="x",ISNUMBER(O121),ISNUMBER(SEARCH("OK",UPPER(O121&amp;""))),ISNUMBER(SEARCH("JÁ",UPPER(O121&amp;""))),ISNUMBER(SEARCH("JA ",UPPER(O121&amp;"")))),"OK",IF(O121="","PENDENTE",IF(OR(ISNUMBER(SEARCH("SEM MOV",UPPER(O121&amp;""))),ISNUMBER(SEARCH("SEM I.E",UPPER(O121&amp;""))),ISNUMBER(SEARCH("SEM IE",UPPER(O121&amp;"")))),"DISPENSADO","ALERTA")))</x:f>
        <x:v>ALERTA</x:v>
      </x:c>
      <x:c r="X121" s="49" t="str">
        <x:f>IF(Q121&lt;&gt;"","SIM","NÃO")</x:f>
        <x:v>NÃO</x:v>
      </x:c>
      <x:c r="Y121" s="49" t="str">
        <x:f>IF(R121&lt;&gt;"","SIM","NÃO")</x:f>
        <x:v>NÃO</x:v>
      </x:c>
      <x:c r="Z121" s="49" t="str">
        <x:f>IF(OR(H121="A",V121="ALERTA",W121="ALERTA",T121="ALERTA",U121="ALERTA"),"ALTO",IF(OR(T121="PENDENTE",U121="PENDENTE",V121="PENDENTE",W121="PENDENTE"),"MÉDIO","BAIXO"))</x:f>
        <x:v>ALTO</x:v>
      </x:c>
      <x:c r="AA121" s="49" t="str">
        <x:f>IF(Z121="ALTO","Resolver certificado/permissão/CNPJ/status antes da rotina",IF(Z121="MÉDIO","Completar pasta/status pendente","Rotina regular"))</x:f>
        <x:v>Resolver certificado/permissão/CNPJ/status antes da rotina</x:v>
      </x:c>
    </x:row>
    <x:row r="122">
      <x:c r="A122" s="61" t="str">
        <x:v>TORRENT E SILVA ELETRICIDADE</x:v>
      </x:c>
      <x:c r="B122" s="49" t="str">
        <x:v>TORRENT</x:v>
      </x:c>
      <x:c r="C122" s="49" t="str">
        <x:v>GOIANIA</x:v>
      </x:c>
      <x:c r="D122" s="49" t="str">
        <x:v>42.879.475/00001-40</x:v>
      </x:c>
      <x:c r="E122" s="49"/>
      <x:c r="F122" s="49" t="str">
        <x:v>JOÃO VITOR</x:v>
      </x:c>
      <x:c r="G122" s="49" t="str">
        <x:v>LUCRO REAL</x:v>
      </x:c>
      <x:c r="H122" s="49" t="str">
        <x:v>B</x:v>
      </x:c>
      <x:c r="I122" s="54"/>
      <x:c r="J122" s="49"/>
      <x:c r="K122" s="54"/>
      <x:c r="L122" s="49"/>
      <x:c r="M122" s="54" t="str">
        <x:v>SEM MOVIMENTO</x:v>
      </x:c>
      <x:c r="N122" s="49"/>
      <x:c r="O122" s="54" t="str">
        <x:v>SEM RESULTADOS</x:v>
      </x:c>
      <x:c r="P122" s="49"/>
      <x:c r="Q122" s="57"/>
      <x:c r="R122" s="57"/>
      <x:c r="S122" s="57"/>
      <x:c r="T122" s="49" t="str">
        <x:f>IF(OR(I122="x",ISNUMBER(I122),ISNUMBER(SEARCH("OK",UPPER(I122&amp;""))),ISNUMBER(SEARCH("JÁ",UPPER(I122&amp;""))),ISNUMBER(SEARCH("JA ",UPPER(I122&amp;"")))),"OK",IF(I122="","PENDENTE",IF(OR(ISNUMBER(SEARCH("SEM MOV",UPPER(I122&amp;""))),ISNUMBER(SEARCH("SEM I.E",UPPER(I122&amp;""))),ISNUMBER(SEARCH("SEM IE",UPPER(I122&amp;"")))),"DISPENSADO","ALERTA")))</x:f>
        <x:v>PENDENTE</x:v>
      </x:c>
      <x:c r="U122" s="49" t="str">
        <x:f>IF(OR(K122="x",ISNUMBER(K122),ISNUMBER(SEARCH("OK",UPPER(K122&amp;""))),ISNUMBER(SEARCH("JÁ",UPPER(K122&amp;""))),ISNUMBER(SEARCH("JA ",UPPER(K122&amp;"")))),"OK",IF(K122="","PENDENTE",IF(OR(ISNUMBER(SEARCH("SEM MOV",UPPER(K122&amp;""))),ISNUMBER(SEARCH("SEM I.E",UPPER(K122&amp;""))),ISNUMBER(SEARCH("SEM IE",UPPER(K122&amp;"")))),"DISPENSADO","ALERTA")))</x:f>
        <x:v>PENDENTE</x:v>
      </x:c>
      <x:c r="V122" s="49" t="str">
        <x:f>IF(OR(M122="x",ISNUMBER(M122),ISNUMBER(SEARCH("OK",UPPER(M122&amp;""))),ISNUMBER(SEARCH("JÁ",UPPER(M122&amp;""))),ISNUMBER(SEARCH("JA ",UPPER(M122&amp;"")))),"OK",IF(M122="","PENDENTE",IF(OR(ISNUMBER(SEARCH("SEM MOV",UPPER(M122&amp;""))),ISNUMBER(SEARCH("SEM I.E",UPPER(M122&amp;""))),ISNUMBER(SEARCH("SEM IE",UPPER(M122&amp;"")))),"DISPENSADO","ALERTA")))</x:f>
        <x:v>DISPENSADO</x:v>
      </x:c>
      <x:c r="W122" s="49" t="str">
        <x:f>IF(OR(O122="x",ISNUMBER(O122),ISNUMBER(SEARCH("OK",UPPER(O122&amp;""))),ISNUMBER(SEARCH("JÁ",UPPER(O122&amp;""))),ISNUMBER(SEARCH("JA ",UPPER(O122&amp;"")))),"OK",IF(O122="","PENDENTE",IF(OR(ISNUMBER(SEARCH("SEM MOV",UPPER(O122&amp;""))),ISNUMBER(SEARCH("SEM I.E",UPPER(O122&amp;""))),ISNUMBER(SEARCH("SEM IE",UPPER(O122&amp;"")))),"DISPENSADO","ALERTA")))</x:f>
        <x:v>ALERTA</x:v>
      </x:c>
      <x:c r="X122" s="49" t="str">
        <x:f>IF(Q122&lt;&gt;"","SIM","NÃO")</x:f>
        <x:v>NÃO</x:v>
      </x:c>
      <x:c r="Y122" s="49" t="str">
        <x:f>IF(R122&lt;&gt;"","SIM","NÃO")</x:f>
        <x:v>NÃO</x:v>
      </x:c>
      <x:c r="Z122" s="49" t="str">
        <x:f>IF(OR(H122="A",V122="ALERTA",W122="ALERTA",T122="ALERTA",U122="ALERTA"),"ALTO",IF(OR(T122="PENDENTE",U122="PENDENTE",V122="PENDENTE",W122="PENDENTE"),"MÉDIO","BAIXO"))</x:f>
        <x:v>ALTO</x:v>
      </x:c>
      <x:c r="AA122" s="49" t="str">
        <x:f>IF(Z122="ALTO","Resolver certificado/permissão/CNPJ/status antes da rotina",IF(Z122="MÉDIO","Completar pasta/status pendente","Rotina regular"))</x:f>
        <x:v>Resolver certificado/permissão/CNPJ/status antes da rotina</x:v>
      </x:c>
    </x:row>
    <x:row r="123">
      <x:c r="A123" s="61" t="str">
        <x:v>MURILO SOARES  DE CASTRO 265</x:v>
      </x:c>
      <x:c r="B123" s="49" t="str">
        <x:v>INDEPENDENTE</x:v>
      </x:c>
      <x:c r="C123" s="49" t="str">
        <x:v>GOIANIA</x:v>
      </x:c>
      <x:c r="D123" s="49" t="str">
        <x:v>66.415.080/0001-54</x:v>
      </x:c>
      <x:c r="E123" s="49"/>
      <x:c r="F123" s="49"/>
      <x:c r="G123" s="49"/>
      <x:c r="H123" s="49"/>
      <x:c r="I123" s="54"/>
      <x:c r="J123" s="49"/>
      <x:c r="K123" s="54"/>
      <x:c r="L123" s="49"/>
      <x:c r="M123" s="54" t="str">
        <x:v>Ñ FIZ</x:v>
      </x:c>
      <x:c r="N123" s="49"/>
      <x:c r="O123" s="54"/>
      <x:c r="P123" s="49"/>
      <x:c r="Q123" s="57"/>
      <x:c r="R123" s="57"/>
      <x:c r="S123" s="57"/>
      <x:c r="T123" s="49" t="str">
        <x:f>IF(OR(I123="x",ISNUMBER(I123),ISNUMBER(SEARCH("OK",UPPER(I123&amp;""))),ISNUMBER(SEARCH("JÁ",UPPER(I123&amp;""))),ISNUMBER(SEARCH("JA ",UPPER(I123&amp;"")))),"OK",IF(I123="","PENDENTE",IF(OR(ISNUMBER(SEARCH("SEM MOV",UPPER(I123&amp;""))),ISNUMBER(SEARCH("SEM I.E",UPPER(I123&amp;""))),ISNUMBER(SEARCH("SEM IE",UPPER(I123&amp;"")))),"DISPENSADO","ALERTA")))</x:f>
        <x:v>PENDENTE</x:v>
      </x:c>
      <x:c r="U123" s="49" t="str">
        <x:f>IF(OR(K123="x",ISNUMBER(K123),ISNUMBER(SEARCH("OK",UPPER(K123&amp;""))),ISNUMBER(SEARCH("JÁ",UPPER(K123&amp;""))),ISNUMBER(SEARCH("JA ",UPPER(K123&amp;"")))),"OK",IF(K123="","PENDENTE",IF(OR(ISNUMBER(SEARCH("SEM MOV",UPPER(K123&amp;""))),ISNUMBER(SEARCH("SEM I.E",UPPER(K123&amp;""))),ISNUMBER(SEARCH("SEM IE",UPPER(K123&amp;"")))),"DISPENSADO","ALERTA")))</x:f>
        <x:v>PENDENTE</x:v>
      </x:c>
      <x:c r="V123" s="49" t="str">
        <x:f>IF(OR(M123="x",ISNUMBER(M123),ISNUMBER(SEARCH("OK",UPPER(M123&amp;""))),ISNUMBER(SEARCH("JÁ",UPPER(M123&amp;""))),ISNUMBER(SEARCH("JA ",UPPER(M123&amp;"")))),"OK",IF(M123="","PENDENTE",IF(OR(ISNUMBER(SEARCH("SEM MOV",UPPER(M123&amp;""))),ISNUMBER(SEARCH("SEM I.E",UPPER(M123&amp;""))),ISNUMBER(SEARCH("SEM IE",UPPER(M123&amp;"")))),"DISPENSADO","ALERTA")))</x:f>
        <x:v>ALERTA</x:v>
      </x:c>
      <x:c r="W123" s="49" t="str">
        <x:f>IF(OR(O123="x",ISNUMBER(O123),ISNUMBER(SEARCH("OK",UPPER(O123&amp;""))),ISNUMBER(SEARCH("JÁ",UPPER(O123&amp;""))),ISNUMBER(SEARCH("JA ",UPPER(O123&amp;"")))),"OK",IF(O123="","PENDENTE",IF(OR(ISNUMBER(SEARCH("SEM MOV",UPPER(O123&amp;""))),ISNUMBER(SEARCH("SEM I.E",UPPER(O123&amp;""))),ISNUMBER(SEARCH("SEM IE",UPPER(O123&amp;"")))),"DISPENSADO","ALERTA")))</x:f>
        <x:v>PENDENTE</x:v>
      </x:c>
      <x:c r="X123" s="49" t="str">
        <x:f>IF(Q123&lt;&gt;"","SIM","NÃO")</x:f>
        <x:v>NÃO</x:v>
      </x:c>
      <x:c r="Y123" s="49" t="str">
        <x:f>IF(R123&lt;&gt;"","SIM","NÃO")</x:f>
        <x:v>NÃO</x:v>
      </x:c>
      <x:c r="Z123" s="49" t="str">
        <x:f>IF(OR(H123="A",V123="ALERTA",W123="ALERTA",T123="ALERTA",U123="ALERTA"),"ALTO",IF(OR(T123="PENDENTE",U123="PENDENTE",V123="PENDENTE",W123="PENDENTE"),"MÉDIO","BAIXO"))</x:f>
        <x:v>ALTO</x:v>
      </x:c>
      <x:c r="AA123" s="49" t="str">
        <x:f>IF(Z123="ALTO","Resolver certificado/permissão/CNPJ/status antes da rotina",IF(Z123="MÉDIO","Completar pasta/status pendente","Rotina regular"))</x:f>
        <x:v>Resolver certificado/permissão/CNPJ/status antes da rotina</x:v>
      </x:c>
    </x:row>
    <x:row r="124">
      <x:c r="A124" s="61" t="str">
        <x:v>TQI COM E SERV DE EQUIPAMENTOS DE MEDICAO</x:v>
      </x:c>
      <x:c r="B124" s="49" t="str">
        <x:v>TEKNOPAR</x:v>
      </x:c>
      <x:c r="C124" s="49" t="str">
        <x:v>ANAPOLIS</x:v>
      </x:c>
      <x:c r="D124" s="49" t="str">
        <x:v>15.551.480/0001-56</x:v>
      </x:c>
      <x:c r="E124" s="49"/>
      <x:c r="F124" s="49" t="str">
        <x:v>JULIMAR</x:v>
      </x:c>
      <x:c r="G124" s="49" t="str">
        <x:v>LUCRO REAL</x:v>
      </x:c>
      <x:c r="H124" s="49" t="str">
        <x:v>A</x:v>
      </x:c>
      <x:c r="I124" s="54"/>
      <x:c r="J124" s="49"/>
      <x:c r="K124" s="54"/>
      <x:c r="L124" s="49"/>
      <x:c r="M124" s="54" t="str">
        <x:v>JÁ TEM</x:v>
      </x:c>
      <x:c r="N124" s="49"/>
      <x:c r="O124" s="54" t="str">
        <x:v>JÁ TINHA 29/04</x:v>
      </x:c>
      <x:c r="P124" s="49"/>
      <x:c r="Q124" s="57"/>
      <x:c r="R124" s="57"/>
      <x:c r="S124" s="57"/>
      <x:c r="T124" s="49" t="str">
        <x:f>IF(OR(I124="x",ISNUMBER(I124),ISNUMBER(SEARCH("OK",UPPER(I124&amp;""))),ISNUMBER(SEARCH("JÁ",UPPER(I124&amp;""))),ISNUMBER(SEARCH("JA ",UPPER(I124&amp;"")))),"OK",IF(I124="","PENDENTE",IF(OR(ISNUMBER(SEARCH("SEM MOV",UPPER(I124&amp;""))),ISNUMBER(SEARCH("SEM I.E",UPPER(I124&amp;""))),ISNUMBER(SEARCH("SEM IE",UPPER(I124&amp;"")))),"DISPENSADO","ALERTA")))</x:f>
        <x:v>PENDENTE</x:v>
      </x:c>
      <x:c r="U124" s="49" t="str">
        <x:f>IF(OR(K124="x",ISNUMBER(K124),ISNUMBER(SEARCH("OK",UPPER(K124&amp;""))),ISNUMBER(SEARCH("JÁ",UPPER(K124&amp;""))),ISNUMBER(SEARCH("JA ",UPPER(K124&amp;"")))),"OK",IF(K124="","PENDENTE",IF(OR(ISNUMBER(SEARCH("SEM MOV",UPPER(K124&amp;""))),ISNUMBER(SEARCH("SEM I.E",UPPER(K124&amp;""))),ISNUMBER(SEARCH("SEM IE",UPPER(K124&amp;"")))),"DISPENSADO","ALERTA")))</x:f>
        <x:v>PENDENTE</x:v>
      </x:c>
      <x:c r="V124" s="49" t="str">
        <x:f>IF(OR(M124="x",ISNUMBER(M124),ISNUMBER(SEARCH("OK",UPPER(M124&amp;""))),ISNUMBER(SEARCH("JÁ",UPPER(M124&amp;""))),ISNUMBER(SEARCH("JA ",UPPER(M124&amp;"")))),"OK",IF(M124="","PENDENTE",IF(OR(ISNUMBER(SEARCH("SEM MOV",UPPER(M124&amp;""))),ISNUMBER(SEARCH("SEM I.E",UPPER(M124&amp;""))),ISNUMBER(SEARCH("SEM IE",UPPER(M124&amp;"")))),"DISPENSADO","ALERTA")))</x:f>
        <x:v>OK</x:v>
      </x:c>
      <x:c r="W124" s="49" t="str">
        <x:f>IF(OR(O124="x",ISNUMBER(O124),ISNUMBER(SEARCH("OK",UPPER(O124&amp;""))),ISNUMBER(SEARCH("JÁ",UPPER(O124&amp;""))),ISNUMBER(SEARCH("JA ",UPPER(O124&amp;"")))),"OK",IF(O124="","PENDENTE",IF(OR(ISNUMBER(SEARCH("SEM MOV",UPPER(O124&amp;""))),ISNUMBER(SEARCH("SEM I.E",UPPER(O124&amp;""))),ISNUMBER(SEARCH("SEM IE",UPPER(O124&amp;"")))),"DISPENSADO","ALERTA")))</x:f>
        <x:v>OK</x:v>
      </x:c>
      <x:c r="X124" s="49" t="str">
        <x:f>IF(Q124&lt;&gt;"","SIM","NÃO")</x:f>
        <x:v>NÃO</x:v>
      </x:c>
      <x:c r="Y124" s="49" t="str">
        <x:f>IF(R124&lt;&gt;"","SIM","NÃO")</x:f>
        <x:v>NÃO</x:v>
      </x:c>
      <x:c r="Z124" s="49" t="str">
        <x:f>IF(OR(H124="A",V124="ALERTA",W124="ALERTA",T124="ALERTA",U124="ALERTA"),"ALTO",IF(OR(T124="PENDENTE",U124="PENDENTE",V124="PENDENTE",W124="PENDENTE"),"MÉDIO","BAIXO"))</x:f>
        <x:v>ALTO</x:v>
      </x:c>
      <x:c r="AA124" s="49" t="str">
        <x:f>IF(Z124="ALTO","Resolver certificado/permissão/CNPJ/status antes da rotina",IF(Z124="MÉDIO","Completar pasta/status pendente","Rotina regular"))</x:f>
        <x:v>Resolver certificado/permissão/CNPJ/status antes da rotina</x:v>
      </x:c>
    </x:row>
    <x:row r="125">
      <x:c r="A125" s="61" t="str">
        <x:v>TRADICAO INDUSTRIA LTDA</x:v>
      </x:c>
      <x:c r="B125" s="49" t="str">
        <x:v>AGRONOVA</x:v>
      </x:c>
      <x:c r="C125" s="49" t="str">
        <x:v>RIO VERDE - GO</x:v>
      </x:c>
      <x:c r="D125" s="49" t="str">
        <x:v>59.979.461/0001-09</x:v>
      </x:c>
      <x:c r="E125" s="49"/>
      <x:c r="F125" s="49" t="str">
        <x:v>CLEUBER</x:v>
      </x:c>
      <x:c r="G125" s="49" t="str">
        <x:v>LUCRO REAL</x:v>
      </x:c>
      <x:c r="H125" s="49" t="str">
        <x:v>A</x:v>
      </x:c>
      <x:c r="I125" s="54"/>
      <x:c r="J125" s="49"/>
      <x:c r="K125" s="54"/>
      <x:c r="L125" s="49"/>
      <x:c r="M125" s="54" t="str">
        <x:v>Ñ FIZ</x:v>
      </x:c>
      <x:c r="N125" s="49"/>
      <x:c r="O125" s="54" t="str">
        <x:v>OK 04/03</x:v>
      </x:c>
      <x:c r="P125" s="49"/>
      <x:c r="Q125" s="57"/>
      <x:c r="R125" s="57"/>
      <x:c r="S125" s="57"/>
      <x:c r="T125" s="49" t="str">
        <x:f>IF(OR(I125="x",ISNUMBER(I125),ISNUMBER(SEARCH("OK",UPPER(I125&amp;""))),ISNUMBER(SEARCH("JÁ",UPPER(I125&amp;""))),ISNUMBER(SEARCH("JA ",UPPER(I125&amp;"")))),"OK",IF(I125="","PENDENTE",IF(OR(ISNUMBER(SEARCH("SEM MOV",UPPER(I125&amp;""))),ISNUMBER(SEARCH("SEM I.E",UPPER(I125&amp;""))),ISNUMBER(SEARCH("SEM IE",UPPER(I125&amp;"")))),"DISPENSADO","ALERTA")))</x:f>
        <x:v>PENDENTE</x:v>
      </x:c>
      <x:c r="U125" s="49" t="str">
        <x:f>IF(OR(K125="x",ISNUMBER(K125),ISNUMBER(SEARCH("OK",UPPER(K125&amp;""))),ISNUMBER(SEARCH("JÁ",UPPER(K125&amp;""))),ISNUMBER(SEARCH("JA ",UPPER(K125&amp;"")))),"OK",IF(K125="","PENDENTE",IF(OR(ISNUMBER(SEARCH("SEM MOV",UPPER(K125&amp;""))),ISNUMBER(SEARCH("SEM I.E",UPPER(K125&amp;""))),ISNUMBER(SEARCH("SEM IE",UPPER(K125&amp;"")))),"DISPENSADO","ALERTA")))</x:f>
        <x:v>PENDENTE</x:v>
      </x:c>
      <x:c r="V125" s="49" t="str">
        <x:f>IF(OR(M125="x",ISNUMBER(M125),ISNUMBER(SEARCH("OK",UPPER(M125&amp;""))),ISNUMBER(SEARCH("JÁ",UPPER(M125&amp;""))),ISNUMBER(SEARCH("JA ",UPPER(M125&amp;"")))),"OK",IF(M125="","PENDENTE",IF(OR(ISNUMBER(SEARCH("SEM MOV",UPPER(M125&amp;""))),ISNUMBER(SEARCH("SEM I.E",UPPER(M125&amp;""))),ISNUMBER(SEARCH("SEM IE",UPPER(M125&amp;"")))),"DISPENSADO","ALERTA")))</x:f>
        <x:v>ALERTA</x:v>
      </x:c>
      <x:c r="W125" s="49" t="str">
        <x:f>IF(OR(O125="x",ISNUMBER(O125),ISNUMBER(SEARCH("OK",UPPER(O125&amp;""))),ISNUMBER(SEARCH("JÁ",UPPER(O125&amp;""))),ISNUMBER(SEARCH("JA ",UPPER(O125&amp;"")))),"OK",IF(O125="","PENDENTE",IF(OR(ISNUMBER(SEARCH("SEM MOV",UPPER(O125&amp;""))),ISNUMBER(SEARCH("SEM I.E",UPPER(O125&amp;""))),ISNUMBER(SEARCH("SEM IE",UPPER(O125&amp;"")))),"DISPENSADO","ALERTA")))</x:f>
        <x:v>OK</x:v>
      </x:c>
      <x:c r="X125" s="49" t="str">
        <x:f>IF(Q125&lt;&gt;"","SIM","NÃO")</x:f>
        <x:v>NÃO</x:v>
      </x:c>
      <x:c r="Y125" s="49" t="str">
        <x:f>IF(R125&lt;&gt;"","SIM","NÃO")</x:f>
        <x:v>NÃO</x:v>
      </x:c>
      <x:c r="Z125" s="49" t="str">
        <x:f>IF(OR(H125="A",V125="ALERTA",W125="ALERTA",T125="ALERTA",U125="ALERTA"),"ALTO",IF(OR(T125="PENDENTE",U125="PENDENTE",V125="PENDENTE",W125="PENDENTE"),"MÉDIO","BAIXO"))</x:f>
        <x:v>ALTO</x:v>
      </x:c>
      <x:c r="AA125" s="49" t="str">
        <x:f>IF(Z125="ALTO","Resolver certificado/permissão/CNPJ/status antes da rotina",IF(Z125="MÉDIO","Completar pasta/status pendente","Rotina regular"))</x:f>
        <x:v>Resolver certificado/permissão/CNPJ/status antes da rotina</x:v>
      </x:c>
    </x:row>
    <x:row r="126">
      <x:c r="A126" s="61" t="str">
        <x:v>S37 SERVICE</x:v>
      </x:c>
      <x:c r="B126" s="49" t="str">
        <x:v>DGA</x:v>
      </x:c>
      <x:c r="C126" s="49" t="str">
        <x:v>ITUMBIARA</x:v>
      </x:c>
      <x:c r="D126" s="49" t="str">
        <x:v>64.654.373/0001-69</x:v>
      </x:c>
      <x:c r="E126" s="49"/>
      <x:c r="F126" s="49" t="str">
        <x:v>HELLEN</x:v>
      </x:c>
      <x:c r="G126" s="49" t="str">
        <x:v>SIMPLES NACIONAL</x:v>
      </x:c>
      <x:c r="H126" s="49" t="str">
        <x:v>B</x:v>
      </x:c>
      <x:c r="I126" s="54"/>
      <x:c r="J126" s="49"/>
      <x:c r="K126" s="54"/>
      <x:c r="L126" s="49"/>
      <x:c r="M126" s="54" t="str">
        <x:v>SEM I.E.</x:v>
      </x:c>
      <x:c r="N126" s="49"/>
      <x:c r="O126" s="54" t="str">
        <x:v>SEM RESULTADOS</x:v>
      </x:c>
      <x:c r="P126" s="49"/>
      <x:c r="Q126" s="57"/>
      <x:c r="R126" s="57"/>
      <x:c r="S126" s="57"/>
      <x:c r="T126" s="49" t="str">
        <x:f>IF(OR(I126="x",ISNUMBER(I126),ISNUMBER(SEARCH("OK",UPPER(I126&amp;""))),ISNUMBER(SEARCH("JÁ",UPPER(I126&amp;""))),ISNUMBER(SEARCH("JA ",UPPER(I126&amp;"")))),"OK",IF(I126="","PENDENTE",IF(OR(ISNUMBER(SEARCH("SEM MOV",UPPER(I126&amp;""))),ISNUMBER(SEARCH("SEM I.E",UPPER(I126&amp;""))),ISNUMBER(SEARCH("SEM IE",UPPER(I126&amp;"")))),"DISPENSADO","ALERTA")))</x:f>
        <x:v>PENDENTE</x:v>
      </x:c>
      <x:c r="U126" s="49" t="str">
        <x:f>IF(OR(K126="x",ISNUMBER(K126),ISNUMBER(SEARCH("OK",UPPER(K126&amp;""))),ISNUMBER(SEARCH("JÁ",UPPER(K126&amp;""))),ISNUMBER(SEARCH("JA ",UPPER(K126&amp;"")))),"OK",IF(K126="","PENDENTE",IF(OR(ISNUMBER(SEARCH("SEM MOV",UPPER(K126&amp;""))),ISNUMBER(SEARCH("SEM I.E",UPPER(K126&amp;""))),ISNUMBER(SEARCH("SEM IE",UPPER(K126&amp;"")))),"DISPENSADO","ALERTA")))</x:f>
        <x:v>PENDENTE</x:v>
      </x:c>
      <x:c r="V126" s="49" t="str">
        <x:f>IF(OR(M126="x",ISNUMBER(M126),ISNUMBER(SEARCH("OK",UPPER(M126&amp;""))),ISNUMBER(SEARCH("JÁ",UPPER(M126&amp;""))),ISNUMBER(SEARCH("JA ",UPPER(M126&amp;"")))),"OK",IF(M126="","PENDENTE",IF(OR(ISNUMBER(SEARCH("SEM MOV",UPPER(M126&amp;""))),ISNUMBER(SEARCH("SEM I.E",UPPER(M126&amp;""))),ISNUMBER(SEARCH("SEM IE",UPPER(M126&amp;"")))),"DISPENSADO","ALERTA")))</x:f>
        <x:v>DISPENSADO</x:v>
      </x:c>
      <x:c r="W126" s="49" t="str">
        <x:f>IF(OR(O126="x",ISNUMBER(O126),ISNUMBER(SEARCH("OK",UPPER(O126&amp;""))),ISNUMBER(SEARCH("JÁ",UPPER(O126&amp;""))),ISNUMBER(SEARCH("JA ",UPPER(O126&amp;"")))),"OK",IF(O126="","PENDENTE",IF(OR(ISNUMBER(SEARCH("SEM MOV",UPPER(O126&amp;""))),ISNUMBER(SEARCH("SEM I.E",UPPER(O126&amp;""))),ISNUMBER(SEARCH("SEM IE",UPPER(O126&amp;"")))),"DISPENSADO","ALERTA")))</x:f>
        <x:v>ALERTA</x:v>
      </x:c>
      <x:c r="X126" s="49" t="str">
        <x:f>IF(Q126&lt;&gt;"","SIM","NÃO")</x:f>
        <x:v>NÃO</x:v>
      </x:c>
      <x:c r="Y126" s="49" t="str">
        <x:f>IF(R126&lt;&gt;"","SIM","NÃO")</x:f>
        <x:v>NÃO</x:v>
      </x:c>
      <x:c r="Z126" s="49" t="str">
        <x:f>IF(OR(H126="A",V126="ALERTA",W126="ALERTA",T126="ALERTA",U126="ALERTA"),"ALTO",IF(OR(T126="PENDENTE",U126="PENDENTE",V126="PENDENTE",W126="PENDENTE"),"MÉDIO","BAIXO"))</x:f>
        <x:v>ALTO</x:v>
      </x:c>
      <x:c r="AA126" s="49" t="str">
        <x:f>IF(Z126="ALTO","Resolver certificado/permissão/CNPJ/status antes da rotina",IF(Z126="MÉDIO","Completar pasta/status pendente","Rotina regular"))</x:f>
        <x:v>Resolver certificado/permissão/CNPJ/status antes da rotina</x:v>
      </x:c>
    </x:row>
    <x:row r="127">
      <x:c r="A127" s="61" t="str">
        <x:v>ZENER DIGITAL</x:v>
      </x:c>
      <x:c r="B127" s="49" t="str">
        <x:v>ZENER</x:v>
      </x:c>
      <x:c r="C127" s="49" t="str">
        <x:v>GOIANIA</x:v>
      </x:c>
      <x:c r="D127" s="49" t="str">
        <x:v>46.419.690/0001-19</x:v>
      </x:c>
      <x:c r="E127" s="49"/>
      <x:c r="F127" s="49"/>
      <x:c r="G127" s="49" t="str">
        <x:v>SIMPLES NACIONAL</x:v>
      </x:c>
      <x:c r="H127" s="49" t="str">
        <x:v>B</x:v>
      </x:c>
      <x:c r="I127" s="54"/>
      <x:c r="J127" s="49"/>
      <x:c r="K127" s="54"/>
      <x:c r="L127" s="49"/>
      <x:c r="M127" s="54" t="str">
        <x:v>SEM I.E.</x:v>
      </x:c>
      <x:c r="N127" s="49"/>
      <x:c r="O127" s="54" t="str">
        <x:v>SEM RESULTADOS</x:v>
      </x:c>
      <x:c r="P127" s="49"/>
      <x:c r="Q127" s="57"/>
      <x:c r="R127" s="57"/>
      <x:c r="S127" s="57"/>
      <x:c r="T127" s="49" t="str">
        <x:f>IF(OR(I127="x",ISNUMBER(I127),ISNUMBER(SEARCH("OK",UPPER(I127&amp;""))),ISNUMBER(SEARCH("JÁ",UPPER(I127&amp;""))),ISNUMBER(SEARCH("JA ",UPPER(I127&amp;"")))),"OK",IF(I127="","PENDENTE",IF(OR(ISNUMBER(SEARCH("SEM MOV",UPPER(I127&amp;""))),ISNUMBER(SEARCH("SEM I.E",UPPER(I127&amp;""))),ISNUMBER(SEARCH("SEM IE",UPPER(I127&amp;"")))),"DISPENSADO","ALERTA")))</x:f>
        <x:v>PENDENTE</x:v>
      </x:c>
      <x:c r="U127" s="49" t="str">
        <x:f>IF(OR(K127="x",ISNUMBER(K127),ISNUMBER(SEARCH("OK",UPPER(K127&amp;""))),ISNUMBER(SEARCH("JÁ",UPPER(K127&amp;""))),ISNUMBER(SEARCH("JA ",UPPER(K127&amp;"")))),"OK",IF(K127="","PENDENTE",IF(OR(ISNUMBER(SEARCH("SEM MOV",UPPER(K127&amp;""))),ISNUMBER(SEARCH("SEM I.E",UPPER(K127&amp;""))),ISNUMBER(SEARCH("SEM IE",UPPER(K127&amp;"")))),"DISPENSADO","ALERTA")))</x:f>
        <x:v>PENDENTE</x:v>
      </x:c>
      <x:c r="V127" s="49" t="str">
        <x:f>IF(OR(M127="x",ISNUMBER(M127),ISNUMBER(SEARCH("OK",UPPER(M127&amp;""))),ISNUMBER(SEARCH("JÁ",UPPER(M127&amp;""))),ISNUMBER(SEARCH("JA ",UPPER(M127&amp;"")))),"OK",IF(M127="","PENDENTE",IF(OR(ISNUMBER(SEARCH("SEM MOV",UPPER(M127&amp;""))),ISNUMBER(SEARCH("SEM I.E",UPPER(M127&amp;""))),ISNUMBER(SEARCH("SEM IE",UPPER(M127&amp;"")))),"DISPENSADO","ALERTA")))</x:f>
        <x:v>DISPENSADO</x:v>
      </x:c>
      <x:c r="W127" s="49" t="str">
        <x:f>IF(OR(O127="x",ISNUMBER(O127),ISNUMBER(SEARCH("OK",UPPER(O127&amp;""))),ISNUMBER(SEARCH("JÁ",UPPER(O127&amp;""))),ISNUMBER(SEARCH("JA ",UPPER(O127&amp;"")))),"OK",IF(O127="","PENDENTE",IF(OR(ISNUMBER(SEARCH("SEM MOV",UPPER(O127&amp;""))),ISNUMBER(SEARCH("SEM I.E",UPPER(O127&amp;""))),ISNUMBER(SEARCH("SEM IE",UPPER(O127&amp;"")))),"DISPENSADO","ALERTA")))</x:f>
        <x:v>ALERTA</x:v>
      </x:c>
      <x:c r="X127" s="49" t="str">
        <x:f>IF(Q127&lt;&gt;"","SIM","NÃO")</x:f>
        <x:v>NÃO</x:v>
      </x:c>
      <x:c r="Y127" s="49" t="str">
        <x:f>IF(R127&lt;&gt;"","SIM","NÃO")</x:f>
        <x:v>NÃO</x:v>
      </x:c>
      <x:c r="Z127" s="49" t="str">
        <x:f>IF(OR(H127="A",V127="ALERTA",W127="ALERTA",T127="ALERTA",U127="ALERTA"),"ALTO",IF(OR(T127="PENDENTE",U127="PENDENTE",V127="PENDENTE",W127="PENDENTE"),"MÉDIO","BAIXO"))</x:f>
        <x:v>ALTO</x:v>
      </x:c>
      <x:c r="AA127" s="49" t="str">
        <x:f>IF(Z127="ALTO","Resolver certificado/permissão/CNPJ/status antes da rotina",IF(Z127="MÉDIO","Completar pasta/status pendente","Rotina regular"))</x:f>
        <x:v>Resolver certificado/permissão/CNPJ/status antes da rotina</x:v>
      </x:c>
    </x:row>
    <x:row r="128">
      <x:c r="A128" s="61" t="str">
        <x:v>ELETRO VALLE AUTOMAÇÃO</x:v>
      </x:c>
      <x:c r="B128" s="49" t="str">
        <x:v>GRUPO ELETRO VALLE</x:v>
      </x:c>
      <x:c r="C128" s="49"/>
      <x:c r="D128" s="49"/>
      <x:c r="E128" s="49"/>
      <x:c r="F128" s="49" t="str">
        <x:v>LEIDIANE/ROGÉRIO</x:v>
      </x:c>
      <x:c r="G128" s="49" t="str">
        <x:v>LUCRO REAL</x:v>
      </x:c>
      <x:c r="H128" s="49"/>
      <x:c r="I128" s="54"/>
      <x:c r="J128" s="49"/>
      <x:c r="K128" s="54"/>
      <x:c r="L128" s="49"/>
      <x:c r="M128" s="54" t="str">
        <x:v>Ñ FIZ</x:v>
      </x:c>
      <x:c r="N128" s="49"/>
      <x:c r="O128" s="54" t="str">
        <x:v>OK 04/04</x:v>
      </x:c>
      <x:c r="P128" s="49"/>
      <x:c r="Q128" s="57"/>
      <x:c r="R128" s="57"/>
      <x:c r="S128" s="57"/>
      <x:c r="T128" s="49" t="str">
        <x:f>IF(OR(I128="x",ISNUMBER(I128),ISNUMBER(SEARCH("OK",UPPER(I128&amp;""))),ISNUMBER(SEARCH("JÁ",UPPER(I128&amp;""))),ISNUMBER(SEARCH("JA ",UPPER(I128&amp;"")))),"OK",IF(I128="","PENDENTE",IF(OR(ISNUMBER(SEARCH("SEM MOV",UPPER(I128&amp;""))),ISNUMBER(SEARCH("SEM I.E",UPPER(I128&amp;""))),ISNUMBER(SEARCH("SEM IE",UPPER(I128&amp;"")))),"DISPENSADO","ALERTA")))</x:f>
        <x:v>PENDENTE</x:v>
      </x:c>
      <x:c r="U128" s="49" t="str">
        <x:f>IF(OR(K128="x",ISNUMBER(K128),ISNUMBER(SEARCH("OK",UPPER(K128&amp;""))),ISNUMBER(SEARCH("JÁ",UPPER(K128&amp;""))),ISNUMBER(SEARCH("JA ",UPPER(K128&amp;"")))),"OK",IF(K128="","PENDENTE",IF(OR(ISNUMBER(SEARCH("SEM MOV",UPPER(K128&amp;""))),ISNUMBER(SEARCH("SEM I.E",UPPER(K128&amp;""))),ISNUMBER(SEARCH("SEM IE",UPPER(K128&amp;"")))),"DISPENSADO","ALERTA")))</x:f>
        <x:v>PENDENTE</x:v>
      </x:c>
      <x:c r="V128" s="49" t="str">
        <x:f>IF(OR(M128="x",ISNUMBER(M128),ISNUMBER(SEARCH("OK",UPPER(M128&amp;""))),ISNUMBER(SEARCH("JÁ",UPPER(M128&amp;""))),ISNUMBER(SEARCH("JA ",UPPER(M128&amp;"")))),"OK",IF(M128="","PENDENTE",IF(OR(ISNUMBER(SEARCH("SEM MOV",UPPER(M128&amp;""))),ISNUMBER(SEARCH("SEM I.E",UPPER(M128&amp;""))),ISNUMBER(SEARCH("SEM IE",UPPER(M128&amp;"")))),"DISPENSADO","ALERTA")))</x:f>
        <x:v>ALERTA</x:v>
      </x:c>
      <x:c r="W128" s="49" t="str">
        <x:f>IF(OR(O128="x",ISNUMBER(O128),ISNUMBER(SEARCH("OK",UPPER(O128&amp;""))),ISNUMBER(SEARCH("JÁ",UPPER(O128&amp;""))),ISNUMBER(SEARCH("JA ",UPPER(O128&amp;"")))),"OK",IF(O128="","PENDENTE",IF(OR(ISNUMBER(SEARCH("SEM MOV",UPPER(O128&amp;""))),ISNUMBER(SEARCH("SEM I.E",UPPER(O128&amp;""))),ISNUMBER(SEARCH("SEM IE",UPPER(O128&amp;"")))),"DISPENSADO","ALERTA")))</x:f>
        <x:v>OK</x:v>
      </x:c>
      <x:c r="X128" s="49" t="str">
        <x:f>IF(Q128&lt;&gt;"","SIM","NÃO")</x:f>
        <x:v>NÃO</x:v>
      </x:c>
      <x:c r="Y128" s="49" t="str">
        <x:f>IF(R128&lt;&gt;"","SIM","NÃO")</x:f>
        <x:v>NÃO</x:v>
      </x:c>
      <x:c r="Z128" s="49" t="str">
        <x:f>IF(OR(H128="A",V128="ALERTA",W128="ALERTA",T128="ALERTA",U128="ALERTA"),"ALTO",IF(OR(T128="PENDENTE",U128="PENDENTE",V128="PENDENTE",W128="PENDENTE"),"MÉDIO","BAIXO"))</x:f>
        <x:v>ALTO</x:v>
      </x:c>
      <x:c r="AA128" s="49" t="str">
        <x:f>IF(Z128="ALTO","Resolver certificado/permissão/CNPJ/status antes da rotina",IF(Z128="MÉDIO","Completar pasta/status pendente","Rotina regular"))</x:f>
        <x:v>Resolver certificado/permissão/CNPJ/status antes da rotina</x:v>
      </x:c>
    </x:row>
    <x:row r="129">
      <x:c r="A129" s="61" t="str">
        <x:v>ELETRO VALLE SERVICE</x:v>
      </x:c>
      <x:c r="B129" s="49" t="str">
        <x:v>GRUPO ELETRO VALLE</x:v>
      </x:c>
      <x:c r="C129" s="49"/>
      <x:c r="D129" s="49"/>
      <x:c r="E129" s="49"/>
      <x:c r="F129" s="49" t="str">
        <x:v>LEIDIANE/ROGÉRIO</x:v>
      </x:c>
      <x:c r="G129" s="49" t="str">
        <x:v>VERIFICAR</x:v>
      </x:c>
      <x:c r="H129" s="49"/>
      <x:c r="I129" s="54"/>
      <x:c r="J129" s="49"/>
      <x:c r="K129" s="54"/>
      <x:c r="L129" s="49"/>
      <x:c r="M129" s="54" t="str">
        <x:v>Ñ FIZ</x:v>
      </x:c>
      <x:c r="N129" s="49"/>
      <x:c r="O129" s="54" t="str">
        <x:v>OK 04/04</x:v>
      </x:c>
      <x:c r="P129" s="49"/>
      <x:c r="Q129" s="57"/>
      <x:c r="R129" s="57"/>
      <x:c r="S129" s="57"/>
      <x:c r="T129" s="49" t="str">
        <x:f>IF(OR(I129="x",ISNUMBER(I129),ISNUMBER(SEARCH("OK",UPPER(I129&amp;""))),ISNUMBER(SEARCH("JÁ",UPPER(I129&amp;""))),ISNUMBER(SEARCH("JA ",UPPER(I129&amp;"")))),"OK",IF(I129="","PENDENTE",IF(OR(ISNUMBER(SEARCH("SEM MOV",UPPER(I129&amp;""))),ISNUMBER(SEARCH("SEM I.E",UPPER(I129&amp;""))),ISNUMBER(SEARCH("SEM IE",UPPER(I129&amp;"")))),"DISPENSADO","ALERTA")))</x:f>
        <x:v>PENDENTE</x:v>
      </x:c>
      <x:c r="U129" s="49" t="str">
        <x:f>IF(OR(K129="x",ISNUMBER(K129),ISNUMBER(SEARCH("OK",UPPER(K129&amp;""))),ISNUMBER(SEARCH("JÁ",UPPER(K129&amp;""))),ISNUMBER(SEARCH("JA ",UPPER(K129&amp;"")))),"OK",IF(K129="","PENDENTE",IF(OR(ISNUMBER(SEARCH("SEM MOV",UPPER(K129&amp;""))),ISNUMBER(SEARCH("SEM I.E",UPPER(K129&amp;""))),ISNUMBER(SEARCH("SEM IE",UPPER(K129&amp;"")))),"DISPENSADO","ALERTA")))</x:f>
        <x:v>PENDENTE</x:v>
      </x:c>
      <x:c r="V129" s="49" t="str">
        <x:f>IF(OR(M129="x",ISNUMBER(M129),ISNUMBER(SEARCH("OK",UPPER(M129&amp;""))),ISNUMBER(SEARCH("JÁ",UPPER(M129&amp;""))),ISNUMBER(SEARCH("JA ",UPPER(M129&amp;"")))),"OK",IF(M129="","PENDENTE",IF(OR(ISNUMBER(SEARCH("SEM MOV",UPPER(M129&amp;""))),ISNUMBER(SEARCH("SEM I.E",UPPER(M129&amp;""))),ISNUMBER(SEARCH("SEM IE",UPPER(M129&amp;"")))),"DISPENSADO","ALERTA")))</x:f>
        <x:v>ALERTA</x:v>
      </x:c>
      <x:c r="W129" s="49" t="str">
        <x:f>IF(OR(O129="x",ISNUMBER(O129),ISNUMBER(SEARCH("OK",UPPER(O129&amp;""))),ISNUMBER(SEARCH("JÁ",UPPER(O129&amp;""))),ISNUMBER(SEARCH("JA ",UPPER(O129&amp;"")))),"OK",IF(O129="","PENDENTE",IF(OR(ISNUMBER(SEARCH("SEM MOV",UPPER(O129&amp;""))),ISNUMBER(SEARCH("SEM I.E",UPPER(O129&amp;""))),ISNUMBER(SEARCH("SEM IE",UPPER(O129&amp;"")))),"DISPENSADO","ALERTA")))</x:f>
        <x:v>OK</x:v>
      </x:c>
      <x:c r="X129" s="49" t="str">
        <x:f>IF(Q129&lt;&gt;"","SIM","NÃO")</x:f>
        <x:v>NÃO</x:v>
      </x:c>
      <x:c r="Y129" s="49" t="str">
        <x:f>IF(R129&lt;&gt;"","SIM","NÃO")</x:f>
        <x:v>NÃO</x:v>
      </x:c>
      <x:c r="Z129" s="49" t="str">
        <x:f>IF(OR(H129="A",V129="ALERTA",W129="ALERTA",T129="ALERTA",U129="ALERTA"),"ALTO",IF(OR(T129="PENDENTE",U129="PENDENTE",V129="PENDENTE",W129="PENDENTE"),"MÉDIO","BAIXO"))</x:f>
        <x:v>ALTO</x:v>
      </x:c>
      <x:c r="AA129" s="49" t="str">
        <x:f>IF(Z129="ALTO","Resolver certificado/permissão/CNPJ/status antes da rotina",IF(Z129="MÉDIO","Completar pasta/status pendente","Rotina regular"))</x:f>
        <x:v>Resolver certificado/permissão/CNPJ/status antes da rotina</x:v>
      </x:c>
    </x:row>
    <x:row r="130">
      <x:c r="A130" s="61" t="str">
        <x:v>BRAMOVI COOPERATIVA</x:v>
      </x:c>
      <x:c r="B130" s="49" t="str">
        <x:v>AGROBOM</x:v>
      </x:c>
      <x:c r="C130" s="49" t="str">
        <x:v>GOIANIA</x:v>
      </x:c>
      <x:c r="D130" s="49" t="str">
        <x:v>65.947.042/0001-80</x:v>
      </x:c>
      <x:c r="E130" s="49"/>
      <x:c r="F130" s="49" t="str">
        <x:v>YARA GUERRA</x:v>
      </x:c>
      <x:c r="G130" s="49" t="str">
        <x:v>LUCRO REAL</x:v>
      </x:c>
      <x:c r="H130" s="49" t="str">
        <x:v>B</x:v>
      </x:c>
      <x:c r="I130" s="54"/>
      <x:c r="J130" s="49"/>
      <x:c r="K130" s="54"/>
      <x:c r="L130" s="49"/>
      <x:c r="M130" s="54" t="str">
        <x:v>SEM MOVIMENTO</x:v>
      </x:c>
      <x:c r="N130" s="49"/>
      <x:c r="O130" s="54" t="str">
        <x:v>SEM RESULTADOS</x:v>
      </x:c>
      <x:c r="P130" s="49"/>
      <x:c r="Q130" s="57"/>
      <x:c r="R130" s="57"/>
      <x:c r="S130" s="57"/>
      <x:c r="T130" s="49" t="str">
        <x:f>IF(OR(I130="x",ISNUMBER(I130),ISNUMBER(SEARCH("OK",UPPER(I130&amp;""))),ISNUMBER(SEARCH("JÁ",UPPER(I130&amp;""))),ISNUMBER(SEARCH("JA ",UPPER(I130&amp;"")))),"OK",IF(I130="","PENDENTE",IF(OR(ISNUMBER(SEARCH("SEM MOV",UPPER(I130&amp;""))),ISNUMBER(SEARCH("SEM I.E",UPPER(I130&amp;""))),ISNUMBER(SEARCH("SEM IE",UPPER(I130&amp;"")))),"DISPENSADO","ALERTA")))</x:f>
        <x:v>PENDENTE</x:v>
      </x:c>
      <x:c r="U130" s="49" t="str">
        <x:f>IF(OR(K130="x",ISNUMBER(K130),ISNUMBER(SEARCH("OK",UPPER(K130&amp;""))),ISNUMBER(SEARCH("JÁ",UPPER(K130&amp;""))),ISNUMBER(SEARCH("JA ",UPPER(K130&amp;"")))),"OK",IF(K130="","PENDENTE",IF(OR(ISNUMBER(SEARCH("SEM MOV",UPPER(K130&amp;""))),ISNUMBER(SEARCH("SEM I.E",UPPER(K130&amp;""))),ISNUMBER(SEARCH("SEM IE",UPPER(K130&amp;"")))),"DISPENSADO","ALERTA")))</x:f>
        <x:v>PENDENTE</x:v>
      </x:c>
      <x:c r="V130" s="49" t="str">
        <x:f>IF(OR(M130="x",ISNUMBER(M130),ISNUMBER(SEARCH("OK",UPPER(M130&amp;""))),ISNUMBER(SEARCH("JÁ",UPPER(M130&amp;""))),ISNUMBER(SEARCH("JA ",UPPER(M130&amp;"")))),"OK",IF(M130="","PENDENTE",IF(OR(ISNUMBER(SEARCH("SEM MOV",UPPER(M130&amp;""))),ISNUMBER(SEARCH("SEM I.E",UPPER(M130&amp;""))),ISNUMBER(SEARCH("SEM IE",UPPER(M130&amp;"")))),"DISPENSADO","ALERTA")))</x:f>
        <x:v>DISPENSADO</x:v>
      </x:c>
      <x:c r="W130" s="49" t="str">
        <x:f>IF(OR(O130="x",ISNUMBER(O130),ISNUMBER(SEARCH("OK",UPPER(O130&amp;""))),ISNUMBER(SEARCH("JÁ",UPPER(O130&amp;""))),ISNUMBER(SEARCH("JA ",UPPER(O130&amp;"")))),"OK",IF(O130="","PENDENTE",IF(OR(ISNUMBER(SEARCH("SEM MOV",UPPER(O130&amp;""))),ISNUMBER(SEARCH("SEM I.E",UPPER(O130&amp;""))),ISNUMBER(SEARCH("SEM IE",UPPER(O130&amp;"")))),"DISPENSADO","ALERTA")))</x:f>
        <x:v>ALERTA</x:v>
      </x:c>
      <x:c r="X130" s="49" t="str">
        <x:f>IF(Q130&lt;&gt;"","SIM","NÃO")</x:f>
        <x:v>NÃO</x:v>
      </x:c>
      <x:c r="Y130" s="49" t="str">
        <x:f>IF(R130&lt;&gt;"","SIM","NÃO")</x:f>
        <x:v>NÃO</x:v>
      </x:c>
      <x:c r="Z130" s="49" t="str">
        <x:f>IF(OR(H130="A",V130="ALERTA",W130="ALERTA",T130="ALERTA",U130="ALERTA"),"ALTO",IF(OR(T130="PENDENTE",U130="PENDENTE",V130="PENDENTE",W130="PENDENTE"),"MÉDIO","BAIXO"))</x:f>
        <x:v>ALTO</x:v>
      </x:c>
      <x:c r="AA130" s="49" t="str">
        <x:f>IF(Z130="ALTO","Resolver certificado/permissão/CNPJ/status antes da rotina",IF(Z130="MÉDIO","Completar pasta/status pendente","Rotina regular"))</x:f>
        <x:v>Resolver certificado/permissão/CNPJ/status antes da rotina</x:v>
      </x:c>
    </x:row>
    <x:row r="131">
      <x:c r="A131" s="61" t="str">
        <x:v>MATEUS SOARES ADVOCACIA</x:v>
      </x:c>
      <x:c r="B131" s="49" t="str">
        <x:v>INDEPENDENTE</x:v>
      </x:c>
      <x:c r="C131" s="49" t="str">
        <x:v>GOIANIA</x:v>
      </x:c>
      <x:c r="D131" s="49" t="str">
        <x:v>65.738.806/000127</x:v>
      </x:c>
      <x:c r="E131" s="49"/>
      <x:c r="F131" s="49" t="str">
        <x:v>FERNANDA</x:v>
      </x:c>
      <x:c r="G131" s="49" t="str">
        <x:v>SIMPLES NACIONAL</x:v>
      </x:c>
      <x:c r="H131" s="49" t="str">
        <x:v>B</x:v>
      </x:c>
      <x:c r="I131" s="54"/>
      <x:c r="J131" s="49"/>
      <x:c r="K131" s="54"/>
      <x:c r="L131" s="49"/>
      <x:c r="M131" s="54" t="str">
        <x:v>SEM I.E.</x:v>
      </x:c>
      <x:c r="N131" s="49"/>
      <x:c r="O131" s="54" t="str">
        <x:v>Ñ FIZ</x:v>
      </x:c>
      <x:c r="P131" s="49"/>
      <x:c r="Q131" s="57"/>
      <x:c r="R131" s="57"/>
      <x:c r="S131" s="57"/>
      <x:c r="T131" s="49" t="str">
        <x:f>IF(OR(I131="x",ISNUMBER(I131),ISNUMBER(SEARCH("OK",UPPER(I131&amp;""))),ISNUMBER(SEARCH("JÁ",UPPER(I131&amp;""))),ISNUMBER(SEARCH("JA ",UPPER(I131&amp;"")))),"OK",IF(I131="","PENDENTE",IF(OR(ISNUMBER(SEARCH("SEM MOV",UPPER(I131&amp;""))),ISNUMBER(SEARCH("SEM I.E",UPPER(I131&amp;""))),ISNUMBER(SEARCH("SEM IE",UPPER(I131&amp;"")))),"DISPENSADO","ALERTA")))</x:f>
        <x:v>PENDENTE</x:v>
      </x:c>
      <x:c r="U131" s="49" t="str">
        <x:f>IF(OR(K131="x",ISNUMBER(K131),ISNUMBER(SEARCH("OK",UPPER(K131&amp;""))),ISNUMBER(SEARCH("JÁ",UPPER(K131&amp;""))),ISNUMBER(SEARCH("JA ",UPPER(K131&amp;"")))),"OK",IF(K131="","PENDENTE",IF(OR(ISNUMBER(SEARCH("SEM MOV",UPPER(K131&amp;""))),ISNUMBER(SEARCH("SEM I.E",UPPER(K131&amp;""))),ISNUMBER(SEARCH("SEM IE",UPPER(K131&amp;"")))),"DISPENSADO","ALERTA")))</x:f>
        <x:v>PENDENTE</x:v>
      </x:c>
      <x:c r="V131" s="49" t="str">
        <x:f>IF(OR(M131="x",ISNUMBER(M131),ISNUMBER(SEARCH("OK",UPPER(M131&amp;""))),ISNUMBER(SEARCH("JÁ",UPPER(M131&amp;""))),ISNUMBER(SEARCH("JA ",UPPER(M131&amp;"")))),"OK",IF(M131="","PENDENTE",IF(OR(ISNUMBER(SEARCH("SEM MOV",UPPER(M131&amp;""))),ISNUMBER(SEARCH("SEM I.E",UPPER(M131&amp;""))),ISNUMBER(SEARCH("SEM IE",UPPER(M131&amp;"")))),"DISPENSADO","ALERTA")))</x:f>
        <x:v>DISPENSADO</x:v>
      </x:c>
      <x:c r="W131" s="49" t="str">
        <x:f>IF(OR(O131="x",ISNUMBER(O131),ISNUMBER(SEARCH("OK",UPPER(O131&amp;""))),ISNUMBER(SEARCH("JÁ",UPPER(O131&amp;""))),ISNUMBER(SEARCH("JA ",UPPER(O131&amp;"")))),"OK",IF(O131="","PENDENTE",IF(OR(ISNUMBER(SEARCH("SEM MOV",UPPER(O131&amp;""))),ISNUMBER(SEARCH("SEM I.E",UPPER(O131&amp;""))),ISNUMBER(SEARCH("SEM IE",UPPER(O131&amp;"")))),"DISPENSADO","ALERTA")))</x:f>
        <x:v>ALERTA</x:v>
      </x:c>
      <x:c r="X131" s="49" t="str">
        <x:f>IF(Q131&lt;&gt;"","SIM","NÃO")</x:f>
        <x:v>NÃO</x:v>
      </x:c>
      <x:c r="Y131" s="49" t="str">
        <x:f>IF(R131&lt;&gt;"","SIM","NÃO")</x:f>
        <x:v>NÃO</x:v>
      </x:c>
      <x:c r="Z131" s="49" t="str">
        <x:f>IF(OR(H131="A",V131="ALERTA",W131="ALERTA",T131="ALERTA",U131="ALERTA"),"ALTO",IF(OR(T131="PENDENTE",U131="PENDENTE",V131="PENDENTE",W131="PENDENTE"),"MÉDIO","BAIXO"))</x:f>
        <x:v>ALTO</x:v>
      </x:c>
      <x:c r="AA131" s="49" t="str">
        <x:f>IF(Z131="ALTO","Resolver certificado/permissão/CNPJ/status antes da rotina",IF(Z131="MÉDIO","Completar pasta/status pendente","Rotina regular"))</x:f>
        <x:v>Resolver certificado/permissão/CNPJ/status antes da rotina</x:v>
      </x:c>
    </x:row>
    <x:row r="132">
      <x:c r="A132" s="61" t="str">
        <x:v>TRADICAO INDUSTRIA LTDA FILIAL I</x:v>
      </x:c>
      <x:c r="B132" s="49" t="str">
        <x:v>AGRONOVA</x:v>
      </x:c>
      <x:c r="C132" s="49" t="str">
        <x:v>SANTA CATARINA</x:v>
      </x:c>
      <x:c r="D132" s="49" t="str">
        <x:v>59.979.461/0002-81</x:v>
      </x:c>
      <x:c r="E132" s="49"/>
      <x:c r="F132" s="49"/>
      <x:c r="G132" s="49" t="str">
        <x:v>LUCRO REAL</x:v>
      </x:c>
      <x:c r="H132" s="49"/>
      <x:c r="I132" s="54"/>
      <x:c r="J132" s="49"/>
      <x:c r="K132" s="54"/>
      <x:c r="L132" s="49"/>
      <x:c r="M132" s="54" t="str">
        <x:v>CNPJ DIFERENTE</x:v>
      </x:c>
      <x:c r="N132" s="49" t="str">
        <x:v>SC</x:v>
      </x:c>
      <x:c r="O132" s="54" t="str">
        <x:v>OK 04/03</x:v>
      </x:c>
      <x:c r="P132" s="49"/>
      <x:c r="Q132" s="57"/>
      <x:c r="R132" s="57"/>
      <x:c r="S132" s="57"/>
      <x:c r="T132" s="49" t="str">
        <x:f>IF(OR(I132="x",ISNUMBER(I132),ISNUMBER(SEARCH("OK",UPPER(I132&amp;""))),ISNUMBER(SEARCH("JÁ",UPPER(I132&amp;""))),ISNUMBER(SEARCH("JA ",UPPER(I132&amp;"")))),"OK",IF(I132="","PENDENTE",IF(OR(ISNUMBER(SEARCH("SEM MOV",UPPER(I132&amp;""))),ISNUMBER(SEARCH("SEM I.E",UPPER(I132&amp;""))),ISNUMBER(SEARCH("SEM IE",UPPER(I132&amp;"")))),"DISPENSADO","ALERTA")))</x:f>
        <x:v>PENDENTE</x:v>
      </x:c>
      <x:c r="U132" s="49" t="str">
        <x:f>IF(OR(K132="x",ISNUMBER(K132),ISNUMBER(SEARCH("OK",UPPER(K132&amp;""))),ISNUMBER(SEARCH("JÁ",UPPER(K132&amp;""))),ISNUMBER(SEARCH("JA ",UPPER(K132&amp;"")))),"OK",IF(K132="","PENDENTE",IF(OR(ISNUMBER(SEARCH("SEM MOV",UPPER(K132&amp;""))),ISNUMBER(SEARCH("SEM I.E",UPPER(K132&amp;""))),ISNUMBER(SEARCH("SEM IE",UPPER(K132&amp;"")))),"DISPENSADO","ALERTA")))</x:f>
        <x:v>PENDENTE</x:v>
      </x:c>
      <x:c r="V132" s="49" t="str">
        <x:f>IF(OR(M132="x",ISNUMBER(M132),ISNUMBER(SEARCH("OK",UPPER(M132&amp;""))),ISNUMBER(SEARCH("JÁ",UPPER(M132&amp;""))),ISNUMBER(SEARCH("JA ",UPPER(M132&amp;"")))),"OK",IF(M132="","PENDENTE",IF(OR(ISNUMBER(SEARCH("SEM MOV",UPPER(M132&amp;""))),ISNUMBER(SEARCH("SEM I.E",UPPER(M132&amp;""))),ISNUMBER(SEARCH("SEM IE",UPPER(M132&amp;"")))),"DISPENSADO","ALERTA")))</x:f>
        <x:v>ALERTA</x:v>
      </x:c>
      <x:c r="W132" s="49" t="str">
        <x:f>IF(OR(O132="x",ISNUMBER(O132),ISNUMBER(SEARCH("OK",UPPER(O132&amp;""))),ISNUMBER(SEARCH("JÁ",UPPER(O132&amp;""))),ISNUMBER(SEARCH("JA ",UPPER(O132&amp;"")))),"OK",IF(O132="","PENDENTE",IF(OR(ISNUMBER(SEARCH("SEM MOV",UPPER(O132&amp;""))),ISNUMBER(SEARCH("SEM I.E",UPPER(O132&amp;""))),ISNUMBER(SEARCH("SEM IE",UPPER(O132&amp;"")))),"DISPENSADO","ALERTA")))</x:f>
        <x:v>OK</x:v>
      </x:c>
      <x:c r="X132" s="49" t="str">
        <x:f>IF(Q132&lt;&gt;"","SIM","NÃO")</x:f>
        <x:v>NÃO</x:v>
      </x:c>
      <x:c r="Y132" s="49" t="str">
        <x:f>IF(R132&lt;&gt;"","SIM","NÃO")</x:f>
        <x:v>NÃO</x:v>
      </x:c>
      <x:c r="Z132" s="49" t="str">
        <x:f>IF(OR(H132="A",V132="ALERTA",W132="ALERTA",T132="ALERTA",U132="ALERTA"),"ALTO",IF(OR(T132="PENDENTE",U132="PENDENTE",V132="PENDENTE",W132="PENDENTE"),"MÉDIO","BAIXO"))</x:f>
        <x:v>ALTO</x:v>
      </x:c>
      <x:c r="AA132" s="49" t="str">
        <x:f>IF(Z132="ALTO","Resolver certificado/permissão/CNPJ/status antes da rotina",IF(Z132="MÉDIO","Completar pasta/status pendente","Rotina regular"))</x:f>
        <x:v>Resolver certificado/permissão/CNPJ/status antes da rotina</x:v>
      </x:c>
    </x:row>
    <x:row r="133">
      <x:c r="A133" s="61" t="str">
        <x:v>TRADIÇÃO DISTRIBUIDORA</x:v>
      </x:c>
      <x:c r="B133" s="49" t="str">
        <x:v>AGRONOVA</x:v>
      </x:c>
      <x:c r="C133" s="49" t="str">
        <x:v>SANTA CATARINA</x:v>
      </x:c>
      <x:c r="D133" s="49" t="str">
        <x:v>66.032.594/0001-20</x:v>
      </x:c>
      <x:c r="E133" s="49"/>
      <x:c r="F133" s="49" t="str">
        <x:v>CLEUBER</x:v>
      </x:c>
      <x:c r="G133" s="49" t="str">
        <x:v>LUCRO REAL - EM CONST</x:v>
      </x:c>
      <x:c r="H133" s="49"/>
      <x:c r="I133" s="54"/>
      <x:c r="J133" s="49"/>
      <x:c r="K133" s="54"/>
      <x:c r="L133" s="49"/>
      <x:c r="M133" s="54" t="str">
        <x:v>CNPJ DIFERENTE</x:v>
      </x:c>
      <x:c r="N133" s="49" t="str">
        <x:v>SC</x:v>
      </x:c>
      <x:c r="O133" s="54" t="str">
        <x:v>Ñ FIZ</x:v>
      </x:c>
      <x:c r="P133" s="49"/>
      <x:c r="Q133" s="57"/>
      <x:c r="R133" s="57"/>
      <x:c r="S133" s="57"/>
      <x:c r="T133" s="49" t="str">
        <x:f>IF(OR(I133="x",ISNUMBER(I133),ISNUMBER(SEARCH("OK",UPPER(I133&amp;""))),ISNUMBER(SEARCH("JÁ",UPPER(I133&amp;""))),ISNUMBER(SEARCH("JA ",UPPER(I133&amp;"")))),"OK",IF(I133="","PENDENTE",IF(OR(ISNUMBER(SEARCH("SEM MOV",UPPER(I133&amp;""))),ISNUMBER(SEARCH("SEM I.E",UPPER(I133&amp;""))),ISNUMBER(SEARCH("SEM IE",UPPER(I133&amp;"")))),"DISPENSADO","ALERTA")))</x:f>
        <x:v>PENDENTE</x:v>
      </x:c>
      <x:c r="U133" s="49" t="str">
        <x:f>IF(OR(K133="x",ISNUMBER(K133),ISNUMBER(SEARCH("OK",UPPER(K133&amp;""))),ISNUMBER(SEARCH("JÁ",UPPER(K133&amp;""))),ISNUMBER(SEARCH("JA ",UPPER(K133&amp;"")))),"OK",IF(K133="","PENDENTE",IF(OR(ISNUMBER(SEARCH("SEM MOV",UPPER(K133&amp;""))),ISNUMBER(SEARCH("SEM I.E",UPPER(K133&amp;""))),ISNUMBER(SEARCH("SEM IE",UPPER(K133&amp;"")))),"DISPENSADO","ALERTA")))</x:f>
        <x:v>PENDENTE</x:v>
      </x:c>
      <x:c r="V133" s="49" t="str">
        <x:f>IF(OR(M133="x",ISNUMBER(M133),ISNUMBER(SEARCH("OK",UPPER(M133&amp;""))),ISNUMBER(SEARCH("JÁ",UPPER(M133&amp;""))),ISNUMBER(SEARCH("JA ",UPPER(M133&amp;"")))),"OK",IF(M133="","PENDENTE",IF(OR(ISNUMBER(SEARCH("SEM MOV",UPPER(M133&amp;""))),ISNUMBER(SEARCH("SEM I.E",UPPER(M133&amp;""))),ISNUMBER(SEARCH("SEM IE",UPPER(M133&amp;"")))),"DISPENSADO","ALERTA")))</x:f>
        <x:v>ALERTA</x:v>
      </x:c>
      <x:c r="W133" s="49" t="str">
        <x:f>IF(OR(O133="x",ISNUMBER(O133),ISNUMBER(SEARCH("OK",UPPER(O133&amp;""))),ISNUMBER(SEARCH("JÁ",UPPER(O133&amp;""))),ISNUMBER(SEARCH("JA ",UPPER(O133&amp;"")))),"OK",IF(O133="","PENDENTE",IF(OR(ISNUMBER(SEARCH("SEM MOV",UPPER(O133&amp;""))),ISNUMBER(SEARCH("SEM I.E",UPPER(O133&amp;""))),ISNUMBER(SEARCH("SEM IE",UPPER(O133&amp;"")))),"DISPENSADO","ALERTA")))</x:f>
        <x:v>ALERTA</x:v>
      </x:c>
      <x:c r="X133" s="49" t="str">
        <x:f>IF(Q133&lt;&gt;"","SIM","NÃO")</x:f>
        <x:v>NÃO</x:v>
      </x:c>
      <x:c r="Y133" s="49" t="str">
        <x:f>IF(R133&lt;&gt;"","SIM","NÃO")</x:f>
        <x:v>NÃO</x:v>
      </x:c>
      <x:c r="Z133" s="49" t="str">
        <x:f>IF(OR(H133="A",V133="ALERTA",W133="ALERTA",T133="ALERTA",U133="ALERTA"),"ALTO",IF(OR(T133="PENDENTE",U133="PENDENTE",V133="PENDENTE",W133="PENDENTE"),"MÉDIO","BAIXO"))</x:f>
        <x:v>ALTO</x:v>
      </x:c>
      <x:c r="AA133" s="49" t="str">
        <x:f>IF(Z133="ALTO","Resolver certificado/permissão/CNPJ/status antes da rotina",IF(Z133="MÉDIO","Completar pasta/status pendente","Rotina regular"))</x:f>
        <x:v>Resolver certificado/permissão/CNPJ/status antes da rotina</x:v>
      </x:c>
    </x:row>
    <x:row r="134">
      <x:c r="A134" s="61" t="str">
        <x:v>MK SERVICE LTDA</x:v>
      </x:c>
      <x:c r="B134" s="49" t="str">
        <x:v>AGRONOVA</x:v>
      </x:c>
      <x:c r="C134" s="49" t="str">
        <x:v>SANTA CATARINA</x:v>
      </x:c>
      <x:c r="D134" s="49" t="str">
        <x:v>66.031.629/0001-07</x:v>
      </x:c>
      <x:c r="E134" s="49"/>
      <x:c r="F134" s="49" t="str">
        <x:v>CLEUBER</x:v>
      </x:c>
      <x:c r="G134" s="49" t="str">
        <x:v>LUCRO REAL - EM CONST</x:v>
      </x:c>
      <x:c r="H134" s="49"/>
      <x:c r="I134" s="54"/>
      <x:c r="J134" s="49"/>
      <x:c r="K134" s="54"/>
      <x:c r="L134" s="49"/>
      <x:c r="M134" s="54" t="str">
        <x:v>SEM I.E.</x:v>
      </x:c>
      <x:c r="N134" s="49" t="str">
        <x:v>SC</x:v>
      </x:c>
      <x:c r="O134" s="54" t="str">
        <x:v>Ñ FIZ</x:v>
      </x:c>
      <x:c r="P134" s="49"/>
      <x:c r="Q134" s="57"/>
      <x:c r="R134" s="57"/>
      <x:c r="S134" s="57"/>
      <x:c r="T134" s="49" t="str">
        <x:f>IF(OR(I134="x",ISNUMBER(I134),ISNUMBER(SEARCH("OK",UPPER(I134&amp;""))),ISNUMBER(SEARCH("JÁ",UPPER(I134&amp;""))),ISNUMBER(SEARCH("JA ",UPPER(I134&amp;"")))),"OK",IF(I134="","PENDENTE",IF(OR(ISNUMBER(SEARCH("SEM MOV",UPPER(I134&amp;""))),ISNUMBER(SEARCH("SEM I.E",UPPER(I134&amp;""))),ISNUMBER(SEARCH("SEM IE",UPPER(I134&amp;"")))),"DISPENSADO","ALERTA")))</x:f>
        <x:v>PENDENTE</x:v>
      </x:c>
      <x:c r="U134" s="49" t="str">
        <x:f>IF(OR(K134="x",ISNUMBER(K134),ISNUMBER(SEARCH("OK",UPPER(K134&amp;""))),ISNUMBER(SEARCH("JÁ",UPPER(K134&amp;""))),ISNUMBER(SEARCH("JA ",UPPER(K134&amp;"")))),"OK",IF(K134="","PENDENTE",IF(OR(ISNUMBER(SEARCH("SEM MOV",UPPER(K134&amp;""))),ISNUMBER(SEARCH("SEM I.E",UPPER(K134&amp;""))),ISNUMBER(SEARCH("SEM IE",UPPER(K134&amp;"")))),"DISPENSADO","ALERTA")))</x:f>
        <x:v>PENDENTE</x:v>
      </x:c>
      <x:c r="V134" s="49" t="str">
        <x:f>IF(OR(M134="x",ISNUMBER(M134),ISNUMBER(SEARCH("OK",UPPER(M134&amp;""))),ISNUMBER(SEARCH("JÁ",UPPER(M134&amp;""))),ISNUMBER(SEARCH("JA ",UPPER(M134&amp;"")))),"OK",IF(M134="","PENDENTE",IF(OR(ISNUMBER(SEARCH("SEM MOV",UPPER(M134&amp;""))),ISNUMBER(SEARCH("SEM I.E",UPPER(M134&amp;""))),ISNUMBER(SEARCH("SEM IE",UPPER(M134&amp;"")))),"DISPENSADO","ALERTA")))</x:f>
        <x:v>DISPENSADO</x:v>
      </x:c>
      <x:c r="W134" s="49" t="str">
        <x:f>IF(OR(O134="x",ISNUMBER(O134),ISNUMBER(SEARCH("OK",UPPER(O134&amp;""))),ISNUMBER(SEARCH("JÁ",UPPER(O134&amp;""))),ISNUMBER(SEARCH("JA ",UPPER(O134&amp;"")))),"OK",IF(O134="","PENDENTE",IF(OR(ISNUMBER(SEARCH("SEM MOV",UPPER(O134&amp;""))),ISNUMBER(SEARCH("SEM I.E",UPPER(O134&amp;""))),ISNUMBER(SEARCH("SEM IE",UPPER(O134&amp;"")))),"DISPENSADO","ALERTA")))</x:f>
        <x:v>ALERTA</x:v>
      </x:c>
      <x:c r="X134" s="49" t="str">
        <x:f>IF(Q134&lt;&gt;"","SIM","NÃO")</x:f>
        <x:v>NÃO</x:v>
      </x:c>
      <x:c r="Y134" s="49" t="str">
        <x:f>IF(R134&lt;&gt;"","SIM","NÃO")</x:f>
        <x:v>NÃO</x:v>
      </x:c>
      <x:c r="Z134" s="49" t="str">
        <x:f>IF(OR(H134="A",V134="ALERTA",W134="ALERTA",T134="ALERTA",U134="ALERTA"),"ALTO",IF(OR(T134="PENDENTE",U134="PENDENTE",V134="PENDENTE",W134="PENDENTE"),"MÉDIO","BAIXO"))</x:f>
        <x:v>ALTO</x:v>
      </x:c>
      <x:c r="AA134" s="49" t="str">
        <x:f>IF(Z134="ALTO","Resolver certificado/permissão/CNPJ/status antes da rotina",IF(Z134="MÉDIO","Completar pasta/status pendente","Rotina regular"))</x:f>
        <x:v>Resolver certificado/permissão/CNPJ/status antes da rotina</x:v>
      </x:c>
    </x:row>
    <x:row r="135">
      <x:c r="A135" s="61" t="str">
        <x:v>SÃO PATRICIO SERVICE</x:v>
      </x:c>
      <x:c r="B135" s="49" t="str">
        <x:v>GRUPO ELETRO VALLE</x:v>
      </x:c>
      <x:c r="C135" s="49"/>
      <x:c r="D135" s="49"/>
      <x:c r="E135" s="49"/>
      <x:c r="F135" s="49" t="str">
        <x:v>LEIDIANE/ROGÉRIO</x:v>
      </x:c>
      <x:c r="G135" s="49" t="str">
        <x:v>SIMPLES NACIONAL</x:v>
      </x:c>
      <x:c r="H135" s="49"/>
      <x:c r="I135" s="54"/>
      <x:c r="J135" s="49"/>
      <x:c r="K135" s="54"/>
      <x:c r="L135" s="49"/>
      <x:c r="M135" s="54" t="str">
        <x:v>Ñ FIZ</x:v>
      </x:c>
      <x:c r="N135" s="49"/>
      <x:c r="O135" s="54" t="str">
        <x:v>SEM RESULTADOS</x:v>
      </x:c>
      <x:c r="P135" s="49"/>
      <x:c r="Q135" s="57"/>
      <x:c r="R135" s="57"/>
      <x:c r="S135" s="57"/>
      <x:c r="T135" s="49" t="str">
        <x:f>IF(OR(I135="x",ISNUMBER(I135),ISNUMBER(SEARCH("OK",UPPER(I135&amp;""))),ISNUMBER(SEARCH("JÁ",UPPER(I135&amp;""))),ISNUMBER(SEARCH("JA ",UPPER(I135&amp;"")))),"OK",IF(I135="","PENDENTE",IF(OR(ISNUMBER(SEARCH("SEM MOV",UPPER(I135&amp;""))),ISNUMBER(SEARCH("SEM I.E",UPPER(I135&amp;""))),ISNUMBER(SEARCH("SEM IE",UPPER(I135&amp;"")))),"DISPENSADO","ALERTA")))</x:f>
        <x:v>PENDENTE</x:v>
      </x:c>
      <x:c r="U135" s="49" t="str">
        <x:f>IF(OR(K135="x",ISNUMBER(K135),ISNUMBER(SEARCH("OK",UPPER(K135&amp;""))),ISNUMBER(SEARCH("JÁ",UPPER(K135&amp;""))),ISNUMBER(SEARCH("JA ",UPPER(K135&amp;"")))),"OK",IF(K135="","PENDENTE",IF(OR(ISNUMBER(SEARCH("SEM MOV",UPPER(K135&amp;""))),ISNUMBER(SEARCH("SEM I.E",UPPER(K135&amp;""))),ISNUMBER(SEARCH("SEM IE",UPPER(K135&amp;"")))),"DISPENSADO","ALERTA")))</x:f>
        <x:v>PENDENTE</x:v>
      </x:c>
      <x:c r="V135" s="49" t="str">
        <x:f>IF(OR(M135="x",ISNUMBER(M135),ISNUMBER(SEARCH("OK",UPPER(M135&amp;""))),ISNUMBER(SEARCH("JÁ",UPPER(M135&amp;""))),ISNUMBER(SEARCH("JA ",UPPER(M135&amp;"")))),"OK",IF(M135="","PENDENTE",IF(OR(ISNUMBER(SEARCH("SEM MOV",UPPER(M135&amp;""))),ISNUMBER(SEARCH("SEM I.E",UPPER(M135&amp;""))),ISNUMBER(SEARCH("SEM IE",UPPER(M135&amp;"")))),"DISPENSADO","ALERTA")))</x:f>
        <x:v>ALERTA</x:v>
      </x:c>
      <x:c r="W135" s="49" t="str">
        <x:f>IF(OR(O135="x",ISNUMBER(O135),ISNUMBER(SEARCH("OK",UPPER(O135&amp;""))),ISNUMBER(SEARCH("JÁ",UPPER(O135&amp;""))),ISNUMBER(SEARCH("JA ",UPPER(O135&amp;"")))),"OK",IF(O135="","PENDENTE",IF(OR(ISNUMBER(SEARCH("SEM MOV",UPPER(O135&amp;""))),ISNUMBER(SEARCH("SEM I.E",UPPER(O135&amp;""))),ISNUMBER(SEARCH("SEM IE",UPPER(O135&amp;"")))),"DISPENSADO","ALERTA")))</x:f>
        <x:v>ALERTA</x:v>
      </x:c>
      <x:c r="X135" s="49" t="str">
        <x:f>IF(Q135&lt;&gt;"","SIM","NÃO")</x:f>
        <x:v>NÃO</x:v>
      </x:c>
      <x:c r="Y135" s="49" t="str">
        <x:f>IF(R135&lt;&gt;"","SIM","NÃO")</x:f>
        <x:v>NÃO</x:v>
      </x:c>
      <x:c r="Z135" s="49" t="str">
        <x:f>IF(OR(H135="A",V135="ALERTA",W135="ALERTA",T135="ALERTA",U135="ALERTA"),"ALTO",IF(OR(T135="PENDENTE",U135="PENDENTE",V135="PENDENTE",W135="PENDENTE"),"MÉDIO","BAIXO"))</x:f>
        <x:v>ALTO</x:v>
      </x:c>
      <x:c r="AA135" s="49" t="str">
        <x:f>IF(Z135="ALTO","Resolver certificado/permissão/CNPJ/status antes da rotina",IF(Z135="MÉDIO","Completar pasta/status pendente","Rotina regular"))</x:f>
        <x:v>Resolver certificado/permissão/CNPJ/status antes da rotina</x:v>
      </x:c>
    </x:row>
    <x:row r="136">
      <x:c r="A136" s="61" t="str">
        <x:v>METALÚRGICA MIRANDA</x:v>
      </x:c>
      <x:c r="B136" s="49" t="str">
        <x:v>INDEPENDENTE</x:v>
      </x:c>
      <x:c r="C136" s="49"/>
      <x:c r="D136" s="49"/>
      <x:c r="E136" s="49"/>
      <x:c r="F136" s="49"/>
      <x:c r="G136" s="49"/>
      <x:c r="H136" s="49"/>
      <x:c r="I136" s="54"/>
      <x:c r="J136" s="49"/>
      <x:c r="K136" s="54"/>
      <x:c r="L136" s="49"/>
      <x:c r="M136" s="54" t="str">
        <x:v>Ñ FIZ</x:v>
      </x:c>
      <x:c r="N136" s="49"/>
      <x:c r="O136" s="54" t="str">
        <x:v>Ñ FIZ</x:v>
      </x:c>
      <x:c r="P136" s="49"/>
      <x:c r="Q136" s="57"/>
      <x:c r="R136" s="57"/>
      <x:c r="S136" s="57"/>
      <x:c r="T136" s="49" t="str">
        <x:f>IF(OR(I136="x",ISNUMBER(I136),ISNUMBER(SEARCH("OK",UPPER(I136&amp;""))),ISNUMBER(SEARCH("JÁ",UPPER(I136&amp;""))),ISNUMBER(SEARCH("JA ",UPPER(I136&amp;"")))),"OK",IF(I136="","PENDENTE",IF(OR(ISNUMBER(SEARCH("SEM MOV",UPPER(I136&amp;""))),ISNUMBER(SEARCH("SEM I.E",UPPER(I136&amp;""))),ISNUMBER(SEARCH("SEM IE",UPPER(I136&amp;"")))),"DISPENSADO","ALERTA")))</x:f>
        <x:v>PENDENTE</x:v>
      </x:c>
      <x:c r="U136" s="49" t="str">
        <x:f>IF(OR(K136="x",ISNUMBER(K136),ISNUMBER(SEARCH("OK",UPPER(K136&amp;""))),ISNUMBER(SEARCH("JÁ",UPPER(K136&amp;""))),ISNUMBER(SEARCH("JA ",UPPER(K136&amp;"")))),"OK",IF(K136="","PENDENTE",IF(OR(ISNUMBER(SEARCH("SEM MOV",UPPER(K136&amp;""))),ISNUMBER(SEARCH("SEM I.E",UPPER(K136&amp;""))),ISNUMBER(SEARCH("SEM IE",UPPER(K136&amp;"")))),"DISPENSADO","ALERTA")))</x:f>
        <x:v>PENDENTE</x:v>
      </x:c>
      <x:c r="V136" s="49" t="str">
        <x:f>IF(OR(M136="x",ISNUMBER(M136),ISNUMBER(SEARCH("OK",UPPER(M136&amp;""))),ISNUMBER(SEARCH("JÁ",UPPER(M136&amp;""))),ISNUMBER(SEARCH("JA ",UPPER(M136&amp;"")))),"OK",IF(M136="","PENDENTE",IF(OR(ISNUMBER(SEARCH("SEM MOV",UPPER(M136&amp;""))),ISNUMBER(SEARCH("SEM I.E",UPPER(M136&amp;""))),ISNUMBER(SEARCH("SEM IE",UPPER(M136&amp;"")))),"DISPENSADO","ALERTA")))</x:f>
        <x:v>ALERTA</x:v>
      </x:c>
      <x:c r="W136" s="49" t="str">
        <x:f>IF(OR(O136="x",ISNUMBER(O136),ISNUMBER(SEARCH("OK",UPPER(O136&amp;""))),ISNUMBER(SEARCH("JÁ",UPPER(O136&amp;""))),ISNUMBER(SEARCH("JA ",UPPER(O136&amp;"")))),"OK",IF(O136="","PENDENTE",IF(OR(ISNUMBER(SEARCH("SEM MOV",UPPER(O136&amp;""))),ISNUMBER(SEARCH("SEM I.E",UPPER(O136&amp;""))),ISNUMBER(SEARCH("SEM IE",UPPER(O136&amp;"")))),"DISPENSADO","ALERTA")))</x:f>
        <x:v>ALERTA</x:v>
      </x:c>
      <x:c r="X136" s="49" t="str">
        <x:f>IF(Q136&lt;&gt;"","SIM","NÃO")</x:f>
        <x:v>NÃO</x:v>
      </x:c>
      <x:c r="Y136" s="49" t="str">
        <x:f>IF(R136&lt;&gt;"","SIM","NÃO")</x:f>
        <x:v>NÃO</x:v>
      </x:c>
      <x:c r="Z136" s="49" t="str">
        <x:f>IF(OR(H136="A",V136="ALERTA",W136="ALERTA",T136="ALERTA",U136="ALERTA"),"ALTO",IF(OR(T136="PENDENTE",U136="PENDENTE",V136="PENDENTE",W136="PENDENTE"),"MÉDIO","BAIXO"))</x:f>
        <x:v>ALTO</x:v>
      </x:c>
      <x:c r="AA136" s="49" t="str">
        <x:f>IF(Z136="ALTO","Resolver certificado/permissão/CNPJ/status antes da rotina",IF(Z136="MÉDIO","Completar pasta/status pendente","Rotina regular"))</x:f>
        <x:v>Resolver certificado/permissão/CNPJ/status antes da rotina</x:v>
      </x:c>
    </x:row>
  </x:sheetData>
  <x:mergeCells>
    <x:mergeCell ref="A1:AA1"/>
    <x:mergeCell ref="A2:AA2"/>
  </x:mergeCells>
  <x:conditionalFormatting sqref="T5:T136">
    <x:cfRule type="expression" dxfId="0" priority="1">
      <x:formula>$T5="OK"</x:formula>
    </x:cfRule>
    <x:cfRule type="expression" dxfId="1" priority="2">
      <x:formula>$T5="PENDENTE"</x:formula>
    </x:cfRule>
    <x:cfRule type="expression" dxfId="2" priority="3">
      <x:formula>$T5="ALERTA"</x:formula>
    </x:cfRule>
    <x:cfRule type="expression" dxfId="3" priority="4">
      <x:formula>$T5="DISPENSADO"</x:formula>
    </x:cfRule>
  </x:conditionalFormatting>
  <x:conditionalFormatting sqref="U5:U136">
    <x:cfRule type="expression" dxfId="4" priority="5">
      <x:formula>$U5="OK"</x:formula>
    </x:cfRule>
    <x:cfRule type="expression" dxfId="5" priority="6">
      <x:formula>$U5="PENDENTE"</x:formula>
    </x:cfRule>
    <x:cfRule type="expression" dxfId="6" priority="7">
      <x:formula>$U5="ALERTA"</x:formula>
    </x:cfRule>
    <x:cfRule type="expression" dxfId="7" priority="8">
      <x:formula>$U5="DISPENSADO"</x:formula>
    </x:cfRule>
  </x:conditionalFormatting>
  <x:conditionalFormatting sqref="V5:V136">
    <x:cfRule type="expression" dxfId="8" priority="9">
      <x:formula>$V5="OK"</x:formula>
    </x:cfRule>
    <x:cfRule type="expression" dxfId="9" priority="10">
      <x:formula>$V5="PENDENTE"</x:formula>
    </x:cfRule>
    <x:cfRule type="expression" dxfId="10" priority="11">
      <x:formula>$V5="ALERTA"</x:formula>
    </x:cfRule>
    <x:cfRule type="expression" dxfId="11" priority="12">
      <x:formula>$V5="DISPENSADO"</x:formula>
    </x:cfRule>
  </x:conditionalFormatting>
  <x:conditionalFormatting sqref="W5:W136">
    <x:cfRule type="expression" dxfId="12" priority="13">
      <x:formula>$W5="OK"</x:formula>
    </x:cfRule>
    <x:cfRule type="expression" dxfId="13" priority="14">
      <x:formula>$W5="PENDENTE"</x:formula>
    </x:cfRule>
    <x:cfRule type="expression" dxfId="14" priority="15">
      <x:formula>$W5="ALERTA"</x:formula>
    </x:cfRule>
    <x:cfRule type="expression" dxfId="15" priority="16">
      <x:formula>$W5="DISPENSADO"</x:formula>
    </x:cfRule>
  </x:conditionalFormatting>
  <x:conditionalFormatting sqref="H5:H136">
    <x:cfRule type="expression" dxfId="16" priority="17">
      <x:formula>$H5="A"</x:formula>
    </x:cfRule>
    <x:cfRule type="expression" dxfId="17" priority="18">
      <x:formula>$H5="B"</x:formula>
    </x:cfRule>
    <x:cfRule type="expression" dxfId="18" priority="19">
      <x:formula>$H5="C"</x:formula>
    </x:cfRule>
  </x:conditionalFormatting>
  <x:conditionalFormatting sqref="Z5:Z136">
    <x:cfRule type="expression" dxfId="19" priority="20">
      <x:formula>$Z5="ALTO"</x:formula>
    </x:cfRule>
    <x:cfRule type="expression" dxfId="20" priority="21">
      <x:formula>$Z5="MÉDIO"</x:formula>
    </x:cfRule>
    <x:cfRule type="expression" dxfId="21" priority="22">
      <x:formula>$Z5="BAIXO"</x:formula>
    </x:cfRule>
  </x:conditionalFormatting>
  <x:dataValidations count="6">
    <x:dataValidation type="list" sqref="H5:H136">
      <x:formula1>CONFIG!$A$2:$A$5</x:formula1>
    </x:dataValidation>
    <x:dataValidation type="list" sqref="G5:G136">
      <x:formula1>CONFIG!$B$2:$B$7</x:formula1>
    </x:dataValidation>
    <x:dataValidation type="list" sqref="T5:T136">
      <x:formula1>CONFIG!$C$2:$C$6</x:formula1>
    </x:dataValidation>
    <x:dataValidation type="list" sqref="U5:U136">
      <x:formula1>CONFIG!$C$2:$C$6</x:formula1>
    </x:dataValidation>
    <x:dataValidation type="list" sqref="V5:V136">
      <x:formula1>CONFIG!$C$2:$C$6</x:formula1>
    </x:dataValidation>
    <x:dataValidation type="list" sqref="W5:W136">
      <x:formula1>CONFIG!$C$2:$C$6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38692ec8fa41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LISTAS DE APOIO</x:v>
      </x:c>
      <x:c r="B1" s="4" t="str">
        <x:v>DESCRIÇÃO</x:v>
      </x:c>
      <x:c r="C1" s="4" t="str">
        <x:v>USO</x:v>
      </x:c>
      <x:c r="D1" s="4"/>
      <x:c r="E1" s="4" t="str">
        <x:v>PALETA VISUAL</x:v>
      </x:c>
      <x:c r="F1" s="4" t="str">
        <x:v>HEX</x:v>
      </x:c>
      <x:c r="G1" s="4"/>
      <x:c r="H1" s="4" t="str">
        <x:v>FONTES DE REFERÊNCIA</x:v>
      </x:c>
      <x:c r="I1" s="4" t="str">
        <x:v>URL</x:v>
      </x:c>
    </x:row>
    <x:row r="2">
      <x:c r="A2" t="str">
        <x:v>A</x:v>
      </x:c>
      <x:c r="B2" t="str">
        <x:v>SIMPLES NACIONAL</x:v>
      </x:c>
      <x:c r="C2" t="str">
        <x:v>OK</x:v>
      </x:c>
      <x:c r="E2" t="str">
        <x:v>Azul profundo</x:v>
      </x:c>
      <x:c r="F2" t="str">
        <x:v>#061A2F</x:v>
      </x:c>
      <x:c r="H2" t="str">
        <x:v>Site oficial</x:v>
      </x:c>
      <x:c r="I2" t="str">
        <x:v>https://protonsconsultoria.com/</x:v>
      </x:c>
    </x:row>
    <x:row r="3">
      <x:c r="A3" t="str">
        <x:v>B</x:v>
      </x:c>
      <x:c r="B3" t="str">
        <x:v>LUCRO REAL</x:v>
      </x:c>
      <x:c r="C3" t="str">
        <x:v>PENDENTE</x:v>
      </x:c>
      <x:c r="E3" t="str">
        <x:v>Azul painel</x:v>
      </x:c>
      <x:c r="F3" t="str">
        <x:v>#0B2545</x:v>
      </x:c>
      <x:c r="H3" t="str">
        <x:v>Quem somos</x:v>
      </x:c>
      <x:c r="I3" t="str">
        <x:v>https://protonsconsultoria.com/quemsomos/</x:v>
      </x:c>
    </x:row>
    <x:row r="4">
      <x:c r="A4" t="str">
        <x:v>C</x:v>
      </x:c>
      <x:c r="B4" t="str">
        <x:v>LUCRO PRESUMIDO</x:v>
      </x:c>
      <x:c r="C4" t="str">
        <x:v>ALERTA</x:v>
      </x:c>
      <x:c r="E4" t="str">
        <x:v>Ciano destaque</x:v>
      </x:c>
      <x:c r="F4" t="str">
        <x:v>#22D3EE</x:v>
      </x:c>
      <x:c r="H4" t="str">
        <x:v>Apresentação</x:v>
      </x:c>
      <x:c r="I4" t="str">
        <x:v>https://protonsconsultoria.com/apresentacao/</x:v>
      </x:c>
    </x:row>
    <x:row r="5">
      <x:c r="A5" t="str">
        <x:v>SEM PRIORIDADE</x:v>
      </x:c>
      <x:c r="B5" t="str">
        <x:v>VERIFICAR</x:v>
      </x:c>
      <x:c r="C5" t="str">
        <x:v>DISPENSADO</x:v>
      </x:c>
      <x:c r="E5" t="str">
        <x:v>Azul marca</x:v>
      </x:c>
      <x:c r="F5" t="str">
        <x:v>#00AEEF</x:v>
      </x:c>
      <x:c r="H5" t="str">
        <x:v>LinkedIn</x:v>
      </x:c>
      <x:c r="I5" t="str">
        <x:v>https://br.linkedin.com/company/pr%C3%B3tons-consultoria</x:v>
      </x:c>
    </x:row>
    <x:row r="6">
      <x:c r="B6" t="str">
        <x:v>LUCRO REAL - EM CONST</x:v>
      </x:c>
      <x:c r="C6" t="str">
        <x:v>NÃO INFORMADO</x:v>
      </x:c>
    </x:row>
    <x:row r="7">
      <x:c r="B7" t="str">
        <x:v>OUTRO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135" t="str">
        <x:v>GUIA RÁPIDO — PLANILHA FISCAL PROTONS CONSULTORIA</x:v>
      </x:c>
      <x:c r="B1" s="135"/>
      <x:c r="C1" s="135"/>
      <x:c r="D1" s="135"/>
      <x:c r="E1" s="135"/>
      <x:c r="F1" s="135"/>
    </x:row>
    <x:row r="3" ht="34" customHeight="1">
      <x:c r="A3" s="140" t="str">
        <x:v>Objetivo</x:v>
      </x:c>
      <x:c r="B3" s="146" t="str">
        <x:v>Transformar a planilha genérica em um painel fiscal moderno, visual, auditável e utilizável como banco de dados.</x:v>
      </x:c>
    </x:row>
    <x:row r="4" ht="34" customHeight="1">
      <x:c r="A4" s="140" t="str">
        <x:v>Abas principais</x:v>
      </x:c>
      <x:c r="B4" s="146" t="str">
        <x:v>DASHBOARD PROTONS = visão executiva; BANCO_DE_DADOS = base de trabalho; BASE_ORIGINAL = cópia da planilha recebida.</x:v>
      </x:c>
    </x:row>
    <x:row r="5" ht="34" customHeight="1">
      <x:c r="A5" s="140" t="str">
        <x:v>Status automático</x:v>
      </x:c>
      <x:c r="B5" s="146" t="str">
        <x:v>A planilha classifica OK, PENDENTE, ALERTA e DISPENSADO com base nos textos das colunas REST, DMS, ENTRADA e SAÍDA.</x:v>
      </x:c>
    </x:row>
    <x:row r="6" ht="34" customHeight="1">
      <x:c r="A6" s="140" t="str">
        <x:v>Risco operacional</x:v>
      </x:c>
      <x:c r="B6" s="146" t="str">
        <x:v>ALTO aparece quando há alerta ou prioridade A; MÉDIO quando existe pendência; BAIXO quando a rotina está regular.</x:v>
      </x:c>
    </x:row>
    <x:row r="7" ht="34" customHeight="1">
      <x:c r="A7" s="140" t="str">
        <x:v>Design</x:v>
      </x:c>
      <x:c r="B7" s="146" t="str">
        <x:v>Visual azul escuro, ciano e branco para transmitir tecnologia, controle e painel futurista.</x:v>
      </x:c>
    </x:row>
    <x:row r="8" ht="34" customHeight="1">
      <x:c r="A8" s="140" t="str">
        <x:v>Referência institucional</x:v>
      </x:c>
      <x:c r="B8" s="146" t="str">
        <x:v>Site oficial: https://protonsconsultoria.com/</x:v>
      </x:c>
    </x:row>
    <x:row r="9" ht="34" customHeight="1">
      <x:c r="A9" s="140" t="str">
        <x:v>Referência missão/valores</x:v>
      </x:c>
      <x:c r="B9" s="146" t="str">
        <x:v>https://protonsconsultoria.com/quemsomos/</x:v>
      </x:c>
    </x:row>
    <x:row r="10" ht="34" customHeight="1">
      <x:c r="A10" s="140" t="str">
        <x:v>Referência apresentação</x:v>
      </x:c>
      <x:c r="B10" s="146" t="str">
        <x:v>https://protonsconsultoria.com/apresentacao/</x:v>
      </x:c>
    </x:row>
    <x:row r="11" ht="34" customHeight="1">
      <x:c r="A11" s="140" t="str">
        <x:v>Observação importante</x:v>
      </x:c>
      <x:c r="B11" s="146" t="str">
        <x:v>Este arquivo foi exportado como .xlsx. Caso a planilha original possua macros VBA, elas não ficam incorporadas neste novo arquivo.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20" t="str">
        <x:v>DASHBOARD FISCAL  |  CONTROLE DE OBRIGACOES IMPORTAÇÕES |  Duplo-clique nas colunas CAMINHO para selecionar pasta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>
      <x:c r="A2" s="15" t="str">
        <x:v>CLIENTE</x:v>
      </x:c>
      <x:c r="B2" s="15" t="str">
        <x:v>GRUPO ECONOMICO</x:v>
      </x:c>
      <x:c r="C2" s="15" t="str">
        <x:v>EMPRESA</x:v>
      </x:c>
      <x:c r="D2" s="15" t="str">
        <x:v>CNPJ</x:v>
      </x:c>
      <x:c r="E2" s="15" t="str">
        <x:v>INSCRICAO ESTADUAL</x:v>
      </x:c>
      <x:c r="F2" s="15" t="str">
        <x:v>CONTATO</x:v>
      </x:c>
      <x:c r="G2" s="15" t="str">
        <x:v>REGIME TRIBUTARIO</x:v>
      </x:c>
      <x:c r="H2" s="15" t="str">
        <x:v>GRUPO
PRIORIDADE</x:v>
      </x:c>
      <x:c r="I2" s="15" t="str">
        <x:v>DATA ULT.
ATUALIZ. REST</x:v>
      </x:c>
      <x:c r="J2" s="15" t="str">
        <x:v>QTD NOTAS
REST</x:v>
      </x:c>
      <x:c r="K2" s="15" t="str">
        <x:v>DATA ULT.
ATUALIZ. DMS</x:v>
      </x:c>
      <x:c r="L2" s="15" t="str">
        <x:v>QTD NOTAS
DMS</x:v>
      </x:c>
      <x:c r="M2" s="15" t="str">
        <x:v>DATA ULT.
ENTRADA</x:v>
      </x:c>
      <x:c r="N2" s="15" t="str">
        <x:v>QTD NOTAS
ENTRADA</x:v>
      </x:c>
      <x:c r="O2" s="15" t="str">
        <x:v>DATA ULT.
SAIDA</x:v>
      </x:c>
      <x:c r="P2" s="15" t="str">
        <x:v>QTD NOTAS
SAIDA</x:v>
      </x:c>
      <x:c r="Q2" s="15" t="str">
        <x:v>CAMINHO DMS
(duplo-clique)</x:v>
      </x:c>
      <x:c r="R2" s="15" t="str">
        <x:v>CAMINHO REST
(duplo-clique)</x:v>
      </x:c>
      <x:c r="S2" s="15" t="str">
        <x:v>CAMINHO PREVIA
(duplo-clique)</x:v>
      </x:c>
    </x:row>
    <x:row r="3">
      <x:c r="A3" s="21" t="str">
        <x:v>3H COMERCIO DE CHOCOLATES - 205</x:v>
      </x:c>
      <x:c r="B3" s="21" t="str">
        <x:v>HH </x:v>
      </x:c>
      <x:c r="C3" s="21" t="str">
        <x:v>LIMEIRA</x:v>
      </x:c>
      <x:c r="D3" s="21" t="n">
        <x:v>35381421000194</x:v>
      </x:c>
      <x:c r="E3" s="21"/>
      <x:c r="F3" s="21" t="str">
        <x:v>DANIELLE</x:v>
      </x:c>
      <x:c r="G3" s="21" t="str">
        <x:v>SIMPLES NACIONAL</x:v>
      </x:c>
      <x:c r="H3" s="21" t="str">
        <x:v>C</x:v>
      </x:c>
      <x:c r="I3" s="21" t="str">
        <x:v>x</x:v>
      </x:c>
      <x:c r="J3" s="21"/>
      <x:c r="K3" s="21"/>
      <x:c r="L3" s="21"/>
      <x:c r="M3" s="21"/>
      <x:c r="N3" s="21"/>
      <x:c r="O3" s="21"/>
      <x:c r="P3" s="21"/>
      <x:c r="Q3" s="21"/>
      <x:c r="R3" s="21" t="str">
        <x:v>W:\TESTE RENOMEADOR\PASTA QUALQUER ======= PDF\2026\1\SADFLJNHSADOIUABSHDIBNASKJDNPKSJANPDJKNASPKJDNPASKJNDPKJNSAPKJDNPASKJNDKJASNDKJNPASKJNDPKJSANPJNPASJNDKAJNDKJS</x:v>
      </x:c>
      <x:c r="S3" s="21"/>
    </x:row>
    <x:row r="4">
      <x:c r="A4" s="21" t="str">
        <x:v>3H COMERCIO DE CHOCOLATES LTDA - 207</x:v>
      </x:c>
      <x:c r="B4" s="21" t="str">
        <x:v>HH </x:v>
      </x:c>
      <x:c r="C4" s="21" t="str">
        <x:v>LIMEIRA</x:v>
      </x:c>
      <x:c r="D4" s="21" t="str">
        <x:v>35.381.421/0003-56</x:v>
      </x:c>
      <x:c r="E4" s="21"/>
      <x:c r="F4" s="21" t="str">
        <x:v>DANIELLE</x:v>
      </x:c>
      <x:c r="G4" s="21" t="str">
        <x:v>SIMPLES NACIONAL</x:v>
      </x:c>
      <x:c r="H4" s="21" t="str">
        <x:v>C</x:v>
      </x:c>
      <x:c r="I4" s="21" t="str">
        <x:v>x</x:v>
      </x:c>
      <x:c r="J4" s="21"/>
      <x:c r="K4" s="21"/>
      <x:c r="L4" s="21"/>
      <x:c r="M4" s="21"/>
      <x:c r="N4" s="21"/>
      <x:c r="O4" s="21"/>
      <x:c r="P4" s="21"/>
      <x:c r="Q4" s="21"/>
      <x:c r="R4" s="21"/>
      <x:c r="S4" s="21"/>
    </x:row>
    <x:row r="5">
      <x:c r="A5" s="21" t="str">
        <x:v>AGROBOM ARMAZENS GERAIS - FL 02</x:v>
      </x:c>
      <x:c r="B5" s="21" t="str">
        <x:v>AGROBOM</x:v>
      </x:c>
      <x:c r="C5" s="21" t="str">
        <x:v>JOVIANIA</x:v>
      </x:c>
      <x:c r="D5" s="21" t="str">
        <x:v>10.627.382/0002-12</x:v>
      </x:c>
      <x:c r="E5" s="21"/>
      <x:c r="F5" s="21" t="str">
        <x:v>DANIEL</x:v>
      </x:c>
      <x:c r="G5" s="21" t="str">
        <x:v>LUCRO REAL</x:v>
      </x:c>
      <x:c r="H5" s="21" t="str">
        <x:v>A</x:v>
      </x:c>
      <x:c r="I5" s="21" t="str">
        <x:v>x</x:v>
      </x:c>
      <x:c r="J5" s="21"/>
      <x:c r="K5" s="21"/>
      <x:c r="L5" s="21"/>
      <x:c r="M5" s="21"/>
      <x:c r="N5" s="21"/>
      <x:c r="O5" s="21"/>
      <x:c r="P5" s="21"/>
      <x:c r="Q5" s="21"/>
      <x:c r="R5" s="21"/>
      <x:c r="S5" s="21"/>
    </x:row>
    <x:row r="6">
      <x:c r="A6" s="21" t="str">
        <x:v>AGROBOM ARMAZENS GERAIS - FL 03</x:v>
      </x:c>
      <x:c r="B6" s="21" t="str">
        <x:v>AGROBOM</x:v>
      </x:c>
      <x:c r="C6" s="21" t="str">
        <x:v>ITUMBIARA</x:v>
      </x:c>
      <x:c r="D6" s="21" t="str">
        <x:v>10.627.382/0003-01</x:v>
      </x:c>
      <x:c r="E6" s="21"/>
      <x:c r="F6" s="21" t="str">
        <x:v>DANIEL</x:v>
      </x:c>
      <x:c r="G6" s="21" t="str">
        <x:v>LUCRO REAL</x:v>
      </x:c>
      <x:c r="H6" s="21" t="str">
        <x:v>A</x:v>
      </x:c>
      <x:c r="I6" s="21" t="str">
        <x:v>x</x:v>
      </x:c>
      <x:c r="J6" s="21" t="str">
        <x:v>x</x:v>
      </x:c>
      <x:c r="K6" s="21" t="str">
        <x:v>x</x:v>
      </x:c>
      <x:c r="L6" s="21" t="str">
        <x:v>x</x:v>
      </x:c>
      <x:c r="M6" s="21" t="str">
        <x:v>x</x:v>
      </x:c>
      <x:c r="N6" s="21" t="str">
        <x:v>x</x:v>
      </x:c>
      <x:c r="O6" s="21" t="str">
        <x:v>x</x:v>
      </x:c>
      <x:c r="P6" s="21" t="str">
        <x:v>x</x:v>
      </x:c>
      <x:c r="Q6" s="21"/>
      <x:c r="R6" s="21"/>
      <x:c r="S6" s="21"/>
    </x:row>
    <x:row r="7">
      <x:c r="A7" s="21" t="str">
        <x:v>AGROBOM ARMAZENS GERAIS - FL 04</x:v>
      </x:c>
      <x:c r="B7" s="21" t="str">
        <x:v>AGROBOM</x:v>
      </x:c>
      <x:c r="C7" s="21" t="str">
        <x:v>PORTEIRÃO</x:v>
      </x:c>
      <x:c r="D7" s="21" t="str">
        <x:v>10.627.382/0004-84</x:v>
      </x:c>
      <x:c r="E7" s="21"/>
      <x:c r="F7" s="21" t="str">
        <x:v>DANIEL</x:v>
      </x:c>
      <x:c r="G7" s="21" t="str">
        <x:v>LUCRO REAL</x:v>
      </x:c>
      <x:c r="H7" s="21" t="str">
        <x:v>A</x:v>
      </x:c>
      <x:c r="I7" s="21" t="str">
        <x:v>x</x:v>
      </x:c>
      <x:c r="J7" s="21" t="str">
        <x:v>x</x:v>
      </x:c>
      <x:c r="K7" s="21" t="str">
        <x:v>x</x:v>
      </x:c>
      <x:c r="L7" s="21" t="str">
        <x:v>x</x:v>
      </x:c>
      <x:c r="M7" s="21" t="str">
        <x:v>x</x:v>
      </x:c>
      <x:c r="N7" s="21" t="str">
        <x:v>x</x:v>
      </x:c>
      <x:c r="O7" s="21" t="str">
        <x:v>x</x:v>
      </x:c>
      <x:c r="P7" s="21" t="str">
        <x:v>x</x:v>
      </x:c>
      <x:c r="Q7" s="21"/>
      <x:c r="R7" s="21"/>
      <x:c r="S7" s="21"/>
    </x:row>
    <x:row r="8">
      <x:c r="A8" s="21" t="str">
        <x:v>AGROBOM ARMAZENS GERAIS - FL 05</x:v>
      </x:c>
      <x:c r="B8" s="21" t="str">
        <x:v>AGROBOM</x:v>
      </x:c>
      <x:c r="C8" s="21" t="str">
        <x:v>PORTEIRÃO</x:v>
      </x:c>
      <x:c r="D8" s="21" t="str">
        <x:v>10.627.382/0005-65</x:v>
      </x:c>
      <x:c r="E8" s="21"/>
      <x:c r="F8" s="21" t="str">
        <x:v>DANIEL</x:v>
      </x:c>
      <x:c r="G8" s="21" t="str">
        <x:v>LUCRO REAL</x:v>
      </x:c>
      <x:c r="H8" s="21" t="str">
        <x:v>A</x:v>
      </x:c>
      <x:c r="I8" s="21" t="str">
        <x:v>x</x:v>
      </x:c>
      <x:c r="J8" s="21" t="str">
        <x:v>x</x:v>
      </x:c>
      <x:c r="K8" s="21" t="str">
        <x:v>x</x:v>
      </x:c>
      <x:c r="L8" s="21" t="str">
        <x:v>x</x:v>
      </x:c>
      <x:c r="M8" s="21" t="str">
        <x:v>x</x:v>
      </x:c>
      <x:c r="N8" s="21" t="str">
        <x:v>x</x:v>
      </x:c>
      <x:c r="O8" s="21" t="str">
        <x:v>x</x:v>
      </x:c>
      <x:c r="P8" s="21" t="str">
        <x:v>x</x:v>
      </x:c>
      <x:c r="Q8" s="21"/>
      <x:c r="R8" s="21"/>
      <x:c r="S8" s="21"/>
    </x:row>
    <x:row r="9">
      <x:c r="A9" s="21" t="str">
        <x:v>AGROBOM ARMAZENS GERAIS - FL 06</x:v>
      </x:c>
      <x:c r="B9" s="21" t="str">
        <x:v>AGROBOM</x:v>
      </x:c>
      <x:c r="C9" s="21" t="str">
        <x:v>BOM JESUS</x:v>
      </x:c>
      <x:c r="D9" s="21" t="str">
        <x:v>10.627.382/0006-46</x:v>
      </x:c>
      <x:c r="E9" s="21"/>
      <x:c r="F9" s="21" t="str">
        <x:v>DANIEL</x:v>
      </x:c>
      <x:c r="G9" s="21" t="str">
        <x:v>LUCRO REAL</x:v>
      </x:c>
      <x:c r="H9" s="21" t="str">
        <x:v>A</x:v>
      </x:c>
      <x:c r="I9" s="21" t="str">
        <x:v>x</x:v>
      </x:c>
      <x:c r="J9" s="21" t="str">
        <x:v>x</x:v>
      </x:c>
      <x:c r="K9" s="21" t="str">
        <x:v>x</x:v>
      </x:c>
      <x:c r="L9" s="21" t="str">
        <x:v>x</x:v>
      </x:c>
      <x:c r="M9" s="21" t="str">
        <x:v>x</x:v>
      </x:c>
      <x:c r="N9" s="21" t="str">
        <x:v>x</x:v>
      </x:c>
      <x:c r="O9" s="21" t="str">
        <x:v>x</x:v>
      </x:c>
      <x:c r="P9" s="21" t="str">
        <x:v>x</x:v>
      </x:c>
      <x:c r="Q9" s="21"/>
      <x:c r="R9" s="21"/>
      <x:c r="S9" s="21"/>
    </x:row>
    <x:row r="10">
      <x:c r="A10" s="21" t="str">
        <x:v>AGROBOM ARMAZENS GERAIS - FL 07</x:v>
      </x:c>
      <x:c r="B10" s="21" t="str">
        <x:v>AGROBOM</x:v>
      </x:c>
      <x:c r="C10" s="21" t="str">
        <x:v>GOIATUBA</x:v>
      </x:c>
      <x:c r="D10" s="21" t="str">
        <x:v>10.627.382/0007-27</x:v>
      </x:c>
      <x:c r="E10" s="21"/>
      <x:c r="F10" s="21" t="str">
        <x:v>DANIEL</x:v>
      </x:c>
      <x:c r="G10" s="21" t="str">
        <x:v>LUCRO REAL</x:v>
      </x:c>
      <x:c r="H10" s="21" t="str">
        <x:v>A</x:v>
      </x:c>
      <x:c r="I10" s="21" t="str">
        <x:v>x</x:v>
      </x:c>
      <x:c r="J10" s="21" t="str">
        <x:v>x</x:v>
      </x:c>
      <x:c r="K10" s="21" t="str">
        <x:v>x</x:v>
      </x:c>
      <x:c r="L10" s="21" t="str">
        <x:v>x</x:v>
      </x:c>
      <x:c r="M10" s="21" t="str">
        <x:v>x</x:v>
      </x:c>
      <x:c r="N10" s="21" t="str">
        <x:v>x</x:v>
      </x:c>
      <x:c r="O10" s="21" t="str">
        <x:v>x</x:v>
      </x:c>
      <x:c r="P10" s="21" t="str">
        <x:v>x</x:v>
      </x:c>
      <x:c r="Q10" s="21"/>
      <x:c r="R10" s="21"/>
      <x:c r="S10" s="21"/>
    </x:row>
    <x:row r="11">
      <x:c r="A11" s="21" t="str">
        <x:v>AGROBOM ARMAZENS GERAIS - FL 08</x:v>
      </x:c>
      <x:c r="B11" s="21" t="str">
        <x:v>AGROBOM</x:v>
      </x:c>
      <x:c r="C11" s="21" t="str">
        <x:v>ITUMBIARA</x:v>
      </x:c>
      <x:c r="D11" s="21" t="str">
        <x:v>10.627.382/0008-08</x:v>
      </x:c>
      <x:c r="E11" s="21"/>
      <x:c r="F11" s="21" t="str">
        <x:v>DANIEL</x:v>
      </x:c>
      <x:c r="G11" s="21" t="str">
        <x:v>LUCRO REAL</x:v>
      </x:c>
      <x:c r="H11" s="21" t="str">
        <x:v>A</x:v>
      </x:c>
      <x:c r="I11" s="21" t="str">
        <x:v>x</x:v>
      </x:c>
      <x:c r="J11" s="21" t="str">
        <x:v>x</x:v>
      </x:c>
      <x:c r="K11" s="21" t="str">
        <x:v>x</x:v>
      </x:c>
      <x:c r="L11" s="21" t="str">
        <x:v>x</x:v>
      </x:c>
      <x:c r="M11" s="21" t="str">
        <x:v>x</x:v>
      </x:c>
      <x:c r="N11" s="21" t="str">
        <x:v>x</x:v>
      </x:c>
      <x:c r="O11" s="21" t="str">
        <x:v>x</x:v>
      </x:c>
      <x:c r="P11" s="21" t="str">
        <x:v>x</x:v>
      </x:c>
      <x:c r="Q11" s="21"/>
      <x:c r="R11" s="21"/>
      <x:c r="S11" s="21"/>
    </x:row>
    <x:row r="12">
      <x:c r="A12" s="21" t="str">
        <x:v>AGROBOM ARMAZENS GERAIS - FL 09(184)</x:v>
      </x:c>
      <x:c r="B12" s="21" t="str">
        <x:v>AGROBOM</x:v>
      </x:c>
      <x:c r="C12" s="21" t="str">
        <x:v>BOM JESUS</x:v>
      </x:c>
      <x:c r="D12" s="21" t="str">
        <x:v>10.627.382/0009-99</x:v>
      </x:c>
      <x:c r="E12" s="21"/>
      <x:c r="F12" s="21" t="str">
        <x:v>DANIEL</x:v>
      </x:c>
      <x:c r="G12" s="21" t="str">
        <x:v>LUCRO REAL</x:v>
      </x:c>
      <x:c r="H12" s="21" t="str">
        <x:v>A</x:v>
      </x:c>
      <x:c r="I12" s="21" t="str">
        <x:v>x</x:v>
      </x:c>
      <x:c r="J12" s="21" t="str">
        <x:v>x</x:v>
      </x:c>
      <x:c r="K12" s="21" t="str">
        <x:v>x</x:v>
      </x:c>
      <x:c r="L12" s="21" t="str">
        <x:v>x</x:v>
      </x:c>
      <x:c r="M12" s="21" t="str">
        <x:v>x</x:v>
      </x:c>
      <x:c r="N12" s="21" t="str">
        <x:v>x</x:v>
      </x:c>
      <x:c r="O12" s="21" t="str">
        <x:v>x</x:v>
      </x:c>
      <x:c r="P12" s="21" t="str">
        <x:v>x</x:v>
      </x:c>
      <x:c r="Q12" s="21"/>
      <x:c r="R12" s="21"/>
      <x:c r="S12" s="21"/>
    </x:row>
    <x:row r="13">
      <x:c r="A13" s="21" t="str">
        <x:v>AGROBOM ARMAZENS GERAIS - MTZ</x:v>
      </x:c>
      <x:c r="B13" s="21" t="str">
        <x:v>AGROBOM</x:v>
      </x:c>
      <x:c r="C13" s="21" t="str">
        <x:v>BOM JESUS</x:v>
      </x:c>
      <x:c r="D13" s="21" t="str">
        <x:v>10.627.382/0001-31</x:v>
      </x:c>
      <x:c r="E13" s="21"/>
      <x:c r="F13" s="21" t="str">
        <x:v>DANIEL</x:v>
      </x:c>
      <x:c r="G13" s="21" t="str">
        <x:v>LUCRO REAL</x:v>
      </x:c>
      <x:c r="H13" s="21" t="str">
        <x:v>A</x:v>
      </x:c>
      <x:c r="I13" s="21" t="str">
        <x:v>x</x:v>
      </x:c>
      <x:c r="J13" s="21" t="str">
        <x:v>x</x:v>
      </x:c>
      <x:c r="K13" s="21" t="str">
        <x:v>x</x:v>
      </x:c>
      <x:c r="L13" s="21" t="str">
        <x:v>x</x:v>
      </x:c>
      <x:c r="M13" s="21" t="str">
        <x:v>x</x:v>
      </x:c>
      <x:c r="N13" s="21" t="str">
        <x:v>x</x:v>
      </x:c>
      <x:c r="O13" s="21" t="str">
        <x:v>x</x:v>
      </x:c>
      <x:c r="P13" s="21" t="str">
        <x:v>x</x:v>
      </x:c>
      <x:c r="Q13" s="21"/>
      <x:c r="R13" s="21"/>
      <x:c r="S13" s="21"/>
    </x:row>
    <x:row r="14">
      <x:c r="A14" s="21" t="str">
        <x:v>AGROBOM COMÉRCIO E INDÚSTRIA DE CEREAIS</x:v>
      </x:c>
      <x:c r="B14" s="21" t="str">
        <x:v>AGROBOM</x:v>
      </x:c>
      <x:c r="C14" s="21" t="str">
        <x:v>BOM JESUS</x:v>
      </x:c>
      <x:c r="D14" s="21" t="str">
        <x:v>17.689.853/0001-85</x:v>
      </x:c>
      <x:c r="E14" s="21"/>
      <x:c r="F14" s="21" t="str">
        <x:v>DANIEL/ ELCIMAR</x:v>
      </x:c>
      <x:c r="G14" s="21" t="str">
        <x:v>LUCRO REAL</x:v>
      </x:c>
      <x:c r="H14" s="21" t="str">
        <x:v>A</x:v>
      </x:c>
      <x:c r="I14" s="21" t="str">
        <x:v>x</x:v>
      </x:c>
      <x:c r="J14" s="21" t="str">
        <x:v>x</x:v>
      </x:c>
      <x:c r="K14" s="21" t="str">
        <x:v>x</x:v>
      </x:c>
      <x:c r="L14" s="21" t="str">
        <x:v>x</x:v>
      </x:c>
      <x:c r="M14" s="21" t="str">
        <x:v>x</x:v>
      </x:c>
      <x:c r="N14" s="21" t="str">
        <x:v>x</x:v>
      </x:c>
      <x:c r="O14" s="21" t="str">
        <x:v>x</x:v>
      </x:c>
      <x:c r="P14" s="21" t="str">
        <x:v>x</x:v>
      </x:c>
      <x:c r="Q14" s="21"/>
      <x:c r="R14" s="21"/>
      <x:c r="S14" s="21"/>
    </x:row>
    <x:row r="15">
      <x:c r="A15" s="21" t="str">
        <x:v>AGROBOM INDÚSTRIA E COMÉRCIO DE CEREAIS</x:v>
      </x:c>
      <x:c r="B15" s="21" t="str">
        <x:v>AGROBOM</x:v>
      </x:c>
      <x:c r="C15" s="21" t="str">
        <x:v>ITUMBIARA</x:v>
      </x:c>
      <x:c r="D15" s="21" t="str">
        <x:v>53.176.308/0001-59</x:v>
      </x:c>
      <x:c r="E15" s="21"/>
      <x:c r="F15" s="21" t="str">
        <x:v>DANIEL/ ELCIMAR</x:v>
      </x:c>
      <x:c r="G15" s="21" t="str">
        <x:v>LUCRO REAL</x:v>
      </x:c>
      <x:c r="H15" s="21" t="str">
        <x:v>A</x:v>
      </x:c>
      <x:c r="I15" s="21" t="str">
        <x:v>x</x:v>
      </x:c>
      <x:c r="J15" s="21" t="str">
        <x:v>x</x:v>
      </x:c>
      <x:c r="K15" s="21" t="str">
        <x:v>x</x:v>
      </x:c>
      <x:c r="L15" s="21" t="str">
        <x:v>x</x:v>
      </x:c>
      <x:c r="M15" s="21" t="str">
        <x:v>x</x:v>
      </x:c>
      <x:c r="N15" s="21" t="str">
        <x:v>x</x:v>
      </x:c>
      <x:c r="O15" s="21" t="str">
        <x:v>x</x:v>
      </x:c>
      <x:c r="P15" s="21" t="str">
        <x:v>x</x:v>
      </x:c>
      <x:c r="Q15" s="21"/>
      <x:c r="R15" s="21"/>
      <x:c r="S15" s="21"/>
    </x:row>
    <x:row r="16">
      <x:c r="A16" s="21" t="str">
        <x:v>AGROBOM NEGÓCIOS E CONSULTORIA LTDA - 164</x:v>
      </x:c>
      <x:c r="B16" s="21" t="str">
        <x:v>AGROBOM</x:v>
      </x:c>
      <x:c r="C16" s="21" t="str">
        <x:v>BOM JESUS</x:v>
      </x:c>
      <x:c r="D16" s="21" t="n">
        <x:v>17608570000161</x:v>
      </x:c>
      <x:c r="E16" s="21"/>
      <x:c r="F16" s="21" t="str">
        <x:v>DANIEL</x:v>
      </x:c>
      <x:c r="G16" s="21" t="str">
        <x:v>LUCRO PRESUMIDO</x:v>
      </x:c>
      <x:c r="H16" s="21" t="str">
        <x:v>C</x:v>
      </x:c>
      <x:c r="I16" s="21" t="str">
        <x:v>x</x:v>
      </x:c>
      <x:c r="J16" s="21" t="str">
        <x:v>x</x:v>
      </x:c>
      <x:c r="K16" s="21" t="str">
        <x:v>x</x:v>
      </x:c>
      <x:c r="L16" s="21" t="str">
        <x:v>x</x:v>
      </x:c>
      <x:c r="M16" s="21" t="str">
        <x:v>x</x:v>
      </x:c>
      <x:c r="N16" s="21" t="str">
        <x:v>x</x:v>
      </x:c>
      <x:c r="O16" s="21" t="str">
        <x:v>x</x:v>
      </x:c>
      <x:c r="P16" s="21" t="str">
        <x:v>x</x:v>
      </x:c>
      <x:c r="Q16" s="21"/>
      <x:c r="R16" s="21"/>
      <x:c r="S16" s="21"/>
    </x:row>
    <x:row r="17">
      <x:c r="A17" s="21" t="str">
        <x:v>AGROBOM TRANSPORTES</x:v>
      </x:c>
      <x:c r="B17" s="21" t="str">
        <x:v>AGROBOM</x:v>
      </x:c>
      <x:c r="C17" s="21" t="str">
        <x:v>BOM JESUS</x:v>
      </x:c>
      <x:c r="D17" s="21" t="str">
        <x:v>36.989.757/0001-05</x:v>
      </x:c>
      <x:c r="E17" s="21"/>
      <x:c r="F17" s="21" t="str">
        <x:v>DANIEL</x:v>
      </x:c>
      <x:c r="G17" s="21" t="str">
        <x:v>LUCRO PRESUMIDO</x:v>
      </x:c>
      <x:c r="H17" s="21" t="str">
        <x:v>C</x:v>
      </x:c>
      <x:c r="I17" s="21"/>
      <x:c r="J17" s="21"/>
      <x:c r="K17" s="21"/>
      <x:c r="L17" s="21"/>
      <x:c r="M17" s="21" t="str">
        <x:v>SEM MOVIMENTO</x:v>
      </x:c>
      <x:c r="N17" s="21"/>
      <x:c r="O17" s="21" t="str">
        <x:v>S/R</x:v>
      </x:c>
      <x:c r="P17" s="21" t="str">
        <x:v>n</x:v>
      </x:c>
      <x:c r="Q17" s="21"/>
      <x:c r="R17" s="21"/>
      <x:c r="S17" s="21"/>
    </x:row>
    <x:row r="18">
      <x:c r="A18" s="21" t="str">
        <x:v>AGRONOVA PEÇAS AGRICOLAS FILIAL  LTDA</x:v>
      </x:c>
      <x:c r="B18" s="21" t="str">
        <x:v>AGRONOVA</x:v>
      </x:c>
      <x:c r="C18" s="21" t="str">
        <x:v>JATAI</x:v>
      </x:c>
      <x:c r="D18" s="21" t="str">
        <x:v>34.088.208/0002-07</x:v>
      </x:c>
      <x:c r="E18" s="21"/>
      <x:c r="F18" s="21" t="str">
        <x:v>CLEUBER</x:v>
      </x:c>
      <x:c r="G18" s="21" t="str">
        <x:v>LUCRO REAL</x:v>
      </x:c>
      <x:c r="H18" s="21" t="str">
        <x:v>B</x:v>
      </x:c>
      <x:c r="I18" s="21"/>
      <x:c r="J18" s="21"/>
      <x:c r="K18" s="21"/>
      <x:c r="L18" s="21"/>
      <x:c r="M18" s="21" t="str">
        <x:v>OK 04/05</x:v>
      </x:c>
      <x:c r="N18" s="21"/>
      <x:c r="O18" s="21" t="str">
        <x:v>OK 30/04</x:v>
      </x:c>
      <x:c r="P18" s="21"/>
      <x:c r="Q18" s="21"/>
      <x:c r="R18" s="21"/>
      <x:c r="S18" s="21"/>
    </x:row>
    <x:row r="19">
      <x:c r="A19" s="21" t="str">
        <x:v>AGRONOVA PEÇAS AGRICOLAS LTDA</x:v>
      </x:c>
      <x:c r="B19" s="21" t="str">
        <x:v>AGRONOVA</x:v>
      </x:c>
      <x:c r="C19" s="21" t="str">
        <x:v>JATAI</x:v>
      </x:c>
      <x:c r="D19" s="21" t="str">
        <x:v>34.088.208/0001-26</x:v>
      </x:c>
      <x:c r="E19" s="21"/>
      <x:c r="F19" s="21" t="str">
        <x:v>CLEUBER</x:v>
      </x:c>
      <x:c r="G19" s="21" t="str">
        <x:v>LUCRO REAL</x:v>
      </x:c>
      <x:c r="H19" s="21" t="str">
        <x:v>B</x:v>
      </x:c>
      <x:c r="I19" s="21"/>
      <x:c r="J19" s="21"/>
      <x:c r="K19" s="21"/>
      <x:c r="L19" s="21"/>
      <x:c r="M19" s="21" t="str">
        <x:v>OK 04/05</x:v>
      </x:c>
      <x:c r="N19" s="21"/>
      <x:c r="O19" s="21" t="str">
        <x:v>OK 30/04</x:v>
      </x:c>
      <x:c r="P19" s="21"/>
      <x:c r="Q19" s="21"/>
      <x:c r="R19" s="21"/>
      <x:c r="S19" s="21"/>
    </x:row>
    <x:row r="20">
      <x:c r="A20" s="21" t="str">
        <x:v>AGRONOVA SERVIÇOS DE COLHEITAS LTDA</x:v>
      </x:c>
      <x:c r="B20" s="21" t="str">
        <x:v>AGRONOVA</x:v>
      </x:c>
      <x:c r="C20" s="21" t="str">
        <x:v>JATAI</x:v>
      </x:c>
      <x:c r="D20" s="21" t="str">
        <x:v>15.054.033/0001-91</x:v>
      </x:c>
      <x:c r="E20" s="21"/>
      <x:c r="F20" s="21" t="str">
        <x:v>CLEUBER</x:v>
      </x:c>
      <x:c r="G20" s="21" t="str">
        <x:v>LUCRO REAL</x:v>
      </x:c>
      <x:c r="H20" s="21" t="str">
        <x:v>A</x:v>
      </x:c>
      <x:c r="I20" s="21"/>
      <x:c r="J20" s="21"/>
      <x:c r="K20" s="21"/>
      <x:c r="L20" s="21"/>
      <x:c r="M20" s="21" t="str">
        <x:v>OK 04/05</x:v>
      </x:c>
      <x:c r="N20" s="21"/>
      <x:c r="O20" s="21" t="str">
        <x:v>OK 30/04</x:v>
      </x:c>
      <x:c r="P20" s="21"/>
      <x:c r="Q20" s="21"/>
      <x:c r="R20" s="21"/>
      <x:c r="S20" s="21"/>
    </x:row>
    <x:row r="21">
      <x:c r="A21" s="21" t="str">
        <x:v>ALPTRON LTDA - 106</x:v>
      </x:c>
      <x:c r="B21" s="21" t="str">
        <x:v>POWER SOURCE</x:v>
      </x:c>
      <x:c r="C21" s="21" t="str">
        <x:v>SÃO PAULO</x:v>
      </x:c>
      <x:c r="D21" s="21" t="n">
        <x:v>57123358000129</x:v>
      </x:c>
      <x:c r="E21" s="21"/>
      <x:c r="F21" s="21" t="str">
        <x:v>BRUNA</x:v>
      </x:c>
      <x:c r="G21" s="21" t="str">
        <x:v>SIMPLES NACIONAL</x:v>
      </x:c>
      <x:c r="H21" s="21" t="str">
        <x:v>A</x:v>
      </x:c>
      <x:c r="I21" s="21"/>
      <x:c r="J21" s="21"/>
      <x:c r="K21" s="21"/>
      <x:c r="L21" s="21"/>
      <x:c r="M21" s="21" t="str">
        <x:v>SEM MOVIMENTO</x:v>
      </x:c>
      <x:c r="N21" s="21"/>
      <x:c r="O21" s="21" t="str">
        <x:v>SEM RESULTADO</x:v>
      </x:c>
      <x:c r="P21" s="21"/>
      <x:c r="Q21" s="21"/>
      <x:c r="R21" s="21"/>
      <x:c r="S21" s="21"/>
    </x:row>
    <x:row r="22">
      <x:c r="A22" s="21" t="str">
        <x:v>AM SERVIÇOS DE COLHEITAS LTDA - 202</x:v>
      </x:c>
      <x:c r="B22" s="21" t="str">
        <x:v>AGRONOVA</x:v>
      </x:c>
      <x:c r="C22" s="21" t="str">
        <x:v>JATAÍ</x:v>
      </x:c>
      <x:c r="D22" s="21" t="n">
        <x:v>40870380000130</x:v>
      </x:c>
      <x:c r="E22" s="21"/>
      <x:c r="F22" s="21" t="str">
        <x:v>CLEUBER</x:v>
      </x:c>
      <x:c r="G22" s="21" t="str">
        <x:v>SIMPLES NACIONAL</x:v>
      </x:c>
      <x:c r="H22" s="21" t="str">
        <x:v>A</x:v>
      </x:c>
      <x:c r="I22" s="21"/>
      <x:c r="J22" s="21"/>
      <x:c r="K22" s="21"/>
      <x:c r="L22" s="21"/>
      <x:c r="M22" s="21" t="str">
        <x:v>SEM MOVIMENTO </x:v>
      </x:c>
      <x:c r="N22" s="21"/>
      <x:c r="O22" s="21" t="str">
        <x:v>CERTIF VENCIUDO</x:v>
      </x:c>
      <x:c r="P22" s="21"/>
      <x:c r="Q22" s="21"/>
      <x:c r="R22" s="21"/>
      <x:c r="S22" s="21"/>
    </x:row>
    <x:row r="23">
      <x:c r="A23" s="21" t="str">
        <x:v>ASSOCIACAO GOIANA DE TRANSFORMACAO SOCIAL ATRAVES DA EDUCACAO - 148</x:v>
      </x:c>
      <x:c r="B23" s="21" t="str">
        <x:v>INTERESCHOOL</x:v>
      </x:c>
      <x:c r="C23" s="21" t="str">
        <x:v>GOIÂNIA</x:v>
      </x:c>
      <x:c r="D23" s="21" t="n">
        <x:v>26837949000134</x:v>
      </x:c>
      <x:c r="E23" s="21"/>
      <x:c r="F23" s="21" t="str">
        <x:v>ROSICLÉIA</x:v>
      </x:c>
      <x:c r="G23" s="21" t="str">
        <x:v>LUCRO PRESUMIDO</x:v>
      </x:c>
      <x:c r="H23" s="21" t="str">
        <x:v>C</x:v>
      </x:c>
      <x:c r="I23" s="21"/>
      <x:c r="J23" s="21"/>
      <x:c r="K23" s="21"/>
      <x:c r="L23" s="21"/>
      <x:c r="M23" s="21" t="str">
        <x:v>SEM I.E.</x:v>
      </x:c>
      <x:c r="N23" s="21"/>
      <x:c r="O23" s="21"/>
      <x:c r="P23" s="21"/>
      <x:c r="Q23" s="21"/>
      <x:c r="R23" s="21"/>
      <x:c r="S23" s="21"/>
    </x:row>
    <x:row r="24">
      <x:c r="A24" s="21" t="str">
        <x:v>B.H SELECTION SERVICOS E PEÇAS LTDA - 25</x:v>
      </x:c>
      <x:c r="B24" s="21" t="str">
        <x:v>BH</x:v>
      </x:c>
      <x:c r="C24" s="21" t="str">
        <x:v>GOIÂNIA</x:v>
      </x:c>
      <x:c r="D24" s="21" t="n">
        <x:v>12923820000134</x:v>
      </x:c>
      <x:c r="E24" s="21"/>
      <x:c r="F24" s="21" t="str">
        <x:v>SHIELEN/MARTA</x:v>
      </x:c>
      <x:c r="G24" s="21" t="str">
        <x:v>LUCRO REAL</x:v>
      </x:c>
      <x:c r="H24" s="21" t="str">
        <x:v>B</x:v>
      </x:c>
      <x:c r="I24" s="21"/>
      <x:c r="J24" s="21"/>
      <x:c r="K24" s="21"/>
      <x:c r="L24" s="21"/>
      <x:c r="M24" s="21" t="str">
        <x:v>OK 04/05</x:v>
      </x:c>
      <x:c r="N24" s="21"/>
      <x:c r="O24" s="21" t="str">
        <x:v>OK 30/04</x:v>
      </x:c>
      <x:c r="P24" s="21"/>
      <x:c r="Q24" s="21"/>
      <x:c r="R24" s="21"/>
      <x:c r="S24" s="21"/>
    </x:row>
    <x:row r="25">
      <x:c r="A25" s="21" t="str">
        <x:v>BESSA ADVOGADOS E ASSOCIADOS</x:v>
      </x:c>
      <x:c r="B25" s="21" t="str">
        <x:v>BESSA</x:v>
      </x:c>
      <x:c r="C25" s="21" t="str">
        <x:v>GOIANIA</x:v>
      </x:c>
      <x:c r="D25" s="21" t="str">
        <x:v>35.310.400/0001-88</x:v>
      </x:c>
      <x:c r="E25" s="21"/>
      <x:c r="F25" s="21" t="str">
        <x:v>LEIDIANA</x:v>
      </x:c>
      <x:c r="G25" s="21" t="str">
        <x:v>SIMPLES NACIONAL</x:v>
      </x:c>
      <x:c r="H25" s="21" t="str">
        <x:v>B</x:v>
      </x:c>
      <x:c r="I25" s="21"/>
      <x:c r="J25" s="21"/>
      <x:c r="K25" s="21"/>
      <x:c r="L25" s="21"/>
      <x:c r="M25" s="21" t="str">
        <x:v>SEM I.E.</x:v>
      </x:c>
      <x:c r="N25" s="21"/>
      <x:c r="O25" s="21" t="str">
        <x:v>SEM RESULTADO</x:v>
      </x:c>
      <x:c r="P25" s="21"/>
      <x:c r="Q25" s="21"/>
      <x:c r="R25" s="21" t="str">
        <x:v>W:\TESTE RENOMEADOR\TESTE - BESSA\2026\ABRIL\FISCAL\MUNICIPAL\REST</x:v>
      </x:c>
      <x:c r="S25" s="21"/>
    </x:row>
    <x:row r="26">
      <x:c r="A26" s="21" t="str">
        <x:v>BOM JESUS SERVIÇOS ADMINISTRATIVOS LTDA - 144</x:v>
      </x:c>
      <x:c r="B26" s="21" t="str">
        <x:v>AGROBOM</x:v>
      </x:c>
      <x:c r="C26" s="21" t="str">
        <x:v>BOM JESUS</x:v>
      </x:c>
      <x:c r="D26" s="21" t="n">
        <x:v>41597807000130</x:v>
      </x:c>
      <x:c r="E26" s="21"/>
      <x:c r="F26" s="21" t="str">
        <x:v>IVON</x:v>
      </x:c>
      <x:c r="G26" s="21" t="str">
        <x:v>SIMPLES NACIONAL</x:v>
      </x:c>
      <x:c r="H26" s="21" t="str">
        <x:v>C</x:v>
      </x:c>
      <x:c r="I26" s="21"/>
      <x:c r="J26" s="21"/>
      <x:c r="K26" s="21"/>
      <x:c r="L26" s="21"/>
      <x:c r="M26" s="21" t="str">
        <x:v>SEM I.E.</x:v>
      </x:c>
      <x:c r="N26" s="21"/>
      <x:c r="O26" s="21" t="str">
        <x:v>OK 30/04</x:v>
      </x:c>
      <x:c r="P26" s="21"/>
      <x:c r="Q26" s="21"/>
      <x:c r="R26" s="21"/>
      <x:c r="S26" s="21"/>
    </x:row>
    <x:row r="27">
      <x:c r="A27" s="21" t="str">
        <x:v>BURITI AUTOCENTER - 44</x:v>
      </x:c>
      <x:c r="B27" s="21" t="str">
        <x:v>INDEPENDENTE</x:v>
      </x:c>
      <x:c r="C27" s="21" t="str">
        <x:v>GOIÂNIA</x:v>
      </x:c>
      <x:c r="D27" s="21" t="n">
        <x:v>21430001000146</x:v>
      </x:c>
      <x:c r="E27" s="21"/>
      <x:c r="F27" s="21" t="str">
        <x:v>GUIGA</x:v>
      </x:c>
      <x:c r="G27" s="21" t="str">
        <x:v>SIMPLES NACIONAL</x:v>
      </x:c>
      <x:c r="H27" s="21" t="str">
        <x:v>C</x:v>
      </x:c>
      <x:c r="I27" s="21"/>
      <x:c r="J27" s="21"/>
      <x:c r="K27" s="21"/>
      <x:c r="L27" s="21"/>
      <x:c r="M27" s="21" t="str">
        <x:v>OK 04/05</x:v>
      </x:c>
      <x:c r="N27" s="21"/>
      <x:c r="O27" s="21" t="str">
        <x:v>OK 30/04</x:v>
      </x:c>
      <x:c r="P27" s="21"/>
      <x:c r="Q27" s="21"/>
      <x:c r="R27" s="21"/>
      <x:c r="S27" s="21"/>
    </x:row>
    <x:row r="28">
      <x:c r="A28" s="21" t="str">
        <x:v>CARRETEIRO AUTO PECAS </x:v>
      </x:c>
      <x:c r="B28" s="21" t="str">
        <x:v>CARRETEIRO</x:v>
      </x:c>
      <x:c r="C28" s="21" t="str">
        <x:v>GOIANESIA</x:v>
      </x:c>
      <x:c r="D28" s="21" t="str">
        <x:v>10.172.340/0001-53</x:v>
      </x:c>
      <x:c r="E28" s="21"/>
      <x:c r="F28" s="21" t="str">
        <x:v>ANDRÉ /PAULO</x:v>
      </x:c>
      <x:c r="G28" s="21" t="str">
        <x:v>LUCRO REAL</x:v>
      </x:c>
      <x:c r="H28" s="21" t="str">
        <x:v>B</x:v>
      </x:c>
      <x:c r="I28" s="21"/>
      <x:c r="J28" s="21"/>
      <x:c r="K28" s="21"/>
      <x:c r="L28" s="21"/>
      <x:c r="M28" s="21" t="str">
        <x:v>OK 04/05</x:v>
      </x:c>
      <x:c r="N28" s="21"/>
      <x:c r="O28" s="21" t="str">
        <x:v>OK 30/04</x:v>
      </x:c>
      <x:c r="P28" s="21"/>
      <x:c r="Q28" s="21"/>
      <x:c r="R28" s="21"/>
      <x:c r="S28" s="21"/>
    </x:row>
    <x:row r="29">
      <x:c r="A29" s="21" t="str">
        <x:v>CARRETEIRO SERVIÇOS - 221</x:v>
      </x:c>
      <x:c r="B29" s="21" t="str">
        <x:v>CARRETEIRO</x:v>
      </x:c>
      <x:c r="C29" s="21" t="str">
        <x:v>GOIANÉSIA</x:v>
      </x:c>
      <x:c r="D29" s="21" t="n">
        <x:v>62220305000166</x:v>
      </x:c>
      <x:c r="E29" s="21"/>
      <x:c r="F29" s="21" t="str">
        <x:v>ANDRÉ /PAULO</x:v>
      </x:c>
      <x:c r="G29" s="21" t="str">
        <x:v>SIMPLES NACIONAL</x:v>
      </x:c>
      <x:c r="H29" s="21" t="str">
        <x:v>C</x:v>
      </x:c>
      <x:c r="I29" s="21"/>
      <x:c r="J29" s="21"/>
      <x:c r="K29" s="21"/>
      <x:c r="L29" s="21"/>
      <x:c r="M29" s="21" t="str">
        <x:v>SEM MOVIMENTO </x:v>
      </x:c>
      <x:c r="N29" s="21"/>
      <x:c r="O29" s="21" t="str">
        <x:v>SEM RESULTADO</x:v>
      </x:c>
      <x:c r="P29" s="21"/>
      <x:c r="Q29" s="21"/>
      <x:c r="R29" s="21"/>
      <x:c r="S29" s="21"/>
    </x:row>
    <x:row r="30">
      <x:c r="A30" s="21" t="str">
        <x:v>CÉLIO ADRIANO DA SILVA - CAVIS - 45</x:v>
      </x:c>
      <x:c r="B30" s="21" t="str">
        <x:v>CAVIS</x:v>
      </x:c>
      <x:c r="C30" s="21" t="str">
        <x:v>JATAI</x:v>
      </x:c>
      <x:c r="D30" s="21" t="n">
        <x:v>10712858000132</x:v>
      </x:c>
      <x:c r="E30" s="21"/>
      <x:c r="F30" s="21" t="str">
        <x:v>CÉLIO/CINTHYA</x:v>
      </x:c>
      <x:c r="G30" s="21" t="str">
        <x:v>LUCRO REAL</x:v>
      </x:c>
      <x:c r="H30" s="21" t="str">
        <x:v>C</x:v>
      </x:c>
      <x:c r="I30" s="21"/>
      <x:c r="J30" s="21"/>
      <x:c r="K30" s="21"/>
      <x:c r="L30" s="21"/>
      <x:c r="M30" s="21" t="str">
        <x:v>OK 04/05</x:v>
      </x:c>
      <x:c r="N30" s="21"/>
      <x:c r="O30" s="21" t="str">
        <x:v>SEM RESULTADO</x:v>
      </x:c>
      <x:c r="P30" s="21"/>
      <x:c r="Q30" s="21"/>
      <x:c r="R30" s="21"/>
      <x:c r="S30" s="21"/>
    </x:row>
    <x:row r="31">
      <x:c r="A31" s="21" t="str">
        <x:v>CENTRO DE APOIO BILINGUE I LTDA - 151</x:v>
      </x:c>
      <x:c r="B31" s="21" t="str">
        <x:v>INTERESCHOOL</x:v>
      </x:c>
      <x:c r="C31" s="21" t="str">
        <x:v>GOIÂNIA</x:v>
      </x:c>
      <x:c r="D31" s="21" t="n">
        <x:v>53665434000177</x:v>
      </x:c>
      <x:c r="E31" s="21"/>
      <x:c r="F31" s="21" t="str">
        <x:v>ROSICLÉIA</x:v>
      </x:c>
      <x:c r="G31" s="21" t="str">
        <x:v>SIMPLES NACIONAL</x:v>
      </x:c>
      <x:c r="H31" s="21" t="str">
        <x:v>C</x:v>
      </x:c>
      <x:c r="I31" s="21"/>
      <x:c r="J31" s="21"/>
      <x:c r="K31" s="21"/>
      <x:c r="L31" s="21"/>
      <x:c r="M31" s="21" t="str">
        <x:v>SEM I.E.</x:v>
      </x:c>
      <x:c r="N31" s="21"/>
      <x:c r="O31" s="21" t="str">
        <x:v>SEM RESULTADO</x:v>
      </x:c>
      <x:c r="P31" s="21"/>
      <x:c r="Q31" s="21"/>
      <x:c r="R31" s="21"/>
      <x:c r="S31" s="21"/>
    </x:row>
    <x:row r="32">
      <x:c r="A32" s="21" t="str">
        <x:v>CENTRO DE APOIO BILINGUE II LTDA - 152</x:v>
      </x:c>
      <x:c r="B32" s="21" t="str">
        <x:v>INTERESCHOOL</x:v>
      </x:c>
      <x:c r="C32" s="21" t="str">
        <x:v>GOIÂNIA</x:v>
      </x:c>
      <x:c r="D32" s="21" t="n">
        <x:v>53665515000177</x:v>
      </x:c>
      <x:c r="E32" s="21"/>
      <x:c r="F32" s="21" t="str">
        <x:v>ROSICLÉIA</x:v>
      </x:c>
      <x:c r="G32" s="21" t="str">
        <x:v>SIMPLES NACIONAL</x:v>
      </x:c>
      <x:c r="H32" s="21" t="str">
        <x:v>C</x:v>
      </x:c>
      <x:c r="I32" s="21"/>
      <x:c r="J32" s="21"/>
      <x:c r="K32" s="21"/>
      <x:c r="L32" s="21"/>
      <x:c r="M32" s="21" t="str">
        <x:v>SEM I.E.</x:v>
      </x:c>
      <x:c r="N32" s="21"/>
      <x:c r="O32" s="21" t="str">
        <x:v>SEM RESULTADO</x:v>
      </x:c>
      <x:c r="P32" s="21"/>
      <x:c r="Q32" s="21"/>
      <x:c r="R32" s="21"/>
      <x:c r="S32" s="21"/>
    </x:row>
    <x:row r="33">
      <x:c r="A33" s="21" t="str">
        <x:v>CENTRO DE APOIO BILINGUE III LTDA - 153</x:v>
      </x:c>
      <x:c r="B33" s="21" t="str">
        <x:v>INTERESCHOOL</x:v>
      </x:c>
      <x:c r="C33" s="21" t="str">
        <x:v>GOIÂNIA</x:v>
      </x:c>
      <x:c r="D33" s="21" t="n">
        <x:v>53666225000148</x:v>
      </x:c>
      <x:c r="E33" s="21"/>
      <x:c r="F33" s="21" t="str">
        <x:v>ROSICLÉIA</x:v>
      </x:c>
      <x:c r="G33" s="21" t="str">
        <x:v>SIMPLES NACIONAL</x:v>
      </x:c>
      <x:c r="H33" s="21" t="str">
        <x:v>C</x:v>
      </x:c>
      <x:c r="I33" s="21"/>
      <x:c r="J33" s="21"/>
      <x:c r="K33" s="21"/>
      <x:c r="L33" s="21"/>
      <x:c r="M33" s="21" t="str">
        <x:v>SEM I.E.</x:v>
      </x:c>
      <x:c r="N33" s="21"/>
      <x:c r="O33" s="21" t="str">
        <x:v>SEM RESULTADO</x:v>
      </x:c>
      <x:c r="P33" s="21"/>
      <x:c r="Q33" s="21"/>
      <x:c r="R33" s="21"/>
      <x:c r="S33" s="21"/>
    </x:row>
    <x:row r="34">
      <x:c r="A34" s="21" t="str">
        <x:v>CENTRO DE ENSINO BILINGUE LTDA - 145</x:v>
      </x:c>
      <x:c r="B34" s="21" t="str">
        <x:v>INTERESCHOOL</x:v>
      </x:c>
      <x:c r="C34" s="21" t="str">
        <x:v>GOIÂNIA</x:v>
      </x:c>
      <x:c r="D34" s="21" t="n">
        <x:v>17845752000156</x:v>
      </x:c>
      <x:c r="E34" s="21"/>
      <x:c r="F34" s="21" t="str">
        <x:v>ROSICLÉIA</x:v>
      </x:c>
      <x:c r="G34" s="21" t="str">
        <x:v>LUCRO PRESUMIDO</x:v>
      </x:c>
      <x:c r="H34" s="21" t="str">
        <x:v>C</x:v>
      </x:c>
      <x:c r="I34" s="21"/>
      <x:c r="J34" s="21"/>
      <x:c r="K34" s="21"/>
      <x:c r="L34" s="21"/>
      <x:c r="M34" s="21" t="str">
        <x:v>NÃO ACHEI</x:v>
      </x:c>
      <x:c r="N34" s="21"/>
      <x:c r="O34" s="21" t="str">
        <x:v>SEM RESULTADO</x:v>
      </x:c>
      <x:c r="P34" s="21"/>
      <x:c r="Q34" s="21"/>
      <x:c r="R34" s="21"/>
      <x:c r="S34" s="21"/>
    </x:row>
    <x:row r="35">
      <x:c r="A35" s="21" t="str">
        <x:v>CENTRO EDUCACIONAL BILINGUE LTDA - 146</x:v>
      </x:c>
      <x:c r="B35" s="21" t="str">
        <x:v>INTERESCHOOL</x:v>
      </x:c>
      <x:c r="C35" s="21" t="str">
        <x:v>GOIÂNIA</x:v>
      </x:c>
      <x:c r="D35" s="21" t="n">
        <x:v>17813257000165</x:v>
      </x:c>
      <x:c r="E35" s="21"/>
      <x:c r="F35" s="21" t="str">
        <x:v>ROSICLÉIA</x:v>
      </x:c>
      <x:c r="G35" s="21" t="str">
        <x:v>LUCRO REAL</x:v>
      </x:c>
      <x:c r="H35" s="21" t="str">
        <x:v>C</x:v>
      </x:c>
      <x:c r="I35" s="21"/>
      <x:c r="J35" s="21"/>
      <x:c r="K35" s="21"/>
      <x:c r="L35" s="21"/>
      <x:c r="M35" s="21" t="str">
        <x:v>NÃO ACHEI </x:v>
      </x:c>
      <x:c r="N35" s="21"/>
      <x:c r="O35" s="21" t="str">
        <x:v>SEM RESULTADO</x:v>
      </x:c>
      <x:c r="P35" s="21"/>
      <x:c r="Q35" s="21"/>
      <x:c r="R35" s="21"/>
      <x:c r="S35" s="21"/>
    </x:row>
    <x:row r="36">
      <x:c r="A36" s="21" t="str">
        <x:v>CLAUKE - COMERCIO DE CHOCOLATES - 209</x:v>
      </x:c>
      <x:c r="B36" s="21" t="str">
        <x:v>HH </x:v>
      </x:c>
      <x:c r="C36" s="21" t="str">
        <x:v>PIRACICABA</x:v>
      </x:c>
      <x:c r="D36" s="21" t="str">
        <x:v>05.245.896/0001-92</x:v>
      </x:c>
      <x:c r="E36" s="21"/>
      <x:c r="F36" s="21" t="str">
        <x:v>DANIELLE</x:v>
      </x:c>
      <x:c r="G36" s="21" t="str">
        <x:v>SIMPLES NACIONAL</x:v>
      </x:c>
      <x:c r="H36" s="21" t="str">
        <x:v>C</x:v>
      </x:c>
      <x:c r="I36" s="21"/>
      <x:c r="J36" s="21"/>
      <x:c r="K36" s="21"/>
      <x:c r="L36" s="21"/>
      <x:c r="M36" s="21" t="str">
        <x:v>OK 04/05</x:v>
      </x:c>
      <x:c r="N36" s="21"/>
      <x:c r="O36" s="21" t="str">
        <x:v>SEM RESULTADO</x:v>
      </x:c>
      <x:c r="P36" s="21"/>
      <x:c r="Q36" s="21"/>
      <x:c r="R36" s="21" t="str">
        <x:v>W:\TESTE RENOMEADOR\TESTE - CLAKE\2026\ABRIL\FISCAL\MUNICIPAL\REST</x:v>
      </x:c>
      <x:c r="S36" s="21"/>
    </x:row>
    <x:row r="37">
      <x:c r="A37" s="21" t="str">
        <x:v>COPEMBOM CHOCOLATES LTDA</x:v>
      </x:c>
      <x:c r="B37" s="21" t="str">
        <x:v>COPEMBOM</x:v>
      </x:c>
      <x:c r="C37" s="21" t="str">
        <x:v>CUIABA - MT</x:v>
      </x:c>
      <x:c r="D37" s="21" t="str">
        <x:v>30.514.650/0001-16</x:v>
      </x:c>
      <x:c r="E37" s="21"/>
      <x:c r="F37" s="21" t="str">
        <x:v>SANDRA</x:v>
      </x:c>
      <x:c r="G37" s="21" t="str">
        <x:v>LUCRO PRESUMIDO</x:v>
      </x:c>
      <x:c r="H37" s="21" t="str">
        <x:v>A</x:v>
      </x:c>
      <x:c r="I37" s="21"/>
      <x:c r="J37" s="21"/>
      <x:c r="K37" s="21"/>
      <x:c r="L37" s="21"/>
      <x:c r="M37" s="21" t="str">
        <x:v>SEM PREMISSÃO</x:v>
      </x:c>
      <x:c r="N37" s="21" t="str">
        <x:v>MT</x:v>
      </x:c>
      <x:c r="O37" s="21" t="str">
        <x:v>SEM RESULTADO</x:v>
      </x:c>
      <x:c r="P37" s="21"/>
      <x:c r="Q37" s="21"/>
      <x:c r="R37" s="21"/>
      <x:c r="S37" s="21"/>
    </x:row>
    <x:row r="38">
      <x:c r="A38" s="21" t="str">
        <x:v>COPEMBOM CHOCOLATES LTDA</x:v>
      </x:c>
      <x:c r="B38" s="21" t="str">
        <x:v>COPEMBOM</x:v>
      </x:c>
      <x:c r="C38" s="21" t="str">
        <x:v>CUIABA - MT</x:v>
      </x:c>
      <x:c r="D38" s="21" t="str">
        <x:v>04.116.617/0001-28</x:v>
      </x:c>
      <x:c r="E38" s="21"/>
      <x:c r="F38" s="21" t="str">
        <x:v>SANDRA</x:v>
      </x:c>
      <x:c r="G38" s="21" t="str">
        <x:v>LUCRO REAL</x:v>
      </x:c>
      <x:c r="H38" s="21" t="str">
        <x:v>A</x:v>
      </x:c>
      <x:c r="I38" s="21"/>
      <x:c r="J38" s="21"/>
      <x:c r="K38" s="21"/>
      <x:c r="L38" s="21"/>
      <x:c r="M38" s="21" t="str">
        <x:v>SEM PERMISSÃO </x:v>
      </x:c>
      <x:c r="N38" s="21" t="str">
        <x:v>MT</x:v>
      </x:c>
      <x:c r="O38" s="21" t="str">
        <x:v>SEM RESULTADO</x:v>
      </x:c>
      <x:c r="P38" s="21"/>
      <x:c r="Q38" s="21"/>
      <x:c r="R38" s="21"/>
      <x:c r="S38" s="21"/>
    </x:row>
    <x:row r="39">
      <x:c r="A39" s="21" t="str">
        <x:v>COPEMBOM CHOCOLATES LTDA</x:v>
      </x:c>
      <x:c r="B39" s="21" t="str">
        <x:v>COPEMBOM</x:v>
      </x:c>
      <x:c r="C39" s="21" t="str">
        <x:v>CUIABA - MT</x:v>
      </x:c>
      <x:c r="D39" s="21" t="str">
        <x:v>04.116.617/0002-09</x:v>
      </x:c>
      <x:c r="E39" s="21"/>
      <x:c r="F39" s="21" t="str">
        <x:v>SANDRA</x:v>
      </x:c>
      <x:c r="G39" s="21" t="str">
        <x:v>LUCRO REAL</x:v>
      </x:c>
      <x:c r="H39" s="21" t="str">
        <x:v>A</x:v>
      </x:c>
      <x:c r="I39" s="21"/>
      <x:c r="J39" s="21"/>
      <x:c r="K39" s="21"/>
      <x:c r="L39" s="21"/>
      <x:c r="M39" s="21" t="str">
        <x:v>SEM PERMISSÃO </x:v>
      </x:c>
      <x:c r="N39" s="21" t="str">
        <x:v>MT</x:v>
      </x:c>
      <x:c r="O39" s="21" t="str">
        <x:v>SEM RESULTADO</x:v>
      </x:c>
      <x:c r="P39" s="21"/>
      <x:c r="Q39" s="21"/>
      <x:c r="R39" s="21"/>
      <x:c r="S39" s="21"/>
    </x:row>
    <x:row r="40">
      <x:c r="A40" s="21" t="str">
        <x:v>COPEMBOM CHOCOLATES LTDA</x:v>
      </x:c>
      <x:c r="B40" s="21" t="str">
        <x:v>COPEMBOM</x:v>
      </x:c>
      <x:c r="C40" s="21" t="str">
        <x:v>CUIABA - MT</x:v>
      </x:c>
      <x:c r="D40" s="21" t="str">
        <x:v>04.116.617/0003-90</x:v>
      </x:c>
      <x:c r="E40" s="21"/>
      <x:c r="F40" s="21" t="str">
        <x:v>SANDRA</x:v>
      </x:c>
      <x:c r="G40" s="21" t="str">
        <x:v>LUCRO REAL</x:v>
      </x:c>
      <x:c r="H40" s="21" t="str">
        <x:v>A</x:v>
      </x:c>
      <x:c r="I40" s="21"/>
      <x:c r="J40" s="21"/>
      <x:c r="K40" s="21"/>
      <x:c r="L40" s="21"/>
      <x:c r="M40" s="21" t="str">
        <x:v>SEM PERMISSÃO </x:v>
      </x:c>
      <x:c r="N40" s="21" t="str">
        <x:v>MT</x:v>
      </x:c>
      <x:c r="O40" s="21" t="str">
        <x:v>SEM RESULTADO</x:v>
      </x:c>
      <x:c r="P40" s="21"/>
      <x:c r="Q40" s="21"/>
      <x:c r="R40" s="21"/>
      <x:c r="S40" s="21"/>
    </x:row>
    <x:row r="41">
      <x:c r="A41" s="21" t="str">
        <x:v>COPEMBOM CHOCOLATES LTDA</x:v>
      </x:c>
      <x:c r="B41" s="21" t="str">
        <x:v>COPEMBOM</x:v>
      </x:c>
      <x:c r="C41" s="21" t="str">
        <x:v>CUIABA - MT</x:v>
      </x:c>
      <x:c r="D41" s="21" t="str">
        <x:v>04.116.617/0005-51</x:v>
      </x:c>
      <x:c r="E41" s="21"/>
      <x:c r="F41" s="21" t="str">
        <x:v>SANDRA</x:v>
      </x:c>
      <x:c r="G41" s="21" t="str">
        <x:v>LUCRO REAL</x:v>
      </x:c>
      <x:c r="H41" s="21" t="str">
        <x:v>A</x:v>
      </x:c>
      <x:c r="I41" s="21"/>
      <x:c r="J41" s="21"/>
      <x:c r="K41" s="21"/>
      <x:c r="L41" s="21"/>
      <x:c r="M41" s="21" t="str">
        <x:v>SEM PERMISSÃO </x:v>
      </x:c>
      <x:c r="N41" s="21" t="str">
        <x:v>MT</x:v>
      </x:c>
      <x:c r="O41" s="21" t="str">
        <x:v>SEM RESULTADO</x:v>
      </x:c>
      <x:c r="P41" s="21"/>
      <x:c r="Q41" s="21"/>
      <x:c r="R41" s="21"/>
      <x:c r="S41" s="21"/>
    </x:row>
    <x:row r="42">
      <x:c r="A42" s="21" t="str">
        <x:v>COPEMBOM CHOCOLATES LTDA</x:v>
      </x:c>
      <x:c r="B42" s="21" t="str">
        <x:v>COPEMBOM</x:v>
      </x:c>
      <x:c r="C42" s="21" t="str">
        <x:v>VARZEA GRANDE - MT</x:v>
      </x:c>
      <x:c r="D42" s="21" t="str">
        <x:v>04.116.617/0006-32</x:v>
      </x:c>
      <x:c r="E42" s="21"/>
      <x:c r="F42" s="21" t="str">
        <x:v>SANDRA</x:v>
      </x:c>
      <x:c r="G42" s="21" t="str">
        <x:v>LUCRO REAL</x:v>
      </x:c>
      <x:c r="H42" s="21" t="str">
        <x:v>A</x:v>
      </x:c>
      <x:c r="I42" s="21"/>
      <x:c r="J42" s="21"/>
      <x:c r="K42" s="21"/>
      <x:c r="L42" s="21"/>
      <x:c r="M42" s="21" t="str">
        <x:v>SEM PERMISSÃO </x:v>
      </x:c>
      <x:c r="N42" s="21" t="str">
        <x:v>MT</x:v>
      </x:c>
      <x:c r="O42" s="21" t="str">
        <x:v>SEM RESULTADO</x:v>
      </x:c>
      <x:c r="P42" s="21"/>
      <x:c r="Q42" s="21"/>
      <x:c r="R42" s="21"/>
      <x:c r="S42" s="21"/>
    </x:row>
    <x:row r="43">
      <x:c r="A43" s="21" t="str">
        <x:v>COPEMBOM CHOCOLATES LTDA</x:v>
      </x:c>
      <x:c r="B43" s="21" t="str">
        <x:v>COPEMBOM</x:v>
      </x:c>
      <x:c r="C43" s="21" t="str">
        <x:v>VARZEA GRANDE - MT</x:v>
      </x:c>
      <x:c r="D43" s="21" t="str">
        <x:v>04.116.617/0007-13</x:v>
      </x:c>
      <x:c r="E43" s="21"/>
      <x:c r="F43" s="21" t="str">
        <x:v>SANDRA</x:v>
      </x:c>
      <x:c r="G43" s="21" t="str">
        <x:v>LUCRO REAL</x:v>
      </x:c>
      <x:c r="H43" s="21" t="str">
        <x:v>A</x:v>
      </x:c>
      <x:c r="I43" s="21"/>
      <x:c r="J43" s="21"/>
      <x:c r="K43" s="21"/>
      <x:c r="L43" s="21"/>
      <x:c r="M43" s="21" t="str">
        <x:v>SEM PERMISSÃO </x:v>
      </x:c>
      <x:c r="N43" s="21" t="str">
        <x:v>MT</x:v>
      </x:c>
      <x:c r="O43" s="21" t="str">
        <x:v>SEM RESULTADO</x:v>
      </x:c>
      <x:c r="P43" s="21"/>
      <x:c r="Q43" s="21"/>
      <x:c r="R43" s="21"/>
      <x:c r="S43" s="21"/>
    </x:row>
    <x:row r="44">
      <x:c r="A44" s="21" t="str">
        <x:v>CRESCER  SEGURANÇA E MEDICINA - 223</x:v>
      </x:c>
      <x:c r="B44" s="21" t="str">
        <x:v>CRESCER MED</x:v>
      </x:c>
      <x:c r="C44" s="21" t="str">
        <x:v>GOIÂNIA</x:v>
      </x:c>
      <x:c r="D44" s="21" t="n">
        <x:v>50056304000149</x:v>
      </x:c>
      <x:c r="E44" s="21"/>
      <x:c r="F44" s="21" t="str">
        <x:v>HELLEN</x:v>
      </x:c>
      <x:c r="G44" s="21" t="str">
        <x:v>SIMPLES NACIONAL</x:v>
      </x:c>
      <x:c r="H44" s="21" t="str">
        <x:v>B</x:v>
      </x:c>
      <x:c r="I44" s="21"/>
      <x:c r="J44" s="21"/>
      <x:c r="K44" s="21"/>
      <x:c r="L44" s="21"/>
      <x:c r="M44" s="21" t="str">
        <x:v>SEM I.E.</x:v>
      </x:c>
      <x:c r="N44" s="21"/>
      <x:c r="O44" s="21" t="str">
        <x:v>SEM RESULTADO</x:v>
      </x:c>
      <x:c r="P44" s="21"/>
      <x:c r="Q44" s="21"/>
      <x:c r="R44" s="21"/>
      <x:c r="S44" s="21"/>
    </x:row>
    <x:row r="45">
      <x:c r="A45" s="21" t="str">
        <x:v>CRESCER MED OCUPACIONAL - 222</x:v>
      </x:c>
      <x:c r="B45" s="21" t="str">
        <x:v>CRESCER MED</x:v>
      </x:c>
      <x:c r="C45" s="21" t="str">
        <x:v>GOIÂNIA</x:v>
      </x:c>
      <x:c r="D45" s="21" t="n">
        <x:v>59971731000127</x:v>
      </x:c>
      <x:c r="E45" s="21"/>
      <x:c r="F45" s="21" t="str">
        <x:v>HELLEN</x:v>
      </x:c>
      <x:c r="G45" s="21" t="str">
        <x:v>SIMPLES NACIONAL</x:v>
      </x:c>
      <x:c r="H45" s="21" t="str">
        <x:v>B</x:v>
      </x:c>
      <x:c r="I45" s="21"/>
      <x:c r="J45" s="21"/>
      <x:c r="K45" s="21"/>
      <x:c r="L45" s="21"/>
      <x:c r="M45" s="21" t="str">
        <x:v>SEM I.E.</x:v>
      </x:c>
      <x:c r="N45" s="21"/>
      <x:c r="O45" s="21" t="str">
        <x:v>SEM RESULTADO</x:v>
      </x:c>
      <x:c r="P45" s="21"/>
      <x:c r="Q45" s="21"/>
      <x:c r="R45" s="21"/>
      <x:c r="S45" s="21"/>
    </x:row>
    <x:row r="46">
      <x:c r="A46" s="21" t="str">
        <x:v>CRESCER TREINAMENTOS E SEGURANÇA DO TRABALHO - 224</x:v>
      </x:c>
      <x:c r="B46" s="21" t="str">
        <x:v>CRESCER MED</x:v>
      </x:c>
      <x:c r="C46" s="21" t="str">
        <x:v>GOIANIA</x:v>
      </x:c>
      <x:c r="D46" s="21" t="str">
        <x:v>18.690.025/0001-20</x:v>
      </x:c>
      <x:c r="E46" s="21"/>
      <x:c r="F46" s="21" t="str">
        <x:v>EDISLANE</x:v>
      </x:c>
      <x:c r="G46" s="21" t="str">
        <x:v>LUCRO REAL</x:v>
      </x:c>
      <x:c r="H46" s="21" t="str">
        <x:v>B</x:v>
      </x:c>
      <x:c r="I46" s="21"/>
      <x:c r="J46" s="21"/>
      <x:c r="K46" s="21"/>
      <x:c r="L46" s="21"/>
      <x:c r="M46" s="21" t="str">
        <x:v>OK 04/05</x:v>
      </x:c>
      <x:c r="N46" s="21"/>
      <x:c r="O46" s="21" t="str">
        <x:v>OK 30/04</x:v>
      </x:c>
      <x:c r="P46" s="21"/>
      <x:c r="Q46" s="21"/>
      <x:c r="R46" s="21"/>
      <x:c r="S46" s="21"/>
    </x:row>
    <x:row r="47">
      <x:c r="A47" s="21" t="str">
        <x:v>CSA - CENTRO DE SOLUÇÕES ANALITICAS</x:v>
      </x:c>
      <x:c r="B47" s="21" t="str">
        <x:v>CSA</x:v>
      </x:c>
      <x:c r="C47" s="21" t="str">
        <x:v>ANAPOLIS</x:v>
      </x:c>
      <x:c r="D47" s="21" t="str">
        <x:v>28.900.799/0001-91</x:v>
      </x:c>
      <x:c r="E47" s="21"/>
      <x:c r="F47" s="21" t="str">
        <x:v>JEYCE/FÁBIO</x:v>
      </x:c>
      <x:c r="G47" s="21" t="str">
        <x:v>LUCRO REAL</x:v>
      </x:c>
      <x:c r="H47" s="21" t="str">
        <x:v>A</x:v>
      </x:c>
      <x:c r="I47" s="21"/>
      <x:c r="J47" s="21"/>
      <x:c r="K47" s="21"/>
      <x:c r="L47" s="21"/>
      <x:c r="M47" s="21" t="str">
        <x:v>OK 04/05</x:v>
      </x:c>
      <x:c r="N47" s="21"/>
      <x:c r="O47" s="21" t="str">
        <x:v>CERT. VENCIDO</x:v>
      </x:c>
      <x:c r="P47" s="21"/>
      <x:c r="Q47" s="21"/>
      <x:c r="R47" s="21"/>
      <x:c r="S47" s="21"/>
    </x:row>
    <x:row r="48">
      <x:c r="A48" s="21" t="str">
        <x:v>CSA - CENTRO DE SOLUÇÕES ANALITICAS - FILIAL I</x:v>
      </x:c>
      <x:c r="B48" s="21" t="str">
        <x:v>CSA</x:v>
      </x:c>
      <x:c r="C48" s="21" t="str">
        <x:v>ANAPOLIS</x:v>
      </x:c>
      <x:c r="D48" s="21" t="str">
        <x:v>28.900.799/0002-72</x:v>
      </x:c>
      <x:c r="E48" s="21"/>
      <x:c r="F48" s="21" t="str">
        <x:v>JEYCE/FÁBIO</x:v>
      </x:c>
      <x:c r="G48" s="21" t="str">
        <x:v>LUCRO REAL</x:v>
      </x:c>
      <x:c r="H48" s="21" t="str">
        <x:v>A</x:v>
      </x:c>
      <x:c r="I48" s="21"/>
      <x:c r="J48" s="21"/>
      <x:c r="K48" s="21"/>
      <x:c r="L48" s="21"/>
      <x:c r="M48" s="21" t="str">
        <x:v>SEM MOVIMENTO</x:v>
      </x:c>
      <x:c r="N48" s="21"/>
      <x:c r="O48" s="21" t="str">
        <x:v>OK 30/04</x:v>
      </x:c>
      <x:c r="P48" s="21"/>
      <x:c r="Q48" s="21"/>
      <x:c r="R48" s="21"/>
      <x:c r="S48" s="21"/>
    </x:row>
    <x:row r="49">
      <x:c r="A49" s="21" t="str">
        <x:v>CSA CENTRO DE PESQUISA E DESENVOLVIMENTO &amp; INOVAÇÃO - 73</x:v>
      </x:c>
      <x:c r="B49" s="21" t="str">
        <x:v>CSA</x:v>
      </x:c>
      <x:c r="C49" s="21" t="str">
        <x:v>ANÁPOLIS</x:v>
      </x:c>
      <x:c r="D49" s="21" t="n">
        <x:v>44742752000101</x:v>
      </x:c>
      <x:c r="E49" s="21"/>
      <x:c r="F49" s="21" t="str">
        <x:v>JEYCE/FÁBIO</x:v>
      </x:c>
      <x:c r="G49" s="21" t="str">
        <x:v>SIMPLES NACIONAL</x:v>
      </x:c>
      <x:c r="H49" s="21" t="str">
        <x:v>C</x:v>
      </x:c>
      <x:c r="I49" s="21"/>
      <x:c r="J49" s="21"/>
      <x:c r="K49" s="21"/>
      <x:c r="L49" s="21"/>
      <x:c r="M49" s="21" t="str">
        <x:v>SEM MOVIMENTO</x:v>
      </x:c>
      <x:c r="N49" s="21"/>
      <x:c r="O49" s="21" t="str">
        <x:v>SEM RESULTADO</x:v>
      </x:c>
      <x:c r="P49" s="21"/>
      <x:c r="Q49" s="21"/>
      <x:c r="R49" s="21"/>
      <x:c r="S49" s="21"/>
    </x:row>
    <x:row r="50">
      <x:c r="A50" s="21" t="str">
        <x:v>CSA CONSULTORIA EDUCACIONAL</x:v>
      </x:c>
      <x:c r="B50" s="21" t="str">
        <x:v>CSA</x:v>
      </x:c>
      <x:c r="C50" s="21" t="str">
        <x:v>ANAPOLIS</x:v>
      </x:c>
      <x:c r="D50" s="21" t="str">
        <x:v>33.265.761/0001-24</x:v>
      </x:c>
      <x:c r="E50" s="21"/>
      <x:c r="F50" s="21" t="str">
        <x:v>GABRIELA/FÁBIO</x:v>
      </x:c>
      <x:c r="G50" s="21" t="str">
        <x:v>LUCRO REAL</x:v>
      </x:c>
      <x:c r="H50" s="21" t="str">
        <x:v>A</x:v>
      </x:c>
      <x:c r="I50" s="21"/>
      <x:c r="J50" s="21"/>
      <x:c r="K50" s="21"/>
      <x:c r="L50" s="21"/>
      <x:c r="M50" s="21" t="str">
        <x:v>SEM I.E.</x:v>
      </x:c>
      <x:c r="N50" s="21"/>
      <x:c r="O50" s="21" t="str">
        <x:v>SEM RESULTADO</x:v>
      </x:c>
      <x:c r="P50" s="21"/>
      <x:c r="Q50" s="21"/>
      <x:c r="R50" s="21"/>
      <x:c r="S50" s="21"/>
    </x:row>
    <x:row r="51">
      <x:c r="A51" s="21" t="str">
        <x:v>CSA DIGITAL - 74</x:v>
      </x:c>
      <x:c r="B51" s="21" t="str">
        <x:v>CSA</x:v>
      </x:c>
      <x:c r="C51" s="21" t="str">
        <x:v>ANÁPOLIS</x:v>
      </x:c>
      <x:c r="D51" s="21" t="n">
        <x:v>44777527000100</x:v>
      </x:c>
      <x:c r="E51" s="21"/>
      <x:c r="F51" s="21" t="str">
        <x:v>GABRIELA/FÁBIO</x:v>
      </x:c>
      <x:c r="G51" s="21" t="str">
        <x:v>SIMPLES NACIONAL</x:v>
      </x:c>
      <x:c r="H51" s="21" t="str">
        <x:v>C</x:v>
      </x:c>
      <x:c r="I51" s="21"/>
      <x:c r="J51" s="21"/>
      <x:c r="K51" s="21"/>
      <x:c r="L51" s="21"/>
      <x:c r="M51" s="21" t="str">
        <x:v>SEM I.E.</x:v>
      </x:c>
      <x:c r="N51" s="21"/>
      <x:c r="O51" s="21" t="str">
        <x:v>SEM RESULTADO</x:v>
      </x:c>
      <x:c r="P51" s="21"/>
      <x:c r="Q51" s="21"/>
      <x:c r="R51" s="21"/>
      <x:c r="S51" s="21"/>
    </x:row>
    <x:row r="52">
      <x:c r="A52" s="21" t="str">
        <x:v>CSA GESTÃO E TREINAMENTOS - 75</x:v>
      </x:c>
      <x:c r="B52" s="21" t="str">
        <x:v>CSA</x:v>
      </x:c>
      <x:c r="C52" s="21" t="str">
        <x:v>ANÁPOLIS</x:v>
      </x:c>
      <x:c r="D52" s="21" t="n">
        <x:v>44796284000140</x:v>
      </x:c>
      <x:c r="E52" s="21"/>
      <x:c r="F52" s="21" t="str">
        <x:v>GABRIELA/FÁBIO</x:v>
      </x:c>
      <x:c r="G52" s="21" t="str">
        <x:v>SIMPLES NACIONAL</x:v>
      </x:c>
      <x:c r="H52" s="21" t="str">
        <x:v>C</x:v>
      </x:c>
      <x:c r="I52" s="21"/>
      <x:c r="J52" s="21"/>
      <x:c r="K52" s="21"/>
      <x:c r="L52" s="21"/>
      <x:c r="M52" s="21" t="str">
        <x:v>SEM I.E.</x:v>
      </x:c>
      <x:c r="N52" s="21"/>
      <x:c r="O52" s="21" t="str">
        <x:v>SEM RESULTADO</x:v>
      </x:c>
      <x:c r="P52" s="21"/>
      <x:c r="Q52" s="21"/>
      <x:c r="R52" s="21"/>
      <x:c r="S52" s="21"/>
    </x:row>
    <x:row r="53">
      <x:c r="A53" s="21" t="str">
        <x:v>DGA ENERGIA</x:v>
      </x:c>
      <x:c r="B53" s="21" t="str">
        <x:v>DGA</x:v>
      </x:c>
      <x:c r="C53" s="21" t="str">
        <x:v>ITUMBIARA</x:v>
      </x:c>
      <x:c r="D53" s="21" t="str">
        <x:v>25.014.360/0001-73</x:v>
      </x:c>
      <x:c r="E53" s="21"/>
      <x:c r="F53" s="21" t="str">
        <x:v>HELLEN</x:v>
      </x:c>
      <x:c r="G53" s="21" t="str">
        <x:v>LUCRO REAL</x:v>
      </x:c>
      <x:c r="H53" s="21" t="str">
        <x:v>A</x:v>
      </x:c>
      <x:c r="I53" s="21"/>
      <x:c r="J53" s="21"/>
      <x:c r="K53" s="21"/>
      <x:c r="L53" s="21"/>
      <x:c r="M53" s="21" t="str">
        <x:v>I.E INVALIDA</x:v>
      </x:c>
      <x:c r="N53" s="21"/>
      <x:c r="O53" s="21"/>
      <x:c r="P53" s="21"/>
      <x:c r="Q53" s="21"/>
      <x:c r="R53" s="21" t="str">
        <x:v>W:\01-CLIENTES\GRUPO - DGA\226 - DGA ENERGIA E AUTOMAÇÃO\DEPARTAMENTO FISCAL\2026\042026\MUNICIPAL\REST\PDF SERVIÇOS TOMADOS\AINDA NÃO FEITO</x:v>
      </x:c>
      <x:c r="S53" s="21"/>
    </x:row>
    <x:row r="54">
      <x:c r="A54" s="21" t="str">
        <x:v>E USY AUTO PARTS LTDA (FOLHA DA BH) - 33</x:v>
      </x:c>
      <x:c r="B54" s="21" t="str">
        <x:v>BH SELECTION</x:v>
      </x:c>
      <x:c r="C54" s="21" t="str">
        <x:v>GOIÂNIA</x:v>
      </x:c>
      <x:c r="D54" s="21" t="n">
        <x:v>19318532000108</x:v>
      </x:c>
      <x:c r="E54" s="21"/>
      <x:c r="F54" s="21" t="str">
        <x:v>SHIELEN/MARTA</x:v>
      </x:c>
      <x:c r="G54" s="21" t="str">
        <x:v>SIMPLES NACIONAL</x:v>
      </x:c>
      <x:c r="H54" s="21" t="str">
        <x:v>C</x:v>
      </x:c>
      <x:c r="I54" s="21"/>
      <x:c r="J54" s="21"/>
      <x:c r="K54" s="21"/>
      <x:c r="L54" s="21"/>
      <x:c r="M54" s="21" t="str">
        <x:v>OK 04/05</x:v>
      </x:c>
      <x:c r="N54" s="21"/>
      <x:c r="O54" s="21" t="str">
        <x:v>OK 30/04</x:v>
      </x:c>
      <x:c r="P54" s="21"/>
      <x:c r="Q54" s="21"/>
      <x:c r="R54" s="21"/>
      <x:c r="S54" s="21"/>
    </x:row>
    <x:row r="55">
      <x:c r="A55" s="21" t="str">
        <x:v>ELDORADO EMPREENDIMENTOS (ENERGIA) - 91</x:v>
      </x:c>
      <x:c r="B55" s="21" t="str">
        <x:v>ELDORADO</x:v>
      </x:c>
      <x:c r="C55" s="21" t="str">
        <x:v>ANAPOLIS</x:v>
      </x:c>
      <x:c r="D55" s="21" t="str">
        <x:v>42.964.659/0001-08</x:v>
      </x:c>
      <x:c r="E55" s="21"/>
      <x:c r="F55" s="21" t="str">
        <x:v>JOÃO/SILVIO</x:v>
      </x:c>
      <x:c r="G55" s="21" t="str">
        <x:v>LUCRO PRESUMIDO</x:v>
      </x:c>
      <x:c r="H55" s="21" t="str">
        <x:v>C</x:v>
      </x:c>
      <x:c r="I55" s="21"/>
      <x:c r="J55" s="21"/>
      <x:c r="K55" s="21"/>
      <x:c r="L55" s="21"/>
      <x:c r="M55" s="21" t="str">
        <x:v>SEM I.E.</x:v>
      </x:c>
      <x:c r="N55" s="21"/>
      <x:c r="O55" s="21" t="str">
        <x:v>SEM RESULTADOS</x:v>
      </x:c>
      <x:c r="P55" s="21"/>
      <x:c r="Q55" s="21"/>
      <x:c r="R55" s="21"/>
      <x:c r="S55" s="21"/>
    </x:row>
    <x:row r="56">
      <x:c r="A56" s="21" t="str">
        <x:v>ELDORADO EVENTOS E SERVICOS - EIRELI - 17</x:v>
      </x:c>
      <x:c r="B56" s="21" t="str">
        <x:v>ELDORADO</x:v>
      </x:c>
      <x:c r="C56" s="21" t="str">
        <x:v>ANÁPOLIS</x:v>
      </x:c>
      <x:c r="D56" s="21" t="n">
        <x:v>34046667000147</x:v>
      </x:c>
      <x:c r="E56" s="21"/>
      <x:c r="F56" s="21" t="str">
        <x:v>VIVIANE/SILVIO</x:v>
      </x:c>
      <x:c r="G56" s="21" t="str">
        <x:v>SIMPLES NACIONAL</x:v>
      </x:c>
      <x:c r="H56" s="21" t="str">
        <x:v>C</x:v>
      </x:c>
      <x:c r="I56" s="21"/>
      <x:c r="J56" s="21"/>
      <x:c r="K56" s="21"/>
      <x:c r="L56" s="21"/>
      <x:c r="M56" s="21" t="str">
        <x:v>SEM MOVIEMNTO</x:v>
      </x:c>
      <x:c r="N56" s="21"/>
      <x:c r="O56" s="21" t="str">
        <x:v>SEM RESULTADOS</x:v>
      </x:c>
      <x:c r="P56" s="21"/>
      <x:c r="Q56" s="21"/>
      <x:c r="R56" s="21"/>
      <x:c r="S56" s="21"/>
    </x:row>
    <x:row r="57">
      <x:c r="A57" s="21" t="str">
        <x:v>ELDORADO SERVIÇOS (SILVIO) - 38</x:v>
      </x:c>
      <x:c r="B57" s="21" t="str">
        <x:v>ELDORADO</x:v>
      </x:c>
      <x:c r="C57" s="21" t="str">
        <x:v>ANÁPOLIS</x:v>
      </x:c>
      <x:c r="D57" s="21" t="n">
        <x:v>40932575000167</x:v>
      </x:c>
      <x:c r="E57" s="21"/>
      <x:c r="F57" s="21" t="str">
        <x:v>JOÃO</x:v>
      </x:c>
      <x:c r="G57" s="21" t="str">
        <x:v>SIMPLES NACIONAL</x:v>
      </x:c>
      <x:c r="H57" s="21" t="str">
        <x:v>C</x:v>
      </x:c>
      <x:c r="I57" s="21"/>
      <x:c r="J57" s="21"/>
      <x:c r="K57" s="21"/>
      <x:c r="L57" s="21"/>
      <x:c r="M57" s="21" t="str">
        <x:v>SEM I.E.</x:v>
      </x:c>
      <x:c r="N57" s="21"/>
      <x:c r="O57" s="21" t="str">
        <x:v>SEM RESULTADOS</x:v>
      </x:c>
      <x:c r="P57" s="21"/>
      <x:c r="Q57" s="21"/>
      <x:c r="R57" s="21"/>
      <x:c r="S57" s="21"/>
    </x:row>
    <x:row r="58">
      <x:c r="A58" s="21" t="str">
        <x:v>ELETRICA E HIDRAULICA SMART LTDA</x:v>
      </x:c>
      <x:c r="B58" s="21" t="str">
        <x:v>SMART</x:v>
      </x:c>
      <x:c r="C58" s="21" t="str">
        <x:v>GOIÂNIA</x:v>
      </x:c>
      <x:c r="D58" s="21" t="str">
        <x:v>36.878.154/0001-28</x:v>
      </x:c>
      <x:c r="E58" s="21"/>
      <x:c r="F58" s="21" t="str">
        <x:v>TATIANE</x:v>
      </x:c>
      <x:c r="G58" s="21" t="str">
        <x:v>LUCRO REAL</x:v>
      </x:c>
      <x:c r="H58" s="21" t="str">
        <x:v>B</x:v>
      </x:c>
      <x:c r="I58" s="21"/>
      <x:c r="J58" s="21"/>
      <x:c r="K58" s="21"/>
      <x:c r="L58" s="21"/>
      <x:c r="M58" s="21" t="str">
        <x:v>SEM MOVIEMNTO</x:v>
      </x:c>
      <x:c r="N58" s="21"/>
      <x:c r="O58" s="21" t="str">
        <x:v>OK 30/04</x:v>
      </x:c>
      <x:c r="P58" s="21"/>
      <x:c r="Q58" s="21"/>
      <x:c r="R58" s="21"/>
      <x:c r="S58" s="21"/>
    </x:row>
    <x:row r="59">
      <x:c r="A59" s="21" t="str">
        <x:v>ELETRICA SMART SERVICE LTDA - 208</x:v>
      </x:c>
      <x:c r="B59" s="21" t="str">
        <x:v>SMART</x:v>
      </x:c>
      <x:c r="C59" s="21" t="str">
        <x:v>GOIÂNIA</x:v>
      </x:c>
      <x:c r="D59" s="21" t="n">
        <x:v>60906391000130</x:v>
      </x:c>
      <x:c r="E59" s="21"/>
      <x:c r="F59" s="21" t="str">
        <x:v>TATIANE</x:v>
      </x:c>
      <x:c r="G59" s="21" t="str">
        <x:v>SIMPLES NACIONAL</x:v>
      </x:c>
      <x:c r="H59" s="21" t="str">
        <x:v>B</x:v>
      </x:c>
      <x:c r="I59" s="21"/>
      <x:c r="J59" s="21"/>
      <x:c r="K59" s="21"/>
      <x:c r="L59" s="21"/>
      <x:c r="M59" s="21" t="str">
        <x:v>SEM MOVIEMNTO</x:v>
      </x:c>
      <x:c r="N59" s="21"/>
      <x:c r="O59" s="21" t="str">
        <x:v>SEM RESULTADOS</x:v>
      </x:c>
      <x:c r="P59" s="21"/>
      <x:c r="Q59" s="21"/>
      <x:c r="R59" s="21"/>
      <x:c r="S59" s="21"/>
    </x:row>
    <x:row r="60">
      <x:c r="A60" s="21" t="str">
        <x:v>ENIVALDO CAMPOS RODRIGUES MEI - 50</x:v>
      </x:c>
      <x:c r="B60" s="21" t="str">
        <x:v>INDEPENDENTE</x:v>
      </x:c>
      <x:c r="C60" s="21" t="str">
        <x:v>GOIÂNIA</x:v>
      </x:c>
      <x:c r="D60" s="21" t="n">
        <x:v>41762299000107</x:v>
      </x:c>
      <x:c r="E60" s="21"/>
      <x:c r="F60" s="21" t="str">
        <x:v>ENIVALDO</x:v>
      </x:c>
      <x:c r="G60" s="21" t="str">
        <x:v>SIMPLES NACIONAL</x:v>
      </x:c>
      <x:c r="H60" s="21" t="str">
        <x:v>C</x:v>
      </x:c>
      <x:c r="I60" s="21"/>
      <x:c r="J60" s="21"/>
      <x:c r="K60" s="21"/>
      <x:c r="L60" s="21"/>
      <x:c r="M60" s="21" t="str">
        <x:v>SEM I.E.</x:v>
      </x:c>
      <x:c r="N60" s="21"/>
      <x:c r="O60" s="21" t="str">
        <x:v>XXXXXXX</x:v>
      </x:c>
      <x:c r="P60" s="21"/>
      <x:c r="Q60" s="21"/>
      <x:c r="R60" s="21"/>
      <x:c r="S60" s="21"/>
    </x:row>
    <x:row r="61">
      <x:c r="A61" s="21" t="str">
        <x:v>ERIO APOIO ADM - 137</x:v>
      </x:c>
      <x:c r="B61" s="21" t="str">
        <x:v>ERIO</x:v>
      </x:c>
      <x:c r="C61" s="21" t="str">
        <x:v>JATAÍ</x:v>
      </x:c>
      <x:c r="D61" s="21" t="n">
        <x:v>52090662000101</x:v>
      </x:c>
      <x:c r="E61" s="21"/>
      <x:c r="F61" s="21" t="str">
        <x:v>LUCIANA/PATRICIA</x:v>
      </x:c>
      <x:c r="G61" s="21" t="str">
        <x:v>SIMPLES NACIONAL</x:v>
      </x:c>
      <x:c r="H61" s="21" t="str">
        <x:v>C</x:v>
      </x:c>
      <x:c r="I61" s="21"/>
      <x:c r="J61" s="21"/>
      <x:c r="K61" s="21"/>
      <x:c r="L61" s="21"/>
      <x:c r="M61" s="21" t="str">
        <x:v>SEM I.E.</x:v>
      </x:c>
      <x:c r="N61" s="21"/>
      <x:c r="O61" s="21" t="str">
        <x:v>SEM RESULTADOS</x:v>
      </x:c>
      <x:c r="P61" s="21"/>
      <x:c r="Q61" s="21"/>
      <x:c r="R61" s="21"/>
      <x:c r="S61" s="21"/>
    </x:row>
    <x:row r="62">
      <x:c r="A62" s="21" t="str">
        <x:v>ERIO AUTO PECAS E MECANICA</x:v>
      </x:c>
      <x:c r="B62" s="21" t="str">
        <x:v>ERIO</x:v>
      </x:c>
      <x:c r="C62" s="21" t="str">
        <x:v>JATAI</x:v>
      </x:c>
      <x:c r="D62" s="21" t="str">
        <x:v>10.329.564/0001-26</x:v>
      </x:c>
      <x:c r="E62" s="21"/>
      <x:c r="F62" s="21" t="str">
        <x:v>LUCIANA/PATRICIA</x:v>
      </x:c>
      <x:c r="G62" s="21" t="str">
        <x:v>LUCRO REAL</x:v>
      </x:c>
      <x:c r="H62" s="21" t="str">
        <x:v>B</x:v>
      </x:c>
      <x:c r="I62" s="21"/>
      <x:c r="J62" s="21"/>
      <x:c r="K62" s="21"/>
      <x:c r="L62" s="21"/>
      <x:c r="M62" s="21" t="str">
        <x:v>OK 04/05</x:v>
      </x:c>
      <x:c r="N62" s="21"/>
      <x:c r="O62" s="21" t="str">
        <x:v>OK 30/04</x:v>
      </x:c>
      <x:c r="P62" s="21"/>
      <x:c r="Q62" s="21"/>
      <x:c r="R62" s="21"/>
      <x:c r="S62" s="21"/>
    </x:row>
    <x:row r="63">
      <x:c r="A63" s="21" t="str">
        <x:v>ERIO AUTO PECAS E MECANICA - FL 01</x:v>
      </x:c>
      <x:c r="B63" s="21" t="str">
        <x:v>ERIO</x:v>
      </x:c>
      <x:c r="C63" s="21" t="str">
        <x:v>JATAI</x:v>
      </x:c>
      <x:c r="D63" s="21" t="str">
        <x:v>10.329.564/0002-07</x:v>
      </x:c>
      <x:c r="E63" s="21"/>
      <x:c r="F63" s="21" t="str">
        <x:v>LUCIANA/PATRICIA</x:v>
      </x:c>
      <x:c r="G63" s="21" t="str">
        <x:v>LUCRO REAL</x:v>
      </x:c>
      <x:c r="H63" s="21" t="str">
        <x:v>B</x:v>
      </x:c>
      <x:c r="I63" s="21"/>
      <x:c r="J63" s="21"/>
      <x:c r="K63" s="21"/>
      <x:c r="L63" s="21"/>
      <x:c r="M63" s="21" t="str">
        <x:v>OK 04/05</x:v>
      </x:c>
      <x:c r="N63" s="21"/>
      <x:c r="O63" s="21" t="str">
        <x:v>OK 30/04</x:v>
      </x:c>
      <x:c r="P63" s="21"/>
      <x:c r="Q63" s="21"/>
      <x:c r="R63" s="21"/>
      <x:c r="S63" s="21"/>
    </x:row>
    <x:row r="64">
      <x:c r="A64" s="21" t="str">
        <x:v>ESCOLA DE EDUCACAO BILINGUE LTDA - 149</x:v>
      </x:c>
      <x:c r="B64" s="21" t="str">
        <x:v>INTERESCHOOL</x:v>
      </x:c>
      <x:c r="C64" s="21" t="str">
        <x:v>GOIÂNIA</x:v>
      </x:c>
      <x:c r="D64" s="21" t="n">
        <x:v>8587897000103</x:v>
      </x:c>
      <x:c r="E64" s="21"/>
      <x:c r="F64" s="21" t="str">
        <x:v>ROSICLÉIA</x:v>
      </x:c>
      <x:c r="G64" s="21" t="str">
        <x:v>LUCRO PRESUMIDO</x:v>
      </x:c>
      <x:c r="H64" s="21" t="str">
        <x:v>C</x:v>
      </x:c>
      <x:c r="I64" s="21"/>
      <x:c r="J64" s="21"/>
      <x:c r="K64" s="21"/>
      <x:c r="L64" s="21"/>
      <x:c r="M64" s="21" t="str">
        <x:v>SEM I.E.</x:v>
      </x:c>
      <x:c r="N64" s="21"/>
      <x:c r="O64" s="21" t="str">
        <x:v>SEM RESULTADOS</x:v>
      </x:c>
      <x:c r="P64" s="21"/>
      <x:c r="Q64" s="21"/>
      <x:c r="R64" s="21"/>
      <x:c r="S64" s="21"/>
    </x:row>
    <x:row r="65">
      <x:c r="A65" s="21" t="str">
        <x:v>ESCOLA GOIANA BILINGUE LTDA - 147</x:v>
      </x:c>
      <x:c r="B65" s="21" t="str">
        <x:v>INTERESCHOOL</x:v>
      </x:c>
      <x:c r="C65" s="21" t="str">
        <x:v>GOIÂNIA</x:v>
      </x:c>
      <x:c r="D65" s="21" t="n">
        <x:v>17845713000159</x:v>
      </x:c>
      <x:c r="E65" s="21"/>
      <x:c r="F65" s="21" t="str">
        <x:v>ROSICLÉIA</x:v>
      </x:c>
      <x:c r="G65" s="21" t="str">
        <x:v>LUCRO PRESUMIDO</x:v>
      </x:c>
      <x:c r="H65" s="21" t="str">
        <x:v>C</x:v>
      </x:c>
      <x:c r="I65" s="21"/>
      <x:c r="J65" s="21"/>
      <x:c r="K65" s="21"/>
      <x:c r="L65" s="21"/>
      <x:c r="M65" s="21" t="str">
        <x:v>SEM I.E.</x:v>
      </x:c>
      <x:c r="N65" s="21"/>
      <x:c r="O65" s="21" t="str">
        <x:v>SEM RESULTADOS</x:v>
      </x:c>
      <x:c r="P65" s="21"/>
      <x:c r="Q65" s="21"/>
      <x:c r="R65" s="21"/>
      <x:c r="S65" s="21"/>
    </x:row>
    <x:row r="66">
      <x:c r="A66" s="21" t="str">
        <x:v>ESCOLA INTERNACIONAL DE GOIANIA LTDA - 155</x:v>
      </x:c>
      <x:c r="B66" s="21" t="str">
        <x:v>INTERESCHOOL</x:v>
      </x:c>
      <x:c r="C66" s="21" t="str">
        <x:v>GOIÂNIA</x:v>
      </x:c>
      <x:c r="D66" s="21" t="n">
        <x:v>37646098000169</x:v>
      </x:c>
      <x:c r="E66" s="21"/>
      <x:c r="F66" s="21" t="str">
        <x:v>ROSICLÉIA</x:v>
      </x:c>
      <x:c r="G66" s="21" t="str">
        <x:v>LUCRO PRESUMIDO</x:v>
      </x:c>
      <x:c r="H66" s="21" t="str">
        <x:v>C</x:v>
      </x:c>
      <x:c r="I66" s="21"/>
      <x:c r="J66" s="21"/>
      <x:c r="K66" s="21"/>
      <x:c r="L66" s="21"/>
      <x:c r="M66" s="21" t="str">
        <x:v>SEM I.E.</x:v>
      </x:c>
      <x:c r="N66" s="21"/>
      <x:c r="O66" s="21" t="str">
        <x:v>DADOS Ñ ENC CNPJ</x:v>
      </x:c>
      <x:c r="P66" s="21"/>
      <x:c r="Q66" s="21"/>
      <x:c r="R66" s="21"/>
      <x:c r="S66" s="21"/>
    </x:row>
    <x:row r="67">
      <x:c r="A67" s="21" t="str">
        <x:v>EXCELENCIA PRESTADORA DE SERVIÇOS - 69</x:v>
      </x:c>
      <x:c r="B67" s="21" t="str">
        <x:v>RETIF EXCELENCIA</x:v>
      </x:c>
      <x:c r="C67" s="21" t="str">
        <x:v>GOIÂNIA</x:v>
      </x:c>
      <x:c r="D67" s="21" t="n">
        <x:v>44470328000147</x:v>
      </x:c>
      <x:c r="E67" s="21"/>
      <x:c r="F67" s="21" t="str">
        <x:v>GISELLE/LEIDIANA</x:v>
      </x:c>
      <x:c r="G67" s="21" t="str">
        <x:v>SIMPLES NACIONAL</x:v>
      </x:c>
      <x:c r="H67" s="21" t="str">
        <x:v>C</x:v>
      </x:c>
      <x:c r="I67" s="21"/>
      <x:c r="J67" s="21"/>
      <x:c r="K67" s="21"/>
      <x:c r="L67" s="21"/>
      <x:c r="M67" s="21" t="str">
        <x:v>OK 04/05</x:v>
      </x:c>
      <x:c r="N67" s="21"/>
      <x:c r="O67" s="21" t="str">
        <x:v>OK 30/04</x:v>
      </x:c>
      <x:c r="P67" s="21"/>
      <x:c r="Q67" s="21"/>
      <x:c r="R67" s="21"/>
      <x:c r="S67" s="21"/>
    </x:row>
    <x:row r="68">
      <x:c r="A68" s="21" t="str">
        <x:v>FPM CORPORATE SOLUTIONS</x:v>
      </x:c>
      <x:c r="B68" s="21" t="str">
        <x:v>FPM</x:v>
      </x:c>
      <x:c r="C68" s="21" t="str">
        <x:v>SINOP - MT</x:v>
      </x:c>
      <x:c r="D68" s="21" t="str">
        <x:v>49.672.979/0001-33</x:v>
      </x:c>
      <x:c r="E68" s="21"/>
      <x:c r="F68" s="21"/>
      <x:c r="G68" s="21" t="str">
        <x:v>LUCRO PRESUMIDO</x:v>
      </x:c>
      <x:c r="H68" s="21" t="str">
        <x:v>A</x:v>
      </x:c>
      <x:c r="I68" s="21"/>
      <x:c r="J68" s="21"/>
      <x:c r="K68" s="21"/>
      <x:c r="L68" s="21"/>
      <x:c r="M68" s="21" t="str">
        <x:v>SEM MOVIEMNTO</x:v>
      </x:c>
      <x:c r="N68" s="21" t="str">
        <x:v>MT</x:v>
      </x:c>
      <x:c r="O68" s="21" t="str">
        <x:v>MT</x:v>
      </x:c>
      <x:c r="P68" s="21"/>
      <x:c r="Q68" s="21"/>
      <x:c r="R68" s="21"/>
      <x:c r="S68" s="21"/>
    </x:row>
    <x:row r="69">
      <x:c r="A69" s="21" t="str">
        <x:v>FPM GOURMET BRANDS - FILIAL I</x:v>
      </x:c>
      <x:c r="B69" s="21" t="str">
        <x:v>FPM</x:v>
      </x:c>
      <x:c r="C69" s="21" t="str">
        <x:v>SINOP - MT</x:v>
      </x:c>
      <x:c r="D69" s="21" t="str">
        <x:v>39.840.144/0002-72</x:v>
      </x:c>
      <x:c r="E69" s="21"/>
      <x:c r="F69" s="21" t="str">
        <x:v>DANY</x:v>
      </x:c>
      <x:c r="G69" s="21" t="str">
        <x:v>LUCRO REAL</x:v>
      </x:c>
      <x:c r="H69" s="21" t="str">
        <x:v>A</x:v>
      </x:c>
      <x:c r="I69" s="21"/>
      <x:c r="J69" s="21"/>
      <x:c r="K69" s="21"/>
      <x:c r="L69" s="21"/>
      <x:c r="M69" s="21" t="str">
        <x:v>SEM MOVIEMNTO</x:v>
      </x:c>
      <x:c r="N69" s="21" t="str">
        <x:v>MT</x:v>
      </x:c>
      <x:c r="O69" s="21" t="str">
        <x:v>MT</x:v>
      </x:c>
      <x:c r="P69" s="21"/>
      <x:c r="Q69" s="21"/>
      <x:c r="R69" s="21"/>
      <x:c r="S69" s="21"/>
    </x:row>
    <x:row r="70">
      <x:c r="A70" s="21" t="str">
        <x:v>FPM GOURMET BRANDS - FILIAL II</x:v>
      </x:c>
      <x:c r="B70" s="21" t="str">
        <x:v>FPM</x:v>
      </x:c>
      <x:c r="C70" s="21" t="str">
        <x:v>SINOP - MT</x:v>
      </x:c>
      <x:c r="D70" s="21" t="str">
        <x:v>39.840.144/0003-53</x:v>
      </x:c>
      <x:c r="E70" s="21"/>
      <x:c r="F70" s="21" t="str">
        <x:v>DANY</x:v>
      </x:c>
      <x:c r="G70" s="21" t="str">
        <x:v>LUCRO REAL</x:v>
      </x:c>
      <x:c r="H70" s="21" t="str">
        <x:v>A</x:v>
      </x:c>
      <x:c r="I70" s="21"/>
      <x:c r="J70" s="21"/>
      <x:c r="K70" s="21"/>
      <x:c r="L70" s="21"/>
      <x:c r="M70" s="21" t="str">
        <x:v>SEM MOVIEMNTO</x:v>
      </x:c>
      <x:c r="N70" s="21" t="str">
        <x:v>MT</x:v>
      </x:c>
      <x:c r="O70" s="21" t="str">
        <x:v>MT</x:v>
      </x:c>
      <x:c r="P70" s="21"/>
      <x:c r="Q70" s="21"/>
      <x:c r="R70" s="21"/>
      <x:c r="S70" s="21"/>
    </x:row>
    <x:row r="71">
      <x:c r="A71" s="21" t="str">
        <x:v>FPM GOURMET BRANDS - FILIAL III</x:v>
      </x:c>
      <x:c r="B71" s="21" t="str">
        <x:v>FPM</x:v>
      </x:c>
      <x:c r="C71" s="21" t="str">
        <x:v>SINOP - MT</x:v>
      </x:c>
      <x:c r="D71" s="21" t="str">
        <x:v>39.840.144/0004-34</x:v>
      </x:c>
      <x:c r="E71" s="21"/>
      <x:c r="F71" s="21" t="str">
        <x:v>DANY</x:v>
      </x:c>
      <x:c r="G71" s="21" t="str">
        <x:v>LUCRO REAL</x:v>
      </x:c>
      <x:c r="H71" s="21" t="str">
        <x:v>A</x:v>
      </x:c>
      <x:c r="I71" s="21"/>
      <x:c r="J71" s="21"/>
      <x:c r="K71" s="21"/>
      <x:c r="L71" s="21"/>
      <x:c r="M71" s="21" t="str">
        <x:v>SEM MOVIEMNTO</x:v>
      </x:c>
      <x:c r="N71" s="21" t="str">
        <x:v>MT</x:v>
      </x:c>
      <x:c r="O71" s="21" t="str">
        <x:v>MT</x:v>
      </x:c>
      <x:c r="P71" s="21"/>
      <x:c r="Q71" s="21"/>
      <x:c r="R71" s="21"/>
      <x:c r="S71" s="21"/>
    </x:row>
    <x:row r="72">
      <x:c r="A72" s="21" t="str">
        <x:v>FPM GOURMET BRANDS - FILIAL IV</x:v>
      </x:c>
      <x:c r="B72" s="21" t="str">
        <x:v>FPM</x:v>
      </x:c>
      <x:c r="C72" s="21" t="str">
        <x:v>SINOP - MT</x:v>
      </x:c>
      <x:c r="D72" s="21" t="str">
        <x:v>39.840.144/0005-15</x:v>
      </x:c>
      <x:c r="E72" s="21"/>
      <x:c r="F72" s="21" t="str">
        <x:v>DANY</x:v>
      </x:c>
      <x:c r="G72" s="21" t="str">
        <x:v>LUCRO REAL</x:v>
      </x:c>
      <x:c r="H72" s="21" t="str">
        <x:v>A</x:v>
      </x:c>
      <x:c r="I72" s="21"/>
      <x:c r="J72" s="21"/>
      <x:c r="K72" s="21"/>
      <x:c r="L72" s="21"/>
      <x:c r="M72" s="21" t="str">
        <x:v>SEM MOVIEMNTO</x:v>
      </x:c>
      <x:c r="N72" s="21" t="str">
        <x:v>MT</x:v>
      </x:c>
      <x:c r="O72" s="21" t="str">
        <x:v>MT</x:v>
      </x:c>
      <x:c r="P72" s="21"/>
      <x:c r="Q72" s="21"/>
      <x:c r="R72" s="21"/>
      <x:c r="S72" s="21"/>
    </x:row>
    <x:row r="73">
      <x:c r="A73" s="21" t="str">
        <x:v>FPM GOURMET BRANDS MTZ</x:v>
      </x:c>
      <x:c r="B73" s="21" t="str">
        <x:v>FPM</x:v>
      </x:c>
      <x:c r="C73" s="21" t="str">
        <x:v>SINOP - MT</x:v>
      </x:c>
      <x:c r="D73" s="21" t="str">
        <x:v>39.840.144/0001-91</x:v>
      </x:c>
      <x:c r="E73" s="21"/>
      <x:c r="F73" s="21" t="str">
        <x:v>DANY</x:v>
      </x:c>
      <x:c r="G73" s="21" t="str">
        <x:v>LUCRO REAL</x:v>
      </x:c>
      <x:c r="H73" s="21" t="str">
        <x:v>A</x:v>
      </x:c>
      <x:c r="I73" s="21"/>
      <x:c r="J73" s="21"/>
      <x:c r="K73" s="21"/>
      <x:c r="L73" s="21"/>
      <x:c r="M73" s="21" t="str">
        <x:v>SEM MOVIEMNTO</x:v>
      </x:c>
      <x:c r="N73" s="21" t="str">
        <x:v>MT</x:v>
      </x:c>
      <x:c r="O73" s="21" t="str">
        <x:v>MT</x:v>
      </x:c>
      <x:c r="P73" s="21"/>
      <x:c r="Q73" s="21"/>
      <x:c r="R73" s="21"/>
      <x:c r="S73" s="21"/>
    </x:row>
    <x:row r="74">
      <x:c r="A74" s="21" t="str">
        <x:v>FPM PEOPLE SOLUTIONS LTDA - FL I</x:v>
      </x:c>
      <x:c r="B74" s="21" t="str">
        <x:v>FPM</x:v>
      </x:c>
      <x:c r="C74" s="21" t="str">
        <x:v>SINOP - MT</x:v>
      </x:c>
      <x:c r="D74" s="21" t="str">
        <x:v>24.457.433/0002-10</x:v>
      </x:c>
      <x:c r="E74" s="21"/>
      <x:c r="F74" s="21"/>
      <x:c r="G74" s="21" t="str">
        <x:v>SIMPLES NACIONAL</x:v>
      </x:c>
      <x:c r="H74" s="21" t="str">
        <x:v>A</x:v>
      </x:c>
      <x:c r="I74" s="21"/>
      <x:c r="J74" s="21"/>
      <x:c r="K74" s="21"/>
      <x:c r="L74" s="21"/>
      <x:c r="M74" s="21" t="str">
        <x:v>SEM MOVIEMNTO</x:v>
      </x:c>
      <x:c r="N74" s="21" t="str">
        <x:v>MT</x:v>
      </x:c>
      <x:c r="O74" s="21" t="str">
        <x:v>CERT. VENCIDO</x:v>
      </x:c>
      <x:c r="P74" s="21"/>
      <x:c r="Q74" s="21"/>
      <x:c r="R74" s="21"/>
      <x:c r="S74" s="21"/>
    </x:row>
    <x:row r="75">
      <x:c r="A75" s="21" t="str">
        <x:v>FPM PEOPLE SOLUTIONS LTDA MTZ</x:v>
      </x:c>
      <x:c r="B75" s="21" t="str">
        <x:v>FPM</x:v>
      </x:c>
      <x:c r="C75" s="21" t="str">
        <x:v>SINOP - MT</x:v>
      </x:c>
      <x:c r="D75" s="21" t="str">
        <x:v>24.457.433/0001-39</x:v>
      </x:c>
      <x:c r="E75" s="21"/>
      <x:c r="F75" s="21"/>
      <x:c r="G75" s="21" t="str">
        <x:v>SIMPLES NACIONAL</x:v>
      </x:c>
      <x:c r="H75" s="21" t="str">
        <x:v>A</x:v>
      </x:c>
      <x:c r="I75" s="21"/>
      <x:c r="J75" s="21"/>
      <x:c r="K75" s="21"/>
      <x:c r="L75" s="21"/>
      <x:c r="M75" s="21" t="str">
        <x:v>SEM MOVIEMNTO</x:v>
      </x:c>
      <x:c r="N75" s="21" t="str">
        <x:v>MT</x:v>
      </x:c>
      <x:c r="O75" s="21" t="str">
        <x:v>CERT. VENCIDO</x:v>
      </x:c>
      <x:c r="P75" s="21"/>
      <x:c r="Q75" s="21"/>
      <x:c r="R75" s="21"/>
      <x:c r="S75" s="21"/>
    </x:row>
    <x:row r="76">
      <x:c r="A76" s="21" t="str">
        <x:v>GLOBO SERVIÇOS - 129</x:v>
      </x:c>
      <x:c r="B76" s="21" t="str">
        <x:v>AGROBOM</x:v>
      </x:c>
      <x:c r="C76" s="21" t="str">
        <x:v>BOM JESUS</x:v>
      </x:c>
      <x:c r="D76" s="21" t="n">
        <x:v>10977876000146</x:v>
      </x:c>
      <x:c r="E76" s="21"/>
      <x:c r="F76" s="21" t="str">
        <x:v>DANIEL</x:v>
      </x:c>
      <x:c r="G76" s="21" t="str">
        <x:v>SIMPLES NACIONAL</x:v>
      </x:c>
      <x:c r="H76" s="21" t="str">
        <x:v>C</x:v>
      </x:c>
      <x:c r="I76" s="21"/>
      <x:c r="J76" s="21"/>
      <x:c r="K76" s="21"/>
      <x:c r="L76" s="21"/>
      <x:c r="M76" s="21" t="str">
        <x:v>SEM MOVIEMNTO</x:v>
      </x:c>
      <x:c r="N76" s="21"/>
      <x:c r="O76" s="21" t="str">
        <x:v>SEM RESULTADOS</x:v>
      </x:c>
      <x:c r="P76" s="21"/>
      <x:c r="Q76" s="21"/>
      <x:c r="R76" s="21"/>
      <x:c r="S76" s="21"/>
    </x:row>
    <x:row r="77">
      <x:c r="A77" s="21" t="str">
        <x:v>GSV AGROPECUARIA LTDA - 154</x:v>
      </x:c>
      <x:c r="B77" s="21" t="str">
        <x:v>GSV</x:v>
      </x:c>
      <x:c r="C77" s="21" t="str">
        <x:v>GOIANESIA</x:v>
      </x:c>
      <x:c r="D77" s="21" t="str">
        <x:v>53.667.342/0001-26</x:v>
      </x:c>
      <x:c r="E77" s="21"/>
      <x:c r="F77" s="21" t="str">
        <x:v>NATÁLIA</x:v>
      </x:c>
      <x:c r="G77" s="21" t="str">
        <x:v>LUCRO REAL</x:v>
      </x:c>
      <x:c r="H77" s="21" t="str">
        <x:v>C</x:v>
      </x:c>
      <x:c r="I77" s="21"/>
      <x:c r="J77" s="21"/>
      <x:c r="K77" s="21"/>
      <x:c r="L77" s="21"/>
      <x:c r="M77" s="21" t="str">
        <x:v>ok</x:v>
      </x:c>
      <x:c r="N77" s="21"/>
      <x:c r="O77" s="21" t="str">
        <x:v>SEM RESULTADOS</x:v>
      </x:c>
      <x:c r="P77" s="21"/>
      <x:c r="Q77" s="21"/>
      <x:c r="R77" s="21"/>
      <x:c r="S77" s="21"/>
    </x:row>
    <x:row r="78">
      <x:c r="A78" s="21" t="str">
        <x:v>GSV MONTAGENS INDUSTRIAIS - LTDA</x:v>
      </x:c>
      <x:c r="B78" s="21" t="str">
        <x:v>GSV</x:v>
      </x:c>
      <x:c r="C78" s="21" t="str">
        <x:v>GOIANESIA</x:v>
      </x:c>
      <x:c r="D78" s="21" t="str">
        <x:v>11.225.183/0001-60</x:v>
      </x:c>
      <x:c r="E78" s="21"/>
      <x:c r="F78" s="21" t="str">
        <x:v>NATÁLIA</x:v>
      </x:c>
      <x:c r="G78" s="21" t="str">
        <x:v>LUCRO REAL</x:v>
      </x:c>
      <x:c r="H78" s="21" t="str">
        <x:v>A</x:v>
      </x:c>
      <x:c r="I78" s="21"/>
      <x:c r="J78" s="21"/>
      <x:c r="K78" s="21"/>
      <x:c r="L78" s="21"/>
      <x:c r="M78" s="21" t="str">
        <x:v>JÁ OK </x:v>
      </x:c>
      <x:c r="N78" s="21"/>
      <x:c r="O78" s="21" t="str">
        <x:v>JÁ ESTAVA </x:v>
      </x:c>
      <x:c r="P78" s="21"/>
      <x:c r="Q78" s="21"/>
      <x:c r="R78" s="21" t="str">
        <x:v>W:\01-CLIENTES\GRUPO - GSV\1 - GSV MONTAGENS INDUSTRIAIS\FISCAL\2026\042026\MUNICIPAL\REST\PDF SERVIÇOS TOMADOS</x:v>
      </x:c>
      <x:c r="S78" s="21"/>
    </x:row>
    <x:row r="79">
      <x:c r="A79" s="21" t="str">
        <x:v>HANAMEC FERRAMENTAS - 34</x:v>
      </x:c>
      <x:c r="B79" s="21" t="str">
        <x:v>HANAMEC</x:v>
      </x:c>
      <x:c r="C79" s="21" t="str">
        <x:v>GOIÂNIA</x:v>
      </x:c>
      <x:c r="D79" s="21" t="n">
        <x:v>40920539000183</x:v>
      </x:c>
      <x:c r="E79" s="21"/>
      <x:c r="F79" s="21" t="str">
        <x:v>DANIELA</x:v>
      </x:c>
      <x:c r="G79" s="21" t="str">
        <x:v>SIMPLES NACIONAL</x:v>
      </x:c>
      <x:c r="H79" s="21" t="str">
        <x:v>C</x:v>
      </x:c>
      <x:c r="I79" s="21"/>
      <x:c r="J79" s="21"/>
      <x:c r="K79" s="21"/>
      <x:c r="L79" s="21"/>
      <x:c r="M79" s="21" t="str">
        <x:v>SEM MOVIEMNTO</x:v>
      </x:c>
      <x:c r="N79" s="21"/>
      <x:c r="O79" s="21"/>
      <x:c r="P79" s="21"/>
      <x:c r="Q79" s="21"/>
      <x:c r="R79" s="21"/>
      <x:c r="S79" s="21"/>
    </x:row>
    <x:row r="80">
      <x:c r="A80" s="21" t="str">
        <x:v>HANAMEC LOCAÇÕES - 49</x:v>
      </x:c>
      <x:c r="B80" s="21" t="str">
        <x:v>HANAMEC</x:v>
      </x:c>
      <x:c r="C80" s="21" t="str">
        <x:v>GOIANIA</x:v>
      </x:c>
      <x:c r="D80" s="21" t="str">
        <x:v>42.686.883/0001-85</x:v>
      </x:c>
      <x:c r="E80" s="21"/>
      <x:c r="F80" s="21" t="str">
        <x:v>DANIELA</x:v>
      </x:c>
      <x:c r="G80" s="21" t="str">
        <x:v>LUCRO PRESUMIDO</x:v>
      </x:c>
      <x:c r="H80" s="21" t="str">
        <x:v>C</x:v>
      </x:c>
      <x:c r="I80" s="21"/>
      <x:c r="J80" s="21"/>
      <x:c r="K80" s="21"/>
      <x:c r="L80" s="21"/>
      <x:c r="M80" s="21" t="str">
        <x:v>SEM I.E.</x:v>
      </x:c>
      <x:c r="N80" s="21"/>
      <x:c r="O80" s="21" t="str">
        <x:v>CERT. VENCIDO</x:v>
      </x:c>
      <x:c r="P80" s="21"/>
      <x:c r="Q80" s="21"/>
      <x:c r="R80" s="21"/>
      <x:c r="S80" s="21"/>
    </x:row>
    <x:row r="81">
      <x:c r="A81" s="21" t="str">
        <x:v>HANAMEC SERVICOS ELETRICOS E FERRAMENTAS LTDA</x:v>
      </x:c>
      <x:c r="B81" s="21" t="str">
        <x:v>HANAMEC</x:v>
      </x:c>
      <x:c r="C81" s="21" t="str">
        <x:v>GOIANIA</x:v>
      </x:c>
      <x:c r="D81" s="21" t="str">
        <x:v>12.614.431/0001-27</x:v>
      </x:c>
      <x:c r="E81" s="21"/>
      <x:c r="F81" s="21" t="str">
        <x:v>DANIELA</x:v>
      </x:c>
      <x:c r="G81" s="21" t="str">
        <x:v>LUCRO REAL</x:v>
      </x:c>
      <x:c r="H81" s="21" t="str">
        <x:v>A</x:v>
      </x:c>
      <x:c r="I81" s="21"/>
      <x:c r="J81" s="21"/>
      <x:c r="K81" s="21"/>
      <x:c r="L81" s="21"/>
      <x:c r="M81" s="21" t="str">
        <x:v>JÁ TINHA SALVO</x:v>
      </x:c>
      <x:c r="N81" s="21"/>
      <x:c r="O81" s="21" t="str">
        <x:v>OK 30/04</x:v>
      </x:c>
      <x:c r="P81" s="21"/>
      <x:c r="Q81" s="21"/>
      <x:c r="R81" s="21"/>
      <x:c r="S81" s="21"/>
    </x:row>
    <x:row r="82">
      <x:c r="A82" s="21" t="str">
        <x:v>HC COMERCIO DE CHOCOLATES LTDA - 210</x:v>
      </x:c>
      <x:c r="B82" s="21" t="str">
        <x:v>HH </x:v>
      </x:c>
      <x:c r="C82" s="21" t="str">
        <x:v>PIRACICABA </x:v>
      </x:c>
      <x:c r="D82" s="21" t="str">
        <x:v>21.017.530/0001-12</x:v>
      </x:c>
      <x:c r="E82" s="21"/>
      <x:c r="F82" s="21" t="str">
        <x:v>DANIELLE</x:v>
      </x:c>
      <x:c r="G82" s="21" t="str">
        <x:v>LUCRO REAL </x:v>
      </x:c>
      <x:c r="H82" s="21" t="str">
        <x:v>B</x:v>
      </x:c>
      <x:c r="I82" s="21"/>
      <x:c r="J82" s="21"/>
      <x:c r="K82" s="21"/>
      <x:c r="L82" s="21"/>
      <x:c r="M82" s="21" t="str">
        <x:v>SEM MOVIMENTO</x:v>
      </x:c>
      <x:c r="N82" s="21" t="str">
        <x:v>SP</x:v>
      </x:c>
      <x:c r="O82" s="21" t="str">
        <x:v>SEM RESULTADOS</x:v>
      </x:c>
      <x:c r="P82" s="21"/>
      <x:c r="Q82" s="21"/>
      <x:c r="R82" s="21"/>
      <x:c r="S82" s="21"/>
    </x:row>
    <x:row r="83">
      <x:c r="A83" s="21" t="str">
        <x:v>HH COMERCIO DE CHOCOLATES - 211</x:v>
      </x:c>
      <x:c r="B83" s="21" t="str">
        <x:v>HH </x:v>
      </x:c>
      <x:c r="C83" s="21" t="str">
        <x:v>PIRACICABA </x:v>
      </x:c>
      <x:c r="D83" s="21" t="str">
        <x:v>55.718.705/0001-30</x:v>
      </x:c>
      <x:c r="E83" s="21"/>
      <x:c r="F83" s="21" t="str">
        <x:v>DANIELLE</x:v>
      </x:c>
      <x:c r="G83" s="21" t="str">
        <x:v>SIMPLES NACIONAL</x:v>
      </x:c>
      <x:c r="H83" s="21" t="str">
        <x:v>B</x:v>
      </x:c>
      <x:c r="I83" s="21"/>
      <x:c r="J83" s="21"/>
      <x:c r="K83" s="21"/>
      <x:c r="L83" s="21"/>
      <x:c r="M83" s="21" t="str">
        <x:v>SEM MOVIMENTO</x:v>
      </x:c>
      <x:c r="N83" s="21" t="str">
        <x:v>SP</x:v>
      </x:c>
      <x:c r="O83" s="21" t="str">
        <x:v>SEM RESULTADOS</x:v>
      </x:c>
      <x:c r="P83" s="21"/>
      <x:c r="Q83" s="21"/>
      <x:c r="R83" s="21"/>
      <x:c r="S83" s="21"/>
    </x:row>
    <x:row r="84">
      <x:c r="A84" s="21" t="str">
        <x:v>HH COMERCIO DE CHOCOLATES - 212</x:v>
      </x:c>
      <x:c r="B84" s="21" t="str">
        <x:v>HH </x:v>
      </x:c>
      <x:c r="C84" s="21" t="str">
        <x:v>PIRACICABA </x:v>
      </x:c>
      <x:c r="D84" s="21" t="str">
        <x:v>55.718.705/0002-11</x:v>
      </x:c>
      <x:c r="E84" s="21"/>
      <x:c r="F84" s="21" t="str">
        <x:v>DANIELLE</x:v>
      </x:c>
      <x:c r="G84" s="21" t="str">
        <x:v>SIMPLES NACIONAL</x:v>
      </x:c>
      <x:c r="H84" s="21" t="str">
        <x:v>B</x:v>
      </x:c>
      <x:c r="I84" s="21"/>
      <x:c r="J84" s="21"/>
      <x:c r="K84" s="21"/>
      <x:c r="L84" s="21"/>
      <x:c r="M84" s="21" t="str">
        <x:v>SEM MOVIMENTO</x:v>
      </x:c>
      <x:c r="N84" s="21" t="str">
        <x:v>SP</x:v>
      </x:c>
      <x:c r="O84" s="21" t="str">
        <x:v>SEM RESULTADOS</x:v>
      </x:c>
      <x:c r="P84" s="21"/>
      <x:c r="Q84" s="21"/>
      <x:c r="R84" s="21"/>
      <x:c r="S84" s="21"/>
    </x:row>
    <x:row r="85">
      <x:c r="A85" s="21" t="str">
        <x:v>INSTITUTO DE MEDICINA OFTALMOLOGICA VASCULAR - 183</x:v>
      </x:c>
      <x:c r="B85" s="21" t="str">
        <x:v>INMOVI</x:v>
      </x:c>
      <x:c r="C85" s="21" t="str">
        <x:v>ITABERAI</x:v>
      </x:c>
      <x:c r="D85" s="21" t="n">
        <x:v>48579725000102</x:v>
      </x:c>
      <x:c r="E85" s="21"/>
      <x:c r="F85" s="21" t="str">
        <x:v>DAYANNE</x:v>
      </x:c>
      <x:c r="G85" s="21" t="str">
        <x:v>LUCRO REAL</x:v>
      </x:c>
      <x:c r="H85" s="21" t="str">
        <x:v>C</x:v>
      </x:c>
      <x:c r="I85" s="21"/>
      <x:c r="J85" s="21"/>
      <x:c r="K85" s="21"/>
      <x:c r="L85" s="21"/>
      <x:c r="M85" s="21" t="str">
        <x:v>SEM I.E.</x:v>
      </x:c>
      <x:c r="N85" s="21"/>
      <x:c r="O85" s="21" t="str">
        <x:v>Ñ ENCONTY CNPJ</x:v>
      </x:c>
      <x:c r="P85" s="21"/>
      <x:c r="Q85" s="21"/>
      <x:c r="R85" s="21"/>
      <x:c r="S85" s="21"/>
    </x:row>
    <x:row r="86">
      <x:c r="A86" s="21" t="str">
        <x:v>INSTITUTO DE VASCULAR E LASER - IVL - 99</x:v>
      </x:c>
      <x:c r="B86" s="21" t="str">
        <x:v>IVL</x:v>
      </x:c>
      <x:c r="C86" s="21" t="str">
        <x:v>GOIÂNIA</x:v>
      </x:c>
      <x:c r="D86" s="21" t="n">
        <x:v>21879417000146</x:v>
      </x:c>
      <x:c r="E86" s="21"/>
      <x:c r="F86" s="21" t="str">
        <x:v>HELCI</x:v>
      </x:c>
      <x:c r="G86" s="21" t="str">
        <x:v>LUCRO PRESUMIDO</x:v>
      </x:c>
      <x:c r="H86" s="21" t="str">
        <x:v>C</x:v>
      </x:c>
      <x:c r="I86" s="21"/>
      <x:c r="J86" s="21"/>
      <x:c r="K86" s="21"/>
      <x:c r="L86" s="21"/>
      <x:c r="M86" s="21" t="str">
        <x:v>SEM I.E.</x:v>
      </x:c>
      <x:c r="N86" s="21"/>
      <x:c r="O86" s="21" t="str">
        <x:v>SEM RESULTADO</x:v>
      </x:c>
      <x:c r="P86" s="21"/>
      <x:c r="Q86" s="21"/>
      <x:c r="R86" s="21"/>
      <x:c r="S86" s="21"/>
    </x:row>
    <x:row r="87">
      <x:c r="A87" s="21" t="str">
        <x:v>IVL SERVIÇOS ADMINISTRATIVOS - 107</x:v>
      </x:c>
      <x:c r="B87" s="21" t="str">
        <x:v>IVL</x:v>
      </x:c>
      <x:c r="C87" s="21" t="str">
        <x:v>GOIÂNIA</x:v>
      </x:c>
      <x:c r="D87" s="21" t="str">
        <x:v>48.956.624/0001-03</x:v>
      </x:c>
      <x:c r="E87" s="21"/>
      <x:c r="F87" s="21" t="str">
        <x:v>HELCI</x:v>
      </x:c>
      <x:c r="G87" s="21" t="str">
        <x:v>SIMPLES NACIONAL</x:v>
      </x:c>
      <x:c r="H87" s="21" t="str">
        <x:v>C</x:v>
      </x:c>
      <x:c r="I87" s="21"/>
      <x:c r="J87" s="21"/>
      <x:c r="K87" s="21"/>
      <x:c r="L87" s="21"/>
      <x:c r="M87" s="21" t="str">
        <x:v>SEM I.E.</x:v>
      </x:c>
      <x:c r="N87" s="21"/>
      <x:c r="O87" s="21" t="str">
        <x:v>SEM RESULTADO</x:v>
      </x:c>
      <x:c r="P87" s="21"/>
      <x:c r="Q87" s="21"/>
      <x:c r="R87" s="21"/>
      <x:c r="S87" s="21"/>
    </x:row>
    <x:row r="88">
      <x:c r="A88" s="21" t="str">
        <x:v>K&amp;M EMPREENDIMENTOS </x:v>
      </x:c>
      <x:c r="B88" s="21" t="str">
        <x:v>SILIGYN</x:v>
      </x:c>
      <x:c r="C88" s="21" t="str">
        <x:v>GOIANIA</x:v>
      </x:c>
      <x:c r="D88" s="21" t="str">
        <x:v>24.584.530/0001-92</x:v>
      </x:c>
      <x:c r="E88" s="21"/>
      <x:c r="F88" s="21"/>
      <x:c r="G88" s="21" t="str">
        <x:v>SIMPLES NACIONAL</x:v>
      </x:c>
      <x:c r="H88" s="21" t="str">
        <x:v>B</x:v>
      </x:c>
      <x:c r="I88" s="21"/>
      <x:c r="J88" s="21"/>
      <x:c r="K88" s="21"/>
      <x:c r="L88" s="21"/>
      <x:c r="M88" s="21" t="str">
        <x:v>SEM I.E.</x:v>
      </x:c>
      <x:c r="N88" s="21"/>
      <x:c r="O88" s="21" t="str">
        <x:v>SEM RESULTADO</x:v>
      </x:c>
      <x:c r="P88" s="21"/>
      <x:c r="Q88" s="21"/>
      <x:c r="R88" s="21"/>
      <x:c r="S88" s="21"/>
    </x:row>
    <x:row r="89">
      <x:c r="A89" s="21" t="str">
        <x:v>LIAN PADOVEZ PEDIATRIA</x:v>
      </x:c>
      <x:c r="B89" s="21" t="str">
        <x:v>SILIGYN</x:v>
      </x:c>
      <x:c r="C89" s="21" t="str">
        <x:v>GOIANIA</x:v>
      </x:c>
      <x:c r="D89" s="21"/>
      <x:c r="E89" s="21"/>
      <x:c r="F89" s="21"/>
      <x:c r="G89" s="21" t="str">
        <x:v>SIMPLES NACIONAL</x:v>
      </x:c>
      <x:c r="H89" s="21" t="str">
        <x:v>B</x:v>
      </x:c>
      <x:c r="I89" s="21"/>
      <x:c r="J89" s="21"/>
      <x:c r="K89" s="21"/>
      <x:c r="L89" s="21"/>
      <x:c r="M89" s="21" t="str">
        <x:v>SEM I.E.</x:v>
      </x:c>
      <x:c r="N89" s="21"/>
      <x:c r="O89" s="21" t="str">
        <x:v>SEM RESULTADO</x:v>
      </x:c>
      <x:c r="P89" s="21"/>
      <x:c r="Q89" s="21"/>
      <x:c r="R89" s="21"/>
      <x:c r="S89" s="21"/>
    </x:row>
    <x:row r="90">
      <x:c r="A90" s="21" t="str">
        <x:v>MBA - ESCOLA DO MECANICO - 76</x:v>
      </x:c>
      <x:c r="B90" s="21" t="str">
        <x:v>PRIME</x:v>
      </x:c>
      <x:c r="C90" s="21" t="str">
        <x:v>GOIÂNIA</x:v>
      </x:c>
      <x:c r="D90" s="21" t="n">
        <x:v>44868733000118</x:v>
      </x:c>
      <x:c r="E90" s="21"/>
      <x:c r="F90" s="21" t="str">
        <x:v>MAYSA</x:v>
      </x:c>
      <x:c r="G90" s="21" t="str">
        <x:v>SIMPLES NACIONAL</x:v>
      </x:c>
      <x:c r="H90" s="21" t="str">
        <x:v>C</x:v>
      </x:c>
      <x:c r="I90" s="21"/>
      <x:c r="J90" s="21"/>
      <x:c r="K90" s="21"/>
      <x:c r="L90" s="21"/>
      <x:c r="M90" s="21" t="str">
        <x:v>SEM I.E.</x:v>
      </x:c>
      <x:c r="N90" s="21"/>
      <x:c r="O90" s="21" t="str">
        <x:v>CERT. VENCIDO</x:v>
      </x:c>
      <x:c r="P90" s="21"/>
      <x:c r="Q90" s="21"/>
      <x:c r="R90" s="21"/>
      <x:c r="S90" s="21"/>
    </x:row>
    <x:row r="91">
      <x:c r="A91" s="21" t="str">
        <x:v>MEGAMOBI MOBILIDADES URBANAS </x:v>
      </x:c>
      <x:c r="B91" s="21" t="str">
        <x:v>AGROBOM</x:v>
      </x:c>
      <x:c r="C91" s="21" t="str">
        <x:v>GOIANIA</x:v>
      </x:c>
      <x:c r="D91" s="21" t="str">
        <x:v>61.483.503/0001-50</x:v>
      </x:c>
      <x:c r="E91" s="21"/>
      <x:c r="F91" s="21" t="str">
        <x:v>DANIEL</x:v>
      </x:c>
      <x:c r="G91" s="21" t="str">
        <x:v>LUCRO REAL</x:v>
      </x:c>
      <x:c r="H91" s="21" t="str">
        <x:v>B</x:v>
      </x:c>
      <x:c r="I91" s="21"/>
      <x:c r="J91" s="21"/>
      <x:c r="K91" s="21"/>
      <x:c r="L91" s="21"/>
      <x:c r="M91" s="21" t="str">
        <x:v>SEM I.E.</x:v>
      </x:c>
      <x:c r="N91" s="21"/>
      <x:c r="O91" s="21" t="str">
        <x:v>SEM RESULTADO</x:v>
      </x:c>
      <x:c r="P91" s="21"/>
      <x:c r="Q91" s="21"/>
      <x:c r="R91" s="21"/>
      <x:c r="S91" s="21"/>
    </x:row>
    <x:row r="92">
      <x:c r="A92" s="21" t="str">
        <x:v>MENDONCA NOGUEIRA LTDA - 133</x:v>
      </x:c>
      <x:c r="B92" s="21" t="str">
        <x:v>MENNO CAR</x:v>
      </x:c>
      <x:c r="C92" s="21" t="str">
        <x:v>GOIÂNIA</x:v>
      </x:c>
      <x:c r="D92" s="21" t="n">
        <x:v>51987426000111</x:v>
      </x:c>
      <x:c r="E92" s="21"/>
      <x:c r="F92" s="21" t="str">
        <x:v>ALESSANDRA- ALYSSON</x:v>
      </x:c>
      <x:c r="G92" s="21" t="str">
        <x:v>SIMPLES NACIONAL</x:v>
      </x:c>
      <x:c r="H92" s="21" t="str">
        <x:v>C</x:v>
      </x:c>
      <x:c r="I92" s="21"/>
      <x:c r="J92" s="21"/>
      <x:c r="K92" s="21"/>
      <x:c r="L92" s="21"/>
      <x:c r="M92" s="21" t="str">
        <x:v>OK 05/05</x:v>
      </x:c>
      <x:c r="N92" s="21"/>
      <x:c r="O92" s="21" t="str">
        <x:v>CERT. VENCIDO</x:v>
      </x:c>
      <x:c r="P92" s="21"/>
      <x:c r="Q92" s="21"/>
      <x:c r="R92" s="21"/>
      <x:c r="S92" s="21"/>
    </x:row>
    <x:row r="93">
      <x:c r="A93" s="21" t="str">
        <x:v>MENNO ADMINISTRATIVO - 134</x:v>
      </x:c>
      <x:c r="B93" s="21" t="str">
        <x:v>MENNO</x:v>
      </x:c>
      <x:c r="C93" s="21" t="str">
        <x:v>GOIÂNIA</x:v>
      </x:c>
      <x:c r="D93" s="21" t="str">
        <x:v>01.003.321/0001-02</x:v>
      </x:c>
      <x:c r="E93" s="21"/>
      <x:c r="F93" s="21" t="str">
        <x:v>ALESSANDRA/ ALYSSON</x:v>
      </x:c>
      <x:c r="G93" s="21" t="str">
        <x:v>LUCRO REAL</x:v>
      </x:c>
      <x:c r="H93" s="21" t="str">
        <x:v>B</x:v>
      </x:c>
      <x:c r="I93" s="21"/>
      <x:c r="J93" s="21"/>
      <x:c r="K93" s="21"/>
      <x:c r="L93" s="21"/>
      <x:c r="M93" s="21" t="str">
        <x:v>OK 05/05</x:v>
      </x:c>
      <x:c r="N93" s="21"/>
      <x:c r="O93" s="21" t="str">
        <x:v>CERT. VENCIDO</x:v>
      </x:c>
      <x:c r="P93" s="21"/>
      <x:c r="Q93" s="21"/>
      <x:c r="R93" s="21"/>
      <x:c r="S93" s="21"/>
    </x:row>
    <x:row r="94">
      <x:c r="A94" s="21" t="str">
        <x:v>MONTAGENS GSV - LTDA - 27</x:v>
      </x:c>
      <x:c r="B94" s="21" t="str">
        <x:v>GSV</x:v>
      </x:c>
      <x:c r="C94" s="21" t="str">
        <x:v>GOIANÉSIA</x:v>
      </x:c>
      <x:c r="D94" s="21" t="n">
        <x:v>21371431000134</x:v>
      </x:c>
      <x:c r="E94" s="21"/>
      <x:c r="F94" s="21" t="str">
        <x:v>LILIANE</x:v>
      </x:c>
      <x:c r="G94" s="21" t="str">
        <x:v>SIMPLES NACIONAL</x:v>
      </x:c>
      <x:c r="H94" s="21" t="str">
        <x:v>C</x:v>
      </x:c>
      <x:c r="I94" s="21"/>
      <x:c r="J94" s="21"/>
      <x:c r="K94" s="21"/>
      <x:c r="L94" s="21"/>
      <x:c r="M94" s="21" t="str">
        <x:v>ok</x:v>
      </x:c>
      <x:c r="N94" s="21"/>
      <x:c r="O94" s="21" t="str">
        <x:v>SEM CERT.</x:v>
      </x:c>
      <x:c r="P94" s="21"/>
      <x:c r="Q94" s="21"/>
      <x:c r="R94" s="21"/>
      <x:c r="S94" s="21"/>
    </x:row>
    <x:row r="95">
      <x:c r="A95" s="21" t="str">
        <x:v>NEXO QUALIFICAÇÃO (ANTES TEKNOPAR) - 56</x:v>
      </x:c>
      <x:c r="B95" s="21" t="str">
        <x:v>TEKNOPAR</x:v>
      </x:c>
      <x:c r="C95" s="21" t="str">
        <x:v>ANÁPOLIS</x:v>
      </x:c>
      <x:c r="D95" s="21" t="n">
        <x:v>9421791000106</x:v>
      </x:c>
      <x:c r="E95" s="21"/>
      <x:c r="F95" s="21" t="str">
        <x:v>JULIMAR</x:v>
      </x:c>
      <x:c r="G95" s="21" t="str">
        <x:v>SIMPLES NACIONAL</x:v>
      </x:c>
      <x:c r="H95" s="21" t="str">
        <x:v>C</x:v>
      </x:c>
      <x:c r="I95" s="21"/>
      <x:c r="J95" s="21"/>
      <x:c r="K95" s="21"/>
      <x:c r="L95" s="21"/>
      <x:c r="M95" s="21" t="str">
        <x:v>SEM I.E.</x:v>
      </x:c>
      <x:c r="N95" s="21"/>
      <x:c r="O95" s="21" t="str">
        <x:v>SEM RESULTADO</x:v>
      </x:c>
      <x:c r="P95" s="21"/>
      <x:c r="Q95" s="21"/>
      <x:c r="R95" s="21"/>
      <x:c r="S95" s="21"/>
    </x:row>
    <x:row r="96">
      <x:c r="A96" s="21" t="str">
        <x:v>NSZ CHOCOLATES LTDA - 177</x:v>
      </x:c>
      <x:c r="B96" s="21" t="str">
        <x:v>COPEMBOM</x:v>
      </x:c>
      <x:c r="C96" s="21" t="str">
        <x:v>VARZEA GRANDE</x:v>
      </x:c>
      <x:c r="D96" s="21" t="str">
        <x:v>46.970.032/0001-10</x:v>
      </x:c>
      <x:c r="E96" s="21"/>
      <x:c r="F96" s="21" t="str">
        <x:v>SANDRA</x:v>
      </x:c>
      <x:c r="G96" s="21" t="str">
        <x:v>SIMPLES NACIONAL</x:v>
      </x:c>
      <x:c r="H96" s="21" t="str">
        <x:v>A</x:v>
      </x:c>
      <x:c r="I96" s="21"/>
      <x:c r="J96" s="21"/>
      <x:c r="K96" s="21"/>
      <x:c r="L96" s="21"/>
      <x:c r="M96" s="21" t="str">
        <x:v>SEM MOVIMENTO</x:v>
      </x:c>
      <x:c r="N96" s="21"/>
      <x:c r="O96" s="21" t="str">
        <x:v>SEM RESULTADO</x:v>
      </x:c>
      <x:c r="P96" s="21"/>
      <x:c r="Q96" s="21"/>
      <x:c r="R96" s="21"/>
      <x:c r="S96" s="21"/>
    </x:row>
    <x:row r="97">
      <x:c r="A97" s="21" t="str">
        <x:v>PADOVEZ CUALHETA</x:v>
      </x:c>
      <x:c r="B97" s="21" t="str">
        <x:v>SILIGYN</x:v>
      </x:c>
      <x:c r="C97" s="21" t="str">
        <x:v>GOIANIA</x:v>
      </x:c>
      <x:c r="D97" s="21" t="str">
        <x:v>64.807.774/0001-01</x:v>
      </x:c>
      <x:c r="E97" s="21"/>
      <x:c r="F97" s="21"/>
      <x:c r="G97" s="21" t="str">
        <x:v>SIMPLES NACIONAL</x:v>
      </x:c>
      <x:c r="H97" s="21" t="str">
        <x:v>B</x:v>
      </x:c>
      <x:c r="I97" s="21"/>
      <x:c r="J97" s="21"/>
      <x:c r="K97" s="21"/>
      <x:c r="L97" s="21"/>
      <x:c r="M97" s="21" t="str">
        <x:v>SEM I.E.</x:v>
      </x:c>
      <x:c r="N97" s="21"/>
      <x:c r="O97" s="21" t="str">
        <x:v>SEM RESULTADO</x:v>
      </x:c>
      <x:c r="P97" s="21"/>
      <x:c r="Q97" s="21"/>
      <x:c r="R97" s="21"/>
      <x:c r="S97" s="21"/>
    </x:row>
    <x:row r="98">
      <x:c r="A98" s="21" t="str">
        <x:v>PANIFICADORA ELDORADO</x:v>
      </x:c>
      <x:c r="B98" s="21" t="str">
        <x:v>ELDORADO</x:v>
      </x:c>
      <x:c r="C98" s="21" t="str">
        <x:v>ANAPOLIS</x:v>
      </x:c>
      <x:c r="D98" s="21" t="str">
        <x:v>03.111.816/0001-80</x:v>
      </x:c>
      <x:c r="E98" s="21"/>
      <x:c r="F98" s="21" t="str">
        <x:v>VIVIANE/SILVIO</x:v>
      </x:c>
      <x:c r="G98" s="21" t="str">
        <x:v>LUCRO REAL</x:v>
      </x:c>
      <x:c r="H98" s="21" t="str">
        <x:v>A</x:v>
      </x:c>
      <x:c r="I98" s="21"/>
      <x:c r="J98" s="21"/>
      <x:c r="K98" s="21"/>
      <x:c r="L98" s="21"/>
      <x:c r="M98" s="21" t="str">
        <x:v>já na pasta </x:v>
      </x:c>
      <x:c r="N98" s="21"/>
      <x:c r="O98" s="21" t="str">
        <x:v>Já na pasta </x:v>
      </x:c>
      <x:c r="P98" s="21"/>
      <x:c r="Q98" s="21"/>
      <x:c r="R98" s="21"/>
      <x:c r="S98" s="21"/>
    </x:row>
    <x:row r="99">
      <x:c r="A99" s="21" t="str">
        <x:v>PANIFICADORA ELDORADO - FL 01</x:v>
      </x:c>
      <x:c r="B99" s="21" t="str">
        <x:v>ELDORADO</x:v>
      </x:c>
      <x:c r="C99" s="21" t="str">
        <x:v>ANAPOLIS</x:v>
      </x:c>
      <x:c r="D99" s="21" t="str">
        <x:v>03.111.816/0002-61</x:v>
      </x:c>
      <x:c r="E99" s="21"/>
      <x:c r="F99" s="21" t="str">
        <x:v>VIVIANE/SILVIO</x:v>
      </x:c>
      <x:c r="G99" s="21" t="str">
        <x:v>LUCRO REAL</x:v>
      </x:c>
      <x:c r="H99" s="21" t="str">
        <x:v>A</x:v>
      </x:c>
      <x:c r="I99" s="21"/>
      <x:c r="J99" s="21"/>
      <x:c r="K99" s="21"/>
      <x:c r="L99" s="21"/>
      <x:c r="M99" s="21" t="str">
        <x:v>já na pasta </x:v>
      </x:c>
      <x:c r="N99" s="21"/>
      <x:c r="O99" s="21" t="str">
        <x:v>Já na pasta </x:v>
      </x:c>
      <x:c r="P99" s="21"/>
      <x:c r="Q99" s="21"/>
      <x:c r="R99" s="21"/>
      <x:c r="S99" s="21"/>
    </x:row>
    <x:row r="100">
      <x:c r="A100" s="21" t="str">
        <x:v>PANIFICADORA ELDORADO - FL 02</x:v>
      </x:c>
      <x:c r="B100" s="21" t="str">
        <x:v>ELDORADO</x:v>
      </x:c>
      <x:c r="C100" s="21" t="str">
        <x:v>ANAPOLIS</x:v>
      </x:c>
      <x:c r="D100" s="21" t="str">
        <x:v>03.111.816/0003-42</x:v>
      </x:c>
      <x:c r="E100" s="21"/>
      <x:c r="F100" s="21" t="str">
        <x:v>VIVIANE/SILVIO</x:v>
      </x:c>
      <x:c r="G100" s="21" t="str">
        <x:v>LUCRO REAL</x:v>
      </x:c>
      <x:c r="H100" s="21" t="str">
        <x:v>A</x:v>
      </x:c>
      <x:c r="I100" s="21"/>
      <x:c r="J100" s="21"/>
      <x:c r="K100" s="21"/>
      <x:c r="L100" s="21"/>
      <x:c r="M100" s="21" t="str">
        <x:v>já na pasta </x:v>
      </x:c>
      <x:c r="N100" s="21"/>
      <x:c r="O100" s="21" t="str">
        <x:v>Já na pasta </x:v>
      </x:c>
      <x:c r="P100" s="21"/>
      <x:c r="Q100" s="21"/>
      <x:c r="R100" s="21"/>
      <x:c r="S100" s="21"/>
    </x:row>
    <x:row r="101">
      <x:c r="A101" s="21" t="str">
        <x:v>POWER SOURCE -  0002</x:v>
      </x:c>
      <x:c r="B101" s="21" t="str">
        <x:v>POWER SOURCE</x:v>
      </x:c>
      <x:c r="C101" s="21" t="str">
        <x:v>SÃO PAULO</x:v>
      </x:c>
      <x:c r="D101" s="21" t="str">
        <x:v>26.474.286/0002-11</x:v>
      </x:c>
      <x:c r="E101" s="21"/>
      <x:c r="F101" s="21" t="str">
        <x:v>BRUNA</x:v>
      </x:c>
      <x:c r="G101" s="21" t="str">
        <x:v>LUCRO REAL</x:v>
      </x:c>
      <x:c r="H101" s="21" t="str">
        <x:v>C</x:v>
      </x:c>
      <x:c r="I101" s="21"/>
      <x:c r="J101" s="21"/>
      <x:c r="K101" s="21"/>
      <x:c r="L101" s="21"/>
      <x:c r="M101" s="21" t="str">
        <x:v>SEM MOVIMENTO</x:v>
      </x:c>
      <x:c r="N101" s="21" t="str">
        <x:v>SP</x:v>
      </x:c>
      <x:c r="O101" s="21" t="str">
        <x:v>SEM RESULTADO</x:v>
      </x:c>
      <x:c r="P101" s="21"/>
      <x:c r="Q101" s="21"/>
      <x:c r="R101" s="21"/>
      <x:c r="S101" s="21"/>
    </x:row>
    <x:row r="102">
      <x:c r="A102" s="21" t="str">
        <x:v>POWER SOURCE - 0003</x:v>
      </x:c>
      <x:c r="B102" s="21" t="str">
        <x:v>POWER SOURCE</x:v>
      </x:c>
      <x:c r="C102" s="21" t="str">
        <x:v>RECIFE</x:v>
      </x:c>
      <x:c r="D102" s="21" t="str">
        <x:v>26.474.286/0003-00</x:v>
      </x:c>
      <x:c r="E102" s="21"/>
      <x:c r="F102" s="21" t="str">
        <x:v>BRUNA</x:v>
      </x:c>
      <x:c r="G102" s="21" t="str">
        <x:v>LUCRO REAL</x:v>
      </x:c>
      <x:c r="H102" s="21" t="str">
        <x:v>C</x:v>
      </x:c>
      <x:c r="I102" s="21"/>
      <x:c r="J102" s="21"/>
      <x:c r="K102" s="21"/>
      <x:c r="L102" s="21"/>
      <x:c r="M102" s="21" t="str">
        <x:v>SEM MOVIMENTO</x:v>
      </x:c>
      <x:c r="N102" s="21" t="str">
        <x:v>PE</x:v>
      </x:c>
      <x:c r="O102" s="21" t="str">
        <x:v>SEM RESULTADO</x:v>
      </x:c>
      <x:c r="P102" s="21"/>
      <x:c r="Q102" s="21"/>
      <x:c r="R102" s="21"/>
      <x:c r="S102" s="21"/>
    </x:row>
    <x:row r="103">
      <x:c r="A103" s="21" t="str">
        <x:v>POWER SOURCE - 0004</x:v>
      </x:c>
      <x:c r="B103" s="21" t="str">
        <x:v>POWER SOURCE</x:v>
      </x:c>
      <x:c r="C103" s="21" t="str">
        <x:v>GUARULHOS</x:v>
      </x:c>
      <x:c r="D103" s="21" t="str">
        <x:v>26.474.286/0004-83</x:v>
      </x:c>
      <x:c r="E103" s="21"/>
      <x:c r="F103" s="21" t="str">
        <x:v>BRUNA</x:v>
      </x:c>
      <x:c r="G103" s="21" t="str">
        <x:v>LUCRO REAL</x:v>
      </x:c>
      <x:c r="H103" s="21" t="str">
        <x:v>C</x:v>
      </x:c>
      <x:c r="I103" s="21"/>
      <x:c r="J103" s="21"/>
      <x:c r="K103" s="21"/>
      <x:c r="L103" s="21"/>
      <x:c r="M103" s="21" t="str">
        <x:v>SEM MOVIMENTO</x:v>
      </x:c>
      <x:c r="N103" s="21" t="str">
        <x:v>SP</x:v>
      </x:c>
      <x:c r="O103" s="21" t="str">
        <x:v>SEM RESULTADO</x:v>
      </x:c>
      <x:c r="P103" s="21"/>
      <x:c r="Q103" s="21"/>
      <x:c r="R103" s="21"/>
      <x:c r="S103" s="21"/>
    </x:row>
    <x:row r="104">
      <x:c r="A104" s="21" t="str">
        <x:v>POWER SOURCE COMERCIO E MANUTENÇÃO DE EQUIPAMENTOS</x:v>
      </x:c>
      <x:c r="B104" s="21" t="str">
        <x:v>POWER SOURCE</x:v>
      </x:c>
      <x:c r="C104" s="21" t="str">
        <x:v>CAIEIRAS</x:v>
      </x:c>
      <x:c r="D104" s="21" t="str">
        <x:v>26.474.286/0001-30</x:v>
      </x:c>
      <x:c r="E104" s="21"/>
      <x:c r="F104" s="21" t="str">
        <x:v>BRUNA</x:v>
      </x:c>
      <x:c r="G104" s="21" t="str">
        <x:v>LUCRO REAL</x:v>
      </x:c>
      <x:c r="H104" s="21" t="str">
        <x:v>B</x:v>
      </x:c>
      <x:c r="I104" s="21"/>
      <x:c r="J104" s="21"/>
      <x:c r="K104" s="21"/>
      <x:c r="L104" s="21"/>
      <x:c r="M104" s="21" t="str">
        <x:v>SEM MOVIMENTO</x:v>
      </x:c>
      <x:c r="N104" s="21" t="str">
        <x:v>BA</x:v>
      </x:c>
      <x:c r="O104" s="21" t="str">
        <x:v>SEM RESULTADO</x:v>
      </x:c>
      <x:c r="P104" s="21"/>
      <x:c r="Q104" s="21"/>
      <x:c r="R104" s="21" t="str">
        <x:v>W:\01-CLIENTES\GRUPO - POWER SOURCE\26.474.2860001-30 - POWER SOURCE COMERCIO E MANUTENCAO DE EQUIPAMENTOS LTDA\FISCAL\2026\042026\MUNICIPAL\REST\PDF SERVIÇOS TOMADOS</x:v>
      </x:c>
      <x:c r="S104" s="21"/>
    </x:row>
    <x:row r="105">
      <x:c r="A105" s="21" t="str">
        <x:v>PRILAFER CHOCOLATES LIMEIRA - 225</x:v>
      </x:c>
      <x:c r="B105" s="21" t="str">
        <x:v>HH </x:v>
      </x:c>
      <x:c r="C105" s="21" t="str">
        <x:v>LIMEIRA</x:v>
      </x:c>
      <x:c r="D105" s="21" t="str">
        <x:v>03.012.235/0001-91</x:v>
      </x:c>
      <x:c r="E105" s="21"/>
      <x:c r="F105" s="21" t="str">
        <x:v>DIANNY</x:v>
      </x:c>
      <x:c r="G105" s="21" t="str">
        <x:v>SIMPLES NACIONAL</x:v>
      </x:c>
      <x:c r="H105" s="21" t="str">
        <x:v>B</x:v>
      </x:c>
      <x:c r="I105" s="21"/>
      <x:c r="J105" s="21"/>
      <x:c r="K105" s="21"/>
      <x:c r="L105" s="21"/>
      <x:c r="M105" s="21" t="str">
        <x:v>Ñ FIZ </x:v>
      </x:c>
      <x:c r="N105" s="21" t="str">
        <x:v>SP</x:v>
      </x:c>
      <x:c r="O105" s="21" t="str">
        <x:v>SEM RESULTADO</x:v>
      </x:c>
      <x:c r="P105" s="21"/>
      <x:c r="Q105" s="21"/>
      <x:c r="R105" s="21"/>
      <x:c r="S105" s="21"/>
    </x:row>
    <x:row r="106">
      <x:c r="A106" s="21" t="str">
        <x:v>PRIME MTZ - 42</x:v>
      </x:c>
      <x:c r="B106" s="21" t="str">
        <x:v>PRIME</x:v>
      </x:c>
      <x:c r="C106" s="21" t="str">
        <x:v>GOIÂNIA</x:v>
      </x:c>
      <x:c r="D106" s="21" t="str">
        <x:v>029.902.823/0001-94</x:v>
      </x:c>
      <x:c r="E106" s="21"/>
      <x:c r="F106" s="21" t="str">
        <x:v>MURILO</x:v>
      </x:c>
      <x:c r="G106" s="21" t="str">
        <x:v>LUCRO REAL</x:v>
      </x:c>
      <x:c r="H106" s="21" t="str">
        <x:v>C</x:v>
      </x:c>
      <x:c r="I106" s="21"/>
      <x:c r="J106" s="21"/>
      <x:c r="K106" s="21"/>
      <x:c r="L106" s="21"/>
      <x:c r="M106" s="21" t="str">
        <x:v>SEM MOVIMENTO</x:v>
      </x:c>
      <x:c r="N106" s="21"/>
      <x:c r="O106" s="21" t="str">
        <x:v>SEM RESULTADO</x:v>
      </x:c>
      <x:c r="P106" s="21"/>
      <x:c r="Q106" s="21"/>
      <x:c r="R106" s="21"/>
      <x:c r="S106" s="21"/>
    </x:row>
    <x:row r="107">
      <x:c r="A107" s="21" t="str">
        <x:v>PRIME VII - 43</x:v>
      </x:c>
      <x:c r="B107" s="21" t="str">
        <x:v>PRIME</x:v>
      </x:c>
      <x:c r="C107" s="21" t="str">
        <x:v>GOIÂNIA</x:v>
      </x:c>
      <x:c r="D107" s="21" t="str">
        <x:v>23.713.421/0001-65</x:v>
      </x:c>
      <x:c r="E107" s="21"/>
      <x:c r="F107" s="21" t="str">
        <x:v>MURILO</x:v>
      </x:c>
      <x:c r="G107" s="21" t="str">
        <x:v>LUCRO REAL</x:v>
      </x:c>
      <x:c r="H107" s="21" t="str">
        <x:v>B</x:v>
      </x:c>
      <x:c r="I107" s="21"/>
      <x:c r="J107" s="21"/>
      <x:c r="K107" s="21"/>
      <x:c r="L107" s="21"/>
      <x:c r="M107" s="21" t="str">
        <x:v>OK 05/05</x:v>
      </x:c>
      <x:c r="N107" s="21"/>
      <x:c r="O107" s="21" t="str">
        <x:v>SEM RESULTADO</x:v>
      </x:c>
      <x:c r="P107" s="21"/>
      <x:c r="Q107" s="21"/>
      <x:c r="R107" s="21"/>
      <x:c r="S107" s="21"/>
    </x:row>
    <x:row r="108">
      <x:c r="A108" s="21" t="str">
        <x:v>PRIME WORK - 46</x:v>
      </x:c>
      <x:c r="B108" s="21" t="str">
        <x:v>PRIME</x:v>
      </x:c>
      <x:c r="C108" s="21" t="str">
        <x:v>GOIÂNIA</x:v>
      </x:c>
      <x:c r="D108" s="21" t="str">
        <x:v>42.352.280/0001-47</x:v>
      </x:c>
      <x:c r="E108" s="21"/>
      <x:c r="F108" s="21" t="str">
        <x:v>BARBARA/MURILO</x:v>
      </x:c>
      <x:c r="G108" s="21" t="str">
        <x:v>SIMPLES NACIONAL</x:v>
      </x:c>
      <x:c r="H108" s="21" t="str">
        <x:v>C</x:v>
      </x:c>
      <x:c r="I108" s="21"/>
      <x:c r="J108" s="21"/>
      <x:c r="K108" s="21"/>
      <x:c r="L108" s="21"/>
      <x:c r="M108" s="21" t="str">
        <x:v>SEM I.E.</x:v>
      </x:c>
      <x:c r="N108" s="21"/>
      <x:c r="O108" s="21" t="str">
        <x:v>SEM RESULTADO</x:v>
      </x:c>
      <x:c r="P108" s="21"/>
      <x:c r="Q108" s="21"/>
      <x:c r="R108" s="21"/>
      <x:c r="S108" s="21"/>
    </x:row>
    <x:row r="109">
      <x:c r="A109" s="21" t="str">
        <x:v>PROTONS BUSINESS</x:v>
      </x:c>
      <x:c r="B109" s="21" t="str">
        <x:v>PROTONS</x:v>
      </x:c>
      <x:c r="C109" s="21" t="str">
        <x:v>GOIANIA</x:v>
      </x:c>
      <x:c r="D109" s="21" t="str">
        <x:v>46.828.797/0001-10</x:v>
      </x:c>
      <x:c r="E109" s="21"/>
      <x:c r="F109" s="21" t="str">
        <x:v>FERNANDO</x:v>
      </x:c>
      <x:c r="G109" s="21" t="str">
        <x:v>SIMPLES NACIONAL</x:v>
      </x:c>
      <x:c r="H109" s="21" t="str">
        <x:v>C</x:v>
      </x:c>
      <x:c r="I109" s="21"/>
      <x:c r="J109" s="21"/>
      <x:c r="K109" s="21"/>
      <x:c r="L109" s="21"/>
      <x:c r="M109" s="21" t="str">
        <x:v>Ñ FIZ </x:v>
      </x:c>
      <x:c r="N109" s="21"/>
      <x:c r="O109" s="21"/>
      <x:c r="P109" s="21"/>
      <x:c r="Q109" s="21"/>
      <x:c r="R109" s="21"/>
      <x:c r="S109" s="21"/>
    </x:row>
    <x:row r="110">
      <x:c r="A110" s="21" t="str">
        <x:v>PROTONS CONSULTORIA</x:v>
      </x:c>
      <x:c r="B110" s="21" t="str">
        <x:v>PROTONS</x:v>
      </x:c>
      <x:c r="C110" s="21" t="str">
        <x:v>GOIANIA</x:v>
      </x:c>
      <x:c r="D110" s="21" t="str">
        <x:v>11.857.077/0001-07</x:v>
      </x:c>
      <x:c r="E110" s="21"/>
      <x:c r="F110" s="21" t="str">
        <x:v>FERNANDO</x:v>
      </x:c>
      <x:c r="G110" s="21" t="str">
        <x:v>LUCRO REAL</x:v>
      </x:c>
      <x:c r="H110" s="21" t="str">
        <x:v>C</x:v>
      </x:c>
      <x:c r="I110" s="21"/>
      <x:c r="J110" s="21"/>
      <x:c r="K110" s="21"/>
      <x:c r="L110" s="21"/>
      <x:c r="M110" s="21" t="str">
        <x:v>Ñ FIZ </x:v>
      </x:c>
      <x:c r="N110" s="21"/>
      <x:c r="O110" s="21"/>
      <x:c r="P110" s="21"/>
      <x:c r="Q110" s="21"/>
      <x:c r="R110" s="21"/>
      <x:c r="S110" s="21"/>
    </x:row>
    <x:row r="111">
      <x:c r="A111" s="21" t="str">
        <x:v>RETIFICA EXCELENCIA</x:v>
      </x:c>
      <x:c r="B111" s="21" t="str">
        <x:v>RETIF EXCELENCIA</x:v>
      </x:c>
      <x:c r="C111" s="21" t="str">
        <x:v>GOIANIA</x:v>
      </x:c>
      <x:c r="D111" s="21" t="str">
        <x:v>12.387.052/0001-41</x:v>
      </x:c>
      <x:c r="E111" s="21"/>
      <x:c r="F111" s="21" t="str">
        <x:v>GISELLE</x:v>
      </x:c>
      <x:c r="G111" s="21" t="str">
        <x:v>LUCRO REAL</x:v>
      </x:c>
      <x:c r="H111" s="21" t="str">
        <x:v>C</x:v>
      </x:c>
      <x:c r="I111" s="21"/>
      <x:c r="J111" s="21"/>
      <x:c r="K111" s="21"/>
      <x:c r="L111" s="21"/>
      <x:c r="M111" s="21" t="str">
        <x:v>OK 05/05</x:v>
      </x:c>
      <x:c r="N111" s="21"/>
      <x:c r="O111" s="21" t="str">
        <x:v>OK 04/04</x:v>
      </x:c>
      <x:c r="P111" s="21"/>
      <x:c r="Q111" s="21"/>
      <x:c r="R111" s="21"/>
      <x:c r="S111" s="21"/>
    </x:row>
    <x:row r="112">
      <x:c r="A112" s="21" t="str">
        <x:v>RETIFICA EXCELENCIA - FL 01</x:v>
      </x:c>
      <x:c r="B112" s="21" t="str">
        <x:v>RETIF EXCELENCIA</x:v>
      </x:c>
      <x:c r="C112" s="21" t="str">
        <x:v>AGUA BOA - MT</x:v>
      </x:c>
      <x:c r="D112" s="21" t="str">
        <x:v>12.387.052/0002-22</x:v>
      </x:c>
      <x:c r="E112" s="21"/>
      <x:c r="F112" s="21" t="str">
        <x:v>GISELLE</x:v>
      </x:c>
      <x:c r="G112" s="21" t="str">
        <x:v>LUCRO REAL</x:v>
      </x:c>
      <x:c r="H112" s="21" t="str">
        <x:v>A</x:v>
      </x:c>
      <x:c r="I112" s="21"/>
      <x:c r="J112" s="21"/>
      <x:c r="K112" s="21"/>
      <x:c r="L112" s="21"/>
      <x:c r="M112" s="21" t="str">
        <x:v>SEM MOVIMENTO</x:v>
      </x:c>
      <x:c r="N112" s="21"/>
      <x:c r="O112" s="21" t="str">
        <x:v>SEM RESULTADO</x:v>
      </x:c>
      <x:c r="P112" s="21"/>
      <x:c r="Q112" s="21"/>
      <x:c r="R112" s="21"/>
      <x:c r="S112" s="21"/>
    </x:row>
    <x:row r="113">
      <x:c r="A113" s="21" t="str">
        <x:v>RIBEIRO E GARCIA ANESTESIOLOGIA </x:v>
      </x:c>
      <x:c r="B113" s="21" t="str">
        <x:v>RIBEIRO</x:v>
      </x:c>
      <x:c r="C113" s="21"/>
      <x:c r="D113" s="21" t="str">
        <x:v>24.337.076/0001-75</x:v>
      </x:c>
      <x:c r="E113" s="21"/>
      <x:c r="F113" s="21" t="str">
        <x:v>LUCIANO </x:v>
      </x:c>
      <x:c r="G113" s="21" t="str">
        <x:v>LUCRO PRESUMIDO</x:v>
      </x:c>
      <x:c r="H113" s="21" t="str">
        <x:v>B</x:v>
      </x:c>
      <x:c r="I113" s="21"/>
      <x:c r="J113" s="21"/>
      <x:c r="K113" s="21"/>
      <x:c r="L113" s="21"/>
      <x:c r="M113" s="21" t="str">
        <x:v>SEM I.E.</x:v>
      </x:c>
      <x:c r="N113" s="21"/>
      <x:c r="O113" s="21" t="str">
        <x:v>SEM DADOS CNPJ</x:v>
      </x:c>
      <x:c r="P113" s="21"/>
      <x:c r="Q113" s="21"/>
      <x:c r="R113" s="21"/>
      <x:c r="S113" s="21"/>
    </x:row>
    <x:row r="114">
      <x:c r="A114" s="21" t="str">
        <x:v>SERVIÇOS ELDORADO (JOÃO) - 37</x:v>
      </x:c>
      <x:c r="B114" s="21" t="str">
        <x:v>ELDORADO</x:v>
      </x:c>
      <x:c r="C114" s="21" t="str">
        <x:v>ANÁPOLIS</x:v>
      </x:c>
      <x:c r="D114" s="21" t="str">
        <x:v>40.865.363/0001-04</x:v>
      </x:c>
      <x:c r="E114" s="21"/>
      <x:c r="F114" s="21" t="str">
        <x:v>BRUNO</x:v>
      </x:c>
      <x:c r="G114" s="21" t="str">
        <x:v>SIMPLES NACIONAL</x:v>
      </x:c>
      <x:c r="H114" s="21" t="str">
        <x:v>C</x:v>
      </x:c>
      <x:c r="I114" s="21"/>
      <x:c r="J114" s="21"/>
      <x:c r="K114" s="21"/>
      <x:c r="L114" s="21"/>
      <x:c r="M114" s="21" t="str">
        <x:v>SEM I.E.</x:v>
      </x:c>
      <x:c r="N114" s="21"/>
      <x:c r="O114" s="21" t="str">
        <x:v>SEM RESULTADOS </x:v>
      </x:c>
      <x:c r="P114" s="21"/>
      <x:c r="Q114" s="21"/>
      <x:c r="R114" s="21"/>
      <x:c r="S114" s="21"/>
    </x:row>
    <x:row r="115">
      <x:c r="A115" s="21" t="str">
        <x:v>SERVMONTE MONTAGENS E SERVICOS INDUSTRIAIS - EIRELI - 2</x:v>
      </x:c>
      <x:c r="B115" s="21" t="str">
        <x:v>GSV</x:v>
      </x:c>
      <x:c r="C115" s="21" t="str">
        <x:v>GOIANÉSIA</x:v>
      </x:c>
      <x:c r="D115" s="21" t="str">
        <x:v>30.378.870/0001-60</x:v>
      </x:c>
      <x:c r="E115" s="21"/>
      <x:c r="F115" s="21" t="str">
        <x:v>LILIANE</x:v>
      </x:c>
      <x:c r="G115" s="21" t="str">
        <x:v>SIMPLES NACIONAL</x:v>
      </x:c>
      <x:c r="H115" s="21" t="str">
        <x:v>C</x:v>
      </x:c>
      <x:c r="I115" s="21"/>
      <x:c r="J115" s="21"/>
      <x:c r="K115" s="21"/>
      <x:c r="L115" s="21"/>
      <x:c r="M115" s="21" t="str">
        <x:v>SEM MOVIMENTO</x:v>
      </x:c>
      <x:c r="N115" s="21"/>
      <x:c r="O115" s="21" t="str">
        <x:v>SEM RESULTADOS </x:v>
      </x:c>
      <x:c r="P115" s="21"/>
      <x:c r="Q115" s="21"/>
      <x:c r="R115" s="21"/>
      <x:c r="S115" s="21"/>
    </x:row>
    <x:row r="116">
      <x:c r="A116" s="21" t="str">
        <x:v>SILIGYN COMÉRCIO</x:v>
      </x:c>
      <x:c r="B116" s="21" t="str">
        <x:v>SILIGYN</x:v>
      </x:c>
      <x:c r="C116" s="21" t="str">
        <x:v>GOIANIA</x:v>
      </x:c>
      <x:c r="D116" s="21" t="str">
        <x:v>25.000.738/0001-80</x:v>
      </x:c>
      <x:c r="E116" s="21"/>
      <x:c r="F116" s="21" t="str">
        <x:v>LIAN</x:v>
      </x:c>
      <x:c r="G116" s="21" t="str">
        <x:v>LUCRO REAL</x:v>
      </x:c>
      <x:c r="H116" s="21" t="str">
        <x:v>B</x:v>
      </x:c>
      <x:c r="I116" s="21" t="n">
        <x:v>46147</x:v>
      </x:c>
      <x:c r="J116" s="21"/>
      <x:c r="K116" s="21"/>
      <x:c r="L116" s="21"/>
      <x:c r="M116" s="21" t="str">
        <x:v>JÁ TEM 24/04</x:v>
      </x:c>
      <x:c r="N116" s="21"/>
      <x:c r="O116" s="21" t="str">
        <x:v>OK 04/04</x:v>
      </x:c>
      <x:c r="P116" s="21"/>
      <x:c r="Q116" s="21"/>
      <x:c r="R116" s="21"/>
      <x:c r="S116" s="21"/>
    </x:row>
    <x:row r="117">
      <x:c r="A117" s="21" t="str">
        <x:v>SINOP TÊNIS </x:v>
      </x:c>
      <x:c r="B117" s="21" t="str">
        <x:v>FPM</x:v>
      </x:c>
      <x:c r="C117" s="21" t="str">
        <x:v>MATO GROSSO</x:v>
      </x:c>
      <x:c r="D117" s="21" t="str">
        <x:v>03.830.164/0001-34</x:v>
      </x:c>
      <x:c r="E117" s="21"/>
      <x:c r="F117" s="21"/>
      <x:c r="G117" s="21" t="str">
        <x:v>SIMPLES NACIONAL</x:v>
      </x:c>
      <x:c r="H117" s="21" t="str">
        <x:v>B</x:v>
      </x:c>
      <x:c r="I117" s="21"/>
      <x:c r="J117" s="21"/>
      <x:c r="K117" s="21"/>
      <x:c r="L117" s="21"/>
      <x:c r="M117" s="21" t="str">
        <x:v>SEM MOVIMENTO</x:v>
      </x:c>
      <x:c r="N117" s="21" t="str">
        <x:v>MT</x:v>
      </x:c>
      <x:c r="O117" s="21" t="str">
        <x:v>SEM RESULTADOS </x:v>
      </x:c>
      <x:c r="P117" s="21"/>
      <x:c r="Q117" s="21"/>
      <x:c r="R117" s="21"/>
      <x:c r="S117" s="21"/>
    </x:row>
    <x:row r="118">
      <x:c r="A118" s="21" t="str">
        <x:v>STUDIO LAYFER A PARTIR DE NOV - 59</x:v>
      </x:c>
      <x:c r="B118" s="21" t="str">
        <x:v>INDEPENDENTE</x:v>
      </x:c>
      <x:c r="C118" s="21" t="str">
        <x:v>GOIÂNIA</x:v>
      </x:c>
      <x:c r="D118" s="21" t="str">
        <x:v>27.313.967/0001-80</x:v>
      </x:c>
      <x:c r="E118" s="21"/>
      <x:c r="F118" s="21" t="str">
        <x:v>CELIO ROBERTO</x:v>
      </x:c>
      <x:c r="G118" s="21" t="str">
        <x:v>SIMPLES NACIONAL</x:v>
      </x:c>
      <x:c r="H118" s="21" t="str">
        <x:v>A</x:v>
      </x:c>
      <x:c r="I118" s="21"/>
      <x:c r="J118" s="21"/>
      <x:c r="K118" s="21"/>
      <x:c r="L118" s="21"/>
      <x:c r="M118" s="21" t="str">
        <x:v>OK 05/05</x:v>
      </x:c>
      <x:c r="N118" s="21"/>
      <x:c r="O118" s="21" t="str">
        <x:v>SEM RESULTADOS </x:v>
      </x:c>
      <x:c r="P118" s="21"/>
      <x:c r="Q118" s="21"/>
      <x:c r="R118" s="21" t="str">
        <x:v>W:\TESTE RENOMEADOR\TESTE - STUDIO LYFER\2026\ABRIL\FISCAL\MUNICIPAL\REST</x:v>
      </x:c>
      <x:c r="S118" s="21"/>
    </x:row>
    <x:row r="119">
      <x:c r="A119" s="21" t="str">
        <x:v>TORRENT - 246</x:v>
      </x:c>
      <x:c r="B119" s="21" t="str">
        <x:v>TORRENT</x:v>
      </x:c>
      <x:c r="C119" s="21"/>
      <x:c r="D119" s="21" t="str">
        <x:v>59.712.721/0001-77</x:v>
      </x:c>
      <x:c r="E119" s="21"/>
      <x:c r="F119" s="21" t="str">
        <x:v>JOÃO CARLOS</x:v>
      </x:c>
      <x:c r="G119" s="21" t="str">
        <x:v>SIMPLES NACIONAL</x:v>
      </x:c>
      <x:c r="H119" s="21" t="str">
        <x:v>B</x:v>
      </x:c>
      <x:c r="I119" s="21"/>
      <x:c r="J119" s="21"/>
      <x:c r="K119" s="21"/>
      <x:c r="L119" s="21"/>
      <x:c r="M119" s="21" t="str">
        <x:v>SEM I.E.</x:v>
      </x:c>
      <x:c r="N119" s="21"/>
      <x:c r="O119" s="21" t="str">
        <x:v>SEM RESULTADOS </x:v>
      </x:c>
      <x:c r="P119" s="21"/>
      <x:c r="Q119" s="21"/>
      <x:c r="R119" s="21"/>
      <x:c r="S119" s="21"/>
    </x:row>
    <x:row r="120">
      <x:c r="A120" s="21" t="str">
        <x:v>TORRENT E SILVA ELETRICIDADE</x:v>
      </x:c>
      <x:c r="B120" s="21" t="str">
        <x:v>TORRENT</x:v>
      </x:c>
      <x:c r="C120" s="21" t="str">
        <x:v>GOIANIA</x:v>
      </x:c>
      <x:c r="D120" s="21" t="str">
        <x:v>42.879.475/00001-40</x:v>
      </x:c>
      <x:c r="E120" s="21"/>
      <x:c r="F120" s="21" t="str">
        <x:v>JOÃO VITOR</x:v>
      </x:c>
      <x:c r="G120" s="21" t="str">
        <x:v>LUCRO REAL</x:v>
      </x:c>
      <x:c r="H120" s="21" t="str">
        <x:v>B</x:v>
      </x:c>
      <x:c r="I120" s="21"/>
      <x:c r="J120" s="21"/>
      <x:c r="K120" s="21"/>
      <x:c r="L120" s="21"/>
      <x:c r="M120" s="21" t="str">
        <x:v>SEM MOVIMENTO</x:v>
      </x:c>
      <x:c r="N120" s="21"/>
      <x:c r="O120" s="21" t="str">
        <x:v>SEM RESULTADOS </x:v>
      </x:c>
      <x:c r="P120" s="21"/>
      <x:c r="Q120" s="21"/>
      <x:c r="R120" s="21"/>
      <x:c r="S120" s="21"/>
    </x:row>
    <x:row r="121">
      <x:c r="A121" s="21" t="str">
        <x:v>MURILO SOARES  DE CASTRO 265</x:v>
      </x:c>
      <x:c r="B121" s="21" t="str">
        <x:v>INDEPENDENTE</x:v>
      </x:c>
      <x:c r="C121" s="21" t="str">
        <x:v>GOIANIA</x:v>
      </x:c>
      <x:c r="D121" s="21" t="str">
        <x:v>66.415.080/0001-54</x:v>
      </x:c>
      <x:c r="E121" s="21"/>
      <x:c r="F121" s="21"/>
      <x:c r="G121" s="21"/>
      <x:c r="H121" s="21"/>
      <x:c r="I121" s="21"/>
      <x:c r="J121" s="21"/>
      <x:c r="K121" s="21"/>
      <x:c r="L121" s="21"/>
      <x:c r="M121" s="21" t="str">
        <x:v>Ñ FIZ </x:v>
      </x:c>
      <x:c r="N121" s="21"/>
      <x:c r="O121" s="21"/>
      <x:c r="P121" s="21"/>
      <x:c r="Q121" s="21"/>
      <x:c r="R121" s="21"/>
      <x:c r="S121" s="21"/>
    </x:row>
    <x:row r="122">
      <x:c r="A122" s="21" t="str">
        <x:v>TQI COM E SERV DE EQUIPAMENTOS DE MEDICAO</x:v>
      </x:c>
      <x:c r="B122" s="21" t="str">
        <x:v>TEKNOPAR</x:v>
      </x:c>
      <x:c r="C122" s="21" t="str">
        <x:v>ANAPOLIS</x:v>
      </x:c>
      <x:c r="D122" s="21" t="str">
        <x:v>15.551.480/0001-56</x:v>
      </x:c>
      <x:c r="E122" s="21"/>
      <x:c r="F122" s="21" t="str">
        <x:v>JULIMAR</x:v>
      </x:c>
      <x:c r="G122" s="21" t="str">
        <x:v>LUCRO REAL</x:v>
      </x:c>
      <x:c r="H122" s="21" t="str">
        <x:v>A</x:v>
      </x:c>
      <x:c r="I122" s="21"/>
      <x:c r="J122" s="21"/>
      <x:c r="K122" s="21"/>
      <x:c r="L122" s="21"/>
      <x:c r="M122" s="21" t="str">
        <x:v>JÁ TEM </x:v>
      </x:c>
      <x:c r="N122" s="21"/>
      <x:c r="O122" s="21" t="str">
        <x:v>JÁ TINHA 29/04</x:v>
      </x:c>
      <x:c r="P122" s="21"/>
      <x:c r="Q122" s="21"/>
      <x:c r="R122" s="21"/>
      <x:c r="S122" s="21"/>
    </x:row>
    <x:row r="123">
      <x:c r="A123" s="21" t="str">
        <x:v>TRADICAO INDUSTRIA LTDA</x:v>
      </x:c>
      <x:c r="B123" s="21" t="str">
        <x:v>AGRONOVA</x:v>
      </x:c>
      <x:c r="C123" s="21" t="str">
        <x:v>RIO VERDE - GO</x:v>
      </x:c>
      <x:c r="D123" s="21" t="str">
        <x:v>59.979.461/0001-09</x:v>
      </x:c>
      <x:c r="E123" s="21"/>
      <x:c r="F123" s="21" t="str">
        <x:v>CLEUBER</x:v>
      </x:c>
      <x:c r="G123" s="21" t="str">
        <x:v>LUCRO REAL</x:v>
      </x:c>
      <x:c r="H123" s="21" t="str">
        <x:v>A</x:v>
      </x:c>
      <x:c r="I123" s="21"/>
      <x:c r="J123" s="21"/>
      <x:c r="K123" s="21"/>
      <x:c r="L123" s="21"/>
      <x:c r="M123" s="21" t="str">
        <x:v>Ñ FIZ </x:v>
      </x:c>
      <x:c r="N123" s="21"/>
      <x:c r="O123" s="21" t="str">
        <x:v>OK 04/03</x:v>
      </x:c>
      <x:c r="P123" s="21"/>
      <x:c r="Q123" s="21"/>
      <x:c r="R123" s="21"/>
      <x:c r="S123" s="21"/>
    </x:row>
    <x:row r="124">
      <x:c r="A124" s="21" t="str">
        <x:v>S37 SERVICE </x:v>
      </x:c>
      <x:c r="B124" s="21" t="str">
        <x:v>DGA </x:v>
      </x:c>
      <x:c r="C124" s="21" t="str">
        <x:v>ITUMBIARA</x:v>
      </x:c>
      <x:c r="D124" s="21" t="str">
        <x:v>64.654.373/0001-69</x:v>
      </x:c>
      <x:c r="E124" s="21"/>
      <x:c r="F124" s="21" t="str">
        <x:v>HELLEN</x:v>
      </x:c>
      <x:c r="G124" s="21" t="str">
        <x:v>SIMPLES NACIONAL</x:v>
      </x:c>
      <x:c r="H124" s="21" t="str">
        <x:v>B</x:v>
      </x:c>
      <x:c r="I124" s="21"/>
      <x:c r="J124" s="21"/>
      <x:c r="K124" s="21"/>
      <x:c r="L124" s="21"/>
      <x:c r="M124" s="21" t="str">
        <x:v>SEM I.E.</x:v>
      </x:c>
      <x:c r="N124" s="21"/>
      <x:c r="O124" s="21" t="str">
        <x:v>SEM RESULTADOS </x:v>
      </x:c>
      <x:c r="P124" s="21"/>
      <x:c r="Q124" s="21"/>
      <x:c r="R124" s="21"/>
      <x:c r="S124" s="21"/>
    </x:row>
    <x:row r="125">
      <x:c r="A125" s="21" t="str">
        <x:v>ZENER DIGITAL</x:v>
      </x:c>
      <x:c r="B125" s="21" t="str">
        <x:v>ZENER</x:v>
      </x:c>
      <x:c r="C125" s="21" t="str">
        <x:v>GOIANIA</x:v>
      </x:c>
      <x:c r="D125" s="21" t="str">
        <x:v>46.419.690/0001-19</x:v>
      </x:c>
      <x:c r="E125" s="21"/>
      <x:c r="F125" s="21"/>
      <x:c r="G125" s="21" t="str">
        <x:v>SIMPLES NACIONAL</x:v>
      </x:c>
      <x:c r="H125" s="21" t="str">
        <x:v>B</x:v>
      </x:c>
      <x:c r="I125" s="21"/>
      <x:c r="J125" s="21"/>
      <x:c r="K125" s="21"/>
      <x:c r="L125" s="21"/>
      <x:c r="M125" s="21" t="str">
        <x:v>SEM I.E.</x:v>
      </x:c>
      <x:c r="N125" s="21"/>
      <x:c r="O125" s="21" t="str">
        <x:v>SEM RESULTADOS </x:v>
      </x:c>
      <x:c r="P125" s="21"/>
      <x:c r="Q125" s="21"/>
      <x:c r="R125" s="21"/>
      <x:c r="S125" s="21"/>
    </x:row>
    <x:row r="126">
      <x:c r="A126" s="21" t="str">
        <x:v>ELETRO VALLE AUTOMAÇÃO</x:v>
      </x:c>
      <x:c r="B126" s="21" t="str">
        <x:v>GRUPO ELETRO VALLE</x:v>
      </x:c>
      <x:c r="C126" s="21"/>
      <x:c r="D126" s="21"/>
      <x:c r="E126" s="21"/>
      <x:c r="F126" s="21" t="str">
        <x:v>LEIDIANE/ROGÉRIO</x:v>
      </x:c>
      <x:c r="G126" s="21" t="str">
        <x:v>LUCRO REAL</x:v>
      </x:c>
      <x:c r="H126" s="21"/>
      <x:c r="I126" s="21"/>
      <x:c r="J126" s="21"/>
      <x:c r="K126" s="21"/>
      <x:c r="L126" s="21"/>
      <x:c r="M126" s="21" t="str">
        <x:v>Ñ FIZ </x:v>
      </x:c>
      <x:c r="N126" s="21"/>
      <x:c r="O126" s="21" t="str">
        <x:v>OK 04/04</x:v>
      </x:c>
      <x:c r="P126" s="21"/>
      <x:c r="Q126" s="21"/>
      <x:c r="R126" s="21"/>
      <x:c r="S126" s="21"/>
    </x:row>
    <x:row r="127">
      <x:c r="A127" s="21" t="str">
        <x:v>ELETRO VALLE SERVICE</x:v>
      </x:c>
      <x:c r="B127" s="21" t="str">
        <x:v>GRUPO ELETRO VALLE</x:v>
      </x:c>
      <x:c r="C127" s="21"/>
      <x:c r="D127" s="21"/>
      <x:c r="E127" s="21"/>
      <x:c r="F127" s="21" t="str">
        <x:v>LEIDIANE/ROGÉRIO</x:v>
      </x:c>
      <x:c r="G127" s="21" t="str">
        <x:v>VERIFICAR</x:v>
      </x:c>
      <x:c r="H127" s="21"/>
      <x:c r="I127" s="21"/>
      <x:c r="J127" s="21"/>
      <x:c r="K127" s="21"/>
      <x:c r="L127" s="21"/>
      <x:c r="M127" s="21" t="str">
        <x:v>Ñ FIZ </x:v>
      </x:c>
      <x:c r="N127" s="21"/>
      <x:c r="O127" s="21" t="str">
        <x:v>OK 04/04</x:v>
      </x:c>
      <x:c r="P127" s="21"/>
      <x:c r="Q127" s="21"/>
      <x:c r="R127" s="21"/>
      <x:c r="S127" s="21"/>
    </x:row>
    <x:row r="128">
      <x:c r="A128" s="21" t="str">
        <x:v>BRAMOVI COOPERATIVA </x:v>
      </x:c>
      <x:c r="B128" s="21" t="str">
        <x:v>AGROBOM</x:v>
      </x:c>
      <x:c r="C128" s="21" t="str">
        <x:v>GOIANIA</x:v>
      </x:c>
      <x:c r="D128" s="21" t="str">
        <x:v>65.947.042/0001-80</x:v>
      </x:c>
      <x:c r="E128" s="21"/>
      <x:c r="F128" s="21" t="str">
        <x:v>YARA GUERRA</x:v>
      </x:c>
      <x:c r="G128" s="21" t="str">
        <x:v>LUCRO REAL</x:v>
      </x:c>
      <x:c r="H128" s="21" t="str">
        <x:v>B</x:v>
      </x:c>
      <x:c r="I128" s="21"/>
      <x:c r="J128" s="21"/>
      <x:c r="K128" s="21"/>
      <x:c r="L128" s="21"/>
      <x:c r="M128" s="21" t="str">
        <x:v>SEM MOVIMENTO</x:v>
      </x:c>
      <x:c r="N128" s="21"/>
      <x:c r="O128" s="21" t="str">
        <x:v>SEM RESULTADOS </x:v>
      </x:c>
      <x:c r="P128" s="21"/>
      <x:c r="Q128" s="21"/>
      <x:c r="R128" s="21"/>
      <x:c r="S128" s="21"/>
    </x:row>
    <x:row r="129">
      <x:c r="A129" s="21" t="str">
        <x:v>MATEUS SOARES ADVOCACIA</x:v>
      </x:c>
      <x:c r="B129" s="21" t="str">
        <x:v>INDEPENDENTE</x:v>
      </x:c>
      <x:c r="C129" s="21" t="str">
        <x:v>GOIANIA</x:v>
      </x:c>
      <x:c r="D129" s="21" t="str">
        <x:v>65.738.806/000127</x:v>
      </x:c>
      <x:c r="E129" s="21"/>
      <x:c r="F129" s="21" t="str">
        <x:v>FERNANDA</x:v>
      </x:c>
      <x:c r="G129" s="21" t="str">
        <x:v>SIMPLES NACIONAL</x:v>
      </x:c>
      <x:c r="H129" s="21" t="str">
        <x:v>B</x:v>
      </x:c>
      <x:c r="I129" s="21"/>
      <x:c r="J129" s="21"/>
      <x:c r="K129" s="21"/>
      <x:c r="L129" s="21"/>
      <x:c r="M129" s="21" t="str">
        <x:v>SEM I.E.</x:v>
      </x:c>
      <x:c r="N129" s="21"/>
      <x:c r="O129" s="21" t="str">
        <x:v>Ñ FIZ</x:v>
      </x:c>
      <x:c r="P129" s="21"/>
      <x:c r="Q129" s="21"/>
      <x:c r="R129" s="21"/>
      <x:c r="S129" s="21"/>
    </x:row>
    <x:row r="130">
      <x:c r="A130" s="21" t="str">
        <x:v>TRADICAO INDUSTRIA LTDA FILIAL I</x:v>
      </x:c>
      <x:c r="B130" s="21" t="str">
        <x:v>AGRONOVA</x:v>
      </x:c>
      <x:c r="C130" s="21" t="str">
        <x:v>SANTA CATARINA</x:v>
      </x:c>
      <x:c r="D130" s="21" t="str">
        <x:v>59.979.461/0002-81</x:v>
      </x:c>
      <x:c r="E130" s="21"/>
      <x:c r="F130" s="21"/>
      <x:c r="G130" s="21" t="str">
        <x:v>LUCRO REAL</x:v>
      </x:c>
      <x:c r="H130" s="21"/>
      <x:c r="I130" s="21"/>
      <x:c r="J130" s="21"/>
      <x:c r="K130" s="21"/>
      <x:c r="L130" s="21"/>
      <x:c r="M130" s="21" t="str">
        <x:v>CNPJ DIFERENTE</x:v>
      </x:c>
      <x:c r="N130" s="21" t="str">
        <x:v>SC</x:v>
      </x:c>
      <x:c r="O130" s="21" t="str">
        <x:v>OK 04/03</x:v>
      </x:c>
      <x:c r="P130" s="21"/>
      <x:c r="Q130" s="21"/>
      <x:c r="R130" s="21"/>
      <x:c r="S130" s="21"/>
    </x:row>
    <x:row r="131">
      <x:c r="A131" s="21" t="str">
        <x:v>TRADIÇÃO DISTRIBUIDORA </x:v>
      </x:c>
      <x:c r="B131" s="21" t="str">
        <x:v>AGRONOVA</x:v>
      </x:c>
      <x:c r="C131" s="21" t="str">
        <x:v>SANTA CATARINA</x:v>
      </x:c>
      <x:c r="D131" s="21" t="str">
        <x:v>66.032.594/0001-20</x:v>
      </x:c>
      <x:c r="E131" s="21"/>
      <x:c r="F131" s="21" t="str">
        <x:v>CLEUBER</x:v>
      </x:c>
      <x:c r="G131" s="21" t="str">
        <x:v>LUCRO REAL - EM CONST</x:v>
      </x:c>
      <x:c r="H131" s="21"/>
      <x:c r="I131" s="21"/>
      <x:c r="J131" s="21"/>
      <x:c r="K131" s="21"/>
      <x:c r="L131" s="21"/>
      <x:c r="M131" s="21" t="str">
        <x:v>CNPJ DIFERENTE</x:v>
      </x:c>
      <x:c r="N131" s="21" t="str">
        <x:v>SC</x:v>
      </x:c>
      <x:c r="O131" s="21" t="str">
        <x:v>Ñ FIZ </x:v>
      </x:c>
      <x:c r="P131" s="21"/>
      <x:c r="Q131" s="21"/>
      <x:c r="R131" s="21"/>
      <x:c r="S131" s="21"/>
    </x:row>
    <x:row r="132">
      <x:c r="A132" s="21" t="str">
        <x:v>MK SERVICE LTDA</x:v>
      </x:c>
      <x:c r="B132" s="21" t="str">
        <x:v>AGRONOVA</x:v>
      </x:c>
      <x:c r="C132" s="21" t="str">
        <x:v>SANTA CATARINA</x:v>
      </x:c>
      <x:c r="D132" s="21" t="str">
        <x:v>66.031.629/0001-07</x:v>
      </x:c>
      <x:c r="E132" s="21"/>
      <x:c r="F132" s="21" t="str">
        <x:v>CLEUBER</x:v>
      </x:c>
      <x:c r="G132" s="21" t="str">
        <x:v>LUCRO REAL - EM CONST</x:v>
      </x:c>
      <x:c r="H132" s="21"/>
      <x:c r="I132" s="21"/>
      <x:c r="J132" s="21"/>
      <x:c r="K132" s="21"/>
      <x:c r="L132" s="21"/>
      <x:c r="M132" s="21" t="str">
        <x:v>SEM I.E.</x:v>
      </x:c>
      <x:c r="N132" s="21" t="str">
        <x:v>SC</x:v>
      </x:c>
      <x:c r="O132" s="21" t="str">
        <x:v>Ñ FIZ</x:v>
      </x:c>
      <x:c r="P132" s="21"/>
      <x:c r="Q132" s="21"/>
      <x:c r="R132" s="21"/>
      <x:c r="S132" s="21"/>
    </x:row>
    <x:row r="133">
      <x:c r="A133" s="21" t="str">
        <x:v>SÃO PATRICIO SERVICE</x:v>
      </x:c>
      <x:c r="B133" s="21" t="str">
        <x:v>GRUPO ELETRO VALLE</x:v>
      </x:c>
      <x:c r="C133" s="21"/>
      <x:c r="D133" s="21"/>
      <x:c r="E133" s="21"/>
      <x:c r="F133" s="21" t="str">
        <x:v>LEIDIANE/ROGÉRIO</x:v>
      </x:c>
      <x:c r="G133" s="21" t="str">
        <x:v>SIMPLES NACIONAL</x:v>
      </x:c>
      <x:c r="H133" s="21"/>
      <x:c r="I133" s="21"/>
      <x:c r="J133" s="21"/>
      <x:c r="K133" s="21"/>
      <x:c r="L133" s="21"/>
      <x:c r="M133" s="21" t="str">
        <x:v>Ñ FIZ </x:v>
      </x:c>
      <x:c r="N133" s="21"/>
      <x:c r="O133" s="21" t="str">
        <x:v>SEM RESULTADOS </x:v>
      </x:c>
      <x:c r="P133" s="21"/>
      <x:c r="Q133" s="21"/>
      <x:c r="R133" s="21"/>
      <x:c r="S133" s="21"/>
    </x:row>
    <x:row r="134">
      <x:c r="A134" s="21" t="str">
        <x:v>METALÚRGICA MIRANDA</x:v>
      </x:c>
      <x:c r="B134" s="21" t="str">
        <x:v>INDEPENDENTE</x:v>
      </x:c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 t="str">
        <x:v>Ñ FIZ </x:v>
      </x:c>
      <x:c r="N134" s="21"/>
      <x:c r="O134" s="21" t="str">
        <x:v>Ñ FIZ </x:v>
      </x:c>
      <x:c r="P134" s="21"/>
      <x:c r="Q134" s="21"/>
      <x:c r="R134" s="21"/>
      <x:c r="S134" s="21"/>
    </x:row>
  </x:sheetData>
  <x:pageMargins left="0.7" right="0.7" top="0.75" bottom="0.75" header="0.3" footer="0.3"/>
</x:worksheet>
</file>